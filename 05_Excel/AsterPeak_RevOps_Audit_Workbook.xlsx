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e\Desktop\Revenue Operations Portfolio Project\05_Excel\"/>
    </mc:Choice>
  </mc:AlternateContent>
  <xr:revisionPtr revIDLastSave="0" documentId="13_ncr:1_{3AEE9DEA-5416-42E5-B036-1B464B8812EF}" xr6:coauthVersionLast="47" xr6:coauthVersionMax="47" xr10:uidLastSave="{00000000-0000-0000-0000-000000000000}"/>
  <bookViews>
    <workbookView xWindow="-120" yWindow="-120" windowWidth="29040" windowHeight="15840" xr2:uid="{0C172B08-2792-47BE-8CCA-8CD8EA93F4F9}"/>
  </bookViews>
  <sheets>
    <sheet name="Audit Summary" sheetId="1" r:id="rId1"/>
    <sheet name="Account Audit" sheetId="2" r:id="rId2"/>
    <sheet name="Lead Routing" sheetId="3" r:id="rId3"/>
    <sheet name="Pipeline Audit" sheetId="4" r:id="rId4"/>
    <sheet name="Deal Desk Audit" sheetId="5" r:id="rId5"/>
    <sheet name="Pivot Analysis" sheetId="6" r:id="rId6"/>
    <sheet name="Reconciliation" sheetId="7" r:id="rId7"/>
    <sheet name="src_accounts" sheetId="8" state="hidden" r:id="rId8"/>
    <sheet name="src_states" sheetId="9" state="hidden" r:id="rId9"/>
    <sheet name="src_territories" sheetId="10" state="hidden" r:id="rId10"/>
    <sheet name="src_leads" sheetId="12" state="hidden" r:id="rId11"/>
    <sheet name="src_users" sheetId="11" state="hidden" r:id="rId12"/>
    <sheet name="src_opportunities" sheetId="14" state="hidden" r:id="rId13"/>
    <sheet name="src_deal_approvals" sheetId="15" state="hidden" r:id="rId14"/>
  </sheets>
  <calcPr calcId="191029"/>
  <pivotCaches>
    <pivotCache cacheId="13" r:id="rId15"/>
    <pivotCache cacheId="8" r:id="rId16"/>
    <pivotCache cacheId="1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12" i="1" l="1"/>
  <c r="B11" i="1"/>
  <c r="B10" i="1" a="1"/>
  <c r="B9" i="1"/>
  <c r="B8" i="1"/>
  <c r="B7" i="1"/>
  <c r="B6" i="1"/>
  <c r="B5" i="1"/>
  <c r="B4" i="1"/>
  <c r="B3" i="1"/>
  <c r="D3" i="7"/>
  <c r="D4" i="7"/>
  <c r="D5" i="7"/>
  <c r="D6" i="7"/>
  <c r="D7" i="7"/>
  <c r="D8" i="7"/>
  <c r="D9" i="7"/>
  <c r="D10" i="7"/>
  <c r="D11" i="7"/>
  <c r="D2" i="7"/>
  <c r="B11" i="7"/>
  <c r="B10" i="7"/>
  <c r="B9" i="7"/>
  <c r="B8" i="7"/>
  <c r="B7" i="7"/>
  <c r="B6" i="7"/>
  <c r="B5" i="7"/>
  <c r="B4" i="7"/>
  <c r="B3" i="7"/>
  <c r="B2" i="7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M41" i="5" s="1"/>
  <c r="N41" i="5" s="1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M169" i="5" s="1"/>
  <c r="N169" i="5" s="1"/>
  <c r="L170" i="5"/>
  <c r="M170" i="5" s="1"/>
  <c r="L171" i="5"/>
  <c r="M171" i="5" s="1"/>
  <c r="L172" i="5"/>
  <c r="M172" i="5" s="1"/>
  <c r="L173" i="5"/>
  <c r="M173" i="5" s="1"/>
  <c r="L174" i="5"/>
  <c r="M174" i="5" s="1"/>
  <c r="L175" i="5"/>
  <c r="M175" i="5" s="1"/>
  <c r="L176" i="5"/>
  <c r="M176" i="5" s="1"/>
  <c r="L177" i="5"/>
  <c r="M177" i="5" s="1"/>
  <c r="N177" i="5" s="1"/>
  <c r="L178" i="5"/>
  <c r="M178" i="5" s="1"/>
  <c r="N178" i="5" s="1"/>
  <c r="L179" i="5"/>
  <c r="M179" i="5" s="1"/>
  <c r="N179" i="5" s="1"/>
  <c r="L180" i="5"/>
  <c r="M180" i="5" s="1"/>
  <c r="N180" i="5" s="1"/>
  <c r="L181" i="5"/>
  <c r="M181" i="5" s="1"/>
  <c r="L182" i="5"/>
  <c r="M182" i="5" s="1"/>
  <c r="N182" i="5" s="1"/>
  <c r="L183" i="5"/>
  <c r="M183" i="5" s="1"/>
  <c r="L184" i="5"/>
  <c r="M184" i="5" s="1"/>
  <c r="L185" i="5"/>
  <c r="M185" i="5" s="1"/>
  <c r="L186" i="5"/>
  <c r="M186" i="5" s="1"/>
  <c r="L187" i="5"/>
  <c r="M187" i="5" s="1"/>
  <c r="L188" i="5"/>
  <c r="M188" i="5" s="1"/>
  <c r="L189" i="5"/>
  <c r="M189" i="5" s="1"/>
  <c r="N189" i="5" s="1"/>
  <c r="L190" i="5"/>
  <c r="M190" i="5" s="1"/>
  <c r="L191" i="5"/>
  <c r="M191" i="5" s="1"/>
  <c r="L192" i="5"/>
  <c r="M192" i="5" s="1"/>
  <c r="L193" i="5"/>
  <c r="M193" i="5" s="1"/>
  <c r="N193" i="5" s="1"/>
  <c r="L194" i="5"/>
  <c r="M194" i="5" s="1"/>
  <c r="N194" i="5" s="1"/>
  <c r="L195" i="5"/>
  <c r="M195" i="5" s="1"/>
  <c r="L196" i="5"/>
  <c r="M196" i="5" s="1"/>
  <c r="L197" i="5"/>
  <c r="M197" i="5" s="1"/>
  <c r="L198" i="5"/>
  <c r="M198" i="5" s="1"/>
  <c r="L199" i="5"/>
  <c r="M199" i="5" s="1"/>
  <c r="N199" i="5" s="1"/>
  <c r="L200" i="5"/>
  <c r="M200" i="5" s="1"/>
  <c r="L201" i="5"/>
  <c r="M201" i="5" s="1"/>
  <c r="L202" i="5"/>
  <c r="M202" i="5" s="1"/>
  <c r="N202" i="5" s="1"/>
  <c r="L203" i="5"/>
  <c r="M203" i="5" s="1"/>
  <c r="L204" i="5"/>
  <c r="M204" i="5" s="1"/>
  <c r="N204" i="5" s="1"/>
  <c r="L205" i="5"/>
  <c r="M205" i="5" s="1"/>
  <c r="L206" i="5"/>
  <c r="M206" i="5" s="1"/>
  <c r="N206" i="5" s="1"/>
  <c r="L207" i="5"/>
  <c r="M207" i="5" s="1"/>
  <c r="L208" i="5"/>
  <c r="M208" i="5" s="1"/>
  <c r="N208" i="5" s="1"/>
  <c r="L209" i="5"/>
  <c r="M209" i="5" s="1"/>
  <c r="L210" i="5"/>
  <c r="M210" i="5" s="1"/>
  <c r="L211" i="5"/>
  <c r="M211" i="5" s="1"/>
  <c r="L212" i="5"/>
  <c r="M212" i="5" s="1"/>
  <c r="L213" i="5"/>
  <c r="M213" i="5" s="1"/>
  <c r="N213" i="5" s="1"/>
  <c r="L214" i="5"/>
  <c r="M214" i="5" s="1"/>
  <c r="L215" i="5"/>
  <c r="M215" i="5" s="1"/>
  <c r="L216" i="5"/>
  <c r="M216" i="5" s="1"/>
  <c r="L217" i="5"/>
  <c r="M217" i="5" s="1"/>
  <c r="L218" i="5"/>
  <c r="M218" i="5" s="1"/>
  <c r="N218" i="5" s="1"/>
  <c r="L219" i="5"/>
  <c r="M219" i="5" s="1"/>
  <c r="L220" i="5"/>
  <c r="M220" i="5" s="1"/>
  <c r="L221" i="5"/>
  <c r="M221" i="5" s="1"/>
  <c r="N221" i="5" s="1"/>
  <c r="L222" i="5"/>
  <c r="M222" i="5" s="1"/>
  <c r="N222" i="5" s="1"/>
  <c r="L223" i="5"/>
  <c r="M223" i="5" s="1"/>
  <c r="L224" i="5"/>
  <c r="M224" i="5" s="1"/>
  <c r="L225" i="5"/>
  <c r="M225" i="5" s="1"/>
  <c r="N225" i="5" s="1"/>
  <c r="L226" i="5"/>
  <c r="M226" i="5" s="1"/>
  <c r="N226" i="5" s="1"/>
  <c r="L227" i="5"/>
  <c r="M227" i="5" s="1"/>
  <c r="L228" i="5"/>
  <c r="M228" i="5" s="1"/>
  <c r="L229" i="5"/>
  <c r="M229" i="5" s="1"/>
  <c r="N229" i="5" s="1"/>
  <c r="L230" i="5"/>
  <c r="M230" i="5" s="1"/>
  <c r="L231" i="5"/>
  <c r="M231" i="5" s="1"/>
  <c r="L232" i="5"/>
  <c r="M232" i="5" s="1"/>
  <c r="L233" i="5"/>
  <c r="M233" i="5" s="1"/>
  <c r="L234" i="5"/>
  <c r="M234" i="5" s="1"/>
  <c r="L235" i="5"/>
  <c r="M235" i="5" s="1"/>
  <c r="L236" i="5"/>
  <c r="M236" i="5" s="1"/>
  <c r="L237" i="5"/>
  <c r="M237" i="5" s="1"/>
  <c r="L238" i="5"/>
  <c r="M238" i="5" s="1"/>
  <c r="N238" i="5" s="1"/>
  <c r="L239" i="5"/>
  <c r="M239" i="5" s="1"/>
  <c r="L240" i="5"/>
  <c r="M240" i="5" s="1"/>
  <c r="L241" i="5"/>
  <c r="M241" i="5" s="1"/>
  <c r="L242" i="5"/>
  <c r="M242" i="5" s="1"/>
  <c r="L243" i="5"/>
  <c r="M243" i="5" s="1"/>
  <c r="L244" i="5"/>
  <c r="M244" i="5" s="1"/>
  <c r="L245" i="5"/>
  <c r="M245" i="5" s="1"/>
  <c r="L246" i="5"/>
  <c r="M246" i="5" s="1"/>
  <c r="L247" i="5"/>
  <c r="M247" i="5" s="1"/>
  <c r="L248" i="5"/>
  <c r="M248" i="5" s="1"/>
  <c r="L249" i="5"/>
  <c r="M249" i="5" s="1"/>
  <c r="L250" i="5"/>
  <c r="M250" i="5" s="1"/>
  <c r="N250" i="5" s="1"/>
  <c r="L251" i="5"/>
  <c r="M251" i="5" s="1"/>
  <c r="N251" i="5" s="1"/>
  <c r="L252" i="5"/>
  <c r="M252" i="5" s="1"/>
  <c r="L253" i="5"/>
  <c r="M253" i="5" s="1"/>
  <c r="L254" i="5"/>
  <c r="M254" i="5" s="1"/>
  <c r="L255" i="5"/>
  <c r="M255" i="5" s="1"/>
  <c r="L256" i="5"/>
  <c r="M256" i="5" s="1"/>
  <c r="N256" i="5" s="1"/>
  <c r="L257" i="5"/>
  <c r="M257" i="5" s="1"/>
  <c r="N257" i="5" s="1"/>
  <c r="L258" i="5"/>
  <c r="M258" i="5" s="1"/>
  <c r="N258" i="5" s="1"/>
  <c r="L259" i="5"/>
  <c r="M259" i="5" s="1"/>
  <c r="N259" i="5" s="1"/>
  <c r="L260" i="5"/>
  <c r="M260" i="5" s="1"/>
  <c r="L261" i="5"/>
  <c r="M261" i="5" s="1"/>
  <c r="N261" i="5" s="1"/>
  <c r="L262" i="5"/>
  <c r="M262" i="5" s="1"/>
  <c r="L263" i="5"/>
  <c r="M263" i="5" s="1"/>
  <c r="L264" i="5"/>
  <c r="M264" i="5" s="1"/>
  <c r="L265" i="5"/>
  <c r="M265" i="5" s="1"/>
  <c r="L266" i="5"/>
  <c r="M266" i="5" s="1"/>
  <c r="L267" i="5"/>
  <c r="M267" i="5" s="1"/>
  <c r="N267" i="5" s="1"/>
  <c r="L268" i="5"/>
  <c r="M268" i="5" s="1"/>
  <c r="L269" i="5"/>
  <c r="M269" i="5" s="1"/>
  <c r="L270" i="5"/>
  <c r="M270" i="5" s="1"/>
  <c r="L271" i="5"/>
  <c r="M271" i="5" s="1"/>
  <c r="N271" i="5" s="1"/>
  <c r="L272" i="5"/>
  <c r="M272" i="5" s="1"/>
  <c r="N272" i="5" s="1"/>
  <c r="L273" i="5"/>
  <c r="M273" i="5" s="1"/>
  <c r="N273" i="5" s="1"/>
  <c r="L274" i="5"/>
  <c r="M274" i="5" s="1"/>
  <c r="N274" i="5" s="1"/>
  <c r="L275" i="5"/>
  <c r="M275" i="5" s="1"/>
  <c r="L276" i="5"/>
  <c r="M276" i="5" s="1"/>
  <c r="L277" i="5"/>
  <c r="M277" i="5" s="1"/>
  <c r="L278" i="5"/>
  <c r="M278" i="5" s="1"/>
  <c r="L279" i="5"/>
  <c r="M279" i="5" s="1"/>
  <c r="L280" i="5"/>
  <c r="M280" i="5" s="1"/>
  <c r="N280" i="5" s="1"/>
  <c r="L281" i="5"/>
  <c r="M281" i="5" s="1"/>
  <c r="L282" i="5"/>
  <c r="M282" i="5" s="1"/>
  <c r="L283" i="5"/>
  <c r="M283" i="5" s="1"/>
  <c r="L284" i="5"/>
  <c r="M284" i="5" s="1"/>
  <c r="N284" i="5" s="1"/>
  <c r="L285" i="5"/>
  <c r="M285" i="5" s="1"/>
  <c r="L286" i="5"/>
  <c r="M286" i="5" s="1"/>
  <c r="L287" i="5"/>
  <c r="M287" i="5" s="1"/>
  <c r="L288" i="5"/>
  <c r="M288" i="5" s="1"/>
  <c r="L289" i="5"/>
  <c r="M289" i="5" s="1"/>
  <c r="L290" i="5"/>
  <c r="M290" i="5" s="1"/>
  <c r="L291" i="5"/>
  <c r="M291" i="5" s="1"/>
  <c r="N291" i="5" s="1"/>
  <c r="L292" i="5"/>
  <c r="M292" i="5" s="1"/>
  <c r="L293" i="5"/>
  <c r="M293" i="5" s="1"/>
  <c r="L294" i="5"/>
  <c r="M294" i="5" s="1"/>
  <c r="L295" i="5"/>
  <c r="M295" i="5" s="1"/>
  <c r="L296" i="5"/>
  <c r="M296" i="5" s="1"/>
  <c r="L297" i="5"/>
  <c r="M297" i="5" s="1"/>
  <c r="L298" i="5"/>
  <c r="M298" i="5" s="1"/>
  <c r="L299" i="5"/>
  <c r="M299" i="5" s="1"/>
  <c r="L300" i="5"/>
  <c r="M300" i="5" s="1"/>
  <c r="N300" i="5" s="1"/>
  <c r="L301" i="5"/>
  <c r="M301" i="5" s="1"/>
  <c r="L302" i="5"/>
  <c r="M302" i="5" s="1"/>
  <c r="L303" i="5"/>
  <c r="M303" i="5" s="1"/>
  <c r="N303" i="5" s="1"/>
  <c r="L304" i="5"/>
  <c r="M304" i="5" s="1"/>
  <c r="L305" i="5"/>
  <c r="M305" i="5" s="1"/>
  <c r="L306" i="5"/>
  <c r="M306" i="5" s="1"/>
  <c r="L307" i="5"/>
  <c r="M307" i="5" s="1"/>
  <c r="N307" i="5" s="1"/>
  <c r="L308" i="5"/>
  <c r="M308" i="5" s="1"/>
  <c r="L309" i="5"/>
  <c r="M309" i="5" s="1"/>
  <c r="L310" i="5"/>
  <c r="M310" i="5" s="1"/>
  <c r="N310" i="5" s="1"/>
  <c r="L311" i="5"/>
  <c r="M311" i="5" s="1"/>
  <c r="L312" i="5"/>
  <c r="M312" i="5" s="1"/>
  <c r="L313" i="5"/>
  <c r="M313" i="5" s="1"/>
  <c r="L314" i="5"/>
  <c r="M314" i="5" s="1"/>
  <c r="L315" i="5"/>
  <c r="M315" i="5" s="1"/>
  <c r="L316" i="5"/>
  <c r="M316" i="5" s="1"/>
  <c r="N316" i="5" s="1"/>
  <c r="L317" i="5"/>
  <c r="M317" i="5" s="1"/>
  <c r="L318" i="5"/>
  <c r="M318" i="5" s="1"/>
  <c r="L319" i="5"/>
  <c r="M319" i="5" s="1"/>
  <c r="L320" i="5"/>
  <c r="M320" i="5" s="1"/>
  <c r="N320" i="5" s="1"/>
  <c r="L321" i="5"/>
  <c r="M321" i="5" s="1"/>
  <c r="L322" i="5"/>
  <c r="M322" i="5" s="1"/>
  <c r="N322" i="5" s="1"/>
  <c r="L323" i="5"/>
  <c r="M323" i="5" s="1"/>
  <c r="L324" i="5"/>
  <c r="M324" i="5" s="1"/>
  <c r="N324" i="5" s="1"/>
  <c r="L325" i="5"/>
  <c r="M325" i="5" s="1"/>
  <c r="N325" i="5" s="1"/>
  <c r="L326" i="5"/>
  <c r="M326" i="5" s="1"/>
  <c r="N326" i="5" s="1"/>
  <c r="L327" i="5"/>
  <c r="M327" i="5" s="1"/>
  <c r="N327" i="5" s="1"/>
  <c r="L328" i="5"/>
  <c r="M328" i="5" s="1"/>
  <c r="L329" i="5"/>
  <c r="M329" i="5" s="1"/>
  <c r="N329" i="5" s="1"/>
  <c r="L330" i="5"/>
  <c r="M330" i="5" s="1"/>
  <c r="L331" i="5"/>
  <c r="M331" i="5" s="1"/>
  <c r="N331" i="5" s="1"/>
  <c r="L332" i="5"/>
  <c r="M332" i="5" s="1"/>
  <c r="L333" i="5"/>
  <c r="M333" i="5" s="1"/>
  <c r="N333" i="5" s="1"/>
  <c r="L334" i="5"/>
  <c r="M334" i="5" s="1"/>
  <c r="L335" i="5"/>
  <c r="M335" i="5" s="1"/>
  <c r="N335" i="5" s="1"/>
  <c r="L336" i="5"/>
  <c r="M336" i="5" s="1"/>
  <c r="N336" i="5" s="1"/>
  <c r="L337" i="5"/>
  <c r="M337" i="5" s="1"/>
  <c r="L338" i="5"/>
  <c r="M338" i="5" s="1"/>
  <c r="L339" i="5"/>
  <c r="M339" i="5" s="1"/>
  <c r="L340" i="5"/>
  <c r="M340" i="5" s="1"/>
  <c r="L341" i="5"/>
  <c r="M341" i="5" s="1"/>
  <c r="N341" i="5" s="1"/>
  <c r="L342" i="5"/>
  <c r="M342" i="5" s="1"/>
  <c r="N342" i="5" s="1"/>
  <c r="L343" i="5"/>
  <c r="M343" i="5" s="1"/>
  <c r="L344" i="5"/>
  <c r="M344" i="5" s="1"/>
  <c r="L345" i="5"/>
  <c r="M345" i="5" s="1"/>
  <c r="N345" i="5" s="1"/>
  <c r="L346" i="5"/>
  <c r="M346" i="5" s="1"/>
  <c r="L347" i="5"/>
  <c r="M347" i="5" s="1"/>
  <c r="N347" i="5" s="1"/>
  <c r="L348" i="5"/>
  <c r="M348" i="5" s="1"/>
  <c r="L349" i="5"/>
  <c r="M349" i="5" s="1"/>
  <c r="L350" i="5"/>
  <c r="M350" i="5" s="1"/>
  <c r="N350" i="5" s="1"/>
  <c r="L351" i="5"/>
  <c r="M351" i="5" s="1"/>
  <c r="L352" i="5"/>
  <c r="M352" i="5" s="1"/>
  <c r="N352" i="5" s="1"/>
  <c r="L353" i="5"/>
  <c r="M353" i="5" s="1"/>
  <c r="N353" i="5" s="1"/>
  <c r="L354" i="5"/>
  <c r="M354" i="5" s="1"/>
  <c r="N354" i="5" s="1"/>
  <c r="L355" i="5"/>
  <c r="M355" i="5" s="1"/>
  <c r="L356" i="5"/>
  <c r="M356" i="5" s="1"/>
  <c r="N356" i="5" s="1"/>
  <c r="L357" i="5"/>
  <c r="M357" i="5" s="1"/>
  <c r="L358" i="5"/>
  <c r="M358" i="5" s="1"/>
  <c r="N358" i="5" s="1"/>
  <c r="L359" i="5"/>
  <c r="M359" i="5" s="1"/>
  <c r="L360" i="5"/>
  <c r="M360" i="5" s="1"/>
  <c r="L361" i="5"/>
  <c r="M361" i="5" s="1"/>
  <c r="N361" i="5" s="1"/>
  <c r="L362" i="5"/>
  <c r="M362" i="5" s="1"/>
  <c r="N362" i="5" s="1"/>
  <c r="L363" i="5"/>
  <c r="M363" i="5" s="1"/>
  <c r="N363" i="5" s="1"/>
  <c r="L364" i="5"/>
  <c r="M364" i="5" s="1"/>
  <c r="L365" i="5"/>
  <c r="M365" i="5" s="1"/>
  <c r="L366" i="5"/>
  <c r="M366" i="5" s="1"/>
  <c r="N366" i="5" s="1"/>
  <c r="L367" i="5"/>
  <c r="M367" i="5" s="1"/>
  <c r="L368" i="5"/>
  <c r="M368" i="5" s="1"/>
  <c r="L369" i="5"/>
  <c r="M369" i="5" s="1"/>
  <c r="N369" i="5" s="1"/>
  <c r="L370" i="5"/>
  <c r="M370" i="5" s="1"/>
  <c r="N370" i="5" s="1"/>
  <c r="L371" i="5"/>
  <c r="M371" i="5" s="1"/>
  <c r="N371" i="5" s="1"/>
  <c r="L372" i="5"/>
  <c r="M372" i="5" s="1"/>
  <c r="N372" i="5" s="1"/>
  <c r="L373" i="5"/>
  <c r="M373" i="5" s="1"/>
  <c r="N373" i="5" s="1"/>
  <c r="L374" i="5"/>
  <c r="M374" i="5" s="1"/>
  <c r="L375" i="5"/>
  <c r="M375" i="5" s="1"/>
  <c r="N375" i="5" s="1"/>
  <c r="L376" i="5"/>
  <c r="M376" i="5" s="1"/>
  <c r="L377" i="5"/>
  <c r="M377" i="5" s="1"/>
  <c r="L378" i="5"/>
  <c r="M378" i="5" s="1"/>
  <c r="L379" i="5"/>
  <c r="M379" i="5" s="1"/>
  <c r="N379" i="5" s="1"/>
  <c r="L380" i="5"/>
  <c r="M380" i="5" s="1"/>
  <c r="L381" i="5"/>
  <c r="M381" i="5" s="1"/>
  <c r="N381" i="5" s="1"/>
  <c r="L382" i="5"/>
  <c r="M382" i="5" s="1"/>
  <c r="L383" i="5"/>
  <c r="M383" i="5" s="1"/>
  <c r="L384" i="5"/>
  <c r="M384" i="5" s="1"/>
  <c r="N384" i="5" s="1"/>
  <c r="L385" i="5"/>
  <c r="M385" i="5" s="1"/>
  <c r="L386" i="5"/>
  <c r="M386" i="5" s="1"/>
  <c r="L387" i="5"/>
  <c r="M387" i="5" s="1"/>
  <c r="N387" i="5" s="1"/>
  <c r="L388" i="5"/>
  <c r="M388" i="5" s="1"/>
  <c r="L389" i="5"/>
  <c r="M389" i="5" s="1"/>
  <c r="N389" i="5" s="1"/>
  <c r="L390" i="5"/>
  <c r="M390" i="5" s="1"/>
  <c r="L391" i="5"/>
  <c r="M391" i="5" s="1"/>
  <c r="L392" i="5"/>
  <c r="M392" i="5" s="1"/>
  <c r="N392" i="5" s="1"/>
  <c r="L393" i="5"/>
  <c r="M393" i="5" s="1"/>
  <c r="N393" i="5" s="1"/>
  <c r="L394" i="5"/>
  <c r="M394" i="5" s="1"/>
  <c r="L395" i="5"/>
  <c r="M395" i="5" s="1"/>
  <c r="N395" i="5" s="1"/>
  <c r="L396" i="5"/>
  <c r="M396" i="5" s="1"/>
  <c r="N396" i="5" s="1"/>
  <c r="L397" i="5"/>
  <c r="M397" i="5" s="1"/>
  <c r="N397" i="5" s="1"/>
  <c r="L398" i="5"/>
  <c r="M398" i="5" s="1"/>
  <c r="L399" i="5"/>
  <c r="M399" i="5" s="1"/>
  <c r="N399" i="5" s="1"/>
  <c r="L400" i="5"/>
  <c r="M400" i="5" s="1"/>
  <c r="N400" i="5" s="1"/>
  <c r="L401" i="5"/>
  <c r="M401" i="5" s="1"/>
  <c r="N401" i="5" s="1"/>
  <c r="L402" i="5"/>
  <c r="M402" i="5" s="1"/>
  <c r="L403" i="5"/>
  <c r="M403" i="5" s="1"/>
  <c r="L404" i="5"/>
  <c r="M404" i="5" s="1"/>
  <c r="N404" i="5" s="1"/>
  <c r="L405" i="5"/>
  <c r="M405" i="5" s="1"/>
  <c r="L406" i="5"/>
  <c r="M406" i="5" s="1"/>
  <c r="L407" i="5"/>
  <c r="M407" i="5" s="1"/>
  <c r="L408" i="5"/>
  <c r="M408" i="5" s="1"/>
  <c r="N408" i="5" s="1"/>
  <c r="L409" i="5"/>
  <c r="M409" i="5" s="1"/>
  <c r="N409" i="5" s="1"/>
  <c r="L410" i="5"/>
  <c r="M410" i="5" s="1"/>
  <c r="L411" i="5"/>
  <c r="M411" i="5" s="1"/>
  <c r="L412" i="5"/>
  <c r="M412" i="5" s="1"/>
  <c r="N412" i="5" s="1"/>
  <c r="L413" i="5"/>
  <c r="M413" i="5" s="1"/>
  <c r="N413" i="5" s="1"/>
  <c r="L414" i="5"/>
  <c r="M414" i="5" s="1"/>
  <c r="L415" i="5"/>
  <c r="M415" i="5" s="1"/>
  <c r="L416" i="5"/>
  <c r="M416" i="5" s="1"/>
  <c r="L417" i="5"/>
  <c r="M417" i="5" s="1"/>
  <c r="L418" i="5"/>
  <c r="M418" i="5" s="1"/>
  <c r="L419" i="5"/>
  <c r="M419" i="5" s="1"/>
  <c r="N419" i="5" s="1"/>
  <c r="L420" i="5"/>
  <c r="M420" i="5" s="1"/>
  <c r="L421" i="5"/>
  <c r="M421" i="5" s="1"/>
  <c r="L422" i="5"/>
  <c r="M422" i="5" s="1"/>
  <c r="N422" i="5" s="1"/>
  <c r="L423" i="5"/>
  <c r="M423" i="5" s="1"/>
  <c r="L424" i="5"/>
  <c r="M424" i="5" s="1"/>
  <c r="L425" i="5"/>
  <c r="M425" i="5" s="1"/>
  <c r="N425" i="5" s="1"/>
  <c r="L426" i="5"/>
  <c r="M426" i="5" s="1"/>
  <c r="M2" i="5"/>
  <c r="S9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7" i="5"/>
  <c r="P178" i="5"/>
  <c r="P179" i="5"/>
  <c r="P180" i="5"/>
  <c r="P182" i="5"/>
  <c r="P189" i="5"/>
  <c r="P193" i="5"/>
  <c r="P194" i="5"/>
  <c r="P199" i="5"/>
  <c r="P202" i="5"/>
  <c r="P204" i="5"/>
  <c r="P206" i="5"/>
  <c r="P208" i="5"/>
  <c r="P213" i="5"/>
  <c r="P218" i="5"/>
  <c r="P221" i="5"/>
  <c r="P222" i="5"/>
  <c r="P225" i="5"/>
  <c r="P226" i="5"/>
  <c r="P229" i="5"/>
  <c r="P238" i="5"/>
  <c r="P250" i="5"/>
  <c r="P251" i="5"/>
  <c r="P256" i="5"/>
  <c r="P257" i="5"/>
  <c r="P258" i="5"/>
  <c r="P259" i="5"/>
  <c r="P261" i="5"/>
  <c r="P267" i="5"/>
  <c r="P271" i="5"/>
  <c r="P272" i="5"/>
  <c r="P273" i="5"/>
  <c r="P274" i="5"/>
  <c r="P280" i="5"/>
  <c r="P284" i="5"/>
  <c r="P291" i="5"/>
  <c r="P300" i="5"/>
  <c r="P303" i="5"/>
  <c r="P307" i="5"/>
  <c r="P310" i="5"/>
  <c r="P316" i="5"/>
  <c r="P320" i="5"/>
  <c r="P322" i="5"/>
  <c r="P324" i="5"/>
  <c r="P325" i="5"/>
  <c r="P326" i="5"/>
  <c r="P327" i="5"/>
  <c r="P329" i="5"/>
  <c r="P331" i="5"/>
  <c r="P333" i="5"/>
  <c r="P335" i="5"/>
  <c r="P336" i="5"/>
  <c r="P341" i="5"/>
  <c r="P342" i="5"/>
  <c r="P345" i="5"/>
  <c r="P347" i="5"/>
  <c r="P350" i="5"/>
  <c r="P352" i="5"/>
  <c r="P353" i="5"/>
  <c r="P354" i="5"/>
  <c r="P356" i="5"/>
  <c r="P358" i="5"/>
  <c r="P361" i="5"/>
  <c r="P362" i="5"/>
  <c r="P363" i="5"/>
  <c r="P366" i="5"/>
  <c r="P369" i="5"/>
  <c r="P370" i="5"/>
  <c r="P371" i="5"/>
  <c r="P372" i="5"/>
  <c r="P373" i="5"/>
  <c r="P375" i="5"/>
  <c r="P379" i="5"/>
  <c r="P381" i="5"/>
  <c r="P384" i="5"/>
  <c r="P387" i="5"/>
  <c r="P389" i="5"/>
  <c r="P392" i="5"/>
  <c r="P393" i="5"/>
  <c r="P395" i="5"/>
  <c r="P396" i="5"/>
  <c r="P397" i="5"/>
  <c r="P399" i="5"/>
  <c r="P400" i="5"/>
  <c r="P401" i="5"/>
  <c r="P404" i="5"/>
  <c r="P408" i="5"/>
  <c r="P409" i="5"/>
  <c r="P412" i="5"/>
  <c r="P413" i="5"/>
  <c r="P419" i="5"/>
  <c r="P422" i="5"/>
  <c r="P425" i="5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M3" i="5"/>
  <c r="N3" i="5" s="1"/>
  <c r="M4" i="5"/>
  <c r="N4" i="5" s="1"/>
  <c r="M5" i="5"/>
  <c r="N5" i="5" s="1"/>
  <c r="M6" i="5"/>
  <c r="N6" i="5" s="1"/>
  <c r="M7" i="5"/>
  <c r="N7" i="5" s="1"/>
  <c r="M8" i="5"/>
  <c r="N8" i="5" s="1"/>
  <c r="M9" i="5"/>
  <c r="N9" i="5" s="1"/>
  <c r="M10" i="5"/>
  <c r="N10" i="5" s="1"/>
  <c r="M11" i="5"/>
  <c r="N11" i="5" s="1"/>
  <c r="M12" i="5"/>
  <c r="N12" i="5" s="1"/>
  <c r="M13" i="5"/>
  <c r="N13" i="5" s="1"/>
  <c r="M14" i="5"/>
  <c r="N14" i="5" s="1"/>
  <c r="M15" i="5"/>
  <c r="N15" i="5" s="1"/>
  <c r="M16" i="5"/>
  <c r="N16" i="5" s="1"/>
  <c r="M17" i="5"/>
  <c r="N17" i="5" s="1"/>
  <c r="M18" i="5"/>
  <c r="N18" i="5" s="1"/>
  <c r="M19" i="5"/>
  <c r="N19" i="5" s="1"/>
  <c r="M20" i="5"/>
  <c r="N20" i="5" s="1"/>
  <c r="M21" i="5"/>
  <c r="N21" i="5" s="1"/>
  <c r="M22" i="5"/>
  <c r="N22" i="5" s="1"/>
  <c r="M23" i="5"/>
  <c r="N23" i="5" s="1"/>
  <c r="M24" i="5"/>
  <c r="N24" i="5" s="1"/>
  <c r="M25" i="5"/>
  <c r="N25" i="5" s="1"/>
  <c r="M26" i="5"/>
  <c r="N26" i="5" s="1"/>
  <c r="M27" i="5"/>
  <c r="N27" i="5" s="1"/>
  <c r="M28" i="5"/>
  <c r="N28" i="5" s="1"/>
  <c r="M29" i="5"/>
  <c r="N29" i="5" s="1"/>
  <c r="M30" i="5"/>
  <c r="N30" i="5" s="1"/>
  <c r="M31" i="5"/>
  <c r="N31" i="5" s="1"/>
  <c r="M32" i="5"/>
  <c r="N32" i="5" s="1"/>
  <c r="M33" i="5"/>
  <c r="N33" i="5" s="1"/>
  <c r="M34" i="5"/>
  <c r="N34" i="5" s="1"/>
  <c r="M35" i="5"/>
  <c r="N35" i="5" s="1"/>
  <c r="M36" i="5"/>
  <c r="N36" i="5" s="1"/>
  <c r="M37" i="5"/>
  <c r="N37" i="5" s="1"/>
  <c r="M38" i="5"/>
  <c r="N38" i="5" s="1"/>
  <c r="M39" i="5"/>
  <c r="N39" i="5" s="1"/>
  <c r="M40" i="5"/>
  <c r="N40" i="5" s="1"/>
  <c r="M42" i="5"/>
  <c r="N42" i="5" s="1"/>
  <c r="M43" i="5"/>
  <c r="N43" i="5" s="1"/>
  <c r="M44" i="5"/>
  <c r="N44" i="5" s="1"/>
  <c r="M45" i="5"/>
  <c r="N45" i="5" s="1"/>
  <c r="M46" i="5"/>
  <c r="N46" i="5" s="1"/>
  <c r="M47" i="5"/>
  <c r="N47" i="5" s="1"/>
  <c r="M48" i="5"/>
  <c r="N48" i="5" s="1"/>
  <c r="M49" i="5"/>
  <c r="N49" i="5" s="1"/>
  <c r="M50" i="5"/>
  <c r="N50" i="5" s="1"/>
  <c r="M51" i="5"/>
  <c r="N51" i="5" s="1"/>
  <c r="M52" i="5"/>
  <c r="N52" i="5" s="1"/>
  <c r="M53" i="5"/>
  <c r="N53" i="5" s="1"/>
  <c r="M54" i="5"/>
  <c r="N54" i="5" s="1"/>
  <c r="M55" i="5"/>
  <c r="N55" i="5" s="1"/>
  <c r="M56" i="5"/>
  <c r="N56" i="5" s="1"/>
  <c r="M57" i="5"/>
  <c r="N57" i="5" s="1"/>
  <c r="M58" i="5"/>
  <c r="N58" i="5" s="1"/>
  <c r="M59" i="5"/>
  <c r="N59" i="5" s="1"/>
  <c r="M60" i="5"/>
  <c r="N60" i="5" s="1"/>
  <c r="M61" i="5"/>
  <c r="N61" i="5" s="1"/>
  <c r="M62" i="5"/>
  <c r="N62" i="5" s="1"/>
  <c r="M63" i="5"/>
  <c r="N63" i="5" s="1"/>
  <c r="M64" i="5"/>
  <c r="N64" i="5" s="1"/>
  <c r="M65" i="5"/>
  <c r="N65" i="5" s="1"/>
  <c r="M66" i="5"/>
  <c r="N66" i="5" s="1"/>
  <c r="M67" i="5"/>
  <c r="N67" i="5" s="1"/>
  <c r="M68" i="5"/>
  <c r="N68" i="5" s="1"/>
  <c r="M69" i="5"/>
  <c r="N69" i="5" s="1"/>
  <c r="M70" i="5"/>
  <c r="N70" i="5" s="1"/>
  <c r="M71" i="5"/>
  <c r="N71" i="5" s="1"/>
  <c r="M72" i="5"/>
  <c r="N72" i="5" s="1"/>
  <c r="M73" i="5"/>
  <c r="N73" i="5" s="1"/>
  <c r="M74" i="5"/>
  <c r="N74" i="5" s="1"/>
  <c r="M75" i="5"/>
  <c r="N75" i="5" s="1"/>
  <c r="M76" i="5"/>
  <c r="N76" i="5" s="1"/>
  <c r="M77" i="5"/>
  <c r="N77" i="5" s="1"/>
  <c r="M78" i="5"/>
  <c r="N78" i="5" s="1"/>
  <c r="M79" i="5"/>
  <c r="N79" i="5" s="1"/>
  <c r="M80" i="5"/>
  <c r="N80" i="5" s="1"/>
  <c r="M81" i="5"/>
  <c r="N81" i="5" s="1"/>
  <c r="M82" i="5"/>
  <c r="N82" i="5" s="1"/>
  <c r="M83" i="5"/>
  <c r="N83" i="5" s="1"/>
  <c r="M84" i="5"/>
  <c r="N84" i="5" s="1"/>
  <c r="M85" i="5"/>
  <c r="N85" i="5" s="1"/>
  <c r="M86" i="5"/>
  <c r="N86" i="5" s="1"/>
  <c r="M87" i="5"/>
  <c r="N87" i="5" s="1"/>
  <c r="M88" i="5"/>
  <c r="N88" i="5" s="1"/>
  <c r="M89" i="5"/>
  <c r="N89" i="5" s="1"/>
  <c r="M90" i="5"/>
  <c r="N90" i="5" s="1"/>
  <c r="M91" i="5"/>
  <c r="N91" i="5" s="1"/>
  <c r="M92" i="5"/>
  <c r="N92" i="5" s="1"/>
  <c r="M93" i="5"/>
  <c r="N93" i="5" s="1"/>
  <c r="M94" i="5"/>
  <c r="N94" i="5" s="1"/>
  <c r="M95" i="5"/>
  <c r="N95" i="5" s="1"/>
  <c r="M96" i="5"/>
  <c r="N96" i="5" s="1"/>
  <c r="M97" i="5"/>
  <c r="N97" i="5" s="1"/>
  <c r="M98" i="5"/>
  <c r="N98" i="5" s="1"/>
  <c r="M99" i="5"/>
  <c r="N99" i="5" s="1"/>
  <c r="M100" i="5"/>
  <c r="N100" i="5" s="1"/>
  <c r="M101" i="5"/>
  <c r="N101" i="5" s="1"/>
  <c r="M102" i="5"/>
  <c r="N102" i="5" s="1"/>
  <c r="M103" i="5"/>
  <c r="N103" i="5" s="1"/>
  <c r="M104" i="5"/>
  <c r="N104" i="5" s="1"/>
  <c r="M105" i="5"/>
  <c r="N105" i="5" s="1"/>
  <c r="M106" i="5"/>
  <c r="N106" i="5" s="1"/>
  <c r="M107" i="5"/>
  <c r="N107" i="5" s="1"/>
  <c r="M108" i="5"/>
  <c r="N108" i="5" s="1"/>
  <c r="M109" i="5"/>
  <c r="N109" i="5" s="1"/>
  <c r="M110" i="5"/>
  <c r="N110" i="5" s="1"/>
  <c r="M111" i="5"/>
  <c r="N111" i="5" s="1"/>
  <c r="M112" i="5"/>
  <c r="N112" i="5" s="1"/>
  <c r="M113" i="5"/>
  <c r="N113" i="5" s="1"/>
  <c r="M114" i="5"/>
  <c r="N114" i="5" s="1"/>
  <c r="M115" i="5"/>
  <c r="N115" i="5" s="1"/>
  <c r="M116" i="5"/>
  <c r="N116" i="5" s="1"/>
  <c r="M117" i="5"/>
  <c r="N117" i="5" s="1"/>
  <c r="M118" i="5"/>
  <c r="N118" i="5" s="1"/>
  <c r="M119" i="5"/>
  <c r="N119" i="5" s="1"/>
  <c r="M120" i="5"/>
  <c r="N120" i="5" s="1"/>
  <c r="M121" i="5"/>
  <c r="N121" i="5" s="1"/>
  <c r="M122" i="5"/>
  <c r="N122" i="5" s="1"/>
  <c r="M123" i="5"/>
  <c r="N123" i="5" s="1"/>
  <c r="M124" i="5"/>
  <c r="N124" i="5" s="1"/>
  <c r="M125" i="5"/>
  <c r="N125" i="5" s="1"/>
  <c r="M126" i="5"/>
  <c r="N126" i="5" s="1"/>
  <c r="M127" i="5"/>
  <c r="N127" i="5" s="1"/>
  <c r="M128" i="5"/>
  <c r="N128" i="5" s="1"/>
  <c r="M129" i="5"/>
  <c r="N129" i="5" s="1"/>
  <c r="M130" i="5"/>
  <c r="N130" i="5" s="1"/>
  <c r="M131" i="5"/>
  <c r="N131" i="5" s="1"/>
  <c r="M132" i="5"/>
  <c r="N132" i="5" s="1"/>
  <c r="M133" i="5"/>
  <c r="N133" i="5" s="1"/>
  <c r="M134" i="5"/>
  <c r="N134" i="5" s="1"/>
  <c r="M135" i="5"/>
  <c r="N135" i="5" s="1"/>
  <c r="M136" i="5"/>
  <c r="N136" i="5" s="1"/>
  <c r="M137" i="5"/>
  <c r="N137" i="5" s="1"/>
  <c r="M138" i="5"/>
  <c r="N138" i="5" s="1"/>
  <c r="M139" i="5"/>
  <c r="N139" i="5" s="1"/>
  <c r="M140" i="5"/>
  <c r="N140" i="5" s="1"/>
  <c r="M141" i="5"/>
  <c r="N141" i="5" s="1"/>
  <c r="M142" i="5"/>
  <c r="N142" i="5" s="1"/>
  <c r="M143" i="5"/>
  <c r="N143" i="5" s="1"/>
  <c r="M144" i="5"/>
  <c r="N144" i="5" s="1"/>
  <c r="M145" i="5"/>
  <c r="N145" i="5" s="1"/>
  <c r="M146" i="5"/>
  <c r="N146" i="5" s="1"/>
  <c r="M147" i="5"/>
  <c r="N147" i="5" s="1"/>
  <c r="M148" i="5"/>
  <c r="N148" i="5" s="1"/>
  <c r="M149" i="5"/>
  <c r="N149" i="5" s="1"/>
  <c r="M150" i="5"/>
  <c r="N150" i="5" s="1"/>
  <c r="M151" i="5"/>
  <c r="N151" i="5" s="1"/>
  <c r="M152" i="5"/>
  <c r="N152" i="5" s="1"/>
  <c r="M153" i="5"/>
  <c r="N153" i="5" s="1"/>
  <c r="M154" i="5"/>
  <c r="N154" i="5" s="1"/>
  <c r="M155" i="5"/>
  <c r="N155" i="5" s="1"/>
  <c r="M156" i="5"/>
  <c r="N156" i="5" s="1"/>
  <c r="M157" i="5"/>
  <c r="N157" i="5" s="1"/>
  <c r="M158" i="5"/>
  <c r="N158" i="5" s="1"/>
  <c r="M159" i="5"/>
  <c r="N159" i="5" s="1"/>
  <c r="M160" i="5"/>
  <c r="N160" i="5" s="1"/>
  <c r="M161" i="5"/>
  <c r="N161" i="5" s="1"/>
  <c r="M162" i="5"/>
  <c r="N162" i="5" s="1"/>
  <c r="M163" i="5"/>
  <c r="N163" i="5" s="1"/>
  <c r="M164" i="5"/>
  <c r="N164" i="5" s="1"/>
  <c r="M165" i="5"/>
  <c r="N165" i="5" s="1"/>
  <c r="M166" i="5"/>
  <c r="N166" i="5" s="1"/>
  <c r="M167" i="5"/>
  <c r="N167" i="5" s="1"/>
  <c r="M168" i="5"/>
  <c r="N168" i="5" s="1"/>
  <c r="N362" i="4"/>
  <c r="N363" i="4"/>
  <c r="N366" i="4"/>
  <c r="N369" i="4"/>
  <c r="N370" i="4"/>
  <c r="N371" i="4"/>
  <c r="N372" i="4"/>
  <c r="N373" i="4"/>
  <c r="N375" i="4"/>
  <c r="N379" i="4"/>
  <c r="N381" i="4"/>
  <c r="N384" i="4"/>
  <c r="N387" i="4"/>
  <c r="N389" i="4"/>
  <c r="N392" i="4"/>
  <c r="N393" i="4"/>
  <c r="N395" i="4"/>
  <c r="N396" i="4"/>
  <c r="N397" i="4"/>
  <c r="N399" i="4"/>
  <c r="N400" i="4"/>
  <c r="N401" i="4"/>
  <c r="N404" i="4"/>
  <c r="N408" i="4"/>
  <c r="N409" i="4"/>
  <c r="N412" i="4"/>
  <c r="N413" i="4"/>
  <c r="N419" i="4"/>
  <c r="N422" i="4"/>
  <c r="N425" i="4"/>
  <c r="Q7" i="4"/>
  <c r="Q6" i="4"/>
  <c r="Q5" i="4"/>
  <c r="Q4" i="4"/>
  <c r="Q3" i="4"/>
  <c r="Q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4" i="4"/>
  <c r="N365" i="4"/>
  <c r="N367" i="4"/>
  <c r="N368" i="4"/>
  <c r="N374" i="4"/>
  <c r="N376" i="4"/>
  <c r="N377" i="4"/>
  <c r="N378" i="4"/>
  <c r="N380" i="4"/>
  <c r="N382" i="4"/>
  <c r="N383" i="4"/>
  <c r="N385" i="4"/>
  <c r="N386" i="4"/>
  <c r="N388" i="4"/>
  <c r="N390" i="4"/>
  <c r="N391" i="4"/>
  <c r="N394" i="4"/>
  <c r="N398" i="4"/>
  <c r="N402" i="4"/>
  <c r="N403" i="4"/>
  <c r="N405" i="4"/>
  <c r="N406" i="4"/>
  <c r="N407" i="4"/>
  <c r="N410" i="4"/>
  <c r="N411" i="4"/>
  <c r="N414" i="4"/>
  <c r="N415" i="4"/>
  <c r="N416" i="4"/>
  <c r="N417" i="4"/>
  <c r="N418" i="4"/>
  <c r="N420" i="4"/>
  <c r="N421" i="4"/>
  <c r="N423" i="4"/>
  <c r="N424" i="4"/>
  <c r="N426" i="4"/>
  <c r="N2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L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N9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K501" i="3" s="1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2" i="3"/>
  <c r="K307" i="3"/>
  <c r="K310" i="3"/>
  <c r="K313" i="3"/>
  <c r="K324" i="3"/>
  <c r="K347" i="3"/>
  <c r="K375" i="3"/>
  <c r="K377" i="3"/>
  <c r="K400" i="3"/>
  <c r="K403" i="3"/>
  <c r="K406" i="3"/>
  <c r="K411" i="3"/>
  <c r="K415" i="3"/>
  <c r="K442" i="3"/>
  <c r="K474" i="3"/>
  <c r="K485" i="3"/>
  <c r="K495" i="3"/>
  <c r="K504" i="3"/>
  <c r="K517" i="3"/>
  <c r="K529" i="3"/>
  <c r="K538" i="3"/>
  <c r="K559" i="3"/>
  <c r="K576" i="3"/>
  <c r="K638" i="3"/>
  <c r="K642" i="3"/>
  <c r="K645" i="3"/>
  <c r="K674" i="3"/>
  <c r="K718" i="3"/>
  <c r="K719" i="3"/>
  <c r="K721" i="3"/>
  <c r="K743" i="3"/>
  <c r="K750" i="3"/>
  <c r="K757" i="3"/>
  <c r="K763" i="3"/>
  <c r="K767" i="3"/>
  <c r="K768" i="3"/>
  <c r="K778" i="3"/>
  <c r="K787" i="3"/>
  <c r="K825" i="3"/>
  <c r="K835" i="3"/>
  <c r="K873" i="3"/>
  <c r="K894" i="3"/>
  <c r="K925" i="3"/>
  <c r="K926" i="3"/>
  <c r="K933" i="3"/>
  <c r="K942" i="3"/>
  <c r="K958" i="3"/>
  <c r="K961" i="3"/>
  <c r="K994" i="3"/>
  <c r="K1043" i="3"/>
  <c r="K1046" i="3"/>
  <c r="K1053" i="3"/>
  <c r="K1067" i="3"/>
  <c r="K1077" i="3"/>
  <c r="K1090" i="3"/>
  <c r="K1102" i="3"/>
  <c r="K1151" i="3"/>
  <c r="K1168" i="3"/>
  <c r="K1191" i="3"/>
  <c r="K1209" i="3"/>
  <c r="K1228" i="3"/>
  <c r="K1233" i="3"/>
  <c r="K1243" i="3"/>
  <c r="K1261" i="3"/>
  <c r="K1278" i="3"/>
  <c r="K128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2" i="3"/>
  <c r="Q8" i="2"/>
  <c r="Q6" i="2"/>
  <c r="Q4" i="2"/>
  <c r="Q2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N14" i="2"/>
  <c r="N160" i="2"/>
  <c r="N222" i="2"/>
  <c r="N240" i="2"/>
  <c r="N241" i="2"/>
  <c r="N267" i="2"/>
  <c r="J17" i="2"/>
  <c r="J18" i="2"/>
  <c r="J19" i="2"/>
  <c r="J20" i="2"/>
  <c r="J21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M79" i="2" s="1"/>
  <c r="I80" i="2"/>
  <c r="M80" i="2" s="1"/>
  <c r="I81" i="2"/>
  <c r="M81" i="2" s="1"/>
  <c r="I82" i="2"/>
  <c r="M82" i="2" s="1"/>
  <c r="I83" i="2"/>
  <c r="M83" i="2" s="1"/>
  <c r="I84" i="2"/>
  <c r="M84" i="2" s="1"/>
  <c r="I85" i="2"/>
  <c r="M85" i="2" s="1"/>
  <c r="I86" i="2"/>
  <c r="M86" i="2" s="1"/>
  <c r="I87" i="2"/>
  <c r="M87" i="2" s="1"/>
  <c r="I88" i="2"/>
  <c r="M88" i="2" s="1"/>
  <c r="I89" i="2"/>
  <c r="M89" i="2" s="1"/>
  <c r="I90" i="2"/>
  <c r="M90" i="2" s="1"/>
  <c r="I91" i="2"/>
  <c r="M91" i="2" s="1"/>
  <c r="I92" i="2"/>
  <c r="M92" i="2" s="1"/>
  <c r="I93" i="2"/>
  <c r="M93" i="2" s="1"/>
  <c r="I94" i="2"/>
  <c r="M94" i="2" s="1"/>
  <c r="I95" i="2"/>
  <c r="M95" i="2" s="1"/>
  <c r="I96" i="2"/>
  <c r="M96" i="2" s="1"/>
  <c r="I97" i="2"/>
  <c r="M97" i="2" s="1"/>
  <c r="I98" i="2"/>
  <c r="M98" i="2" s="1"/>
  <c r="I99" i="2"/>
  <c r="M99" i="2" s="1"/>
  <c r="I100" i="2"/>
  <c r="M100" i="2" s="1"/>
  <c r="I101" i="2"/>
  <c r="M101" i="2" s="1"/>
  <c r="I102" i="2"/>
  <c r="M102" i="2" s="1"/>
  <c r="I103" i="2"/>
  <c r="M103" i="2" s="1"/>
  <c r="I104" i="2"/>
  <c r="M104" i="2" s="1"/>
  <c r="I105" i="2"/>
  <c r="M105" i="2" s="1"/>
  <c r="I106" i="2"/>
  <c r="M106" i="2" s="1"/>
  <c r="I107" i="2"/>
  <c r="M107" i="2" s="1"/>
  <c r="I108" i="2"/>
  <c r="M108" i="2" s="1"/>
  <c r="I109" i="2"/>
  <c r="M109" i="2" s="1"/>
  <c r="I110" i="2"/>
  <c r="M110" i="2" s="1"/>
  <c r="I111" i="2"/>
  <c r="M111" i="2" s="1"/>
  <c r="I112" i="2"/>
  <c r="M112" i="2" s="1"/>
  <c r="I113" i="2"/>
  <c r="M113" i="2" s="1"/>
  <c r="I114" i="2"/>
  <c r="M114" i="2" s="1"/>
  <c r="I115" i="2"/>
  <c r="M115" i="2" s="1"/>
  <c r="I116" i="2"/>
  <c r="M116" i="2" s="1"/>
  <c r="I117" i="2"/>
  <c r="M117" i="2" s="1"/>
  <c r="I118" i="2"/>
  <c r="M118" i="2" s="1"/>
  <c r="I119" i="2"/>
  <c r="M119" i="2" s="1"/>
  <c r="I120" i="2"/>
  <c r="M120" i="2" s="1"/>
  <c r="I121" i="2"/>
  <c r="M121" i="2" s="1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M270" i="2" s="1"/>
  <c r="I271" i="2"/>
  <c r="M271" i="2" s="1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M294" i="2" s="1"/>
  <c r="I295" i="2"/>
  <c r="M295" i="2" s="1"/>
  <c r="I296" i="2"/>
  <c r="M296" i="2" s="1"/>
  <c r="I297" i="2"/>
  <c r="M297" i="2" s="1"/>
  <c r="I298" i="2"/>
  <c r="M298" i="2" s="1"/>
  <c r="I299" i="2"/>
  <c r="M299" i="2" s="1"/>
  <c r="I300" i="2"/>
  <c r="M300" i="2" s="1"/>
  <c r="I301" i="2"/>
  <c r="M301" i="2" s="1"/>
  <c r="I302" i="2"/>
  <c r="M302" i="2" s="1"/>
  <c r="I303" i="2"/>
  <c r="M303" i="2" s="1"/>
  <c r="I304" i="2"/>
  <c r="M304" i="2" s="1"/>
  <c r="I305" i="2"/>
  <c r="M305" i="2" s="1"/>
  <c r="I306" i="2"/>
  <c r="M306" i="2" s="1"/>
  <c r="I307" i="2"/>
  <c r="M307" i="2" s="1"/>
  <c r="I308" i="2"/>
  <c r="M308" i="2" s="1"/>
  <c r="I309" i="2"/>
  <c r="M309" i="2" s="1"/>
  <c r="I310" i="2"/>
  <c r="M310" i="2" s="1"/>
  <c r="I311" i="2"/>
  <c r="M311" i="2" s="1"/>
  <c r="I312" i="2"/>
  <c r="M312" i="2" s="1"/>
  <c r="I313" i="2"/>
  <c r="M313" i="2" s="1"/>
  <c r="I314" i="2"/>
  <c r="M314" i="2" s="1"/>
  <c r="I315" i="2"/>
  <c r="M315" i="2" s="1"/>
  <c r="I316" i="2"/>
  <c r="M316" i="2" s="1"/>
  <c r="I317" i="2"/>
  <c r="M317" i="2" s="1"/>
  <c r="I318" i="2"/>
  <c r="M318" i="2" s="1"/>
  <c r="I319" i="2"/>
  <c r="M319" i="2" s="1"/>
  <c r="I320" i="2"/>
  <c r="M320" i="2" s="1"/>
  <c r="I321" i="2"/>
  <c r="M321" i="2" s="1"/>
  <c r="I322" i="2"/>
  <c r="M322" i="2" s="1"/>
  <c r="I323" i="2"/>
  <c r="M323" i="2" s="1"/>
  <c r="I324" i="2"/>
  <c r="M324" i="2" s="1"/>
  <c r="I325" i="2"/>
  <c r="M325" i="2" s="1"/>
  <c r="I326" i="2"/>
  <c r="M326" i="2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L17" i="2" s="1"/>
  <c r="H18" i="2"/>
  <c r="L18" i="2" s="1"/>
  <c r="H19" i="2"/>
  <c r="L19" i="2" s="1"/>
  <c r="H20" i="2"/>
  <c r="L20" i="2" s="1"/>
  <c r="H21" i="2"/>
  <c r="L21" i="2" s="1"/>
  <c r="H22" i="2"/>
  <c r="H23" i="2"/>
  <c r="L23" i="2" s="1"/>
  <c r="H24" i="2"/>
  <c r="L24" i="2" s="1"/>
  <c r="H25" i="2"/>
  <c r="L25" i="2" s="1"/>
  <c r="H26" i="2"/>
  <c r="L26" i="2" s="1"/>
  <c r="H27" i="2"/>
  <c r="L27" i="2" s="1"/>
  <c r="H28" i="2"/>
  <c r="L28" i="2" s="1"/>
  <c r="H29" i="2"/>
  <c r="L29" i="2" s="1"/>
  <c r="H30" i="2"/>
  <c r="L30" i="2" s="1"/>
  <c r="H31" i="2"/>
  <c r="L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N170" i="5" l="1"/>
  <c r="P170" i="5"/>
  <c r="N171" i="5"/>
  <c r="P171" i="5"/>
  <c r="N172" i="5"/>
  <c r="P172" i="5"/>
  <c r="N173" i="5"/>
  <c r="P173" i="5"/>
  <c r="N174" i="5"/>
  <c r="P174" i="5"/>
  <c r="N175" i="5"/>
  <c r="P175" i="5"/>
  <c r="P176" i="5"/>
  <c r="N176" i="5"/>
  <c r="N181" i="5"/>
  <c r="P181" i="5"/>
  <c r="N183" i="5"/>
  <c r="P183" i="5"/>
  <c r="N184" i="5"/>
  <c r="P184" i="5"/>
  <c r="N185" i="5"/>
  <c r="P185" i="5"/>
  <c r="P186" i="5"/>
  <c r="N186" i="5"/>
  <c r="N187" i="5"/>
  <c r="P187" i="5"/>
  <c r="N188" i="5"/>
  <c r="P188" i="5"/>
  <c r="N190" i="5"/>
  <c r="P190" i="5"/>
  <c r="N191" i="5"/>
  <c r="P191" i="5"/>
  <c r="N192" i="5"/>
  <c r="P192" i="5"/>
  <c r="N195" i="5"/>
  <c r="P195" i="5"/>
  <c r="P196" i="5"/>
  <c r="N196" i="5"/>
  <c r="N197" i="5"/>
  <c r="P197" i="5"/>
  <c r="N198" i="5"/>
  <c r="P198" i="5"/>
  <c r="N200" i="5"/>
  <c r="P200" i="5"/>
  <c r="N201" i="5"/>
  <c r="P201" i="5"/>
  <c r="N203" i="5"/>
  <c r="P203" i="5"/>
  <c r="N205" i="5"/>
  <c r="P205" i="5"/>
  <c r="N207" i="5"/>
  <c r="P207" i="5"/>
  <c r="N209" i="5"/>
  <c r="P209" i="5"/>
  <c r="N210" i="5"/>
  <c r="P210" i="5"/>
  <c r="N211" i="5"/>
  <c r="P211" i="5"/>
  <c r="N212" i="5"/>
  <c r="P212" i="5"/>
  <c r="N214" i="5"/>
  <c r="P214" i="5"/>
  <c r="P215" i="5"/>
  <c r="N215" i="5"/>
  <c r="N216" i="5"/>
  <c r="P216" i="5"/>
  <c r="N217" i="5"/>
  <c r="P217" i="5"/>
  <c r="N219" i="5"/>
  <c r="P219" i="5"/>
  <c r="N220" i="5"/>
  <c r="P220" i="5"/>
  <c r="N223" i="5"/>
  <c r="P223" i="5"/>
  <c r="N224" i="5"/>
  <c r="P224" i="5"/>
  <c r="N227" i="5"/>
  <c r="P227" i="5"/>
  <c r="N228" i="5"/>
  <c r="P228" i="5"/>
  <c r="N230" i="5"/>
  <c r="P230" i="5"/>
  <c r="N231" i="5"/>
  <c r="P231" i="5"/>
  <c r="N232" i="5"/>
  <c r="P232" i="5"/>
  <c r="N233" i="5"/>
  <c r="P233" i="5"/>
  <c r="N234" i="5"/>
  <c r="P234" i="5"/>
  <c r="N235" i="5"/>
  <c r="P235" i="5"/>
  <c r="P236" i="5"/>
  <c r="N236" i="5"/>
  <c r="N237" i="5"/>
  <c r="P237" i="5"/>
  <c r="N239" i="5"/>
  <c r="P239" i="5"/>
  <c r="N240" i="5"/>
  <c r="P240" i="5"/>
  <c r="N241" i="5"/>
  <c r="P241" i="5"/>
  <c r="N242" i="5"/>
  <c r="P242" i="5"/>
  <c r="N243" i="5"/>
  <c r="P243" i="5"/>
  <c r="N244" i="5"/>
  <c r="P244" i="5"/>
  <c r="N245" i="5"/>
  <c r="P245" i="5"/>
  <c r="N246" i="5"/>
  <c r="P246" i="5"/>
  <c r="P247" i="5"/>
  <c r="N247" i="5"/>
  <c r="N248" i="5"/>
  <c r="P248" i="5"/>
  <c r="N249" i="5"/>
  <c r="P249" i="5"/>
  <c r="N252" i="5"/>
  <c r="P252" i="5"/>
  <c r="N253" i="5"/>
  <c r="P253" i="5"/>
  <c r="N254" i="5"/>
  <c r="P254" i="5"/>
  <c r="N255" i="5"/>
  <c r="P255" i="5"/>
  <c r="N260" i="5"/>
  <c r="P260" i="5"/>
  <c r="N262" i="5"/>
  <c r="P262" i="5"/>
  <c r="N263" i="5"/>
  <c r="P263" i="5"/>
  <c r="N264" i="5"/>
  <c r="P264" i="5"/>
  <c r="N265" i="5"/>
  <c r="P265" i="5"/>
  <c r="N266" i="5"/>
  <c r="P266" i="5"/>
  <c r="N268" i="5"/>
  <c r="P268" i="5"/>
  <c r="N269" i="5"/>
  <c r="P269" i="5"/>
  <c r="N270" i="5"/>
  <c r="P270" i="5"/>
  <c r="N275" i="5"/>
  <c r="P275" i="5"/>
  <c r="N276" i="5"/>
  <c r="P276" i="5"/>
  <c r="P277" i="5"/>
  <c r="N277" i="5"/>
  <c r="N278" i="5"/>
  <c r="P278" i="5"/>
  <c r="N279" i="5"/>
  <c r="P279" i="5"/>
  <c r="N281" i="5"/>
  <c r="P281" i="5"/>
  <c r="N282" i="5"/>
  <c r="P282" i="5"/>
  <c r="N283" i="5"/>
  <c r="P283" i="5"/>
  <c r="N285" i="5"/>
  <c r="P285" i="5"/>
  <c r="N286" i="5"/>
  <c r="P286" i="5"/>
  <c r="P287" i="5"/>
  <c r="N287" i="5"/>
  <c r="N288" i="5"/>
  <c r="P288" i="5"/>
  <c r="N289" i="5"/>
  <c r="P289" i="5"/>
  <c r="N290" i="5"/>
  <c r="P290" i="5"/>
  <c r="N292" i="5"/>
  <c r="P292" i="5"/>
  <c r="N293" i="5"/>
  <c r="P293" i="5"/>
  <c r="N294" i="5"/>
  <c r="P294" i="5"/>
  <c r="N295" i="5"/>
  <c r="P295" i="5"/>
  <c r="P296" i="5"/>
  <c r="N296" i="5"/>
  <c r="N297" i="5"/>
  <c r="P297" i="5"/>
  <c r="N298" i="5"/>
  <c r="P298" i="5"/>
  <c r="N299" i="5"/>
  <c r="P299" i="5"/>
  <c r="N301" i="5"/>
  <c r="P301" i="5"/>
  <c r="N302" i="5"/>
  <c r="P302" i="5"/>
  <c r="N304" i="5"/>
  <c r="P304" i="5"/>
  <c r="N305" i="5"/>
  <c r="P305" i="5"/>
  <c r="P306" i="5"/>
  <c r="N306" i="5"/>
  <c r="N308" i="5"/>
  <c r="P308" i="5"/>
  <c r="N309" i="5"/>
  <c r="P309" i="5"/>
  <c r="N311" i="5"/>
  <c r="P311" i="5"/>
  <c r="N312" i="5"/>
  <c r="P312" i="5"/>
  <c r="N313" i="5"/>
  <c r="P313" i="5"/>
  <c r="N314" i="5"/>
  <c r="P314" i="5"/>
  <c r="N315" i="5"/>
  <c r="P315" i="5"/>
  <c r="N317" i="5"/>
  <c r="P317" i="5"/>
  <c r="N318" i="5"/>
  <c r="P318" i="5"/>
  <c r="N319" i="5"/>
  <c r="P319" i="5"/>
  <c r="N321" i="5"/>
  <c r="P321" i="5"/>
  <c r="N323" i="5"/>
  <c r="P323" i="5"/>
  <c r="N328" i="5"/>
  <c r="P328" i="5"/>
  <c r="N330" i="5"/>
  <c r="P330" i="5"/>
  <c r="N332" i="5"/>
  <c r="P332" i="5"/>
  <c r="N334" i="5"/>
  <c r="P334" i="5"/>
  <c r="N337" i="5"/>
  <c r="P337" i="5"/>
  <c r="N338" i="5"/>
  <c r="P338" i="5"/>
  <c r="N339" i="5"/>
  <c r="P339" i="5"/>
  <c r="N340" i="5"/>
  <c r="P340" i="5"/>
  <c r="N343" i="5"/>
  <c r="P343" i="5"/>
  <c r="N344" i="5"/>
  <c r="P344" i="5"/>
  <c r="P346" i="5"/>
  <c r="N346" i="5"/>
  <c r="N348" i="5"/>
  <c r="P348" i="5"/>
  <c r="N349" i="5"/>
  <c r="P349" i="5"/>
  <c r="N351" i="5"/>
  <c r="P351" i="5"/>
  <c r="P355" i="5"/>
  <c r="N355" i="5"/>
  <c r="N357" i="5"/>
  <c r="P357" i="5"/>
  <c r="N359" i="5"/>
  <c r="P359" i="5"/>
  <c r="N360" i="5"/>
  <c r="P360" i="5"/>
  <c r="N364" i="5"/>
  <c r="P364" i="5"/>
  <c r="P365" i="5"/>
  <c r="N365" i="5"/>
  <c r="N367" i="5"/>
  <c r="P367" i="5"/>
  <c r="N368" i="5"/>
  <c r="P368" i="5"/>
  <c r="N374" i="5"/>
  <c r="P374" i="5"/>
  <c r="N376" i="5"/>
  <c r="P376" i="5"/>
  <c r="N377" i="5"/>
  <c r="P377" i="5"/>
  <c r="N378" i="5"/>
  <c r="P378" i="5"/>
  <c r="N380" i="5"/>
  <c r="P380" i="5"/>
  <c r="N382" i="5"/>
  <c r="P382" i="5"/>
  <c r="N383" i="5"/>
  <c r="P383" i="5"/>
  <c r="N385" i="5"/>
  <c r="P385" i="5"/>
  <c r="N386" i="5"/>
  <c r="P386" i="5"/>
  <c r="N388" i="5"/>
  <c r="P388" i="5"/>
  <c r="N390" i="5"/>
  <c r="P390" i="5"/>
  <c r="N391" i="5"/>
  <c r="P391" i="5"/>
  <c r="N394" i="5"/>
  <c r="P394" i="5"/>
  <c r="N398" i="5"/>
  <c r="P398" i="5"/>
  <c r="N402" i="5"/>
  <c r="P402" i="5"/>
  <c r="N403" i="5"/>
  <c r="P403" i="5"/>
  <c r="N405" i="5"/>
  <c r="P405" i="5"/>
  <c r="P406" i="5"/>
  <c r="N406" i="5"/>
  <c r="N407" i="5"/>
  <c r="P407" i="5"/>
  <c r="N410" i="5"/>
  <c r="P410" i="5"/>
  <c r="N411" i="5"/>
  <c r="P411" i="5"/>
  <c r="N414" i="5"/>
  <c r="P414" i="5"/>
  <c r="N415" i="5"/>
  <c r="P415" i="5"/>
  <c r="P416" i="5"/>
  <c r="N416" i="5"/>
  <c r="N417" i="5"/>
  <c r="P417" i="5"/>
  <c r="N418" i="5"/>
  <c r="P418" i="5"/>
  <c r="N420" i="5"/>
  <c r="P420" i="5"/>
  <c r="N421" i="5"/>
  <c r="P421" i="5"/>
  <c r="N423" i="5"/>
  <c r="P423" i="5"/>
  <c r="N424" i="5"/>
  <c r="P424" i="5"/>
  <c r="N426" i="5"/>
  <c r="P426" i="5"/>
  <c r="P2" i="5"/>
  <c r="N2" i="5"/>
  <c r="S6" i="5"/>
  <c r="Q8" i="4" a="1"/>
  <c r="Q10" i="4"/>
  <c r="Q9" i="4"/>
  <c r="Q11" i="4"/>
  <c r="K15" i="3"/>
  <c r="K16" i="3"/>
  <c r="K17" i="3"/>
  <c r="K18" i="3"/>
  <c r="K19" i="3"/>
  <c r="K20" i="3"/>
  <c r="K21" i="3"/>
  <c r="K22" i="3"/>
  <c r="K23" i="3"/>
  <c r="K24" i="3"/>
  <c r="K26" i="3"/>
  <c r="K27" i="3"/>
  <c r="K28" i="3"/>
  <c r="K29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2" i="3"/>
  <c r="K103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720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4" i="3"/>
  <c r="K745" i="3"/>
  <c r="K746" i="3"/>
  <c r="K747" i="3"/>
  <c r="K748" i="3"/>
  <c r="K749" i="3"/>
  <c r="K751" i="3"/>
  <c r="K752" i="3"/>
  <c r="K753" i="3"/>
  <c r="K754" i="3"/>
  <c r="K755" i="3"/>
  <c r="K756" i="3"/>
  <c r="K758" i="3"/>
  <c r="K759" i="3"/>
  <c r="K760" i="3"/>
  <c r="K761" i="3"/>
  <c r="K762" i="3"/>
  <c r="K764" i="3"/>
  <c r="K765" i="3"/>
  <c r="K766" i="3"/>
  <c r="K769" i="3"/>
  <c r="K770" i="3"/>
  <c r="K771" i="3"/>
  <c r="K772" i="3"/>
  <c r="K773" i="3"/>
  <c r="K774" i="3"/>
  <c r="K775" i="3"/>
  <c r="K776" i="3"/>
  <c r="K777" i="3"/>
  <c r="K779" i="3"/>
  <c r="K780" i="3"/>
  <c r="K781" i="3"/>
  <c r="K782" i="3"/>
  <c r="K783" i="3"/>
  <c r="K784" i="3"/>
  <c r="K785" i="3"/>
  <c r="K786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6" i="3"/>
  <c r="K827" i="3"/>
  <c r="K828" i="3"/>
  <c r="K829" i="3"/>
  <c r="K830" i="3"/>
  <c r="K831" i="3"/>
  <c r="K832" i="3"/>
  <c r="K833" i="3"/>
  <c r="K834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3" i="3"/>
  <c r="K4" i="3"/>
  <c r="K5" i="3"/>
  <c r="K6" i="3"/>
  <c r="K7" i="3"/>
  <c r="K8" i="3"/>
  <c r="K9" i="3"/>
  <c r="K10" i="3"/>
  <c r="K11" i="3"/>
  <c r="K12" i="3"/>
  <c r="K13" i="3"/>
  <c r="K14" i="3"/>
  <c r="K25" i="3"/>
  <c r="K30" i="3"/>
  <c r="K101" i="3"/>
  <c r="K104" i="3"/>
  <c r="K164" i="3"/>
  <c r="K228" i="3"/>
  <c r="K234" i="3"/>
  <c r="K240" i="3"/>
  <c r="K283" i="3"/>
  <c r="K494" i="3"/>
  <c r="K496" i="3"/>
  <c r="K498" i="3"/>
  <c r="K500" i="3"/>
  <c r="K502" i="3"/>
  <c r="K503" i="3"/>
  <c r="K505" i="3"/>
  <c r="K507" i="3"/>
  <c r="K508" i="3"/>
  <c r="K511" i="3"/>
  <c r="K513" i="3"/>
  <c r="K514" i="3"/>
  <c r="K519" i="3"/>
  <c r="K520" i="3"/>
  <c r="K522" i="3"/>
  <c r="K524" i="3"/>
  <c r="K525" i="3"/>
  <c r="K527" i="3"/>
  <c r="K530" i="3"/>
  <c r="K532" i="3"/>
  <c r="K534" i="3"/>
  <c r="K536" i="3"/>
  <c r="K540" i="3"/>
  <c r="K542" i="3"/>
  <c r="K544" i="3"/>
  <c r="K545" i="3"/>
  <c r="K547" i="3"/>
  <c r="K549" i="3"/>
  <c r="K550" i="3"/>
  <c r="K552" i="3"/>
  <c r="K554" i="3"/>
  <c r="K556" i="3"/>
  <c r="K558" i="3"/>
  <c r="K561" i="3"/>
  <c r="K563" i="3"/>
  <c r="K566" i="3"/>
  <c r="K569" i="3"/>
  <c r="K570" i="3"/>
  <c r="K572" i="3"/>
  <c r="K574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9" i="3"/>
  <c r="K640" i="3"/>
  <c r="K641" i="3"/>
  <c r="K643" i="3"/>
  <c r="K644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2" i="3"/>
  <c r="K493" i="3"/>
  <c r="K497" i="3"/>
  <c r="K499" i="3"/>
  <c r="K506" i="3"/>
  <c r="K509" i="3"/>
  <c r="K510" i="3"/>
  <c r="K512" i="3"/>
  <c r="K515" i="3"/>
  <c r="K516" i="3"/>
  <c r="K518" i="3"/>
  <c r="K521" i="3"/>
  <c r="K523" i="3"/>
  <c r="K526" i="3"/>
  <c r="K528" i="3"/>
  <c r="K531" i="3"/>
  <c r="K533" i="3"/>
  <c r="K535" i="3"/>
  <c r="K537" i="3"/>
  <c r="K539" i="3"/>
  <c r="K541" i="3"/>
  <c r="K543" i="3"/>
  <c r="K546" i="3"/>
  <c r="K548" i="3"/>
  <c r="K551" i="3"/>
  <c r="K553" i="3"/>
  <c r="K555" i="3"/>
  <c r="K557" i="3"/>
  <c r="K560" i="3"/>
  <c r="K562" i="3"/>
  <c r="K564" i="3"/>
  <c r="K565" i="3"/>
  <c r="K567" i="3"/>
  <c r="K568" i="3"/>
  <c r="K571" i="3"/>
  <c r="K573" i="3"/>
  <c r="K575" i="3"/>
  <c r="K577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9" i="3"/>
  <c r="K230" i="3"/>
  <c r="K231" i="3"/>
  <c r="K232" i="3"/>
  <c r="K233" i="3"/>
  <c r="K235" i="3"/>
  <c r="K236" i="3"/>
  <c r="K237" i="3"/>
  <c r="K238" i="3"/>
  <c r="K239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8" i="3"/>
  <c r="K309" i="3"/>
  <c r="K311" i="3"/>
  <c r="K312" i="3"/>
  <c r="K314" i="3"/>
  <c r="K315" i="3"/>
  <c r="K316" i="3"/>
  <c r="K317" i="3"/>
  <c r="K318" i="3"/>
  <c r="K319" i="3"/>
  <c r="K320" i="3"/>
  <c r="K321" i="3"/>
  <c r="K322" i="3"/>
  <c r="K323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6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1" i="3"/>
  <c r="K402" i="3"/>
  <c r="K404" i="3"/>
  <c r="K405" i="3"/>
  <c r="K407" i="3"/>
  <c r="K408" i="3"/>
  <c r="K409" i="3"/>
  <c r="K410" i="3"/>
  <c r="K412" i="3"/>
  <c r="K413" i="3"/>
  <c r="K414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5" i="3"/>
  <c r="K476" i="3"/>
  <c r="K477" i="3"/>
  <c r="K478" i="3"/>
  <c r="K479" i="3"/>
  <c r="K480" i="3"/>
  <c r="K481" i="3"/>
  <c r="K482" i="3"/>
  <c r="K483" i="3"/>
  <c r="K484" i="3"/>
  <c r="K486" i="3"/>
  <c r="K487" i="3"/>
  <c r="K488" i="3"/>
  <c r="K489" i="3"/>
  <c r="K490" i="3"/>
  <c r="K491" i="3"/>
  <c r="K492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7" i="3"/>
  <c r="K928" i="3"/>
  <c r="K929" i="3"/>
  <c r="K930" i="3"/>
  <c r="K931" i="3"/>
  <c r="K932" i="3"/>
  <c r="K934" i="3"/>
  <c r="K935" i="3"/>
  <c r="K936" i="3"/>
  <c r="K937" i="3"/>
  <c r="K938" i="3"/>
  <c r="K939" i="3"/>
  <c r="K940" i="3"/>
  <c r="K941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9" i="3"/>
  <c r="K960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4" i="3"/>
  <c r="K1045" i="3"/>
  <c r="K1182" i="3"/>
  <c r="K1184" i="3"/>
  <c r="K1186" i="3"/>
  <c r="K1188" i="3"/>
  <c r="K1190" i="3"/>
  <c r="K1193" i="3"/>
  <c r="K1195" i="3"/>
  <c r="K1197" i="3"/>
  <c r="K1199" i="3"/>
  <c r="K1201" i="3"/>
  <c r="K1203" i="3"/>
  <c r="K1205" i="3"/>
  <c r="K1207" i="3"/>
  <c r="K1210" i="3"/>
  <c r="K1212" i="3"/>
  <c r="K1213" i="3"/>
  <c r="K1215" i="3"/>
  <c r="K1217" i="3"/>
  <c r="K1219" i="3"/>
  <c r="K1222" i="3"/>
  <c r="K1224" i="3"/>
  <c r="K1225" i="3"/>
  <c r="K1227" i="3"/>
  <c r="K1230" i="3"/>
  <c r="K1232" i="3"/>
  <c r="K1234" i="3"/>
  <c r="K1236" i="3"/>
  <c r="K1238" i="3"/>
  <c r="K1240" i="3"/>
  <c r="K1242" i="3"/>
  <c r="K1244" i="3"/>
  <c r="K1246" i="3"/>
  <c r="K1248" i="3"/>
  <c r="K1250" i="3"/>
  <c r="K1252" i="3"/>
  <c r="K1254" i="3"/>
  <c r="K1255" i="3"/>
  <c r="K1257" i="3"/>
  <c r="K1259" i="3"/>
  <c r="K1262" i="3"/>
  <c r="K1264" i="3"/>
  <c r="K1265" i="3"/>
  <c r="K1267" i="3"/>
  <c r="K1269" i="3"/>
  <c r="K1271" i="3"/>
  <c r="K1273" i="3"/>
  <c r="K1274" i="3"/>
  <c r="K1276" i="3"/>
  <c r="K1279" i="3"/>
  <c r="K1281" i="3"/>
  <c r="K1282" i="3"/>
  <c r="K1283" i="3"/>
  <c r="K1284" i="3"/>
  <c r="K1286" i="3"/>
  <c r="K1288" i="3"/>
  <c r="K1290" i="3"/>
  <c r="K1292" i="3"/>
  <c r="K1293" i="3"/>
  <c r="K1295" i="3"/>
  <c r="K1297" i="3"/>
  <c r="K1299" i="3"/>
  <c r="K1301" i="3"/>
  <c r="K1047" i="3"/>
  <c r="K1048" i="3"/>
  <c r="K1049" i="3"/>
  <c r="K1050" i="3"/>
  <c r="K1051" i="3"/>
  <c r="K1052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8" i="3"/>
  <c r="K1069" i="3"/>
  <c r="K1070" i="3"/>
  <c r="K1071" i="3"/>
  <c r="K1072" i="3"/>
  <c r="K1073" i="3"/>
  <c r="K1074" i="3"/>
  <c r="K1075" i="3"/>
  <c r="K1076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1" i="3"/>
  <c r="K1092" i="3"/>
  <c r="K1093" i="3"/>
  <c r="K1094" i="3"/>
  <c r="K1095" i="3"/>
  <c r="K1096" i="3"/>
  <c r="K1097" i="3"/>
  <c r="K1098" i="3"/>
  <c r="K1099" i="3"/>
  <c r="K1100" i="3"/>
  <c r="K1101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3" i="3"/>
  <c r="K1185" i="3"/>
  <c r="K1187" i="3"/>
  <c r="K1189" i="3"/>
  <c r="K1192" i="3"/>
  <c r="K1194" i="3"/>
  <c r="K1196" i="3"/>
  <c r="K1198" i="3"/>
  <c r="K1200" i="3"/>
  <c r="K1202" i="3"/>
  <c r="K1204" i="3"/>
  <c r="K1206" i="3"/>
  <c r="K1208" i="3"/>
  <c r="K1211" i="3"/>
  <c r="K1214" i="3"/>
  <c r="K1216" i="3"/>
  <c r="K1218" i="3"/>
  <c r="K1220" i="3"/>
  <c r="K1221" i="3"/>
  <c r="K1223" i="3"/>
  <c r="K1226" i="3"/>
  <c r="K1229" i="3"/>
  <c r="K1231" i="3"/>
  <c r="K1235" i="3"/>
  <c r="K1237" i="3"/>
  <c r="K1239" i="3"/>
  <c r="K1241" i="3"/>
  <c r="K1245" i="3"/>
  <c r="K1247" i="3"/>
  <c r="K1249" i="3"/>
  <c r="K1251" i="3"/>
  <c r="K1253" i="3"/>
  <c r="K1256" i="3"/>
  <c r="K1258" i="3"/>
  <c r="K1260" i="3"/>
  <c r="K1263" i="3"/>
  <c r="K1266" i="3"/>
  <c r="K1268" i="3"/>
  <c r="K1270" i="3"/>
  <c r="K1272" i="3"/>
  <c r="K1275" i="3"/>
  <c r="K1277" i="3"/>
  <c r="K1280" i="3"/>
  <c r="K1287" i="3"/>
  <c r="K1289" i="3"/>
  <c r="K1291" i="3"/>
  <c r="K1294" i="3"/>
  <c r="K1296" i="3"/>
  <c r="K1298" i="3"/>
  <c r="K1300" i="3"/>
  <c r="Q3" i="2"/>
  <c r="J2" i="2"/>
  <c r="L3" i="2"/>
  <c r="J3" i="2"/>
  <c r="L4" i="2"/>
  <c r="J4" i="2"/>
  <c r="L5" i="2"/>
  <c r="J5" i="2"/>
  <c r="L6" i="2"/>
  <c r="J6" i="2"/>
  <c r="L7" i="2"/>
  <c r="J7" i="2"/>
  <c r="L8" i="2"/>
  <c r="J8" i="2"/>
  <c r="L9" i="2"/>
  <c r="J9" i="2"/>
  <c r="L10" i="2"/>
  <c r="J10" i="2"/>
  <c r="K10" i="2" s="1" a="1"/>
  <c r="N10" i="2" s="1"/>
  <c r="L11" i="2"/>
  <c r="J11" i="2"/>
  <c r="K11" i="2" s="1" a="1"/>
  <c r="N11" i="2" s="1"/>
  <c r="L12" i="2"/>
  <c r="J12" i="2"/>
  <c r="L13" i="2"/>
  <c r="J13" i="2"/>
  <c r="L14" i="2"/>
  <c r="J14" i="2"/>
  <c r="L15" i="2"/>
  <c r="J15" i="2"/>
  <c r="L16" i="2"/>
  <c r="J16" i="2"/>
  <c r="L40" i="2"/>
  <c r="J40" i="2"/>
  <c r="L41" i="2"/>
  <c r="J41" i="2"/>
  <c r="L42" i="2"/>
  <c r="J42" i="2"/>
  <c r="L43" i="2"/>
  <c r="J43" i="2"/>
  <c r="L44" i="2"/>
  <c r="J44" i="2"/>
  <c r="L45" i="2"/>
  <c r="J45" i="2"/>
  <c r="L46" i="2"/>
  <c r="J46" i="2"/>
  <c r="L47" i="2"/>
  <c r="J47" i="2"/>
  <c r="L48" i="2"/>
  <c r="J48" i="2"/>
  <c r="L49" i="2"/>
  <c r="J49" i="2"/>
  <c r="L50" i="2"/>
  <c r="J50" i="2"/>
  <c r="L51" i="2"/>
  <c r="J51" i="2"/>
  <c r="L52" i="2"/>
  <c r="J52" i="2"/>
  <c r="K52" i="2" s="1" a="1"/>
  <c r="N52" i="2" s="1"/>
  <c r="L53" i="2"/>
  <c r="J53" i="2"/>
  <c r="L54" i="2"/>
  <c r="J54" i="2"/>
  <c r="L55" i="2"/>
  <c r="J55" i="2"/>
  <c r="L56" i="2"/>
  <c r="J56" i="2"/>
  <c r="L57" i="2"/>
  <c r="J57" i="2"/>
  <c r="L58" i="2"/>
  <c r="J58" i="2"/>
  <c r="L59" i="2"/>
  <c r="J59" i="2"/>
  <c r="L60" i="2"/>
  <c r="J60" i="2"/>
  <c r="L61" i="2"/>
  <c r="J61" i="2"/>
  <c r="L62" i="2"/>
  <c r="J62" i="2"/>
  <c r="L63" i="2"/>
  <c r="J63" i="2"/>
  <c r="L64" i="2"/>
  <c r="J64" i="2"/>
  <c r="L65" i="2"/>
  <c r="J65" i="2"/>
  <c r="L66" i="2"/>
  <c r="J66" i="2"/>
  <c r="L67" i="2"/>
  <c r="J67" i="2"/>
  <c r="L68" i="2"/>
  <c r="J68" i="2"/>
  <c r="L69" i="2"/>
  <c r="J69" i="2"/>
  <c r="L70" i="2"/>
  <c r="J70" i="2"/>
  <c r="L71" i="2"/>
  <c r="J71" i="2"/>
  <c r="L72" i="2"/>
  <c r="J72" i="2"/>
  <c r="L73" i="2"/>
  <c r="J73" i="2"/>
  <c r="L74" i="2"/>
  <c r="J74" i="2"/>
  <c r="L75" i="2"/>
  <c r="J75" i="2"/>
  <c r="L136" i="2"/>
  <c r="J136" i="2"/>
  <c r="J137" i="2"/>
  <c r="L137" i="2"/>
  <c r="L138" i="2"/>
  <c r="J138" i="2"/>
  <c r="L139" i="2"/>
  <c r="J139" i="2"/>
  <c r="L140" i="2"/>
  <c r="J140" i="2"/>
  <c r="L141" i="2"/>
  <c r="J141" i="2"/>
  <c r="L142" i="2"/>
  <c r="J142" i="2"/>
  <c r="L143" i="2"/>
  <c r="J143" i="2"/>
  <c r="L144" i="2"/>
  <c r="J144" i="2"/>
  <c r="L145" i="2"/>
  <c r="J145" i="2"/>
  <c r="L146" i="2"/>
  <c r="J146" i="2"/>
  <c r="K146" i="2" s="1" a="1"/>
  <c r="N146" i="2" s="1"/>
  <c r="L147" i="2"/>
  <c r="J147" i="2"/>
  <c r="K147" i="2" s="1" a="1"/>
  <c r="N147" i="2" s="1"/>
  <c r="L148" i="2"/>
  <c r="J148" i="2"/>
  <c r="K148" i="2" s="1" a="1"/>
  <c r="N148" i="2" s="1"/>
  <c r="L149" i="2"/>
  <c r="J149" i="2"/>
  <c r="K149" i="2" s="1" a="1"/>
  <c r="N149" i="2" s="1"/>
  <c r="L150" i="2"/>
  <c r="J150" i="2"/>
  <c r="K150" i="2" s="1" a="1"/>
  <c r="N150" i="2" s="1"/>
  <c r="J151" i="2"/>
  <c r="L151" i="2"/>
  <c r="J152" i="2"/>
  <c r="L152" i="2"/>
  <c r="J153" i="2"/>
  <c r="L153" i="2"/>
  <c r="J154" i="2"/>
  <c r="L154" i="2"/>
  <c r="J155" i="2"/>
  <c r="L155" i="2"/>
  <c r="L156" i="2"/>
  <c r="J156" i="2"/>
  <c r="L157" i="2"/>
  <c r="J157" i="2"/>
  <c r="L158" i="2"/>
  <c r="J158" i="2"/>
  <c r="L159" i="2"/>
  <c r="J159" i="2"/>
  <c r="L160" i="2"/>
  <c r="J160" i="2"/>
  <c r="L161" i="2"/>
  <c r="J161" i="2"/>
  <c r="L162" i="2"/>
  <c r="J162" i="2"/>
  <c r="L163" i="2"/>
  <c r="J163" i="2"/>
  <c r="L164" i="2"/>
  <c r="J164" i="2"/>
  <c r="L165" i="2"/>
  <c r="J165" i="2"/>
  <c r="L166" i="2"/>
  <c r="J166" i="2"/>
  <c r="L167" i="2"/>
  <c r="J167" i="2"/>
  <c r="L168" i="2"/>
  <c r="J168" i="2"/>
  <c r="L169" i="2"/>
  <c r="J169" i="2"/>
  <c r="L170" i="2"/>
  <c r="J170" i="2"/>
  <c r="J171" i="2"/>
  <c r="L171" i="2"/>
  <c r="J172" i="2"/>
  <c r="L172" i="2"/>
  <c r="L173" i="2"/>
  <c r="J173" i="2"/>
  <c r="L174" i="2"/>
  <c r="J174" i="2"/>
  <c r="J175" i="2"/>
  <c r="L175" i="2"/>
  <c r="L176" i="2"/>
  <c r="J176" i="2"/>
  <c r="L177" i="2"/>
  <c r="J177" i="2"/>
  <c r="L178" i="2"/>
  <c r="J178" i="2"/>
  <c r="L179" i="2"/>
  <c r="J179" i="2"/>
  <c r="L180" i="2"/>
  <c r="J180" i="2"/>
  <c r="J181" i="2"/>
  <c r="L181" i="2"/>
  <c r="J182" i="2"/>
  <c r="L182" i="2"/>
  <c r="L183" i="2"/>
  <c r="J183" i="2"/>
  <c r="L184" i="2"/>
  <c r="J184" i="2"/>
  <c r="L185" i="2"/>
  <c r="J185" i="2"/>
  <c r="L186" i="2"/>
  <c r="J186" i="2"/>
  <c r="L187" i="2"/>
  <c r="J187" i="2"/>
  <c r="L188" i="2"/>
  <c r="J188" i="2"/>
  <c r="K188" i="2" s="1" a="1"/>
  <c r="N188" i="2" s="1"/>
  <c r="L189" i="2"/>
  <c r="J189" i="2"/>
  <c r="K189" i="2" s="1" a="1"/>
  <c r="N189" i="2" s="1"/>
  <c r="L190" i="2"/>
  <c r="J190" i="2"/>
  <c r="K190" i="2" s="1" a="1"/>
  <c r="N190" i="2" s="1"/>
  <c r="L191" i="2"/>
  <c r="J191" i="2"/>
  <c r="K191" i="2" s="1" a="1"/>
  <c r="N191" i="2" s="1"/>
  <c r="L192" i="2"/>
  <c r="J192" i="2"/>
  <c r="K192" i="2" s="1" a="1"/>
  <c r="N192" i="2" s="1"/>
  <c r="L193" i="2"/>
  <c r="J193" i="2"/>
  <c r="K193" i="2" s="1" a="1"/>
  <c r="N193" i="2" s="1"/>
  <c r="L194" i="2"/>
  <c r="J194" i="2"/>
  <c r="K194" i="2" s="1" a="1"/>
  <c r="N194" i="2" s="1"/>
  <c r="L195" i="2"/>
  <c r="J195" i="2"/>
  <c r="K195" i="2" s="1" a="1"/>
  <c r="N195" i="2" s="1"/>
  <c r="L196" i="2"/>
  <c r="J196" i="2"/>
  <c r="K196" i="2" s="1" a="1"/>
  <c r="N196" i="2" s="1"/>
  <c r="L197" i="2"/>
  <c r="J197" i="2"/>
  <c r="K197" i="2" s="1" a="1"/>
  <c r="N197" i="2" s="1"/>
  <c r="J198" i="2"/>
  <c r="K198" i="2" s="1" a="1"/>
  <c r="N198" i="2" s="1"/>
  <c r="L198" i="2"/>
  <c r="L199" i="2"/>
  <c r="J199" i="2"/>
  <c r="K199" i="2" s="1" a="1"/>
  <c r="N199" i="2" s="1"/>
  <c r="L200" i="2"/>
  <c r="J200" i="2"/>
  <c r="K200" i="2" s="1" a="1"/>
  <c r="N200" i="2" s="1"/>
  <c r="L201" i="2"/>
  <c r="J201" i="2"/>
  <c r="K201" i="2" s="1" a="1"/>
  <c r="N201" i="2" s="1"/>
  <c r="L202" i="2"/>
  <c r="J202" i="2"/>
  <c r="K202" i="2" s="1" a="1"/>
  <c r="N202" i="2" s="1"/>
  <c r="L203" i="2"/>
  <c r="J203" i="2"/>
  <c r="K203" i="2" s="1" a="1"/>
  <c r="N203" i="2" s="1"/>
  <c r="J204" i="2"/>
  <c r="K204" i="2" s="1" a="1"/>
  <c r="N204" i="2" s="1"/>
  <c r="L204" i="2"/>
  <c r="J205" i="2"/>
  <c r="K205" i="2" s="1" a="1"/>
  <c r="N205" i="2" s="1"/>
  <c r="L205" i="2"/>
  <c r="J206" i="2"/>
  <c r="K206" i="2" s="1" a="1"/>
  <c r="N206" i="2" s="1"/>
  <c r="L206" i="2"/>
  <c r="J207" i="2"/>
  <c r="K207" i="2" s="1" a="1"/>
  <c r="N207" i="2" s="1"/>
  <c r="L207" i="2"/>
  <c r="J208" i="2"/>
  <c r="K208" i="2" s="1" a="1"/>
  <c r="N208" i="2" s="1"/>
  <c r="L208" i="2"/>
  <c r="L209" i="2"/>
  <c r="J209" i="2"/>
  <c r="K209" i="2" s="1" a="1"/>
  <c r="N209" i="2" s="1"/>
  <c r="L210" i="2"/>
  <c r="J210" i="2"/>
  <c r="K210" i="2" s="1" a="1"/>
  <c r="N210" i="2" s="1"/>
  <c r="L211" i="2"/>
  <c r="J211" i="2"/>
  <c r="K211" i="2" s="1" a="1"/>
  <c r="N211" i="2" s="1"/>
  <c r="L212" i="2"/>
  <c r="J212" i="2"/>
  <c r="K212" i="2" s="1" a="1"/>
  <c r="N212" i="2" s="1"/>
  <c r="J213" i="2"/>
  <c r="L213" i="2"/>
  <c r="J214" i="2"/>
  <c r="L214" i="2"/>
  <c r="L215" i="2"/>
  <c r="J215" i="2"/>
  <c r="L216" i="2"/>
  <c r="J216" i="2"/>
  <c r="J217" i="2"/>
  <c r="L217" i="2"/>
  <c r="J218" i="2"/>
  <c r="L218" i="2"/>
  <c r="J219" i="2"/>
  <c r="L219" i="2"/>
  <c r="J220" i="2"/>
  <c r="L220" i="2"/>
  <c r="L221" i="2"/>
  <c r="J221" i="2"/>
  <c r="L222" i="2"/>
  <c r="J222" i="2"/>
  <c r="L223" i="2"/>
  <c r="J223" i="2"/>
  <c r="L224" i="2"/>
  <c r="J224" i="2"/>
  <c r="L225" i="2"/>
  <c r="J225" i="2"/>
  <c r="L226" i="2"/>
  <c r="J226" i="2"/>
  <c r="L227" i="2"/>
  <c r="J227" i="2"/>
  <c r="L228" i="2"/>
  <c r="J228" i="2"/>
  <c r="L229" i="2"/>
  <c r="J229" i="2"/>
  <c r="L230" i="2"/>
  <c r="J230" i="2"/>
  <c r="L231" i="2"/>
  <c r="J231" i="2"/>
  <c r="L232" i="2"/>
  <c r="J232" i="2"/>
  <c r="L233" i="2"/>
  <c r="J233" i="2"/>
  <c r="L234" i="2"/>
  <c r="J234" i="2"/>
  <c r="L235" i="2"/>
  <c r="J235" i="2"/>
  <c r="L236" i="2"/>
  <c r="J236" i="2"/>
  <c r="L237" i="2"/>
  <c r="J237" i="2"/>
  <c r="L238" i="2"/>
  <c r="J238" i="2"/>
  <c r="L239" i="2"/>
  <c r="J239" i="2"/>
  <c r="L240" i="2"/>
  <c r="J240" i="2"/>
  <c r="L241" i="2"/>
  <c r="J241" i="2"/>
  <c r="L242" i="2"/>
  <c r="J242" i="2"/>
  <c r="L243" i="2"/>
  <c r="J243" i="2"/>
  <c r="L244" i="2"/>
  <c r="J244" i="2"/>
  <c r="L245" i="2"/>
  <c r="J245" i="2"/>
  <c r="L246" i="2"/>
  <c r="J246" i="2"/>
  <c r="L247" i="2"/>
  <c r="J247" i="2"/>
  <c r="L248" i="2"/>
  <c r="J248" i="2"/>
  <c r="L249" i="2"/>
  <c r="J249" i="2"/>
  <c r="L250" i="2"/>
  <c r="J250" i="2"/>
  <c r="L251" i="2"/>
  <c r="J251" i="2"/>
  <c r="L252" i="2"/>
  <c r="J252" i="2"/>
  <c r="L253" i="2"/>
  <c r="J253" i="2"/>
  <c r="L254" i="2"/>
  <c r="J254" i="2"/>
  <c r="L255" i="2"/>
  <c r="J255" i="2"/>
  <c r="L256" i="2"/>
  <c r="J256" i="2"/>
  <c r="L257" i="2"/>
  <c r="J257" i="2"/>
  <c r="L258" i="2"/>
  <c r="J258" i="2"/>
  <c r="L259" i="2"/>
  <c r="J259" i="2"/>
  <c r="L260" i="2"/>
  <c r="J260" i="2"/>
  <c r="L261" i="2"/>
  <c r="J261" i="2"/>
  <c r="L262" i="2"/>
  <c r="J262" i="2"/>
  <c r="L263" i="2"/>
  <c r="J263" i="2"/>
  <c r="L264" i="2"/>
  <c r="J264" i="2"/>
  <c r="L265" i="2"/>
  <c r="J265" i="2"/>
  <c r="L266" i="2"/>
  <c r="J266" i="2"/>
  <c r="L267" i="2"/>
  <c r="J267" i="2"/>
  <c r="L268" i="2"/>
  <c r="J268" i="2"/>
  <c r="L269" i="2"/>
  <c r="J269" i="2"/>
  <c r="L270" i="2"/>
  <c r="J270" i="2"/>
  <c r="K270" i="2" s="1" a="1"/>
  <c r="N270" i="2" s="1"/>
  <c r="L271" i="2"/>
  <c r="J271" i="2"/>
  <c r="K271" i="2" s="1" a="1"/>
  <c r="N271" i="2" s="1"/>
  <c r="L272" i="2"/>
  <c r="J272" i="2"/>
  <c r="K272" i="2" s="1" a="1"/>
  <c r="N272" i="2" s="1"/>
  <c r="L273" i="2"/>
  <c r="J273" i="2"/>
  <c r="K273" i="2" s="1" a="1"/>
  <c r="N273" i="2" s="1"/>
  <c r="L274" i="2"/>
  <c r="J274" i="2"/>
  <c r="K274" i="2" s="1" a="1"/>
  <c r="N274" i="2" s="1"/>
  <c r="L275" i="2"/>
  <c r="J275" i="2"/>
  <c r="K275" i="2" s="1" a="1"/>
  <c r="N275" i="2" s="1"/>
  <c r="L276" i="2"/>
  <c r="J276" i="2"/>
  <c r="K276" i="2" s="1" a="1"/>
  <c r="N276" i="2" s="1"/>
  <c r="L277" i="2"/>
  <c r="J277" i="2"/>
  <c r="K277" i="2" s="1" a="1"/>
  <c r="N277" i="2" s="1"/>
  <c r="L278" i="2"/>
  <c r="J278" i="2"/>
  <c r="K278" i="2" s="1" a="1"/>
  <c r="N278" i="2" s="1"/>
  <c r="L279" i="2"/>
  <c r="J279" i="2"/>
  <c r="K279" i="2" s="1" a="1"/>
  <c r="N279" i="2" s="1"/>
  <c r="L280" i="2"/>
  <c r="J280" i="2"/>
  <c r="K280" i="2" s="1" a="1"/>
  <c r="N280" i="2" s="1"/>
  <c r="L281" i="2"/>
  <c r="J281" i="2"/>
  <c r="K281" i="2" s="1" a="1"/>
  <c r="N281" i="2" s="1"/>
  <c r="L282" i="2"/>
  <c r="J282" i="2"/>
  <c r="K282" i="2" s="1" a="1"/>
  <c r="N282" i="2" s="1"/>
  <c r="L283" i="2"/>
  <c r="J283" i="2"/>
  <c r="K283" i="2" s="1" a="1"/>
  <c r="N283" i="2" s="1"/>
  <c r="L284" i="2"/>
  <c r="J284" i="2"/>
  <c r="K284" i="2" s="1" a="1"/>
  <c r="N284" i="2" s="1"/>
  <c r="L285" i="2"/>
  <c r="J285" i="2"/>
  <c r="K285" i="2" s="1" a="1"/>
  <c r="N285" i="2" s="1"/>
  <c r="L286" i="2"/>
  <c r="J286" i="2"/>
  <c r="K286" i="2" s="1" a="1"/>
  <c r="N286" i="2" s="1"/>
  <c r="L287" i="2"/>
  <c r="J287" i="2"/>
  <c r="K287" i="2" s="1" a="1"/>
  <c r="N287" i="2" s="1"/>
  <c r="L288" i="2"/>
  <c r="J288" i="2"/>
  <c r="K288" i="2" s="1" a="1"/>
  <c r="N288" i="2" s="1"/>
  <c r="L289" i="2"/>
  <c r="J289" i="2"/>
  <c r="K289" i="2" s="1" a="1"/>
  <c r="N289" i="2" s="1"/>
  <c r="L290" i="2"/>
  <c r="J290" i="2"/>
  <c r="K290" i="2" s="1" a="1"/>
  <c r="N290" i="2" s="1"/>
  <c r="L291" i="2"/>
  <c r="J291" i="2"/>
  <c r="K291" i="2" s="1" a="1"/>
  <c r="N291" i="2" s="1"/>
  <c r="L292" i="2"/>
  <c r="J292" i="2"/>
  <c r="K292" i="2" s="1" a="1"/>
  <c r="N292" i="2" s="1"/>
  <c r="L293" i="2"/>
  <c r="J293" i="2"/>
  <c r="K293" i="2" s="1" a="1"/>
  <c r="N293" i="2" s="1"/>
  <c r="L294" i="2"/>
  <c r="J294" i="2"/>
  <c r="K294" i="2" s="1" a="1"/>
  <c r="N294" i="2" s="1"/>
  <c r="L295" i="2"/>
  <c r="J295" i="2"/>
  <c r="K295" i="2" s="1" a="1"/>
  <c r="N295" i="2" s="1"/>
  <c r="L296" i="2"/>
  <c r="J296" i="2"/>
  <c r="K296" i="2" s="1" a="1"/>
  <c r="N296" i="2" s="1"/>
  <c r="L297" i="2"/>
  <c r="J297" i="2"/>
  <c r="K297" i="2" s="1" a="1"/>
  <c r="N297" i="2" s="1"/>
  <c r="L298" i="2"/>
  <c r="J298" i="2"/>
  <c r="K298" i="2" s="1" a="1"/>
  <c r="N298" i="2" s="1"/>
  <c r="L299" i="2"/>
  <c r="J299" i="2"/>
  <c r="K299" i="2" s="1" a="1"/>
  <c r="N299" i="2" s="1"/>
  <c r="L300" i="2"/>
  <c r="J300" i="2"/>
  <c r="K300" i="2" s="1" a="1"/>
  <c r="N300" i="2" s="1"/>
  <c r="L301" i="2"/>
  <c r="J301" i="2"/>
  <c r="K301" i="2" s="1" a="1"/>
  <c r="N301" i="2" s="1"/>
  <c r="L302" i="2"/>
  <c r="J302" i="2"/>
  <c r="K302" i="2" s="1" a="1"/>
  <c r="N302" i="2" s="1"/>
  <c r="L303" i="2"/>
  <c r="J303" i="2"/>
  <c r="K303" i="2" s="1" a="1"/>
  <c r="N303" i="2" s="1"/>
  <c r="L304" i="2"/>
  <c r="J304" i="2"/>
  <c r="K304" i="2" s="1" a="1"/>
  <c r="N304" i="2" s="1"/>
  <c r="L305" i="2"/>
  <c r="J305" i="2"/>
  <c r="K305" i="2" s="1" a="1"/>
  <c r="N305" i="2" s="1"/>
  <c r="L306" i="2"/>
  <c r="J306" i="2"/>
  <c r="K306" i="2" s="1" a="1"/>
  <c r="N306" i="2" s="1"/>
  <c r="L307" i="2"/>
  <c r="J307" i="2"/>
  <c r="K307" i="2" s="1" a="1"/>
  <c r="N307" i="2" s="1"/>
  <c r="L308" i="2"/>
  <c r="J308" i="2"/>
  <c r="K308" i="2" s="1" a="1"/>
  <c r="N308" i="2" s="1"/>
  <c r="L309" i="2"/>
  <c r="J309" i="2"/>
  <c r="K309" i="2" s="1" a="1"/>
  <c r="N309" i="2" s="1"/>
  <c r="L310" i="2"/>
  <c r="J310" i="2"/>
  <c r="K310" i="2" s="1" a="1"/>
  <c r="N310" i="2" s="1"/>
  <c r="L311" i="2"/>
  <c r="J311" i="2"/>
  <c r="K311" i="2" s="1" a="1"/>
  <c r="N311" i="2" s="1"/>
  <c r="L312" i="2"/>
  <c r="J312" i="2"/>
  <c r="K312" i="2" s="1" a="1"/>
  <c r="N312" i="2" s="1"/>
  <c r="L313" i="2"/>
  <c r="J313" i="2"/>
  <c r="K313" i="2" s="1" a="1"/>
  <c r="N313" i="2" s="1"/>
  <c r="L314" i="2"/>
  <c r="J314" i="2"/>
  <c r="K314" i="2" s="1" a="1"/>
  <c r="N314" i="2" s="1"/>
  <c r="L315" i="2"/>
  <c r="J315" i="2"/>
  <c r="K315" i="2" s="1" a="1"/>
  <c r="N315" i="2" s="1"/>
  <c r="L316" i="2"/>
  <c r="J316" i="2"/>
  <c r="K316" i="2" s="1" a="1"/>
  <c r="N316" i="2" s="1"/>
  <c r="L317" i="2"/>
  <c r="J317" i="2"/>
  <c r="K317" i="2" s="1" a="1"/>
  <c r="N317" i="2" s="1"/>
  <c r="L318" i="2"/>
  <c r="J318" i="2"/>
  <c r="K318" i="2" s="1" a="1"/>
  <c r="N318" i="2" s="1"/>
  <c r="L319" i="2"/>
  <c r="J319" i="2"/>
  <c r="K319" i="2" s="1" a="1"/>
  <c r="N319" i="2" s="1"/>
  <c r="L320" i="2"/>
  <c r="J320" i="2"/>
  <c r="K320" i="2" s="1" a="1"/>
  <c r="N320" i="2" s="1"/>
  <c r="L321" i="2"/>
  <c r="J321" i="2"/>
  <c r="K321" i="2" s="1" a="1"/>
  <c r="N321" i="2" s="1"/>
  <c r="L322" i="2"/>
  <c r="J322" i="2"/>
  <c r="K322" i="2" s="1" a="1"/>
  <c r="N322" i="2" s="1"/>
  <c r="L323" i="2"/>
  <c r="J323" i="2"/>
  <c r="K323" i="2" s="1" a="1"/>
  <c r="N323" i="2" s="1"/>
  <c r="L324" i="2"/>
  <c r="J324" i="2"/>
  <c r="K324" i="2" s="1" a="1"/>
  <c r="N324" i="2" s="1"/>
  <c r="M2" i="2"/>
  <c r="Q5" i="2" s="1"/>
  <c r="K2" i="2" a="1"/>
  <c r="N2" i="2" s="1"/>
  <c r="M3" i="2"/>
  <c r="K3" i="2" a="1"/>
  <c r="N3" i="2" s="1"/>
  <c r="M4" i="2"/>
  <c r="K4" i="2" a="1"/>
  <c r="N4" i="2" s="1"/>
  <c r="M5" i="2"/>
  <c r="K5" i="2" a="1"/>
  <c r="N5" i="2" s="1"/>
  <c r="M6" i="2"/>
  <c r="K6" i="2" a="1"/>
  <c r="N6" i="2" s="1"/>
  <c r="M7" i="2"/>
  <c r="K7" i="2" a="1"/>
  <c r="N7" i="2" s="1"/>
  <c r="M8" i="2"/>
  <c r="K8" i="2" a="1"/>
  <c r="N8" i="2" s="1"/>
  <c r="M9" i="2"/>
  <c r="K9" i="2" a="1"/>
  <c r="N9" i="2" s="1"/>
  <c r="M10" i="2"/>
  <c r="M11" i="2"/>
  <c r="K12" i="2" a="1"/>
  <c r="N12" i="2" s="1"/>
  <c r="M12" i="2"/>
  <c r="K13" i="2" a="1"/>
  <c r="N13" i="2" s="1"/>
  <c r="M13" i="2"/>
  <c r="K14" i="2" a="1"/>
  <c r="M14" i="2"/>
  <c r="K15" i="2" a="1"/>
  <c r="N15" i="2" s="1"/>
  <c r="M15" i="2"/>
  <c r="K16" i="2" a="1"/>
  <c r="N16" i="2" s="1"/>
  <c r="M16" i="2"/>
  <c r="K17" i="2" a="1"/>
  <c r="N17" i="2" s="1"/>
  <c r="M17" i="2"/>
  <c r="M18" i="2"/>
  <c r="K18" i="2" a="1"/>
  <c r="N18" i="2" s="1"/>
  <c r="K19" i="2" a="1"/>
  <c r="N19" i="2" s="1"/>
  <c r="M19" i="2"/>
  <c r="K20" i="2" a="1"/>
  <c r="N20" i="2" s="1"/>
  <c r="M20" i="2"/>
  <c r="K21" i="2" a="1"/>
  <c r="N21" i="2" s="1"/>
  <c r="M21" i="2"/>
  <c r="M22" i="2"/>
  <c r="K23" i="2" a="1"/>
  <c r="N23" i="2" s="1"/>
  <c r="M23" i="2"/>
  <c r="M24" i="2"/>
  <c r="K24" i="2" a="1"/>
  <c r="N24" i="2" s="1"/>
  <c r="M25" i="2"/>
  <c r="K25" i="2" a="1"/>
  <c r="N25" i="2" s="1"/>
  <c r="M26" i="2"/>
  <c r="K26" i="2" a="1"/>
  <c r="N26" i="2" s="1"/>
  <c r="K27" i="2" a="1"/>
  <c r="N27" i="2" s="1"/>
  <c r="M27" i="2"/>
  <c r="M28" i="2"/>
  <c r="K28" i="2" a="1"/>
  <c r="N28" i="2" s="1"/>
  <c r="K29" i="2" a="1"/>
  <c r="N29" i="2" s="1"/>
  <c r="M29" i="2"/>
  <c r="M30" i="2"/>
  <c r="K30" i="2" a="1"/>
  <c r="N30" i="2" s="1"/>
  <c r="K31" i="2" a="1"/>
  <c r="N31" i="2" s="1"/>
  <c r="M31" i="2"/>
  <c r="K32" i="2" a="1"/>
  <c r="N32" i="2" s="1"/>
  <c r="M32" i="2"/>
  <c r="K33" i="2" a="1"/>
  <c r="N33" i="2" s="1"/>
  <c r="M33" i="2"/>
  <c r="K34" i="2" a="1"/>
  <c r="N34" i="2" s="1"/>
  <c r="M34" i="2"/>
  <c r="K35" i="2" a="1"/>
  <c r="N35" i="2" s="1"/>
  <c r="M35" i="2"/>
  <c r="K36" i="2" a="1"/>
  <c r="N36" i="2" s="1"/>
  <c r="M36" i="2"/>
  <c r="K37" i="2" a="1"/>
  <c r="N37" i="2" s="1"/>
  <c r="M37" i="2"/>
  <c r="K38" i="2" a="1"/>
  <c r="N38" i="2" s="1"/>
  <c r="M38" i="2"/>
  <c r="K39" i="2" a="1"/>
  <c r="N39" i="2" s="1"/>
  <c r="M39" i="2"/>
  <c r="K40" i="2" a="1"/>
  <c r="N40" i="2" s="1"/>
  <c r="M40" i="2"/>
  <c r="M41" i="2"/>
  <c r="K41" i="2" a="1"/>
  <c r="N41" i="2" s="1"/>
  <c r="M42" i="2"/>
  <c r="K42" i="2" a="1"/>
  <c r="N42" i="2" s="1"/>
  <c r="K43" i="2" a="1"/>
  <c r="N43" i="2" s="1"/>
  <c r="M43" i="2"/>
  <c r="K44" i="2" a="1"/>
  <c r="N44" i="2" s="1"/>
  <c r="M44" i="2"/>
  <c r="M45" i="2"/>
  <c r="K45" i="2" a="1"/>
  <c r="N45" i="2" s="1"/>
  <c r="M46" i="2"/>
  <c r="K46" i="2" a="1"/>
  <c r="N46" i="2" s="1"/>
  <c r="M47" i="2"/>
  <c r="K47" i="2" a="1"/>
  <c r="N47" i="2" s="1"/>
  <c r="M48" i="2"/>
  <c r="K48" i="2" a="1"/>
  <c r="N48" i="2" s="1"/>
  <c r="K49" i="2" a="1"/>
  <c r="N49" i="2" s="1"/>
  <c r="M49" i="2"/>
  <c r="M50" i="2"/>
  <c r="K50" i="2" a="1"/>
  <c r="N50" i="2" s="1"/>
  <c r="M51" i="2"/>
  <c r="K51" i="2" a="1"/>
  <c r="N51" i="2" s="1"/>
  <c r="M52" i="2"/>
  <c r="M53" i="2"/>
  <c r="K53" i="2" a="1"/>
  <c r="N53" i="2" s="1"/>
  <c r="M54" i="2"/>
  <c r="K54" i="2" a="1"/>
  <c r="N54" i="2" s="1"/>
  <c r="K55" i="2" a="1"/>
  <c r="N55" i="2" s="1"/>
  <c r="M55" i="2"/>
  <c r="K56" i="2" a="1"/>
  <c r="N56" i="2" s="1"/>
  <c r="M56" i="2"/>
  <c r="M57" i="2"/>
  <c r="K57" i="2" a="1"/>
  <c r="N57" i="2" s="1"/>
  <c r="K58" i="2" a="1"/>
  <c r="N58" i="2" s="1"/>
  <c r="M58" i="2"/>
  <c r="K59" i="2" a="1"/>
  <c r="N59" i="2" s="1"/>
  <c r="M59" i="2"/>
  <c r="M60" i="2"/>
  <c r="K60" i="2" a="1"/>
  <c r="N60" i="2" s="1"/>
  <c r="M61" i="2"/>
  <c r="K61" i="2" a="1"/>
  <c r="N61" i="2" s="1"/>
  <c r="K62" i="2" a="1"/>
  <c r="N62" i="2" s="1"/>
  <c r="M62" i="2"/>
  <c r="K63" i="2" a="1"/>
  <c r="N63" i="2" s="1"/>
  <c r="M63" i="2"/>
  <c r="M64" i="2"/>
  <c r="K64" i="2" a="1"/>
  <c r="N64" i="2" s="1"/>
  <c r="K65" i="2" a="1"/>
  <c r="N65" i="2" s="1"/>
  <c r="M65" i="2"/>
  <c r="M66" i="2"/>
  <c r="K66" i="2" a="1"/>
  <c r="N66" i="2" s="1"/>
  <c r="K67" i="2" a="1"/>
  <c r="N67" i="2" s="1"/>
  <c r="M67" i="2"/>
  <c r="M68" i="2"/>
  <c r="K68" i="2" a="1"/>
  <c r="N68" i="2" s="1"/>
  <c r="M69" i="2"/>
  <c r="K69" i="2" a="1"/>
  <c r="N69" i="2" s="1"/>
  <c r="K70" i="2" a="1"/>
  <c r="N70" i="2" s="1"/>
  <c r="M70" i="2"/>
  <c r="K71" i="2" a="1"/>
  <c r="N71" i="2" s="1"/>
  <c r="M71" i="2"/>
  <c r="K72" i="2" a="1"/>
  <c r="N72" i="2" s="1"/>
  <c r="M72" i="2"/>
  <c r="M73" i="2"/>
  <c r="K73" i="2" a="1"/>
  <c r="N73" i="2" s="1"/>
  <c r="K74" i="2" a="1"/>
  <c r="N74" i="2" s="1"/>
  <c r="M74" i="2"/>
  <c r="K75" i="2" a="1"/>
  <c r="N75" i="2" s="1"/>
  <c r="M75" i="2"/>
  <c r="K76" i="2" a="1"/>
  <c r="N76" i="2" s="1"/>
  <c r="M76" i="2"/>
  <c r="M77" i="2"/>
  <c r="M78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K136" i="2" a="1"/>
  <c r="N136" i="2" s="1"/>
  <c r="M136" i="2"/>
  <c r="M137" i="2"/>
  <c r="K137" i="2" a="1"/>
  <c r="N137" i="2" s="1"/>
  <c r="K138" i="2" a="1"/>
  <c r="N138" i="2" s="1"/>
  <c r="M138" i="2"/>
  <c r="M139" i="2"/>
  <c r="K139" i="2" a="1"/>
  <c r="N139" i="2" s="1"/>
  <c r="M140" i="2"/>
  <c r="K140" i="2" a="1"/>
  <c r="N140" i="2" s="1"/>
  <c r="K141" i="2" a="1"/>
  <c r="N141" i="2" s="1"/>
  <c r="M141" i="2"/>
  <c r="K142" i="2" a="1"/>
  <c r="N142" i="2" s="1"/>
  <c r="M142" i="2"/>
  <c r="K143" i="2" a="1"/>
  <c r="N143" i="2" s="1"/>
  <c r="M143" i="2"/>
  <c r="K144" i="2" a="1"/>
  <c r="N144" i="2" s="1"/>
  <c r="M144" i="2"/>
  <c r="K145" i="2" a="1"/>
  <c r="N145" i="2" s="1"/>
  <c r="M145" i="2"/>
  <c r="M146" i="2"/>
  <c r="M147" i="2"/>
  <c r="M148" i="2"/>
  <c r="M149" i="2"/>
  <c r="M150" i="2"/>
  <c r="K151" i="2" a="1"/>
  <c r="N151" i="2" s="1"/>
  <c r="M151" i="2"/>
  <c r="M152" i="2"/>
  <c r="K152" i="2" a="1"/>
  <c r="N152" i="2" s="1"/>
  <c r="M153" i="2"/>
  <c r="K153" i="2" a="1"/>
  <c r="N153" i="2" s="1"/>
  <c r="M154" i="2"/>
  <c r="K154" i="2" a="1"/>
  <c r="N154" i="2" s="1"/>
  <c r="K155" i="2" a="1"/>
  <c r="N155" i="2" s="1"/>
  <c r="M155" i="2"/>
  <c r="M156" i="2"/>
  <c r="K156" i="2" a="1"/>
  <c r="N156" i="2" s="1"/>
  <c r="K157" i="2" a="1"/>
  <c r="N157" i="2" s="1"/>
  <c r="M157" i="2"/>
  <c r="K158" i="2" a="1"/>
  <c r="N158" i="2" s="1"/>
  <c r="M158" i="2"/>
  <c r="M159" i="2"/>
  <c r="K159" i="2" a="1"/>
  <c r="N159" i="2" s="1"/>
  <c r="K160" i="2" a="1"/>
  <c r="M160" i="2"/>
  <c r="K161" i="2" a="1"/>
  <c r="N161" i="2" s="1"/>
  <c r="M161" i="2"/>
  <c r="M162" i="2"/>
  <c r="K162" i="2" a="1"/>
  <c r="N162" i="2" s="1"/>
  <c r="M163" i="2"/>
  <c r="K163" i="2" a="1"/>
  <c r="N163" i="2" s="1"/>
  <c r="M164" i="2"/>
  <c r="K164" i="2" a="1"/>
  <c r="N164" i="2" s="1"/>
  <c r="M165" i="2"/>
  <c r="K165" i="2" a="1"/>
  <c r="N165" i="2" s="1"/>
  <c r="M166" i="2"/>
  <c r="K166" i="2" a="1"/>
  <c r="N166" i="2" s="1"/>
  <c r="M167" i="2"/>
  <c r="K167" i="2" a="1"/>
  <c r="N167" i="2" s="1"/>
  <c r="M168" i="2"/>
  <c r="K168" i="2" a="1"/>
  <c r="N168" i="2" s="1"/>
  <c r="K169" i="2" a="1"/>
  <c r="N169" i="2" s="1"/>
  <c r="M169" i="2"/>
  <c r="M170" i="2"/>
  <c r="K170" i="2" a="1"/>
  <c r="N170" i="2" s="1"/>
  <c r="M171" i="2"/>
  <c r="K171" i="2" a="1"/>
  <c r="N171" i="2" s="1"/>
  <c r="M172" i="2"/>
  <c r="K172" i="2" a="1"/>
  <c r="N172" i="2" s="1"/>
  <c r="K173" i="2" a="1"/>
  <c r="N173" i="2" s="1"/>
  <c r="M173" i="2"/>
  <c r="M174" i="2"/>
  <c r="K174" i="2" a="1"/>
  <c r="N174" i="2" s="1"/>
  <c r="K175" i="2" a="1"/>
  <c r="N175" i="2" s="1"/>
  <c r="M175" i="2"/>
  <c r="K176" i="2" a="1"/>
  <c r="N176" i="2" s="1"/>
  <c r="M176" i="2"/>
  <c r="K177" i="2" a="1"/>
  <c r="N177" i="2" s="1"/>
  <c r="M177" i="2"/>
  <c r="M178" i="2"/>
  <c r="K178" i="2" a="1"/>
  <c r="N178" i="2" s="1"/>
  <c r="M179" i="2"/>
  <c r="K179" i="2" a="1"/>
  <c r="N179" i="2" s="1"/>
  <c r="M180" i="2"/>
  <c r="K180" i="2" a="1"/>
  <c r="N180" i="2" s="1"/>
  <c r="K181" i="2" a="1"/>
  <c r="N181" i="2" s="1"/>
  <c r="M181" i="2"/>
  <c r="M182" i="2"/>
  <c r="K182" i="2" a="1"/>
  <c r="N182" i="2" s="1"/>
  <c r="K183" i="2" a="1"/>
  <c r="N183" i="2" s="1"/>
  <c r="M183" i="2"/>
  <c r="K184" i="2" a="1"/>
  <c r="N184" i="2" s="1"/>
  <c r="M184" i="2"/>
  <c r="M185" i="2"/>
  <c r="K185" i="2" a="1"/>
  <c r="N185" i="2" s="1"/>
  <c r="M186" i="2"/>
  <c r="K186" i="2" a="1"/>
  <c r="N186" i="2" s="1"/>
  <c r="M187" i="2"/>
  <c r="K187" i="2" a="1"/>
  <c r="N187" i="2" s="1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K213" i="2" a="1"/>
  <c r="N213" i="2" s="1"/>
  <c r="M213" i="2"/>
  <c r="K214" i="2" a="1"/>
  <c r="N214" i="2" s="1"/>
  <c r="M214" i="2"/>
  <c r="K215" i="2" a="1"/>
  <c r="N215" i="2" s="1"/>
  <c r="M215" i="2"/>
  <c r="K216" i="2" a="1"/>
  <c r="N216" i="2" s="1"/>
  <c r="M216" i="2"/>
  <c r="K217" i="2" a="1"/>
  <c r="N217" i="2" s="1"/>
  <c r="M217" i="2"/>
  <c r="M218" i="2"/>
  <c r="K218" i="2" a="1"/>
  <c r="N218" i="2" s="1"/>
  <c r="K219" i="2" a="1"/>
  <c r="N219" i="2" s="1"/>
  <c r="M219" i="2"/>
  <c r="K220" i="2" a="1"/>
  <c r="N220" i="2" s="1"/>
  <c r="M220" i="2"/>
  <c r="K221" i="2" a="1"/>
  <c r="N221" i="2" s="1"/>
  <c r="M221" i="2"/>
  <c r="K222" i="2" a="1"/>
  <c r="M222" i="2"/>
  <c r="K223" i="2" a="1"/>
  <c r="N223" i="2" s="1"/>
  <c r="M223" i="2"/>
  <c r="M224" i="2"/>
  <c r="K224" i="2" a="1"/>
  <c r="N224" i="2" s="1"/>
  <c r="K225" i="2" a="1"/>
  <c r="N225" i="2" s="1"/>
  <c r="M225" i="2"/>
  <c r="M226" i="2"/>
  <c r="K226" i="2" a="1"/>
  <c r="N226" i="2" s="1"/>
  <c r="K227" i="2" a="1"/>
  <c r="N227" i="2" s="1"/>
  <c r="M227" i="2"/>
  <c r="M228" i="2"/>
  <c r="K228" i="2" a="1"/>
  <c r="N228" i="2" s="1"/>
  <c r="M229" i="2"/>
  <c r="K229" i="2" a="1"/>
  <c r="N229" i="2" s="1"/>
  <c r="K230" i="2" a="1"/>
  <c r="N230" i="2" s="1"/>
  <c r="M230" i="2"/>
  <c r="M231" i="2"/>
  <c r="K231" i="2" a="1"/>
  <c r="N231" i="2" s="1"/>
  <c r="M232" i="2"/>
  <c r="K232" i="2" a="1"/>
  <c r="N232" i="2" s="1"/>
  <c r="M233" i="2"/>
  <c r="K233" i="2" a="1"/>
  <c r="N233" i="2" s="1"/>
  <c r="M234" i="2"/>
  <c r="K234" i="2" a="1"/>
  <c r="N234" i="2" s="1"/>
  <c r="K235" i="2" a="1"/>
  <c r="N235" i="2" s="1"/>
  <c r="M235" i="2"/>
  <c r="K236" i="2" a="1"/>
  <c r="N236" i="2" s="1"/>
  <c r="M236" i="2"/>
  <c r="M237" i="2"/>
  <c r="K237" i="2" a="1"/>
  <c r="N237" i="2" s="1"/>
  <c r="K238" i="2" a="1"/>
  <c r="N238" i="2" s="1"/>
  <c r="M238" i="2"/>
  <c r="K239" i="2" a="1"/>
  <c r="N239" i="2" s="1"/>
  <c r="M239" i="2"/>
  <c r="K240" i="2" a="1"/>
  <c r="M240" i="2"/>
  <c r="K241" i="2" a="1"/>
  <c r="M241" i="2"/>
  <c r="K242" i="2" a="1"/>
  <c r="N242" i="2" s="1"/>
  <c r="M242" i="2"/>
  <c r="K243" i="2" a="1"/>
  <c r="N243" i="2" s="1"/>
  <c r="M243" i="2"/>
  <c r="M244" i="2"/>
  <c r="K244" i="2" a="1"/>
  <c r="N244" i="2" s="1"/>
  <c r="M245" i="2"/>
  <c r="K245" i="2" a="1"/>
  <c r="N245" i="2" s="1"/>
  <c r="M246" i="2"/>
  <c r="K246" i="2" a="1"/>
  <c r="N246" i="2" s="1"/>
  <c r="M247" i="2"/>
  <c r="K247" i="2" a="1"/>
  <c r="N247" i="2" s="1"/>
  <c r="K248" i="2" a="1"/>
  <c r="N248" i="2" s="1"/>
  <c r="M248" i="2"/>
  <c r="M249" i="2"/>
  <c r="K249" i="2" a="1"/>
  <c r="N249" i="2" s="1"/>
  <c r="K250" i="2" a="1"/>
  <c r="N250" i="2" s="1"/>
  <c r="M250" i="2"/>
  <c r="K251" i="2" a="1"/>
  <c r="N251" i="2" s="1"/>
  <c r="M251" i="2"/>
  <c r="K252" i="2" a="1"/>
  <c r="N252" i="2" s="1"/>
  <c r="M252" i="2"/>
  <c r="K253" i="2" a="1"/>
  <c r="N253" i="2" s="1"/>
  <c r="M253" i="2"/>
  <c r="K254" i="2" a="1"/>
  <c r="N254" i="2" s="1"/>
  <c r="M254" i="2"/>
  <c r="M255" i="2"/>
  <c r="K255" i="2" a="1"/>
  <c r="N255" i="2" s="1"/>
  <c r="K256" i="2" a="1"/>
  <c r="N256" i="2" s="1"/>
  <c r="M256" i="2"/>
  <c r="M257" i="2"/>
  <c r="K257" i="2" a="1"/>
  <c r="N257" i="2" s="1"/>
  <c r="K258" i="2" a="1"/>
  <c r="N258" i="2" s="1"/>
  <c r="M258" i="2"/>
  <c r="K259" i="2" a="1"/>
  <c r="N259" i="2" s="1"/>
  <c r="M259" i="2"/>
  <c r="K260" i="2" a="1"/>
  <c r="N260" i="2" s="1"/>
  <c r="M260" i="2"/>
  <c r="M261" i="2"/>
  <c r="K261" i="2" a="1"/>
  <c r="N261" i="2" s="1"/>
  <c r="M262" i="2"/>
  <c r="K262" i="2" a="1"/>
  <c r="N262" i="2" s="1"/>
  <c r="M263" i="2"/>
  <c r="K263" i="2" a="1"/>
  <c r="N263" i="2" s="1"/>
  <c r="M264" i="2"/>
  <c r="K264" i="2" a="1"/>
  <c r="N264" i="2" s="1"/>
  <c r="M265" i="2"/>
  <c r="K265" i="2" a="1"/>
  <c r="N265" i="2" s="1"/>
  <c r="M266" i="2"/>
  <c r="K266" i="2" a="1"/>
  <c r="N266" i="2" s="1"/>
  <c r="K267" i="2" a="1"/>
  <c r="M267" i="2"/>
  <c r="M268" i="2"/>
  <c r="K268" i="2" a="1"/>
  <c r="N268" i="2" s="1"/>
  <c r="K269" i="2" a="1"/>
  <c r="N269" i="2" s="1"/>
  <c r="M269" i="2"/>
  <c r="L2" i="2"/>
  <c r="Q9" i="2" s="1"/>
  <c r="J22" i="2"/>
  <c r="K22" i="2" s="1" a="1"/>
  <c r="N22" i="2" s="1"/>
  <c r="L22" i="2"/>
  <c r="J76" i="2"/>
  <c r="L76" i="2"/>
  <c r="J77" i="2"/>
  <c r="K77" i="2" s="1" a="1"/>
  <c r="N77" i="2" s="1"/>
  <c r="L77" i="2"/>
  <c r="L78" i="2"/>
  <c r="J78" i="2"/>
  <c r="K78" i="2" s="1" a="1"/>
  <c r="N78" i="2" s="1"/>
  <c r="J79" i="2"/>
  <c r="K79" i="2" s="1" a="1"/>
  <c r="N79" i="2" s="1"/>
  <c r="L79" i="2"/>
  <c r="J80" i="2"/>
  <c r="K80" i="2" s="1" a="1"/>
  <c r="N80" i="2" s="1"/>
  <c r="L80" i="2"/>
  <c r="L81" i="2"/>
  <c r="J81" i="2"/>
  <c r="K81" i="2" s="1" a="1"/>
  <c r="N81" i="2" s="1"/>
  <c r="J82" i="2"/>
  <c r="K82" i="2" s="1" a="1"/>
  <c r="N82" i="2" s="1"/>
  <c r="L82" i="2"/>
  <c r="L83" i="2"/>
  <c r="J83" i="2"/>
  <c r="K83" i="2" s="1" a="1"/>
  <c r="N83" i="2" s="1"/>
  <c r="J84" i="2"/>
  <c r="K84" i="2" s="1" a="1"/>
  <c r="N84" i="2" s="1"/>
  <c r="L84" i="2"/>
  <c r="L85" i="2"/>
  <c r="J85" i="2"/>
  <c r="K85" i="2" s="1" a="1"/>
  <c r="N85" i="2" s="1"/>
  <c r="L86" i="2"/>
  <c r="J86" i="2"/>
  <c r="K86" i="2" s="1" a="1"/>
  <c r="N86" i="2" s="1"/>
  <c r="J87" i="2"/>
  <c r="K87" i="2" s="1" a="1"/>
  <c r="N87" i="2" s="1"/>
  <c r="L87" i="2"/>
  <c r="L88" i="2"/>
  <c r="J88" i="2"/>
  <c r="K88" i="2" s="1" a="1"/>
  <c r="N88" i="2" s="1"/>
  <c r="L89" i="2"/>
  <c r="J89" i="2"/>
  <c r="K89" i="2" s="1" a="1"/>
  <c r="N89" i="2" s="1"/>
  <c r="L90" i="2"/>
  <c r="J90" i="2"/>
  <c r="K90" i="2" s="1" a="1"/>
  <c r="N90" i="2" s="1"/>
  <c r="L91" i="2"/>
  <c r="J91" i="2"/>
  <c r="K91" i="2" s="1" a="1"/>
  <c r="N91" i="2" s="1"/>
  <c r="L92" i="2"/>
  <c r="J92" i="2"/>
  <c r="K92" i="2" s="1" a="1"/>
  <c r="N92" i="2" s="1"/>
  <c r="J93" i="2"/>
  <c r="K93" i="2" s="1" a="1"/>
  <c r="N93" i="2" s="1"/>
  <c r="L93" i="2"/>
  <c r="L94" i="2"/>
  <c r="J94" i="2"/>
  <c r="K94" i="2" s="1" a="1"/>
  <c r="N94" i="2" s="1"/>
  <c r="L95" i="2"/>
  <c r="J95" i="2"/>
  <c r="K95" i="2" s="1" a="1"/>
  <c r="N95" i="2" s="1"/>
  <c r="L96" i="2"/>
  <c r="J96" i="2"/>
  <c r="K96" i="2" s="1" a="1"/>
  <c r="N96" i="2" s="1"/>
  <c r="J97" i="2"/>
  <c r="K97" i="2" s="1" a="1"/>
  <c r="N97" i="2" s="1"/>
  <c r="L97" i="2"/>
  <c r="J98" i="2"/>
  <c r="K98" i="2" s="1" a="1"/>
  <c r="N98" i="2" s="1"/>
  <c r="L98" i="2"/>
  <c r="L99" i="2"/>
  <c r="J99" i="2"/>
  <c r="K99" i="2" s="1" a="1"/>
  <c r="N99" i="2" s="1"/>
  <c r="J100" i="2"/>
  <c r="K100" i="2" s="1" a="1"/>
  <c r="N100" i="2" s="1"/>
  <c r="L100" i="2"/>
  <c r="J101" i="2"/>
  <c r="K101" i="2" s="1" a="1"/>
  <c r="N101" i="2" s="1"/>
  <c r="L101" i="2"/>
  <c r="J102" i="2"/>
  <c r="K102" i="2" s="1" a="1"/>
  <c r="N102" i="2" s="1"/>
  <c r="L102" i="2"/>
  <c r="J103" i="2"/>
  <c r="K103" i="2" s="1" a="1"/>
  <c r="N103" i="2" s="1"/>
  <c r="L103" i="2"/>
  <c r="J104" i="2"/>
  <c r="K104" i="2" s="1" a="1"/>
  <c r="N104" i="2" s="1"/>
  <c r="L104" i="2"/>
  <c r="J105" i="2"/>
  <c r="K105" i="2" s="1" a="1"/>
  <c r="N105" i="2" s="1"/>
  <c r="L105" i="2"/>
  <c r="J106" i="2"/>
  <c r="K106" i="2" s="1" a="1"/>
  <c r="N106" i="2" s="1"/>
  <c r="L106" i="2"/>
  <c r="J107" i="2"/>
  <c r="K107" i="2" s="1" a="1"/>
  <c r="N107" i="2" s="1"/>
  <c r="L107" i="2"/>
  <c r="L108" i="2"/>
  <c r="J108" i="2"/>
  <c r="K108" i="2" s="1" a="1"/>
  <c r="N108" i="2" s="1"/>
  <c r="J109" i="2"/>
  <c r="K109" i="2" s="1" a="1"/>
  <c r="N109" i="2" s="1"/>
  <c r="L109" i="2"/>
  <c r="L110" i="2"/>
  <c r="J110" i="2"/>
  <c r="K110" i="2" s="1" a="1"/>
  <c r="N110" i="2" s="1"/>
  <c r="J111" i="2"/>
  <c r="K111" i="2" s="1" a="1"/>
  <c r="N111" i="2" s="1"/>
  <c r="L111" i="2"/>
  <c r="J112" i="2"/>
  <c r="K112" i="2" s="1" a="1"/>
  <c r="N112" i="2" s="1"/>
  <c r="L112" i="2"/>
  <c r="J113" i="2"/>
  <c r="K113" i="2" s="1" a="1"/>
  <c r="N113" i="2" s="1"/>
  <c r="L113" i="2"/>
  <c r="J114" i="2"/>
  <c r="K114" i="2" s="1" a="1"/>
  <c r="N114" i="2" s="1"/>
  <c r="L114" i="2"/>
  <c r="L115" i="2"/>
  <c r="J115" i="2"/>
  <c r="K115" i="2" s="1" a="1"/>
  <c r="N115" i="2" s="1"/>
  <c r="J116" i="2"/>
  <c r="K116" i="2" s="1" a="1"/>
  <c r="N116" i="2" s="1"/>
  <c r="L116" i="2"/>
  <c r="J117" i="2"/>
  <c r="K117" i="2" s="1" a="1"/>
  <c r="N117" i="2" s="1"/>
  <c r="L117" i="2"/>
  <c r="J118" i="2"/>
  <c r="K118" i="2" s="1" a="1"/>
  <c r="N118" i="2" s="1"/>
  <c r="L118" i="2"/>
  <c r="L119" i="2"/>
  <c r="J119" i="2"/>
  <c r="K119" i="2" s="1" a="1"/>
  <c r="N119" i="2" s="1"/>
  <c r="L120" i="2"/>
  <c r="J120" i="2"/>
  <c r="K120" i="2" s="1" a="1"/>
  <c r="N120" i="2" s="1"/>
  <c r="L121" i="2"/>
  <c r="J121" i="2"/>
  <c r="K121" i="2" s="1" a="1"/>
  <c r="N121" i="2" s="1"/>
  <c r="L122" i="2"/>
  <c r="J122" i="2"/>
  <c r="K122" i="2" s="1" a="1"/>
  <c r="N122" i="2" s="1"/>
  <c r="J123" i="2"/>
  <c r="K123" i="2" s="1" a="1"/>
  <c r="N123" i="2" s="1"/>
  <c r="L123" i="2"/>
  <c r="J124" i="2"/>
  <c r="K124" i="2" s="1" a="1"/>
  <c r="N124" i="2" s="1"/>
  <c r="L124" i="2"/>
  <c r="J125" i="2"/>
  <c r="K125" i="2" s="1" a="1"/>
  <c r="N125" i="2" s="1"/>
  <c r="L125" i="2"/>
  <c r="J126" i="2"/>
  <c r="K126" i="2" s="1" a="1"/>
  <c r="N126" i="2" s="1"/>
  <c r="L126" i="2"/>
  <c r="L127" i="2"/>
  <c r="J127" i="2"/>
  <c r="K127" i="2" s="1" a="1"/>
  <c r="N127" i="2" s="1"/>
  <c r="L128" i="2"/>
  <c r="J128" i="2"/>
  <c r="K128" i="2" s="1" a="1"/>
  <c r="N128" i="2" s="1"/>
  <c r="J129" i="2"/>
  <c r="K129" i="2" s="1" a="1"/>
  <c r="N129" i="2" s="1"/>
  <c r="L129" i="2"/>
  <c r="L130" i="2"/>
  <c r="J130" i="2"/>
  <c r="K130" i="2" s="1" a="1"/>
  <c r="N130" i="2" s="1"/>
  <c r="L131" i="2"/>
  <c r="J131" i="2"/>
  <c r="K131" i="2" s="1" a="1"/>
  <c r="N131" i="2" s="1"/>
  <c r="J132" i="2"/>
  <c r="K132" i="2" s="1" a="1"/>
  <c r="N132" i="2" s="1"/>
  <c r="L132" i="2"/>
  <c r="L133" i="2"/>
  <c r="J133" i="2"/>
  <c r="K133" i="2" s="1" a="1"/>
  <c r="N133" i="2" s="1"/>
  <c r="J134" i="2"/>
  <c r="K134" i="2" s="1" a="1"/>
  <c r="N134" i="2" s="1"/>
  <c r="L134" i="2"/>
  <c r="L135" i="2"/>
  <c r="J135" i="2"/>
  <c r="K135" i="2" s="1" a="1"/>
  <c r="N135" i="2" s="1"/>
  <c r="L325" i="2"/>
  <c r="J325" i="2"/>
  <c r="K325" i="2" s="1" a="1"/>
  <c r="N325" i="2" s="1"/>
  <c r="J326" i="2"/>
  <c r="K326" i="2" s="1" a="1"/>
  <c r="N326" i="2" s="1"/>
  <c r="L326" i="2"/>
  <c r="S8" i="5" l="1"/>
  <c r="S7" i="5"/>
  <c r="S2" i="5"/>
  <c r="S5" i="5"/>
  <c r="S4" i="5"/>
  <c r="S3" i="5"/>
  <c r="N6" i="3"/>
  <c r="N5" i="3"/>
  <c r="N4" i="3"/>
  <c r="N3" i="3"/>
  <c r="N2" i="3"/>
  <c r="N8" i="3"/>
  <c r="N7" i="3"/>
  <c r="Q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<sst xmlns="http://schemas.openxmlformats.org/spreadsheetml/2006/main" count="38340" uniqueCount="6559">
  <si>
    <t>account_id</t>
  </si>
  <si>
    <t>account_name</t>
  </si>
  <si>
    <t>website</t>
  </si>
  <si>
    <t>industry</t>
  </si>
  <si>
    <t>employee_count</t>
  </si>
  <si>
    <t>estimated_annual_revenue</t>
  </si>
  <si>
    <t>state_code</t>
  </si>
  <si>
    <t>segment</t>
  </si>
  <si>
    <t>territory_id</t>
  </si>
  <si>
    <t>owner_id</t>
  </si>
  <si>
    <t>account_status</t>
  </si>
  <si>
    <t>created_at</t>
  </si>
  <si>
    <t>ACC0001</t>
  </si>
  <si>
    <t>Goldcrest Distribution Inc.</t>
  </si>
  <si>
    <t>goldcrestdistribution.com</t>
  </si>
  <si>
    <t>Transportation &amp; Logistics</t>
  </si>
  <si>
    <t>NY</t>
  </si>
  <si>
    <t>Upper Mid-Market</t>
  </si>
  <si>
    <t>USR009</t>
  </si>
  <si>
    <t>Prospect</t>
  </si>
  <si>
    <t>ACC0002</t>
  </si>
  <si>
    <t>BluePeak Distribution Group</t>
  </si>
  <si>
    <t>bluepeakdistribution.com</t>
  </si>
  <si>
    <t>GA</t>
  </si>
  <si>
    <t>SMB</t>
  </si>
  <si>
    <t>USR006</t>
  </si>
  <si>
    <t>ACC0003</t>
  </si>
  <si>
    <t>Bluewater Health Partners</t>
  </si>
  <si>
    <t>bluewaterhealthpartners.com</t>
  </si>
  <si>
    <t>Healthcare</t>
  </si>
  <si>
    <t>Mid-Market</t>
  </si>
  <si>
    <t>ACC0004</t>
  </si>
  <si>
    <t>Cedarstone Operations</t>
  </si>
  <si>
    <t>cedarstoneoperations.com</t>
  </si>
  <si>
    <t>Business Services</t>
  </si>
  <si>
    <t>OR</t>
  </si>
  <si>
    <t>USR012</t>
  </si>
  <si>
    <t>ACC0005</t>
  </si>
  <si>
    <t>Apex Precision Works LLC</t>
  </si>
  <si>
    <t>apexprecisionworks.com</t>
  </si>
  <si>
    <t>Manufacturing</t>
  </si>
  <si>
    <t>TN</t>
  </si>
  <si>
    <t>Customer</t>
  </si>
  <si>
    <t>ACC0006</t>
  </si>
  <si>
    <t>Cobalt Logistics Group</t>
  </si>
  <si>
    <t>cobaltlogistics.com</t>
  </si>
  <si>
    <t>NH</t>
  </si>
  <si>
    <t>ACC0007</t>
  </si>
  <si>
    <t>ClearPath Professional Services</t>
  </si>
  <si>
    <t>Professional Services</t>
  </si>
  <si>
    <t>CA</t>
  </si>
  <si>
    <t>ACC0008</t>
  </si>
  <si>
    <t>Vantage Freight LLC</t>
  </si>
  <si>
    <t>vantagefreight.com</t>
  </si>
  <si>
    <t>MI</t>
  </si>
  <si>
    <t>USR011</t>
  </si>
  <si>
    <t>ACC0009</t>
  </si>
  <si>
    <t>Northstar Professional Services</t>
  </si>
  <si>
    <t>northstarprofessionalservices.com</t>
  </si>
  <si>
    <t>USR008</t>
  </si>
  <si>
    <t>ACC0010</t>
  </si>
  <si>
    <t>Riverbend Academy</t>
  </si>
  <si>
    <t>riverbendacademy.com</t>
  </si>
  <si>
    <t>Education</t>
  </si>
  <si>
    <t>KS</t>
  </si>
  <si>
    <t>ACC0011</t>
  </si>
  <si>
    <t>Rivermark Manufacturing</t>
  </si>
  <si>
    <t>rivermarkmanufacturing.com</t>
  </si>
  <si>
    <t>IL</t>
  </si>
  <si>
    <t>USR007</t>
  </si>
  <si>
    <t>ACC0012</t>
  </si>
  <si>
    <t>TrueNorth Solutions Inc.</t>
  </si>
  <si>
    <t>truenorthsolutions.com</t>
  </si>
  <si>
    <t>ACC0013</t>
  </si>
  <si>
    <t>Elmwood Freight</t>
  </si>
  <si>
    <t>elmwoodfreight.com</t>
  </si>
  <si>
    <t>MT</t>
  </si>
  <si>
    <t>ACC0014</t>
  </si>
  <si>
    <t>Vertex Digital LLC</t>
  </si>
  <si>
    <t>vertexdigital.com</t>
  </si>
  <si>
    <t>Software &amp; Technology</t>
  </si>
  <si>
    <t>FL</t>
  </si>
  <si>
    <t>USR010</t>
  </si>
  <si>
    <t>ACC0015</t>
  </si>
  <si>
    <t>Brightwell Infrastructure Inc.</t>
  </si>
  <si>
    <t>brightwellinfrastructure.com</t>
  </si>
  <si>
    <t>Construction</t>
  </si>
  <si>
    <t>ACC0016</t>
  </si>
  <si>
    <t>Crestpoint Medical Group</t>
  </si>
  <si>
    <t>crestpointmedical.com</t>
  </si>
  <si>
    <t>DC</t>
  </si>
  <si>
    <t>USR005</t>
  </si>
  <si>
    <t>ACC0017</t>
  </si>
  <si>
    <t>Skyline Systems</t>
  </si>
  <si>
    <t>skylinesystems.com</t>
  </si>
  <si>
    <t>NJ</t>
  </si>
  <si>
    <t>ACC0018</t>
  </si>
  <si>
    <t>Parkline Distribution</t>
  </si>
  <si>
    <t>parklinedistribution.com</t>
  </si>
  <si>
    <t>NV</t>
  </si>
  <si>
    <t>ACC0019</t>
  </si>
  <si>
    <t>Granite Peak Freight</t>
  </si>
  <si>
    <t>granitepeakfreight.com</t>
  </si>
  <si>
    <t>ACC0020</t>
  </si>
  <si>
    <t>Cobalt Builders Inc.</t>
  </si>
  <si>
    <t>cobaltbuilders.com</t>
  </si>
  <si>
    <t>ACC0021</t>
  </si>
  <si>
    <t>Crownstone Financial Services Group</t>
  </si>
  <si>
    <t>crownstonefinancialservices.com</t>
  </si>
  <si>
    <t>Financial Services</t>
  </si>
  <si>
    <t>ACC0022</t>
  </si>
  <si>
    <t>TrueNorth Fabrication</t>
  </si>
  <si>
    <t>truenorthfabrication.com</t>
  </si>
  <si>
    <t>ACC0023</t>
  </si>
  <si>
    <t>Eastwood Wealth Partners Group</t>
  </si>
  <si>
    <t>eastwoodwealthpartners.com</t>
  </si>
  <si>
    <t>LA</t>
  </si>
  <si>
    <t>ACC0024</t>
  </si>
  <si>
    <t>Frontier Labs LLC</t>
  </si>
  <si>
    <t>frontierlabs.com</t>
  </si>
  <si>
    <t>VA</t>
  </si>
  <si>
    <t>ACC0025</t>
  </si>
  <si>
    <t>Blue Harbor Labs</t>
  </si>
  <si>
    <t>blueharborlabs.com</t>
  </si>
  <si>
    <t>ACC0026</t>
  </si>
  <si>
    <t>Riverbend Consulting Group</t>
  </si>
  <si>
    <t>riverbendconsulting.com</t>
  </si>
  <si>
    <t>KY</t>
  </si>
  <si>
    <t>ACC0027</t>
  </si>
  <si>
    <t>Lakeshore Training</t>
  </si>
  <si>
    <t>lakeshoretraining.com</t>
  </si>
  <si>
    <t>ACC0028</t>
  </si>
  <si>
    <t>Vantage Transportation Group</t>
  </si>
  <si>
    <t>vantagetransportation.com</t>
  </si>
  <si>
    <t>ACC0029</t>
  </si>
  <si>
    <t>ClearPath Industrial</t>
  </si>
  <si>
    <t>clearpathindustrial.com</t>
  </si>
  <si>
    <t>ACC0030</t>
  </si>
  <si>
    <t>Harborview Digital</t>
  </si>
  <si>
    <t>harborviewdigital.com</t>
  </si>
  <si>
    <t>TX</t>
  </si>
  <si>
    <t>Former Customer</t>
  </si>
  <si>
    <t>ACC0031</t>
  </si>
  <si>
    <t>Redwood Fabrication</t>
  </si>
  <si>
    <t>redwoodfabrication.com</t>
  </si>
  <si>
    <t>ACC0032</t>
  </si>
  <si>
    <t>Riverbend Contracting Group</t>
  </si>
  <si>
    <t>riverbendcontracting.com</t>
  </si>
  <si>
    <t>ACC0033</t>
  </si>
  <si>
    <t>OpenGate Freight</t>
  </si>
  <si>
    <t>opengatefreight.com</t>
  </si>
  <si>
    <t>ACC0034</t>
  </si>
  <si>
    <t>Cornerstone Advisory Partners</t>
  </si>
  <si>
    <t>cornerstoneadvisorypartners.com</t>
  </si>
  <si>
    <t>NC</t>
  </si>
  <si>
    <t>ACC0035</t>
  </si>
  <si>
    <t>Goldcrest Business Solutions</t>
  </si>
  <si>
    <t>goldcrestbusinesssolutions.com</t>
  </si>
  <si>
    <t>ACC0036</t>
  </si>
  <si>
    <t>Bluewater Precision Works</t>
  </si>
  <si>
    <t>bluewaterprecisionworks.com</t>
  </si>
  <si>
    <t>AK</t>
  </si>
  <si>
    <t>ACC0037</t>
  </si>
  <si>
    <t>Sterling Operations</t>
  </si>
  <si>
    <t>sterlingoperations.com</t>
  </si>
  <si>
    <t>ACC0038</t>
  </si>
  <si>
    <t>Eastgate Advisory Group</t>
  </si>
  <si>
    <t>eastgateadvisory.com</t>
  </si>
  <si>
    <t>ACC0039</t>
  </si>
  <si>
    <t>Apex Technologies Group</t>
  </si>
  <si>
    <t>apextechnologies.com</t>
  </si>
  <si>
    <t>MD</t>
  </si>
  <si>
    <t>ACC0040</t>
  </si>
  <si>
    <t>Foxbridge Training Inc.</t>
  </si>
  <si>
    <t>foxbridgetraining.com</t>
  </si>
  <si>
    <t>ACC0041</t>
  </si>
  <si>
    <t>Parkline Labs</t>
  </si>
  <si>
    <t>parklinelabs.com</t>
  </si>
  <si>
    <t>AZ</t>
  </si>
  <si>
    <t>ACC0042</t>
  </si>
  <si>
    <t>Meridian Advisory Partners LLC</t>
  </si>
  <si>
    <t>meridianadvisorypartners.com</t>
  </si>
  <si>
    <t>UT</t>
  </si>
  <si>
    <t>ACC0043</t>
  </si>
  <si>
    <t>Arbor Learning Systems Group</t>
  </si>
  <si>
    <t>arborlearningsystems.com</t>
  </si>
  <si>
    <t>ACC0044</t>
  </si>
  <si>
    <t>Silverline Software</t>
  </si>
  <si>
    <t>silverlinesoftware.com</t>
  </si>
  <si>
    <t>ACC0045</t>
  </si>
  <si>
    <t>Clearwater Financial Group</t>
  </si>
  <si>
    <t>clearwaterfinancial.com</t>
  </si>
  <si>
    <t>CT</t>
  </si>
  <si>
    <t>ACC0046</t>
  </si>
  <si>
    <t>Skyline Clinical Services</t>
  </si>
  <si>
    <t>skylineclinicalservices.com</t>
  </si>
  <si>
    <t>ACC0047</t>
  </si>
  <si>
    <t>Pioneer Systems</t>
  </si>
  <si>
    <t>pioneersystems.com</t>
  </si>
  <si>
    <t>ACC0048</t>
  </si>
  <si>
    <t>Cedarstone Retail Group Inc.</t>
  </si>
  <si>
    <t>Retail &amp; E-Commerce</t>
  </si>
  <si>
    <t>ACC0049</t>
  </si>
  <si>
    <t>Evergreen Services Group Inc.</t>
  </si>
  <si>
    <t>evergreenservices.com</t>
  </si>
  <si>
    <t>WA</t>
  </si>
  <si>
    <t>ACC0050</t>
  </si>
  <si>
    <t>Brightwell Academy</t>
  </si>
  <si>
    <t>brightwellacademy.com</t>
  </si>
  <si>
    <t>ACC0051</t>
  </si>
  <si>
    <t>Stonebridge Professional Services Group</t>
  </si>
  <si>
    <t>stonebridgeprofessionalservices.com</t>
  </si>
  <si>
    <t>MN</t>
  </si>
  <si>
    <t>ACC0052</t>
  </si>
  <si>
    <t>Sterling Medical Group</t>
  </si>
  <si>
    <t>sterlingmedical.com</t>
  </si>
  <si>
    <t>MA</t>
  </si>
  <si>
    <t>ACC0053</t>
  </si>
  <si>
    <t>Maplewood Systems</t>
  </si>
  <si>
    <t>maplewoodsystems.com</t>
  </si>
  <si>
    <t>ACC0054</t>
  </si>
  <si>
    <t>Ironwood Precision Works</t>
  </si>
  <si>
    <t>ironwoodprecisionworks.com</t>
  </si>
  <si>
    <t>RI</t>
  </si>
  <si>
    <t>ACC0055</t>
  </si>
  <si>
    <t>Bluewater Builders</t>
  </si>
  <si>
    <t>OH</t>
  </si>
  <si>
    <t>ACC0056</t>
  </si>
  <si>
    <t>Evergreen Consulting</t>
  </si>
  <si>
    <t>evergreenconsulting.com</t>
  </si>
  <si>
    <t>ACC0057</t>
  </si>
  <si>
    <t>Skyline Care Network</t>
  </si>
  <si>
    <t>skylinecarenetwork.com</t>
  </si>
  <si>
    <t>ACC0058</t>
  </si>
  <si>
    <t>Vantage Retail</t>
  </si>
  <si>
    <t>vantageretail.com</t>
  </si>
  <si>
    <t>WV</t>
  </si>
  <si>
    <t>ACC0059</t>
  </si>
  <si>
    <t>Cedarstone Labs</t>
  </si>
  <si>
    <t>cedarstonelabs.com</t>
  </si>
  <si>
    <t>ACC0060</t>
  </si>
  <si>
    <t>Sterling Distribution</t>
  </si>
  <si>
    <t>sterlingdistribution.com</t>
  </si>
  <si>
    <t>ACC0061</t>
  </si>
  <si>
    <t>Clearwater Transportation</t>
  </si>
  <si>
    <t>clearwatertransportation.com</t>
  </si>
  <si>
    <t>ACC0062</t>
  </si>
  <si>
    <t>Oakridge Industries</t>
  </si>
  <si>
    <t>oakridgeindustries.com</t>
  </si>
  <si>
    <t>CO</t>
  </si>
  <si>
    <t>ACC0063</t>
  </si>
  <si>
    <t>Granite Peak Advisory Partners</t>
  </si>
  <si>
    <t>granitepeakadvisorypartners.com</t>
  </si>
  <si>
    <t>ACC0064</t>
  </si>
  <si>
    <t>Crossroads Health Partners</t>
  </si>
  <si>
    <t>crossroadshealthpartners.com</t>
  </si>
  <si>
    <t>ACC0065</t>
  </si>
  <si>
    <t>Suncrest Clinical Services</t>
  </si>
  <si>
    <t>suncrestclinicalservices.com</t>
  </si>
  <si>
    <t>ACC0066</t>
  </si>
  <si>
    <t>Rivermark Capital Group</t>
  </si>
  <si>
    <t>rivermarkcapital.com</t>
  </si>
  <si>
    <t>ACC0067</t>
  </si>
  <si>
    <t>Sterling Labs</t>
  </si>
  <si>
    <t>sterlinglabs.com</t>
  </si>
  <si>
    <t>ACC0068</t>
  </si>
  <si>
    <t>ClearPath Advisory</t>
  </si>
  <si>
    <t>ACC0069</t>
  </si>
  <si>
    <t>Meridian Construction Group</t>
  </si>
  <si>
    <t>meridianconstruction.com</t>
  </si>
  <si>
    <t>ACC0070</t>
  </si>
  <si>
    <t>Crossroads Commerce</t>
  </si>
  <si>
    <t>crossroadscommerce.com</t>
  </si>
  <si>
    <t>ACC0071</t>
  </si>
  <si>
    <t>Greenfield Industries LLC</t>
  </si>
  <si>
    <t>greenfieldindustries.com</t>
  </si>
  <si>
    <t>ACC0072</t>
  </si>
  <si>
    <t>Highland Fabrication</t>
  </si>
  <si>
    <t>highlandfabrication.com</t>
  </si>
  <si>
    <t>ACC0073</t>
  </si>
  <si>
    <t>Skyline Health Partners</t>
  </si>
  <si>
    <t>skylinehealthpartners.com</t>
  </si>
  <si>
    <t>ACC0074</t>
  </si>
  <si>
    <t>Evergreen Wealth Partners LLC</t>
  </si>
  <si>
    <t>evergreenwealthpartners.com</t>
  </si>
  <si>
    <t>ID</t>
  </si>
  <si>
    <t>ACC0075</t>
  </si>
  <si>
    <t>Greenfield Software</t>
  </si>
  <si>
    <t>greenfieldsoftware.com</t>
  </si>
  <si>
    <t>ACC0076</t>
  </si>
  <si>
    <t>PrimePoint Consulting</t>
  </si>
  <si>
    <t>primepointconsulting.com</t>
  </si>
  <si>
    <t>ACC0077</t>
  </si>
  <si>
    <t>Skyline Industries</t>
  </si>
  <si>
    <t>skylineindustries.com</t>
  </si>
  <si>
    <t>OK</t>
  </si>
  <si>
    <t>ACC0078</t>
  </si>
  <si>
    <t>Northstar Technologies Inc.</t>
  </si>
  <si>
    <t>northstartechnologies.com</t>
  </si>
  <si>
    <t>ACC0079</t>
  </si>
  <si>
    <t>Highland Logistics</t>
  </si>
  <si>
    <t>highlandlogistics.com</t>
  </si>
  <si>
    <t>ACC0080</t>
  </si>
  <si>
    <t>Arbor Financial Services</t>
  </si>
  <si>
    <t>arborfinancialservices.com</t>
  </si>
  <si>
    <t>ACC0081</t>
  </si>
  <si>
    <t>ClearPath Distribution</t>
  </si>
  <si>
    <t>clearpathdistribution.com</t>
  </si>
  <si>
    <t>ACC0082</t>
  </si>
  <si>
    <t>Bluewater Manufacturing</t>
  </si>
  <si>
    <t>bluewatermanufacturing.com</t>
  </si>
  <si>
    <t>ACC0083</t>
  </si>
  <si>
    <t>Apex Retail</t>
  </si>
  <si>
    <t>apexretail.com</t>
  </si>
  <si>
    <t>ACC0084</t>
  </si>
  <si>
    <t>Ridgeview Retail Group</t>
  </si>
  <si>
    <t>ridgeviewretail.com</t>
  </si>
  <si>
    <t>ACC0085</t>
  </si>
  <si>
    <t>Northwind Learning Systems Group</t>
  </si>
  <si>
    <t>northwindlearningsystems.com</t>
  </si>
  <si>
    <t>ACC0086</t>
  </si>
  <si>
    <t>Highland Digital</t>
  </si>
  <si>
    <t>highlanddigital.com</t>
  </si>
  <si>
    <t>AL</t>
  </si>
  <si>
    <t>ACC0087</t>
  </si>
  <si>
    <t>Silver Oak Technologies Group</t>
  </si>
  <si>
    <t>silveroaktechnologies.com</t>
  </si>
  <si>
    <t>ACC0088</t>
  </si>
  <si>
    <t>Stonebridge Solutions</t>
  </si>
  <si>
    <t>stonebridgesolutions.com</t>
  </si>
  <si>
    <t>ACC0089</t>
  </si>
  <si>
    <t>BluePeak Software</t>
  </si>
  <si>
    <t>bluepeaksoftware.com</t>
  </si>
  <si>
    <t>ACC0090</t>
  </si>
  <si>
    <t>Oakridge Brands</t>
  </si>
  <si>
    <t>oakridgebrands.com</t>
  </si>
  <si>
    <t>ACC0091</t>
  </si>
  <si>
    <t>Oakridge Support Services</t>
  </si>
  <si>
    <t>oakridgesupportservices.com</t>
  </si>
  <si>
    <t>IA</t>
  </si>
  <si>
    <t>ACC0092</t>
  </si>
  <si>
    <t>Vertex Digital Group</t>
  </si>
  <si>
    <t>ACC0093</t>
  </si>
  <si>
    <t>Pioneer Software</t>
  </si>
  <si>
    <t>pioneersoftware.com</t>
  </si>
  <si>
    <t>ACC0094</t>
  </si>
  <si>
    <t>Skyline Business Solutions</t>
  </si>
  <si>
    <t>skylinebusinesssolutions.com</t>
  </si>
  <si>
    <t>ACC0095</t>
  </si>
  <si>
    <t>Vantage Software</t>
  </si>
  <si>
    <t>vantagesoftware.com</t>
  </si>
  <si>
    <t>ACC0096</t>
  </si>
  <si>
    <t>Lakeshore Transportation LLC</t>
  </si>
  <si>
    <t>lakeshoretransportation.com</t>
  </si>
  <si>
    <t>ACC0097</t>
  </si>
  <si>
    <t>Westfield Construction Group</t>
  </si>
  <si>
    <t>westfieldconstruction.com</t>
  </si>
  <si>
    <t>ACC0098</t>
  </si>
  <si>
    <t>Bridgeway Learning Systems Group</t>
  </si>
  <si>
    <t>bridgewaylearningsystems.com</t>
  </si>
  <si>
    <t>ACC0099</t>
  </si>
  <si>
    <t>Foxbridge Financial Group</t>
  </si>
  <si>
    <t>foxbridgefinancial.com</t>
  </si>
  <si>
    <t>ACC0100</t>
  </si>
  <si>
    <t>Rivermark Digital</t>
  </si>
  <si>
    <t>rivermarkdigital.com</t>
  </si>
  <si>
    <t>PA</t>
  </si>
  <si>
    <t>ACC0101</t>
  </si>
  <si>
    <t>OpenGate Consulting LLC</t>
  </si>
  <si>
    <t>opengateconsulting.com</t>
  </si>
  <si>
    <t>ACC0102</t>
  </si>
  <si>
    <t>Summit Ridge Builders Group</t>
  </si>
  <si>
    <t>summitridgebuilders.com</t>
  </si>
  <si>
    <t>ACC0103</t>
  </si>
  <si>
    <t>Fairview Fabrication LLC</t>
  </si>
  <si>
    <t>fairviewfabrication.com</t>
  </si>
  <si>
    <t>ACC0104</t>
  </si>
  <si>
    <t>Rivermark Clinical Services LLC</t>
  </si>
  <si>
    <t>rivermarkclinicalservices.com</t>
  </si>
  <si>
    <t>ACC0105</t>
  </si>
  <si>
    <t>TrueNorth Health Services</t>
  </si>
  <si>
    <t>truenorthhealthservices.com</t>
  </si>
  <si>
    <t>ACC0106</t>
  </si>
  <si>
    <t>Sterling Advisory</t>
  </si>
  <si>
    <t>sterlingadvisory.com</t>
  </si>
  <si>
    <t>DE</t>
  </si>
  <si>
    <t>ACC0107</t>
  </si>
  <si>
    <t>Arbor Support Services Inc.</t>
  </si>
  <si>
    <t>arborsupportservices.com</t>
  </si>
  <si>
    <t>ACC0108</t>
  </si>
  <si>
    <t>Clearwater Health Partners</t>
  </si>
  <si>
    <t>clearwaterhealthpartners.com</t>
  </si>
  <si>
    <t>ACC0109</t>
  </si>
  <si>
    <t>ClearPath Manufacturing LLC</t>
  </si>
  <si>
    <t>clearpathmanufacturing.com</t>
  </si>
  <si>
    <t>ACC0110</t>
  </si>
  <si>
    <t>Frontier Precision Works LLC</t>
  </si>
  <si>
    <t>frontierprecisionworks.com</t>
  </si>
  <si>
    <t>ACC0111</t>
  </si>
  <si>
    <t>Frontier Learning</t>
  </si>
  <si>
    <t>frontierlearning.com</t>
  </si>
  <si>
    <t>ACC0112</t>
  </si>
  <si>
    <t>Redstone Manufacturing</t>
  </si>
  <si>
    <t>redstonemanufacturing.com</t>
  </si>
  <si>
    <t>AR</t>
  </si>
  <si>
    <t>ACC0113</t>
  </si>
  <si>
    <t>Catalyst Support Services</t>
  </si>
  <si>
    <t>catalystsupportservices.com</t>
  </si>
  <si>
    <t>MO</t>
  </si>
  <si>
    <t>ACC0114</t>
  </si>
  <si>
    <t>Granite Peak Manufacturing LLC</t>
  </si>
  <si>
    <t>granitepeakmanufacturing.com</t>
  </si>
  <si>
    <t>ACC0115</t>
  </si>
  <si>
    <t>Cobalt Health Services</t>
  </si>
  <si>
    <t>cobalthealthservices.com</t>
  </si>
  <si>
    <t>NE</t>
  </si>
  <si>
    <t>ACC0116</t>
  </si>
  <si>
    <t>Eastwood Consulting</t>
  </si>
  <si>
    <t>eastwoodconsulting.com</t>
  </si>
  <si>
    <t>ACC0117</t>
  </si>
  <si>
    <t>Crownstone Business Solutions Group</t>
  </si>
  <si>
    <t>crownstonebusinesssolutions.com</t>
  </si>
  <si>
    <t>ACC0118</t>
  </si>
  <si>
    <t>Summit Ridge Academy Group</t>
  </si>
  <si>
    <t>summitridgeacademy.com</t>
  </si>
  <si>
    <t>ACC0119</t>
  </si>
  <si>
    <t>Blue Harbor Health Services</t>
  </si>
  <si>
    <t>blueharborhealthservices.com</t>
  </si>
  <si>
    <t>ACC0120</t>
  </si>
  <si>
    <t>Cobalt Clinical Services LLC</t>
  </si>
  <si>
    <t>cobaltclinicalservices.com</t>
  </si>
  <si>
    <t>ACC0121</t>
  </si>
  <si>
    <t>Keystone Labs LLC</t>
  </si>
  <si>
    <t>keystonelabs.com</t>
  </si>
  <si>
    <t>ACC0122</t>
  </si>
  <si>
    <t>PrimePoint Software</t>
  </si>
  <si>
    <t>primepointsoftware.com</t>
  </si>
  <si>
    <t>ACC0123</t>
  </si>
  <si>
    <t>Redstone Marketplace Inc.</t>
  </si>
  <si>
    <t>redstonemarketplace.com</t>
  </si>
  <si>
    <t>IN</t>
  </si>
  <si>
    <t>ACC0124</t>
  </si>
  <si>
    <t>Vantage Systems</t>
  </si>
  <si>
    <t>vantagesystems.com</t>
  </si>
  <si>
    <t>ACC0125</t>
  </si>
  <si>
    <t>Silverline Technologies</t>
  </si>
  <si>
    <t>silverlinetechnologies.com</t>
  </si>
  <si>
    <t>ACC0126</t>
  </si>
  <si>
    <t>Ironwood Software Group</t>
  </si>
  <si>
    <t>ironwoodsoftware.com</t>
  </si>
  <si>
    <t>ACC0127</t>
  </si>
  <si>
    <t>Meridian Financial Services</t>
  </si>
  <si>
    <t>meridianfinancialservices.com</t>
  </si>
  <si>
    <t>ACC0128</t>
  </si>
  <si>
    <t>Cornerstone Industries Inc.</t>
  </si>
  <si>
    <t>cornerstoneindustries.com</t>
  </si>
  <si>
    <t>ACC0129</t>
  </si>
  <si>
    <t>Clearwater Precision Works</t>
  </si>
  <si>
    <t>clearwaterprecisionworks.com</t>
  </si>
  <si>
    <t>ACC0130</t>
  </si>
  <si>
    <t>Northwind Contracting LLC</t>
  </si>
  <si>
    <t>northwindcontracting.com</t>
  </si>
  <si>
    <t>ACC0131</t>
  </si>
  <si>
    <t>Evergreen Support Services</t>
  </si>
  <si>
    <t>evergreensupportservices.com</t>
  </si>
  <si>
    <t>ACC0132</t>
  </si>
  <si>
    <t>Brookstone Precision Works</t>
  </si>
  <si>
    <t>ACC0133</t>
  </si>
  <si>
    <t>Lakeshore Commerce</t>
  </si>
  <si>
    <t>lakeshorecommerce.com</t>
  </si>
  <si>
    <t>ACC0134</t>
  </si>
  <si>
    <t>Suncrest Freight Inc.</t>
  </si>
  <si>
    <t>suncrestfreight.com</t>
  </si>
  <si>
    <t>ACC0135</t>
  </si>
  <si>
    <t>Redstone Consulting Group</t>
  </si>
  <si>
    <t>redstoneconsulting.com</t>
  </si>
  <si>
    <t>ACC0136</t>
  </si>
  <si>
    <t>Skyline Precision Works Group</t>
  </si>
  <si>
    <t>skylineprecisionworks.com</t>
  </si>
  <si>
    <t>ACC0137</t>
  </si>
  <si>
    <t>Oakridge Distribution</t>
  </si>
  <si>
    <t>oakridgedistribution.com</t>
  </si>
  <si>
    <t>ACC0138</t>
  </si>
  <si>
    <t>Riverbend Support Services Inc.</t>
  </si>
  <si>
    <t>riverbendsupportservices.com</t>
  </si>
  <si>
    <t>ACC0139</t>
  </si>
  <si>
    <t>Maplewood Distribution Inc.</t>
  </si>
  <si>
    <t>maplewooddistribution.com</t>
  </si>
  <si>
    <t>ACC0140</t>
  </si>
  <si>
    <t>Cobalt Supply Chain LLC</t>
  </si>
  <si>
    <t>cobaltsupplychain.com</t>
  </si>
  <si>
    <t>ACC0141</t>
  </si>
  <si>
    <t>Beacon Capital</t>
  </si>
  <si>
    <t>beaconcapital.com</t>
  </si>
  <si>
    <t>ACC0142</t>
  </si>
  <si>
    <t>Northstar Business Solutions Inc.</t>
  </si>
  <si>
    <t>northstarbusinesssolutions.com</t>
  </si>
  <si>
    <t>ACC0143</t>
  </si>
  <si>
    <t>Frontier Software</t>
  </si>
  <si>
    <t>frontiersoftware.com</t>
  </si>
  <si>
    <t>ACC0144</t>
  </si>
  <si>
    <t>Ridgeview Marketplace</t>
  </si>
  <si>
    <t>ridgeviewmarketplace.com</t>
  </si>
  <si>
    <t>ACC0145</t>
  </si>
  <si>
    <t>Silver Oak Manufacturing</t>
  </si>
  <si>
    <t>silveroakmanufacturing.com</t>
  </si>
  <si>
    <t>ACC0146</t>
  </si>
  <si>
    <t>Vertex Support Services</t>
  </si>
  <si>
    <t>vertexsupportservices.com</t>
  </si>
  <si>
    <t>ACC0147</t>
  </si>
  <si>
    <t>Vertex Logistics</t>
  </si>
  <si>
    <t>vertexlogistics.com</t>
  </si>
  <si>
    <t>ACC0148</t>
  </si>
  <si>
    <t>Arbor Software Inc.</t>
  </si>
  <si>
    <t>arborsoftware.com</t>
  </si>
  <si>
    <t>ACC0149</t>
  </si>
  <si>
    <t>Silverline Transportation</t>
  </si>
  <si>
    <t>silverlinetransportation.com</t>
  </si>
  <si>
    <t>ACC0150</t>
  </si>
  <si>
    <t>TrueNorth Consulting Group</t>
  </si>
  <si>
    <t>truenorthconsulting.com</t>
  </si>
  <si>
    <t>ACC0151</t>
  </si>
  <si>
    <t>Westlake Services Group</t>
  </si>
  <si>
    <t>westlakeservices.com</t>
  </si>
  <si>
    <t>ACC0152</t>
  </si>
  <si>
    <t>Northstar Commerce</t>
  </si>
  <si>
    <t>northstarcommerce.com</t>
  </si>
  <si>
    <t>ACC0153</t>
  </si>
  <si>
    <t>Granite Peak Care Network LLC</t>
  </si>
  <si>
    <t>granitepeakcarenetwork.com</t>
  </si>
  <si>
    <t>ACC0154</t>
  </si>
  <si>
    <t>Ironwood Industrial Inc.</t>
  </si>
  <si>
    <t>ironwoodindustrial.com</t>
  </si>
  <si>
    <t>ACC0155</t>
  </si>
  <si>
    <t>Granite Peak Clinical Services</t>
  </si>
  <si>
    <t>granitepeakclinicalservices.com</t>
  </si>
  <si>
    <t>ACC0156</t>
  </si>
  <si>
    <t>Harborview Clinical Services Group</t>
  </si>
  <si>
    <t>harborviewclinicalservices.com</t>
  </si>
  <si>
    <t>ACC0157</t>
  </si>
  <si>
    <t>PrimePoint Commerce Inc.</t>
  </si>
  <si>
    <t>primepointcommerce.com</t>
  </si>
  <si>
    <t>ACC0158</t>
  </si>
  <si>
    <t>Granite Peak Business Services Inc.</t>
  </si>
  <si>
    <t>granitepeakbusinessservices.com</t>
  </si>
  <si>
    <t>ACC0159</t>
  </si>
  <si>
    <t>Brookstone Business Solutions</t>
  </si>
  <si>
    <t>brookstonebusinesssolutions.com</t>
  </si>
  <si>
    <t>ACC0160</t>
  </si>
  <si>
    <t>Redstone Construction</t>
  </si>
  <si>
    <t>redstoneconstruction.com</t>
  </si>
  <si>
    <t>ACC0161</t>
  </si>
  <si>
    <t>Eastgate Supply Chain</t>
  </si>
  <si>
    <t>eastgatesupplychain.com</t>
  </si>
  <si>
    <t>ACC0162</t>
  </si>
  <si>
    <t>Clearwater Consulting</t>
  </si>
  <si>
    <t>clearwaterconsulting.com</t>
  </si>
  <si>
    <t>ACC0163</t>
  </si>
  <si>
    <t>Redwood Operations</t>
  </si>
  <si>
    <t>redwoodoperations.com</t>
  </si>
  <si>
    <t>SC</t>
  </si>
  <si>
    <t>ACC0164</t>
  </si>
  <si>
    <t>Mosaic Fabrication Inc.</t>
  </si>
  <si>
    <t>mosaicfabrication.com</t>
  </si>
  <si>
    <t>ACC0165</t>
  </si>
  <si>
    <t>Redstone Advisory</t>
  </si>
  <si>
    <t>redstoneadvisory.com</t>
  </si>
  <si>
    <t>ACC0166</t>
  </si>
  <si>
    <t>Cobalt Precision Works</t>
  </si>
  <si>
    <t>cobaltprecisionworks.com</t>
  </si>
  <si>
    <t>ACC0167</t>
  </si>
  <si>
    <t>Harborview Retail Group</t>
  </si>
  <si>
    <t>harborviewretail.com</t>
  </si>
  <si>
    <t>ACC0168</t>
  </si>
  <si>
    <t>Evergreen Professional Services</t>
  </si>
  <si>
    <t>evergreenprofessionalservices.com</t>
  </si>
  <si>
    <t>MS</t>
  </si>
  <si>
    <t>ACC0169</t>
  </si>
  <si>
    <t>Blue Harbor Brands</t>
  </si>
  <si>
    <t>blueharborbrands.com</t>
  </si>
  <si>
    <t>ACC0170</t>
  </si>
  <si>
    <t>ClearPath Wealth Partners LLC</t>
  </si>
  <si>
    <t>clearpathwealthpartners.com</t>
  </si>
  <si>
    <t>ACC0171</t>
  </si>
  <si>
    <t>Fairview Consulting Group</t>
  </si>
  <si>
    <t>fairviewconsulting.com</t>
  </si>
  <si>
    <t>ACC0172</t>
  </si>
  <si>
    <t>BrightPath Retail</t>
  </si>
  <si>
    <t>brightpathretail.com</t>
  </si>
  <si>
    <t>ACC0173</t>
  </si>
  <si>
    <t>Bluewater Contracting</t>
  </si>
  <si>
    <t>bluewatercontracting.com</t>
  </si>
  <si>
    <t>ACC0174</t>
  </si>
  <si>
    <t>Cornerstone Training</t>
  </si>
  <si>
    <t>cornerstonetraining.com</t>
  </si>
  <si>
    <t>ACC0175</t>
  </si>
  <si>
    <t>Frontier Financial Services Inc.</t>
  </si>
  <si>
    <t>frontierfinancialservices.com</t>
  </si>
  <si>
    <t>ACC0176</t>
  </si>
  <si>
    <t>Clearwater Precision Works LLC</t>
  </si>
  <si>
    <t>ACC0177</t>
  </si>
  <si>
    <t>Vertex Services Group Group</t>
  </si>
  <si>
    <t>vertexservices.com</t>
  </si>
  <si>
    <t>ACC0178</t>
  </si>
  <si>
    <t>Skyline Fabrication</t>
  </si>
  <si>
    <t>skylinefabrication.com</t>
  </si>
  <si>
    <t>ACC0179</t>
  </si>
  <si>
    <t>Brightwell Digital Group</t>
  </si>
  <si>
    <t>brightwelldigital.com</t>
  </si>
  <si>
    <t>ACC0180</t>
  </si>
  <si>
    <t>Lakeview Transportation</t>
  </si>
  <si>
    <t>lakeviewtransportation.com</t>
  </si>
  <si>
    <t>ACC0181</t>
  </si>
  <si>
    <t>BluePeak Construction</t>
  </si>
  <si>
    <t>bluepeakconstruction.com</t>
  </si>
  <si>
    <t>ACC0182</t>
  </si>
  <si>
    <t>Horizon Fabrication</t>
  </si>
  <si>
    <t>ACC0183</t>
  </si>
  <si>
    <t>Silver Oak Clinical Services Inc.</t>
  </si>
  <si>
    <t>silveroakclinicalservices.com</t>
  </si>
  <si>
    <t>ACC0184</t>
  </si>
  <si>
    <t>ClearPath Support Services</t>
  </si>
  <si>
    <t>clearpathsupportservices.com</t>
  </si>
  <si>
    <t>ACC0185</t>
  </si>
  <si>
    <t>Brookstone Labs Inc.</t>
  </si>
  <si>
    <t>brookstonelabs.com</t>
  </si>
  <si>
    <t>ACC0186</t>
  </si>
  <si>
    <t>Brightwell Operations Group</t>
  </si>
  <si>
    <t>brightwelloperations.com</t>
  </si>
  <si>
    <t>ACC0187</t>
  </si>
  <si>
    <t>BluePeak Care Network</t>
  </si>
  <si>
    <t>bluepeakcarenetwork.com</t>
  </si>
  <si>
    <t>ACC0188</t>
  </si>
  <si>
    <t>BluePeak Fabrication</t>
  </si>
  <si>
    <t>bluepeakfabrication.com</t>
  </si>
  <si>
    <t>WY</t>
  </si>
  <si>
    <t>ACC0189</t>
  </si>
  <si>
    <t>Beacon Software</t>
  </si>
  <si>
    <t>WI</t>
  </si>
  <si>
    <t>ACC0190</t>
  </si>
  <si>
    <t>Bluewater Industrial</t>
  </si>
  <si>
    <t>bluewaterindustrial.com</t>
  </si>
  <si>
    <t>ACC0191</t>
  </si>
  <si>
    <t>Ironwood Financial Group</t>
  </si>
  <si>
    <t>ironwoodfinancial.com</t>
  </si>
  <si>
    <t>ACC0192</t>
  </si>
  <si>
    <t>Fairview Advisory Partners</t>
  </si>
  <si>
    <t>fairviewadvisorypartners.com</t>
  </si>
  <si>
    <t>ACC0193</t>
  </si>
  <si>
    <t>Westlake Academy LLC</t>
  </si>
  <si>
    <t>westlakeacademy.com</t>
  </si>
  <si>
    <t>ACC0194</t>
  </si>
  <si>
    <t>BluePeak Brands</t>
  </si>
  <si>
    <t>bluepeakbrands.com</t>
  </si>
  <si>
    <t>ACC0195</t>
  </si>
  <si>
    <t>Summit Ridge Health Partners</t>
  </si>
  <si>
    <t>summitridgehealthpartners.com</t>
  </si>
  <si>
    <t>ACC0196</t>
  </si>
  <si>
    <t>Northstar Retail</t>
  </si>
  <si>
    <t>northstarretail.com</t>
  </si>
  <si>
    <t>ACC0197</t>
  </si>
  <si>
    <t>Cedarstone Software</t>
  </si>
  <si>
    <t>cedarstonesoftware.com</t>
  </si>
  <si>
    <t>ACC0198</t>
  </si>
  <si>
    <t>Blue Harbor Digital Inc.</t>
  </si>
  <si>
    <t>blueharbordigital.com</t>
  </si>
  <si>
    <t>ACC0199</t>
  </si>
  <si>
    <t>Oakridge Professional Services</t>
  </si>
  <si>
    <t>oakridgeprofessionalservices.com</t>
  </si>
  <si>
    <t>ACC0200</t>
  </si>
  <si>
    <t>Meridian Contracting Group</t>
  </si>
  <si>
    <t>meridiancontracting.com</t>
  </si>
  <si>
    <t>ACC0201</t>
  </si>
  <si>
    <t>Riverbend Systems Group</t>
  </si>
  <si>
    <t>riverbendsystems.com</t>
  </si>
  <si>
    <t>ACC0202</t>
  </si>
  <si>
    <t>Clearwater Support Services Group</t>
  </si>
  <si>
    <t>ACC0203</t>
  </si>
  <si>
    <t>Blue Harbor Precision Works LLC</t>
  </si>
  <si>
    <t>blueharborprecisionworks.com</t>
  </si>
  <si>
    <t>ACC0204</t>
  </si>
  <si>
    <t>OpenGate Solutions</t>
  </si>
  <si>
    <t>ACC0205</t>
  </si>
  <si>
    <t>Pinecrest Manufacturing LLC</t>
  </si>
  <si>
    <t>pinecrestmanufacturing.com</t>
  </si>
  <si>
    <t>ACC0206</t>
  </si>
  <si>
    <t>Granite Peak Contracting</t>
  </si>
  <si>
    <t>granitepeakcontracting.com</t>
  </si>
  <si>
    <t>ACC0207</t>
  </si>
  <si>
    <t>BrightPath Health Partners LLC</t>
  </si>
  <si>
    <t>brightpathhealthpartners.com</t>
  </si>
  <si>
    <t>ACC0208</t>
  </si>
  <si>
    <t>Westfield Labs</t>
  </si>
  <si>
    <t>westfieldlabs.com</t>
  </si>
  <si>
    <t>ACC0209</t>
  </si>
  <si>
    <t>Highpoint Freight</t>
  </si>
  <si>
    <t>highpointfreight.com</t>
  </si>
  <si>
    <t>ACC0210</t>
  </si>
  <si>
    <t>Rivermark Retail</t>
  </si>
  <si>
    <t>rivermarkretail.com</t>
  </si>
  <si>
    <t>ACC0211</t>
  </si>
  <si>
    <t>Northwind Support Services Inc.</t>
  </si>
  <si>
    <t>northwindsupportservices.com</t>
  </si>
  <si>
    <t>ACC0212</t>
  </si>
  <si>
    <t>Brookstone Health Services</t>
  </si>
  <si>
    <t>brookstonehealthservices.com</t>
  </si>
  <si>
    <t>ACC0213</t>
  </si>
  <si>
    <t>Silver Oak Retail Group</t>
  </si>
  <si>
    <t>silveroakretail.com</t>
  </si>
  <si>
    <t>ACC0214</t>
  </si>
  <si>
    <t>Redstone Logistics Group</t>
  </si>
  <si>
    <t>redstonelogistics.com</t>
  </si>
  <si>
    <t>ACC0215</t>
  </si>
  <si>
    <t>Highpoint Care Network LLC</t>
  </si>
  <si>
    <t>highpointcarenetwork.com</t>
  </si>
  <si>
    <t>ACC0216</t>
  </si>
  <si>
    <t>Parkline Manufacturing</t>
  </si>
  <si>
    <t>ACC0217</t>
  </si>
  <si>
    <t>Brookstone Software</t>
  </si>
  <si>
    <t>brookstonesoftware.com</t>
  </si>
  <si>
    <t>ACC0218</t>
  </si>
  <si>
    <t>Fairview Digital</t>
  </si>
  <si>
    <t>fairviewdigital.com</t>
  </si>
  <si>
    <t>ACC0219</t>
  </si>
  <si>
    <t>Maplewood Consulting</t>
  </si>
  <si>
    <t>maplewoodconsulting.com</t>
  </si>
  <si>
    <t>ACC0220</t>
  </si>
  <si>
    <t>Brookstone Technologies</t>
  </si>
  <si>
    <t>brookstonetechnologies.com</t>
  </si>
  <si>
    <t>ACC0221</t>
  </si>
  <si>
    <t>Keystone Labs</t>
  </si>
  <si>
    <t>ACC0222</t>
  </si>
  <si>
    <t>Cedarstone Freight LLC</t>
  </si>
  <si>
    <t>cedarstonefreight.com</t>
  </si>
  <si>
    <t>ACC0223</t>
  </si>
  <si>
    <t>Eastgate Advisory Partners</t>
  </si>
  <si>
    <t>eastgateadvisorypartners.com</t>
  </si>
  <si>
    <t>ACC0224</t>
  </si>
  <si>
    <t>Brightwell Builders</t>
  </si>
  <si>
    <t>ACC0225</t>
  </si>
  <si>
    <t>Beacon Freight</t>
  </si>
  <si>
    <t>beaconfreight.com</t>
  </si>
  <si>
    <t>ACC0226</t>
  </si>
  <si>
    <t>Foxbridge Capital</t>
  </si>
  <si>
    <t>foxbridgecapital.com</t>
  </si>
  <si>
    <t>ACC0227</t>
  </si>
  <si>
    <t>Sterling Digital Inc.</t>
  </si>
  <si>
    <t>sterlingdigital.com</t>
  </si>
  <si>
    <t>ACC0228</t>
  </si>
  <si>
    <t>Cornerstone Construction</t>
  </si>
  <si>
    <t>cornerstoneconstruction.com</t>
  </si>
  <si>
    <t>ACC0229</t>
  </si>
  <si>
    <t>Elmwood Wealth Partners</t>
  </si>
  <si>
    <t>elmwoodwealthpartners.com</t>
  </si>
  <si>
    <t>ACC0230</t>
  </si>
  <si>
    <t>OpenGate Advisory Partners Inc.</t>
  </si>
  <si>
    <t>opengateadvisorypartners.com</t>
  </si>
  <si>
    <t>ACC0231</t>
  </si>
  <si>
    <t>Ironwood Labs</t>
  </si>
  <si>
    <t>ironwoodlabs.com</t>
  </si>
  <si>
    <t>ACC0232</t>
  </si>
  <si>
    <t>Pinecrest Labs</t>
  </si>
  <si>
    <t>pinecrestlabs.com</t>
  </si>
  <si>
    <t>ACC0233</t>
  </si>
  <si>
    <t>TrueNorth Marketplace Inc.</t>
  </si>
  <si>
    <t>truenorthmarketplace.com</t>
  </si>
  <si>
    <t>ACC0234</t>
  </si>
  <si>
    <t>Crownstone Fabrication</t>
  </si>
  <si>
    <t>crownstonefabrication.com</t>
  </si>
  <si>
    <t>ACC0235</t>
  </si>
  <si>
    <t>Highland Clinical Services</t>
  </si>
  <si>
    <t>highlandclinicalservices.com</t>
  </si>
  <si>
    <t>ACC0236</t>
  </si>
  <si>
    <t>Brightwell Fabrication Inc.</t>
  </si>
  <si>
    <t>ACC0237</t>
  </si>
  <si>
    <t>Silver Oak Professional Services LLC</t>
  </si>
  <si>
    <t>silveroakprofessionalservices.com</t>
  </si>
  <si>
    <t>ACC0238</t>
  </si>
  <si>
    <t>Catalyst Supply Chain LLC</t>
  </si>
  <si>
    <t>catalystsupplychain.com</t>
  </si>
  <si>
    <t>ACC0239</t>
  </si>
  <si>
    <t>Westlake Support Services Group</t>
  </si>
  <si>
    <t>westlakesupportservices.com</t>
  </si>
  <si>
    <t>ACC0240</t>
  </si>
  <si>
    <t>Ridgeview Labs</t>
  </si>
  <si>
    <t>ridgeviewlabs.com</t>
  </si>
  <si>
    <t>ACC0241</t>
  </si>
  <si>
    <t>Bluewater Freight</t>
  </si>
  <si>
    <t>bluewaterfreight.com</t>
  </si>
  <si>
    <t>ACC0242</t>
  </si>
  <si>
    <t>Brookstone Learning Systems</t>
  </si>
  <si>
    <t>brookstonelearningsystems.com</t>
  </si>
  <si>
    <t>ACC0243</t>
  </si>
  <si>
    <t>Greenfield Construction LLC</t>
  </si>
  <si>
    <t>greenfieldconstruction.com</t>
  </si>
  <si>
    <t>ACC0244</t>
  </si>
  <si>
    <t>Ridgeview Brands</t>
  </si>
  <si>
    <t>ridgeviewbrands.com</t>
  </si>
  <si>
    <t>ACC0245</t>
  </si>
  <si>
    <t>Cobalt Labs</t>
  </si>
  <si>
    <t>cobaltlabs.com</t>
  </si>
  <si>
    <t>ACC0246</t>
  </si>
  <si>
    <t>Riverbend Medical Group Inc.</t>
  </si>
  <si>
    <t>ACC0247</t>
  </si>
  <si>
    <t>TrueNorth Supply Chain</t>
  </si>
  <si>
    <t>truenorthsupplychain.com</t>
  </si>
  <si>
    <t>ACC0248</t>
  </si>
  <si>
    <t>Clearwater Advisory Partners Group</t>
  </si>
  <si>
    <t>clearwateradvisorypartners.com</t>
  </si>
  <si>
    <t>ACC0249</t>
  </si>
  <si>
    <t>Highpoint Health Partners</t>
  </si>
  <si>
    <t>highpointhealthpartners.com</t>
  </si>
  <si>
    <t>ACC0250</t>
  </si>
  <si>
    <t>BrightPath Advisory Partners LLC</t>
  </si>
  <si>
    <t>brightpathadvisorypartners.com</t>
  </si>
  <si>
    <t>ACC0251</t>
  </si>
  <si>
    <t>Westfield Retail Group</t>
  </si>
  <si>
    <t>westfieldretail.com</t>
  </si>
  <si>
    <t>ACC0252</t>
  </si>
  <si>
    <t>Silver Oak Consulting Group</t>
  </si>
  <si>
    <t>silveroakconsulting.com</t>
  </si>
  <si>
    <t>ACC0253</t>
  </si>
  <si>
    <t>Crestpoint Professional Services</t>
  </si>
  <si>
    <t>crestpointprofessionalservices.com</t>
  </si>
  <si>
    <t>ACC0254</t>
  </si>
  <si>
    <t>Riverbend Learning Systems</t>
  </si>
  <si>
    <t>riverbendlearningsystems.com</t>
  </si>
  <si>
    <t>ACC0255</t>
  </si>
  <si>
    <t>Maplewood Brands</t>
  </si>
  <si>
    <t>maplewoodbrands.com</t>
  </si>
  <si>
    <t>ACC0256</t>
  </si>
  <si>
    <t>Rivermark Labs Inc.</t>
  </si>
  <si>
    <t>ACC0257</t>
  </si>
  <si>
    <t>Sterling Digital</t>
  </si>
  <si>
    <t>ACC0258</t>
  </si>
  <si>
    <t>Crescent Solutions</t>
  </si>
  <si>
    <t>crescentsolutions.com</t>
  </si>
  <si>
    <t>ACC0259</t>
  </si>
  <si>
    <t>Eastgate Labs</t>
  </si>
  <si>
    <t>eastgatelabs.com</t>
  </si>
  <si>
    <t>ACC0260</t>
  </si>
  <si>
    <t>Parkline Professional Services</t>
  </si>
  <si>
    <t>parklineprofessionalservices.com</t>
  </si>
  <si>
    <t>ACC0261</t>
  </si>
  <si>
    <t>Fairview Commerce Group</t>
  </si>
  <si>
    <t>fairviewcommerce.com</t>
  </si>
  <si>
    <t>ACC0262</t>
  </si>
  <si>
    <t>Redwood Manufacturing Inc.</t>
  </si>
  <si>
    <t>redwoodmanufacturing.com</t>
  </si>
  <si>
    <t>ACC0263</t>
  </si>
  <si>
    <t>Northwind Industries LLC</t>
  </si>
  <si>
    <t>northwindindustries.com</t>
  </si>
  <si>
    <t>ACC0264</t>
  </si>
  <si>
    <t>Northwind Systems</t>
  </si>
  <si>
    <t>northwindsystems.com</t>
  </si>
  <si>
    <t>ACC0265</t>
  </si>
  <si>
    <t>Westfield Commerce Group</t>
  </si>
  <si>
    <t>westfieldcommerce.com</t>
  </si>
  <si>
    <t>ACC0266</t>
  </si>
  <si>
    <t>Lakeshore Manufacturing</t>
  </si>
  <si>
    <t>lakeshoremanufacturing.com</t>
  </si>
  <si>
    <t>ACC0267</t>
  </si>
  <si>
    <t>Cedarstone Health Services LLC</t>
  </si>
  <si>
    <t>cedarstonehealthservices.com</t>
  </si>
  <si>
    <t>ACC0268</t>
  </si>
  <si>
    <t>Clearwater Software LLC</t>
  </si>
  <si>
    <t>clearwatersoftware.com</t>
  </si>
  <si>
    <t>ACC0269</t>
  </si>
  <si>
    <t>Apex Marketplace</t>
  </si>
  <si>
    <t>apexmarketplace.com</t>
  </si>
  <si>
    <t>ACC0270</t>
  </si>
  <si>
    <t>Pioneer Care Network Inc.</t>
  </si>
  <si>
    <t>pioneercarenetwork.com</t>
  </si>
  <si>
    <t>ACC0271</t>
  </si>
  <si>
    <t>Northstar Software</t>
  </si>
  <si>
    <t>northstarsoftware.com</t>
  </si>
  <si>
    <t>ACC0272</t>
  </si>
  <si>
    <t>Eastwood Financial Services Group</t>
  </si>
  <si>
    <t>eastwoodfinancialservices.com</t>
  </si>
  <si>
    <t>ACC0273</t>
  </si>
  <si>
    <t>Ironwood Training Inc.</t>
  </si>
  <si>
    <t>ironwoodtraining.com</t>
  </si>
  <si>
    <t>ACC0274</t>
  </si>
  <si>
    <t>Horizon Support Services</t>
  </si>
  <si>
    <t>horizonsupportservices.com</t>
  </si>
  <si>
    <t>ACC0275</t>
  </si>
  <si>
    <t>Lakeshore Infrastructure</t>
  </si>
  <si>
    <t>lakeshoreinfrastructure.com</t>
  </si>
  <si>
    <t>ACC0276</t>
  </si>
  <si>
    <t>Lakeview Support Services</t>
  </si>
  <si>
    <t>lakeviewsupportservices.com</t>
  </si>
  <si>
    <t>ACC0277</t>
  </si>
  <si>
    <t>Arbor Care Network</t>
  </si>
  <si>
    <t>arborcarenetwork.com</t>
  </si>
  <si>
    <t>ACC0278</t>
  </si>
  <si>
    <t>Westfield Industrial</t>
  </si>
  <si>
    <t>westfieldindustrial.com</t>
  </si>
  <si>
    <t>ACC0279</t>
  </si>
  <si>
    <t>Stonebridge Learning</t>
  </si>
  <si>
    <t>stonebridgelearning.com</t>
  </si>
  <si>
    <t>ACC0280</t>
  </si>
  <si>
    <t>Highpoint Financial Services Group</t>
  </si>
  <si>
    <t>highpointfinancialservices.com</t>
  </si>
  <si>
    <t>ACC0281</t>
  </si>
  <si>
    <t>Parkline Development LLC</t>
  </si>
  <si>
    <t>parklinedevelopment.com</t>
  </si>
  <si>
    <t>ACC0282</t>
  </si>
  <si>
    <t>Fairview Manufacturing</t>
  </si>
  <si>
    <t>fairviewmanufacturing.com</t>
  </si>
  <si>
    <t>ACC0283</t>
  </si>
  <si>
    <t>Silver Oak Systems Group</t>
  </si>
  <si>
    <t>silveroaksystems.com</t>
  </si>
  <si>
    <t>ACC0284</t>
  </si>
  <si>
    <t>Cedarstone Financial Group</t>
  </si>
  <si>
    <t>cedarstonefinancial.com</t>
  </si>
  <si>
    <t>ACC0285</t>
  </si>
  <si>
    <t>Granite Peak Services Group Group</t>
  </si>
  <si>
    <t>granitepeakservices.com</t>
  </si>
  <si>
    <t>ACC0286</t>
  </si>
  <si>
    <t>Foxbridge Labs LLC</t>
  </si>
  <si>
    <t>foxbridgelabs.com</t>
  </si>
  <si>
    <t>ACC0287</t>
  </si>
  <si>
    <t>Brookstone Retail Group</t>
  </si>
  <si>
    <t>brookstoneretail.com</t>
  </si>
  <si>
    <t>ACC0288</t>
  </si>
  <si>
    <t>Lakeshore Contracting</t>
  </si>
  <si>
    <t>lakeshorecontracting.com</t>
  </si>
  <si>
    <t>ACC0289</t>
  </si>
  <si>
    <t>BluePeak Systems Group</t>
  </si>
  <si>
    <t>bluepeaksystems.com</t>
  </si>
  <si>
    <t>ACC0290</t>
  </si>
  <si>
    <t>Beacon Digital</t>
  </si>
  <si>
    <t>beacondigital.com</t>
  </si>
  <si>
    <t>ACC0291</t>
  </si>
  <si>
    <t>Sterling Professional Services</t>
  </si>
  <si>
    <t>sterlingprofessionalservices.com</t>
  </si>
  <si>
    <t>ACC0292</t>
  </si>
  <si>
    <t>Vantage Training</t>
  </si>
  <si>
    <t>vantagetraining.com</t>
  </si>
  <si>
    <t>ACC0293</t>
  </si>
  <si>
    <t>Horizon Operations Group</t>
  </si>
  <si>
    <t>horizonoperations.com</t>
  </si>
  <si>
    <t>ACC0294</t>
  </si>
  <si>
    <t>Harborview Capital</t>
  </si>
  <si>
    <t>harborviewcapital.com</t>
  </si>
  <si>
    <t>ACC0295</t>
  </si>
  <si>
    <t>Vertex Wealth Partners Inc.</t>
  </si>
  <si>
    <t>vertexwealthpartners.com</t>
  </si>
  <si>
    <t>ACC0296</t>
  </si>
  <si>
    <t>Catalyst Health Partners Inc.</t>
  </si>
  <si>
    <t>catalysthealthpartners.com</t>
  </si>
  <si>
    <t>ACC0297</t>
  </si>
  <si>
    <t>Elmwood Transportation</t>
  </si>
  <si>
    <t>elmwoodtransportation.com</t>
  </si>
  <si>
    <t>ACC0298</t>
  </si>
  <si>
    <t>Suncrest Systems</t>
  </si>
  <si>
    <t>suncrestsystems.com</t>
  </si>
  <si>
    <t>ACC0299</t>
  </si>
  <si>
    <t>Clearwater Manufacturing</t>
  </si>
  <si>
    <t>clearwatermanufacturing.com</t>
  </si>
  <si>
    <t>ACC0300</t>
  </si>
  <si>
    <t>Stonebridge Services Group</t>
  </si>
  <si>
    <t>stonebridgeservices.com</t>
  </si>
  <si>
    <t>ACC0301</t>
  </si>
  <si>
    <t>Stonebridge Financial Services Group</t>
  </si>
  <si>
    <t>stonebridgefinancialservices.com</t>
  </si>
  <si>
    <t>ACC0302</t>
  </si>
  <si>
    <t>Riverbend Operations</t>
  </si>
  <si>
    <t>riverbendoperations.com</t>
  </si>
  <si>
    <t>ACC0303</t>
  </si>
  <si>
    <t>TrueNorth Freight</t>
  </si>
  <si>
    <t>truenorthfreight.com</t>
  </si>
  <si>
    <t>ACC0304</t>
  </si>
  <si>
    <t>Clearwater Digital</t>
  </si>
  <si>
    <t>clearwaterdigital.com</t>
  </si>
  <si>
    <t>ACC0305</t>
  </si>
  <si>
    <t>Skyline Fabrication LLC</t>
  </si>
  <si>
    <t>ACC0306</t>
  </si>
  <si>
    <t>Silver Oak Academy</t>
  </si>
  <si>
    <t>silveroakacademy.com</t>
  </si>
  <si>
    <t>ACC0307</t>
  </si>
  <si>
    <t>Brookstone Solutions Inc.</t>
  </si>
  <si>
    <t>brookstonesolutions.com</t>
  </si>
  <si>
    <t>ACC0308</t>
  </si>
  <si>
    <t>Vertex Retail Inc.</t>
  </si>
  <si>
    <t>vertexretail.com</t>
  </si>
  <si>
    <t>ACC0309</t>
  </si>
  <si>
    <t>Silverline Services Group LLC</t>
  </si>
  <si>
    <t>silverlineservices.com</t>
  </si>
  <si>
    <t>ACC0310</t>
  </si>
  <si>
    <t>Keystone Builders</t>
  </si>
  <si>
    <t>keystonebuilders.com</t>
  </si>
  <si>
    <t>ACC0311</t>
  </si>
  <si>
    <t>Harborview Transportation</t>
  </si>
  <si>
    <t>harborviewtransportation.com</t>
  </si>
  <si>
    <t>ACC0312</t>
  </si>
  <si>
    <t>Vertex Consulting</t>
  </si>
  <si>
    <t>vertexconsulting.com</t>
  </si>
  <si>
    <t>ACC0313</t>
  </si>
  <si>
    <t>Greenfield Services Group LLC</t>
  </si>
  <si>
    <t>greenfieldservices.com</t>
  </si>
  <si>
    <t>ACC0314</t>
  </si>
  <si>
    <t>Suncrest Care Network</t>
  </si>
  <si>
    <t>suncrestcarenetwork.com</t>
  </si>
  <si>
    <t>ACC0315</t>
  </si>
  <si>
    <t>Cedarstone Health Partners Group</t>
  </si>
  <si>
    <t>cedarstonehealthpartners.com</t>
  </si>
  <si>
    <t>ACC0316</t>
  </si>
  <si>
    <t>Pinecrest Fabrication Group</t>
  </si>
  <si>
    <t>pinecrestfabrication.com</t>
  </si>
  <si>
    <t>ACC0317</t>
  </si>
  <si>
    <t>Summit Ridge Digital</t>
  </si>
  <si>
    <t>summitridgedigital.com</t>
  </si>
  <si>
    <t>ACC0318</t>
  </si>
  <si>
    <t>Mosaic Precision Works</t>
  </si>
  <si>
    <t>mosaicprecisionworks.com</t>
  </si>
  <si>
    <t>ACC0319</t>
  </si>
  <si>
    <t>Ridgeview Consulting Group</t>
  </si>
  <si>
    <t>ridgeviewconsulting.com</t>
  </si>
  <si>
    <t>ACC0320</t>
  </si>
  <si>
    <t>Northwind Brands</t>
  </si>
  <si>
    <t>northwindbrands.com</t>
  </si>
  <si>
    <t>ACC0321</t>
  </si>
  <si>
    <t>Lakeview Financial Services</t>
  </si>
  <si>
    <t>lakeviewfinancialservices.com</t>
  </si>
  <si>
    <t>ACC0322</t>
  </si>
  <si>
    <t>Frontier Builders</t>
  </si>
  <si>
    <t>frontierbuilders.com</t>
  </si>
  <si>
    <t>ACC0323</t>
  </si>
  <si>
    <t>Rivermark Medical Group</t>
  </si>
  <si>
    <t>rivermarkmedical.com</t>
  </si>
  <si>
    <t>ACC0324</t>
  </si>
  <si>
    <t>Frontier Academy Group</t>
  </si>
  <si>
    <t>frontieracademy.com</t>
  </si>
  <si>
    <t>NM</t>
  </si>
  <si>
    <t>ACC0325</t>
  </si>
  <si>
    <t>Beacon Health Partners</t>
  </si>
  <si>
    <t>beaconhealthpartners.com</t>
  </si>
  <si>
    <t>state_name</t>
  </si>
  <si>
    <t>ME</t>
  </si>
  <si>
    <t>Maine</t>
  </si>
  <si>
    <t>New Hampshire</t>
  </si>
  <si>
    <t>VT</t>
  </si>
  <si>
    <t>Vermont</t>
  </si>
  <si>
    <t>Massachusetts</t>
  </si>
  <si>
    <t>Rhode Island</t>
  </si>
  <si>
    <t>Connecticut</t>
  </si>
  <si>
    <t>New York</t>
  </si>
  <si>
    <t>New Jersey</t>
  </si>
  <si>
    <t>Pennsylvania</t>
  </si>
  <si>
    <t>Delaware</t>
  </si>
  <si>
    <t>Maryland</t>
  </si>
  <si>
    <t>Washington, D.C.</t>
  </si>
  <si>
    <t>West Virginia</t>
  </si>
  <si>
    <t>Virginia</t>
  </si>
  <si>
    <t>North Carolina</t>
  </si>
  <si>
    <t>South Carolina</t>
  </si>
  <si>
    <t>Georgia</t>
  </si>
  <si>
    <t>Florida</t>
  </si>
  <si>
    <t>Tennessee</t>
  </si>
  <si>
    <t>Kentucky</t>
  </si>
  <si>
    <t>Alabama</t>
  </si>
  <si>
    <t>Mississippi</t>
  </si>
  <si>
    <t>Arkansas</t>
  </si>
  <si>
    <t>Louisiana</t>
  </si>
  <si>
    <t>Texas</t>
  </si>
  <si>
    <t>Oklahoma</t>
  </si>
  <si>
    <t>Ohio</t>
  </si>
  <si>
    <t>Michigan</t>
  </si>
  <si>
    <t>Indiana</t>
  </si>
  <si>
    <t>Illinois</t>
  </si>
  <si>
    <t>Wisconsin</t>
  </si>
  <si>
    <t>Minnesota</t>
  </si>
  <si>
    <t>Iowa</t>
  </si>
  <si>
    <t>Missouri</t>
  </si>
  <si>
    <t>Kansas</t>
  </si>
  <si>
    <t>Nebraska</t>
  </si>
  <si>
    <t>ND</t>
  </si>
  <si>
    <t>North Dakota</t>
  </si>
  <si>
    <t>SD</t>
  </si>
  <si>
    <t>South Dakota</t>
  </si>
  <si>
    <t>California</t>
  </si>
  <si>
    <t>Oregon</t>
  </si>
  <si>
    <t>Washington</t>
  </si>
  <si>
    <t>Nevada</t>
  </si>
  <si>
    <t>Arizona</t>
  </si>
  <si>
    <t>Utah</t>
  </si>
  <si>
    <t>Colorado</t>
  </si>
  <si>
    <t>New Mexico</t>
  </si>
  <si>
    <t>Idaho</t>
  </si>
  <si>
    <t>Montana</t>
  </si>
  <si>
    <t>Wyoming</t>
  </si>
  <si>
    <t>Alaska</t>
  </si>
  <si>
    <t>HI</t>
  </si>
  <si>
    <t>Hawaii</t>
  </si>
  <si>
    <t>territory_name</t>
  </si>
  <si>
    <t>Northeast</t>
  </si>
  <si>
    <t>South</t>
  </si>
  <si>
    <t>Central</t>
  </si>
  <si>
    <t>West</t>
  </si>
  <si>
    <t>user_id</t>
  </si>
  <si>
    <t>first_name</t>
  </si>
  <si>
    <t>last_name</t>
  </si>
  <si>
    <t>email</t>
  </si>
  <si>
    <t>job_title</t>
  </si>
  <si>
    <t>team</t>
  </si>
  <si>
    <t>manager_id</t>
  </si>
  <si>
    <t>annual_quota</t>
  </si>
  <si>
    <t>hire_date</t>
  </si>
  <si>
    <t>is_active</t>
  </si>
  <si>
    <t>USR001</t>
  </si>
  <si>
    <t>Maya</t>
  </si>
  <si>
    <t>Chen</t>
  </si>
  <si>
    <t>maya.chen@asterpeak.example</t>
  </si>
  <si>
    <t>VP of Revenue</t>
  </si>
  <si>
    <t>Exec Leadership</t>
  </si>
  <si>
    <t>All</t>
  </si>
  <si>
    <t>USR002</t>
  </si>
  <si>
    <t>Daniel</t>
  </si>
  <si>
    <t>Ortiz</t>
  </si>
  <si>
    <t>daniel.ortiz@asterpeak.example</t>
  </si>
  <si>
    <t>Director of Sales</t>
  </si>
  <si>
    <t>Sales</t>
  </si>
  <si>
    <t>USR003</t>
  </si>
  <si>
    <t>Priya</t>
  </si>
  <si>
    <t>Shah</t>
  </si>
  <si>
    <t>priya.shah@asterpeak.example</t>
  </si>
  <si>
    <t>SMB Sales Manager</t>
  </si>
  <si>
    <t>USR004</t>
  </si>
  <si>
    <t>Marcus</t>
  </si>
  <si>
    <t>Lee</t>
  </si>
  <si>
    <t>marcus.lee@asterpeak.example</t>
  </si>
  <si>
    <t>Mid-Market Sales Manager</t>
  </si>
  <si>
    <t>MM</t>
  </si>
  <si>
    <t>Emily</t>
  </si>
  <si>
    <t>Carter</t>
  </si>
  <si>
    <t>emily.carter@asterpeak.example</t>
  </si>
  <si>
    <t>SMB Account Executive</t>
  </si>
  <si>
    <t>Jordan</t>
  </si>
  <si>
    <t>Brooks</t>
  </si>
  <si>
    <t>jordan.brooks@asterpeak.example</t>
  </si>
  <si>
    <t>Nina</t>
  </si>
  <si>
    <t>Patel</t>
  </si>
  <si>
    <t>nina.patel@asterpeak.example</t>
  </si>
  <si>
    <t>Tyler</t>
  </si>
  <si>
    <t>Bennett</t>
  </si>
  <si>
    <t>tyler.bennett@asterpeak.example</t>
  </si>
  <si>
    <t>Rachel</t>
  </si>
  <si>
    <t>Kim</t>
  </si>
  <si>
    <t>rachel.kim@asterpeak.example</t>
  </si>
  <si>
    <t>Mid-Market Account Executive</t>
  </si>
  <si>
    <t>Andre</t>
  </si>
  <si>
    <t>Wilson</t>
  </si>
  <si>
    <t>andre.wilson@asterpeak.example</t>
  </si>
  <si>
    <t>Lauren</t>
  </si>
  <si>
    <t>Hayes</t>
  </si>
  <si>
    <t>lauren.hayes@asterpeak.example</t>
  </si>
  <si>
    <t>Noah</t>
  </si>
  <si>
    <t>Ramirez</t>
  </si>
  <si>
    <t>noah.ramirez@asterpeak.example</t>
  </si>
  <si>
    <t>USR013</t>
  </si>
  <si>
    <t>Chloe</t>
  </si>
  <si>
    <t>Martin</t>
  </si>
  <si>
    <t>chloe.martin@asterpeak.example</t>
  </si>
  <si>
    <t>Sales Development Representative</t>
  </si>
  <si>
    <t>Sales Dev</t>
  </si>
  <si>
    <t>USR014</t>
  </si>
  <si>
    <t>Ethan</t>
  </si>
  <si>
    <t>Foster</t>
  </si>
  <si>
    <t>ethan.foster@asterpeak.example</t>
  </si>
  <si>
    <t>USR015</t>
  </si>
  <si>
    <t>Sofia</t>
  </si>
  <si>
    <t>Nguyen</t>
  </si>
  <si>
    <t>sofia.nguyen@asterpeak.example</t>
  </si>
  <si>
    <t>USR016</t>
  </si>
  <si>
    <t>Caleb</t>
  </si>
  <si>
    <t>Morgan</t>
  </si>
  <si>
    <t>caleb.morgan@asterpeak.example</t>
  </si>
  <si>
    <t>USR017</t>
  </si>
  <si>
    <t>Olivia</t>
  </si>
  <si>
    <t>Reed</t>
  </si>
  <si>
    <t>olivia.reed@asterpeak.example</t>
  </si>
  <si>
    <t>Revenue Operations Manager</t>
  </si>
  <si>
    <t>RevOps</t>
  </si>
  <si>
    <t>USR018</t>
  </si>
  <si>
    <t>Alex</t>
  </si>
  <si>
    <t>Turner</t>
  </si>
  <si>
    <t>alex.turner@asterpeak.example</t>
  </si>
  <si>
    <t>Revenue Operations Analyst</t>
  </si>
  <si>
    <t>USR019</t>
  </si>
  <si>
    <t>Grace</t>
  </si>
  <si>
    <t>Collins</t>
  </si>
  <si>
    <t>grace.collins@asterpeak.example</t>
  </si>
  <si>
    <t>Marketing Operations Manager</t>
  </si>
  <si>
    <t>MktgOps</t>
  </si>
  <si>
    <t>USR020</t>
  </si>
  <si>
    <t>Samuel</t>
  </si>
  <si>
    <t>Price</t>
  </si>
  <si>
    <t>samuel.price@asterpeak.example</t>
  </si>
  <si>
    <t>Director of Customer Success</t>
  </si>
  <si>
    <t>CS</t>
  </si>
  <si>
    <t>USR021</t>
  </si>
  <si>
    <t>Mia</t>
  </si>
  <si>
    <t>Cooper</t>
  </si>
  <si>
    <t>mia.cooper@asterpeak.example</t>
  </si>
  <si>
    <t>Customer Success Manager</t>
  </si>
  <si>
    <t>USR022</t>
  </si>
  <si>
    <t>Lucas</t>
  </si>
  <si>
    <t>Perry</t>
  </si>
  <si>
    <t>lucas.perry@asterpeak.example</t>
  </si>
  <si>
    <t>USR023</t>
  </si>
  <si>
    <t>Ava</t>
  </si>
  <si>
    <t>Richardson</t>
  </si>
  <si>
    <t>ava.richardson@asterpeak.example</t>
  </si>
  <si>
    <t>USR024</t>
  </si>
  <si>
    <t>Benjamin</t>
  </si>
  <si>
    <t>Clarke</t>
  </si>
  <si>
    <t>benjamin.clarke@asterpeak.example</t>
  </si>
  <si>
    <t>Finance Manager</t>
  </si>
  <si>
    <t>Finance</t>
  </si>
  <si>
    <t>USR025</t>
  </si>
  <si>
    <t>Natalie</t>
  </si>
  <si>
    <t>Evans</t>
  </si>
  <si>
    <t>natalie.evans@asterpeak.example</t>
  </si>
  <si>
    <t>Legal Counsel</t>
  </si>
  <si>
    <t>Legal</t>
  </si>
  <si>
    <t>Account ID</t>
  </si>
  <si>
    <t>Account Name</t>
  </si>
  <si>
    <t>Employee Count</t>
  </si>
  <si>
    <t>State</t>
  </si>
  <si>
    <t>Stored Segment</t>
  </si>
  <si>
    <t>Stored Territory</t>
  </si>
  <si>
    <t>Owner ID</t>
  </si>
  <si>
    <t>Expected Segment</t>
  </si>
  <si>
    <t>Expected Territory</t>
  </si>
  <si>
    <t>Expected Owner Segment</t>
  </si>
  <si>
    <t>Expected Owner ID</t>
  </si>
  <si>
    <t>Segment Status</t>
  </si>
  <si>
    <t>Territory Status</t>
  </si>
  <si>
    <t>Owner Status</t>
  </si>
  <si>
    <t>Validation Check</t>
  </si>
  <si>
    <t>Missing Employee Count</t>
  </si>
  <si>
    <t>Outside Target / Management Review</t>
  </si>
  <si>
    <t>Wrong Territory</t>
  </si>
  <si>
    <t>Misassigned Owner</t>
  </si>
  <si>
    <t>Unassigned Owner</t>
  </si>
  <si>
    <t>Segment Mismatch</t>
  </si>
  <si>
    <t>Missing Stored Territory</t>
  </si>
  <si>
    <t>Missing State</t>
  </si>
  <si>
    <t>Count</t>
  </si>
  <si>
    <t>lead_id</t>
  </si>
  <si>
    <t>company_name</t>
  </si>
  <si>
    <t>lead_source</t>
  </si>
  <si>
    <t>lead_score</t>
  </si>
  <si>
    <t>lifecycle_stage</t>
  </si>
  <si>
    <t>lead_status</t>
  </si>
  <si>
    <t>mql_at</t>
  </si>
  <si>
    <t>owner_assigned_at</t>
  </si>
  <si>
    <t>first_response_at</t>
  </si>
  <si>
    <t>sql_at</t>
  </si>
  <si>
    <t>disqualification_reason</t>
  </si>
  <si>
    <t>is_converted</t>
  </si>
  <si>
    <t>converted_at</t>
  </si>
  <si>
    <t>converted_account_id</t>
  </si>
  <si>
    <t>converted_contact_id</t>
  </si>
  <si>
    <t>converted_opportunity_id</t>
  </si>
  <si>
    <t>LEAD0001</t>
  </si>
  <si>
    <t>Ella</t>
  </si>
  <si>
    <t>Bell</t>
  </si>
  <si>
    <t>ella.bell@westfieldconstruction.com</t>
  </si>
  <si>
    <t>Senior Operations Manager</t>
  </si>
  <si>
    <t>Content Download</t>
  </si>
  <si>
    <t>Opportunity</t>
  </si>
  <si>
    <t>Converted</t>
  </si>
  <si>
    <t>CON0193</t>
  </si>
  <si>
    <t>OPP0188</t>
  </si>
  <si>
    <t>LEAD0002</t>
  </si>
  <si>
    <t>Abigail</t>
  </si>
  <si>
    <t>Roberts</t>
  </si>
  <si>
    <t>abigail.roberts@bridgewaylearningsystems.com</t>
  </si>
  <si>
    <t>Executive Assistant</t>
  </si>
  <si>
    <t>Partner Referral</t>
  </si>
  <si>
    <t>CON0198</t>
  </si>
  <si>
    <t>LEAD0003</t>
  </si>
  <si>
    <t>Anthony</t>
  </si>
  <si>
    <t>Moore</t>
  </si>
  <si>
    <t>anthony.moore@northstarsoftware.com</t>
  </si>
  <si>
    <t>President</t>
  </si>
  <si>
    <t>Outbound SDR</t>
  </si>
  <si>
    <t>CON0541</t>
  </si>
  <si>
    <t>LEAD0004</t>
  </si>
  <si>
    <t>Thomas</t>
  </si>
  <si>
    <t>Gomez</t>
  </si>
  <si>
    <t>thomas.gomez@fairviewdigital.com</t>
  </si>
  <si>
    <t>VP of Operations</t>
  </si>
  <si>
    <t>Inbound Demo Request</t>
  </si>
  <si>
    <t>CON0435</t>
  </si>
  <si>
    <t>OPP0329</t>
  </si>
  <si>
    <t>LEAD0005</t>
  </si>
  <si>
    <t>Andrea</t>
  </si>
  <si>
    <t>Flores</t>
  </si>
  <si>
    <t>andrea.flores@clearpathadvisory.com</t>
  </si>
  <si>
    <t>Transformation Manager</t>
  </si>
  <si>
    <t>CON0137</t>
  </si>
  <si>
    <t>OPP0232</t>
  </si>
  <si>
    <t>LEAD0006</t>
  </si>
  <si>
    <t>Aiden</t>
  </si>
  <si>
    <t>Murphy</t>
  </si>
  <si>
    <t>aiden.murphy@silveroakacademy.com</t>
  </si>
  <si>
    <t>Director of Operations</t>
  </si>
  <si>
    <t>CON0609</t>
  </si>
  <si>
    <t>OPP0125</t>
  </si>
  <si>
    <t>LEAD0007</t>
  </si>
  <si>
    <t>Carlos</t>
  </si>
  <si>
    <t>Rodriguez</t>
  </si>
  <si>
    <t>carlos.rodriguez@suncrestcarenetwork.com</t>
  </si>
  <si>
    <t>IT Project Manager</t>
  </si>
  <si>
    <t>Webinar / Event</t>
  </si>
  <si>
    <t>CON0627</t>
  </si>
  <si>
    <t>LEAD0008</t>
  </si>
  <si>
    <t>Taylor</t>
  </si>
  <si>
    <t>benjamin.taylor@brookstonehealthservices.com</t>
  </si>
  <si>
    <t>Office Manager</t>
  </si>
  <si>
    <t>CON0422</t>
  </si>
  <si>
    <t>OPP0148</t>
  </si>
  <si>
    <t>LEAD0009</t>
  </si>
  <si>
    <t>lucas.morgan@meridianfinancialservices.com</t>
  </si>
  <si>
    <t>CON0261</t>
  </si>
  <si>
    <t>OPP0191</t>
  </si>
  <si>
    <t>LEAD0010</t>
  </si>
  <si>
    <t>David</t>
  </si>
  <si>
    <t>Gonzalez</t>
  </si>
  <si>
    <t>david.gonzalez@oakridgeindustries.com</t>
  </si>
  <si>
    <t>Vendor Management Director</t>
  </si>
  <si>
    <t>CON0125</t>
  </si>
  <si>
    <t>LEAD0011</t>
  </si>
  <si>
    <t>Alicia</t>
  </si>
  <si>
    <t>Mitchell</t>
  </si>
  <si>
    <t>alicia.mitchell@cornerstonetraining.com</t>
  </si>
  <si>
    <t>Customer Referral</t>
  </si>
  <si>
    <t>CON0353</t>
  </si>
  <si>
    <t>LEAD0012</t>
  </si>
  <si>
    <t>Aaliyah</t>
  </si>
  <si>
    <t>Jackson</t>
  </si>
  <si>
    <t>aaliyah.jackson@evergreenwealthpartners.com</t>
  </si>
  <si>
    <t>CON0151</t>
  </si>
  <si>
    <t>OPP0015</t>
  </si>
  <si>
    <t>LEAD0013</t>
  </si>
  <si>
    <t>aiden.perry@skylinefabrication.com</t>
  </si>
  <si>
    <t>CON0608</t>
  </si>
  <si>
    <t>OPP0150</t>
  </si>
  <si>
    <t>LEAD0014</t>
  </si>
  <si>
    <t>Sarah</t>
  </si>
  <si>
    <t>Scott</t>
  </si>
  <si>
    <t>sarah.scott@eastwoodconsulting.com</t>
  </si>
  <si>
    <t>Paid Search</t>
  </si>
  <si>
    <t>CON0235</t>
  </si>
  <si>
    <t>LEAD0015</t>
  </si>
  <si>
    <t>Rogers</t>
  </si>
  <si>
    <t>daniel.rogers@horizonfabrication.com</t>
  </si>
  <si>
    <t>Senior Program Manager</t>
  </si>
  <si>
    <t>CON0367</t>
  </si>
  <si>
    <t>OPP0294</t>
  </si>
  <si>
    <t>LEAD0016</t>
  </si>
  <si>
    <t>Ashley</t>
  </si>
  <si>
    <t>Young</t>
  </si>
  <si>
    <t>ashley.young@blueharborbrands.com</t>
  </si>
  <si>
    <t>IT Manager</t>
  </si>
  <si>
    <t>CON0341</t>
  </si>
  <si>
    <t>OPP0109</t>
  </si>
  <si>
    <t>LEAD0017</t>
  </si>
  <si>
    <t>Brandon</t>
  </si>
  <si>
    <t>brandon.evans@rivermarkdigital.com</t>
  </si>
  <si>
    <t>Director of Procurement</t>
  </si>
  <si>
    <t>CON0204</t>
  </si>
  <si>
    <t>OPP0156</t>
  </si>
  <si>
    <t>LEAD0018</t>
  </si>
  <si>
    <t>Dominic</t>
  </si>
  <si>
    <t>Lewis</t>
  </si>
  <si>
    <t>dominic.lewis@skylinecarenetwork.com</t>
  </si>
  <si>
    <t>Operations Analyst</t>
  </si>
  <si>
    <t>CON0114</t>
  </si>
  <si>
    <t>OPP0141</t>
  </si>
  <si>
    <t>LEAD0019</t>
  </si>
  <si>
    <t>Rebecca</t>
  </si>
  <si>
    <t>Rivera</t>
  </si>
  <si>
    <t>rebecca.rivera@riverbendsupportservices.com</t>
  </si>
  <si>
    <t>CON0278</t>
  </si>
  <si>
    <t>OPP0389</t>
  </si>
  <si>
    <t>LEAD0020</t>
  </si>
  <si>
    <t>Derek</t>
  </si>
  <si>
    <t>derek.martin@northstarbusinesssolutions.com</t>
  </si>
  <si>
    <t>Purchasing Manager</t>
  </si>
  <si>
    <t>CON0291</t>
  </si>
  <si>
    <t>OPP0002</t>
  </si>
  <si>
    <t>LEAD0021</t>
  </si>
  <si>
    <t>Carmen</t>
  </si>
  <si>
    <t>Perez</t>
  </si>
  <si>
    <t>carmen.perez@bridgewaylearningsystems.com</t>
  </si>
  <si>
    <t>Senior Director of Operations</t>
  </si>
  <si>
    <t>CON0196</t>
  </si>
  <si>
    <t>OPP0214</t>
  </si>
  <si>
    <t>LEAD0022</t>
  </si>
  <si>
    <t>Michelle</t>
  </si>
  <si>
    <t>Kelly</t>
  </si>
  <si>
    <t>michelle.kelly@harborviewdigital.com</t>
  </si>
  <si>
    <t>Senior Manager, Operations</t>
  </si>
  <si>
    <t>CON0065</t>
  </si>
  <si>
    <t>OPP0116</t>
  </si>
  <si>
    <t>LEAD0023</t>
  </si>
  <si>
    <t>Eva</t>
  </si>
  <si>
    <t>eva.nguyen@rivermarkmedical.com</t>
  </si>
  <si>
    <t>VP of Technology</t>
  </si>
  <si>
    <t>Organic Search</t>
  </si>
  <si>
    <t>CON0644</t>
  </si>
  <si>
    <t>OPP0084</t>
  </si>
  <si>
    <t>LEAD0024</t>
  </si>
  <si>
    <t>Kevin</t>
  </si>
  <si>
    <t>Wright</t>
  </si>
  <si>
    <t>kevin.wright@rivermarkretail.com</t>
  </si>
  <si>
    <t>Project Manager</t>
  </si>
  <si>
    <t>CON0417</t>
  </si>
  <si>
    <t>OPP0315</t>
  </si>
  <si>
    <t>LEAD0025</t>
  </si>
  <si>
    <t>Isaiah</t>
  </si>
  <si>
    <t>Harris</t>
  </si>
  <si>
    <t>isaiah.harris@sterlingmedical.com</t>
  </si>
  <si>
    <t>Director of Enterprise Applications</t>
  </si>
  <si>
    <t>CON0103</t>
  </si>
  <si>
    <t>OPP0009</t>
  </si>
  <si>
    <t>LEAD0026</t>
  </si>
  <si>
    <t>Leah</t>
  </si>
  <si>
    <t>Smith</t>
  </si>
  <si>
    <t>leah.smith@beaconcapital.com</t>
  </si>
  <si>
    <t>CON0287</t>
  </si>
  <si>
    <t>LEAD0027</t>
  </si>
  <si>
    <t>Green</t>
  </si>
  <si>
    <t>carmen.green@foxbridgecapital.com</t>
  </si>
  <si>
    <t>CON0455</t>
  </si>
  <si>
    <t>OPP0286</t>
  </si>
  <si>
    <t>LEAD0028</t>
  </si>
  <si>
    <t>Torres</t>
  </si>
  <si>
    <t>priya.torres@oakridgesupportservices.com</t>
  </si>
  <si>
    <t>CON0179</t>
  </si>
  <si>
    <t>OPP0342</t>
  </si>
  <si>
    <t>LEAD0029</t>
  </si>
  <si>
    <t>Jones</t>
  </si>
  <si>
    <t>rebecca.jones@clearwaterfinancial.com</t>
  </si>
  <si>
    <t>Procurement Manager</t>
  </si>
  <si>
    <t>CON0090</t>
  </si>
  <si>
    <t>OPP0268</t>
  </si>
  <si>
    <t>LEAD0030</t>
  </si>
  <si>
    <t>jordan.smith@cedarstonehealthpartners.com</t>
  </si>
  <si>
    <t>Chief Information Officer</t>
  </si>
  <si>
    <t>CON0628</t>
  </si>
  <si>
    <t>LEAD0031</t>
  </si>
  <si>
    <t>Vanessa</t>
  </si>
  <si>
    <t>vanessa.chen@granitepeakadvisorypartners.com</t>
  </si>
  <si>
    <t>Strategic Sourcing Manager</t>
  </si>
  <si>
    <t>CON0127</t>
  </si>
  <si>
    <t>OPP0337</t>
  </si>
  <si>
    <t>LEAD0032</t>
  </si>
  <si>
    <t>Williams</t>
  </si>
  <si>
    <t>emily.williams@maplewoodconsulting.com</t>
  </si>
  <si>
    <t>VP of Digital Transformation</t>
  </si>
  <si>
    <t>CON0436</t>
  </si>
  <si>
    <t>OPP0092</t>
  </si>
  <si>
    <t>LEAD0033</t>
  </si>
  <si>
    <t>Bianca</t>
  </si>
  <si>
    <t>Nelson</t>
  </si>
  <si>
    <t>bianca.nelson@crownstonefinancialservices.com</t>
  </si>
  <si>
    <t>Solutions Architect</t>
  </si>
  <si>
    <t>CON0049</t>
  </si>
  <si>
    <t>LEAD0034</t>
  </si>
  <si>
    <t>Jason</t>
  </si>
  <si>
    <t>Edwards</t>
  </si>
  <si>
    <t>jason.edwards@ironwoodprecisionworks.com</t>
  </si>
  <si>
    <t>Director of Business Systems</t>
  </si>
  <si>
    <t>CON0107</t>
  </si>
  <si>
    <t>OPP0364</t>
  </si>
  <si>
    <t>LEAD0035</t>
  </si>
  <si>
    <t>Justin</t>
  </si>
  <si>
    <t>justin.rodriguez@vantageretail.com</t>
  </si>
  <si>
    <t>CON0115</t>
  </si>
  <si>
    <t>LEAD0036</t>
  </si>
  <si>
    <t>Henry</t>
  </si>
  <si>
    <t>henry.cooper@vertexdigital.com</t>
  </si>
  <si>
    <t>Chief Operating Officer</t>
  </si>
  <si>
    <t>CON0180</t>
  </si>
  <si>
    <t>LEAD0037</t>
  </si>
  <si>
    <t>Peterson</t>
  </si>
  <si>
    <t>michelle.peterson@blueharborlabs.com</t>
  </si>
  <si>
    <t>CON0056</t>
  </si>
  <si>
    <t>LEAD0038</t>
  </si>
  <si>
    <t>Omar</t>
  </si>
  <si>
    <t>omar.bennett@brightpathadvisorypartners.com</t>
  </si>
  <si>
    <t>General Manager</t>
  </si>
  <si>
    <t>CON0503</t>
  </si>
  <si>
    <t>OPP0158</t>
  </si>
  <si>
    <t>LEAD0039</t>
  </si>
  <si>
    <t>benjamin.ramirez@catalysthealthpartners.com</t>
  </si>
  <si>
    <t>IT Applications Manager</t>
  </si>
  <si>
    <t>CON0591</t>
  </si>
  <si>
    <t>OPP0008</t>
  </si>
  <si>
    <t>LEAD0040</t>
  </si>
  <si>
    <t>Michael</t>
  </si>
  <si>
    <t>michael.chen@vantagesystems.com</t>
  </si>
  <si>
    <t>CON0255</t>
  </si>
  <si>
    <t>OPP0179</t>
  </si>
  <si>
    <t>LEAD0041</t>
  </si>
  <si>
    <t>isaiah.thomas@bluewaterfreight.com</t>
  </si>
  <si>
    <t>Operations Manager</t>
  </si>
  <si>
    <t>CON0486</t>
  </si>
  <si>
    <t>OPP0425</t>
  </si>
  <si>
    <t>LEAD0042</t>
  </si>
  <si>
    <t>Jasmine</t>
  </si>
  <si>
    <t>jasmine.thomas@silverlinetransportation.com</t>
  </si>
  <si>
    <t>Business Operations Manager</t>
  </si>
  <si>
    <t>CON0303</t>
  </si>
  <si>
    <t>OPP0242</t>
  </si>
  <si>
    <t>LEAD0043</t>
  </si>
  <si>
    <t>Liam</t>
  </si>
  <si>
    <t>liam.kelly@riverbendcontracting.com</t>
  </si>
  <si>
    <t>Owner</t>
  </si>
  <si>
    <t>CON0068</t>
  </si>
  <si>
    <t>OPP0356</t>
  </si>
  <si>
    <t>LEAD0044</t>
  </si>
  <si>
    <t>lucas.reed@bluewaterhealthpartners.com</t>
  </si>
  <si>
    <t>CON0008</t>
  </si>
  <si>
    <t>LEAD0045</t>
  </si>
  <si>
    <t>jordan.nguyen@truenorthsolutions.com</t>
  </si>
  <si>
    <t>CON0029</t>
  </si>
  <si>
    <t>LEAD0046</t>
  </si>
  <si>
    <t>Madison</t>
  </si>
  <si>
    <t>madison.reed@brightwellfabrication.com</t>
  </si>
  <si>
    <t>CON0476</t>
  </si>
  <si>
    <t>OPP0113</t>
  </si>
  <si>
    <t>LEAD0047</t>
  </si>
  <si>
    <t>ethan.green@brightpathretail.com</t>
  </si>
  <si>
    <t>CON0349</t>
  </si>
  <si>
    <t>LEAD0048</t>
  </si>
  <si>
    <t>Walker</t>
  </si>
  <si>
    <t>maya.walker@cobaltsupplychain.com</t>
  </si>
  <si>
    <t>CON0284</t>
  </si>
  <si>
    <t>OPP0174</t>
  </si>
  <si>
    <t>LEAD0049</t>
  </si>
  <si>
    <t>Jenna</t>
  </si>
  <si>
    <t>jenna.cooper@highlandfabrication.com</t>
  </si>
  <si>
    <t>VP of Information Technology</t>
  </si>
  <si>
    <t>CON0146</t>
  </si>
  <si>
    <t>OPP0322</t>
  </si>
  <si>
    <t>LEAD0050</t>
  </si>
  <si>
    <t>Catherine</t>
  </si>
  <si>
    <t>catherine.brooks@vantagefreight.com</t>
  </si>
  <si>
    <t>Business Operations Director</t>
  </si>
  <si>
    <t>CON0021</t>
  </si>
  <si>
    <t>OPP0090</t>
  </si>
  <si>
    <t>LEAD0051</t>
  </si>
  <si>
    <t>Alexandra</t>
  </si>
  <si>
    <t>alexandra.perez@sterlingadvisory.com</t>
  </si>
  <si>
    <t>CON0214</t>
  </si>
  <si>
    <t>OPP0142</t>
  </si>
  <si>
    <t>LEAD0052</t>
  </si>
  <si>
    <t>aiden.hayes@foxbridgelabs.com</t>
  </si>
  <si>
    <t>CON0572</t>
  </si>
  <si>
    <t>OPP0184</t>
  </si>
  <si>
    <t>LEAD0053</t>
  </si>
  <si>
    <t>Brianna</t>
  </si>
  <si>
    <t>brianna.wright@elmwoodfreight.com</t>
  </si>
  <si>
    <t>Enterprise Applications Lead</t>
  </si>
  <si>
    <t>CON0033</t>
  </si>
  <si>
    <t>OPP0131</t>
  </si>
  <si>
    <t>LEAD0054</t>
  </si>
  <si>
    <t>david.turner@stonebridgeprofessionalservices.com</t>
  </si>
  <si>
    <t>Systems Analyst</t>
  </si>
  <si>
    <t>CON0101</t>
  </si>
  <si>
    <t>OPP0112</t>
  </si>
  <si>
    <t>LEAD0055</t>
  </si>
  <si>
    <t>Elizabeth</t>
  </si>
  <si>
    <t>Miller</t>
  </si>
  <si>
    <t>elizabeth.miller@lakeshoretraining.com</t>
  </si>
  <si>
    <t>CON0059</t>
  </si>
  <si>
    <t>OPP0348</t>
  </si>
  <si>
    <t>LEAD0056</t>
  </si>
  <si>
    <t>Zoe</t>
  </si>
  <si>
    <t>Butler</t>
  </si>
  <si>
    <t>zoe.butler@skylineindustries.com</t>
  </si>
  <si>
    <t>Process Analyst</t>
  </si>
  <si>
    <t>CON0158</t>
  </si>
  <si>
    <t>OPP0067</t>
  </si>
  <si>
    <t>LEAD0057</t>
  </si>
  <si>
    <t>Cruz</t>
  </si>
  <si>
    <t>thomas.cruz@rivermarkcapital.com</t>
  </si>
  <si>
    <t>CON0133</t>
  </si>
  <si>
    <t>OPP0222</t>
  </si>
  <si>
    <t>LEAD0058</t>
  </si>
  <si>
    <t>Hannah</t>
  </si>
  <si>
    <t>Ward</t>
  </si>
  <si>
    <t>hannah.ward@brightpathretail.com</t>
  </si>
  <si>
    <t>CON0350</t>
  </si>
  <si>
    <t>LEAD0059</t>
  </si>
  <si>
    <t>noah.evans@oakridgeindustries.com</t>
  </si>
  <si>
    <t>Chief Technology Officer</t>
  </si>
  <si>
    <t>CON0122</t>
  </si>
  <si>
    <t>LEAD0060</t>
  </si>
  <si>
    <t>Ariana</t>
  </si>
  <si>
    <t>ariana.washington@ridgeviewmarketplace.com</t>
  </si>
  <si>
    <t>CON0294</t>
  </si>
  <si>
    <t>OPP0244</t>
  </si>
  <si>
    <t>LEAD0061</t>
  </si>
  <si>
    <t>ethan.brooks@fairviewconsulting.com</t>
  </si>
  <si>
    <t>CON0344</t>
  </si>
  <si>
    <t>LEAD0062</t>
  </si>
  <si>
    <t>priya.chen@greenfieldsoftware.com</t>
  </si>
  <si>
    <t>CON0153</t>
  </si>
  <si>
    <t>OPP0291</t>
  </si>
  <si>
    <t>LEAD0063</t>
  </si>
  <si>
    <t>Angela</t>
  </si>
  <si>
    <t>angela.hayes@brookstonebusinesssolutions.com</t>
  </si>
  <si>
    <t>CON0322</t>
  </si>
  <si>
    <t>OPP0340</t>
  </si>
  <si>
    <t>LEAD0064</t>
  </si>
  <si>
    <t>Christopher</t>
  </si>
  <si>
    <t>Allen</t>
  </si>
  <si>
    <t>christopher.allen@stonebridgelearning.com</t>
  </si>
  <si>
    <t>CON0559</t>
  </si>
  <si>
    <t>LEAD0065</t>
  </si>
  <si>
    <t>ariana.roberts@arborcarenetwork.com</t>
  </si>
  <si>
    <t>CON0554</t>
  </si>
  <si>
    <t>OPP0050</t>
  </si>
  <si>
    <t>LEAD0066</t>
  </si>
  <si>
    <t>White</t>
  </si>
  <si>
    <t>catherine.white@sterlingprofessionalservices.com</t>
  </si>
  <si>
    <t>VP of Transformation</t>
  </si>
  <si>
    <t>CON0579</t>
  </si>
  <si>
    <t>LEAD0067</t>
  </si>
  <si>
    <t>Gray</t>
  </si>
  <si>
    <t>taylor.gray@vertexsupportservices.com</t>
  </si>
  <si>
    <t>CON0298</t>
  </si>
  <si>
    <t>OPP0274</t>
  </si>
  <si>
    <t>LEAD0068</t>
  </si>
  <si>
    <t>noah.richardson@keystonelabs.com</t>
  </si>
  <si>
    <t>CON0243</t>
  </si>
  <si>
    <t>OPP0212</t>
  </si>
  <si>
    <t>LEAD0069</t>
  </si>
  <si>
    <t>henry.miller@granitepeakmanufacturing.com</t>
  </si>
  <si>
    <t>Business Analyst</t>
  </si>
  <si>
    <t>CON0230</t>
  </si>
  <si>
    <t>LEAD0070</t>
  </si>
  <si>
    <t>Sophia</t>
  </si>
  <si>
    <t>Johnson</t>
  </si>
  <si>
    <t>sophia.johnson@brightwelldigital.com</t>
  </si>
  <si>
    <t>CON0360</t>
  </si>
  <si>
    <t>OPP0079</t>
  </si>
  <si>
    <t>LEAD0071</t>
  </si>
  <si>
    <t>Diaz</t>
  </si>
  <si>
    <t>rebecca.diaz@cobaltlabs.com</t>
  </si>
  <si>
    <t>CON0491</t>
  </si>
  <si>
    <t>OPP0260</t>
  </si>
  <si>
    <t>LEAD0072</t>
  </si>
  <si>
    <t>Anderson</t>
  </si>
  <si>
    <t>brianna.anderson@primepointsoftware.com</t>
  </si>
  <si>
    <t>Enterprise Architect</t>
  </si>
  <si>
    <t>CON0248</t>
  </si>
  <si>
    <t>OPP0006</t>
  </si>
  <si>
    <t>LEAD0073</t>
  </si>
  <si>
    <t>Diana</t>
  </si>
  <si>
    <t>diana.nguyen@vertexconsulting.com</t>
  </si>
  <si>
    <t>CON0620</t>
  </si>
  <si>
    <t>OPP0171</t>
  </si>
  <si>
    <t>LEAD0074</t>
  </si>
  <si>
    <t>ethan.moore@vertexretail.com</t>
  </si>
  <si>
    <t>Project Coordinator</t>
  </si>
  <si>
    <t>CON0613</t>
  </si>
  <si>
    <t>OPP0223</t>
  </si>
  <si>
    <t>LEAD0075</t>
  </si>
  <si>
    <t>ariana.rodriguez@pioneercarenetwork.com</t>
  </si>
  <si>
    <t>CON0539</t>
  </si>
  <si>
    <t>OPP0170</t>
  </si>
  <si>
    <t>LEAD0076</t>
  </si>
  <si>
    <t>Eli</t>
  </si>
  <si>
    <t>eli.butler@clearpathmanufacturing.com</t>
  </si>
  <si>
    <t>CON0222</t>
  </si>
  <si>
    <t>OPP0199</t>
  </si>
  <si>
    <t>LEAD0077</t>
  </si>
  <si>
    <t>jason.thomas@frontieracademy.com</t>
  </si>
  <si>
    <t>Enterprise Systems Manager</t>
  </si>
  <si>
    <t>CON0647</t>
  </si>
  <si>
    <t>OPP0335</t>
  </si>
  <si>
    <t>LEAD0078</t>
  </si>
  <si>
    <t>Megan</t>
  </si>
  <si>
    <t>megan.edwards@truenorthhealthservices.com</t>
  </si>
  <si>
    <t>CON0212</t>
  </si>
  <si>
    <t>OPP0211</t>
  </si>
  <si>
    <t>LEAD0079</t>
  </si>
  <si>
    <t>dominic.richardson@ridgeviewretail.com</t>
  </si>
  <si>
    <t>CON0170</t>
  </si>
  <si>
    <t>OPP0307</t>
  </si>
  <si>
    <t>LEAD0080</t>
  </si>
  <si>
    <t>Charles</t>
  </si>
  <si>
    <t>charles.green@bridgewaylearningsystems.com</t>
  </si>
  <si>
    <t>CON0197</t>
  </si>
  <si>
    <t>OPP0297</t>
  </si>
  <si>
    <t>LEAD0081</t>
  </si>
  <si>
    <t>christopher.patel@catalystsupportservices.com</t>
  </si>
  <si>
    <t>CON0228</t>
  </si>
  <si>
    <t>LEAD0082</t>
  </si>
  <si>
    <t>benjamin.cooper@redwoodfabrication.com</t>
  </si>
  <si>
    <t>CON0066</t>
  </si>
  <si>
    <t>OPP0086</t>
  </si>
  <si>
    <t>LEAD0083</t>
  </si>
  <si>
    <t>alicia.lewis@primepointcommerce.com</t>
  </si>
  <si>
    <t>CON0319</t>
  </si>
  <si>
    <t>OPP0014</t>
  </si>
  <si>
    <t>LEAD0084</t>
  </si>
  <si>
    <t>Isabella</t>
  </si>
  <si>
    <t>Adams</t>
  </si>
  <si>
    <t>isabella.adams@vertexlogistics.com</t>
  </si>
  <si>
    <t>CON0299</t>
  </si>
  <si>
    <t>OPP0135</t>
  </si>
  <si>
    <t>LEAD0085</t>
  </si>
  <si>
    <t>Garcia</t>
  </si>
  <si>
    <t>angela.garcia@elmwoodfreight.com</t>
  </si>
  <si>
    <t>CON0034</t>
  </si>
  <si>
    <t>OPP0005</t>
  </si>
  <si>
    <t>LEAD0086</t>
  </si>
  <si>
    <t>carlos.perry@cedarstoneoperations.com</t>
  </si>
  <si>
    <t>CON0010</t>
  </si>
  <si>
    <t>OPP0160</t>
  </si>
  <si>
    <t>LEAD0087</t>
  </si>
  <si>
    <t>marcus.garcia@harborviewclinicalservices.com</t>
  </si>
  <si>
    <t>CON0318</t>
  </si>
  <si>
    <t>OPP0251</t>
  </si>
  <si>
    <t>LEAD0088</t>
  </si>
  <si>
    <t>chloe.perry@goldcrestdistribution.com</t>
  </si>
  <si>
    <t>CON0004</t>
  </si>
  <si>
    <t>OPP0230</t>
  </si>
  <si>
    <t>LEAD0089</t>
  </si>
  <si>
    <t>Hill</t>
  </si>
  <si>
    <t>michael.hill@clearpathadvisory.com</t>
  </si>
  <si>
    <t>Program Coordinator</t>
  </si>
  <si>
    <t>CON0138</t>
  </si>
  <si>
    <t>OPP0127</t>
  </si>
  <si>
    <t>LEAD0090</t>
  </si>
  <si>
    <t>Steven</t>
  </si>
  <si>
    <t>steven.reed@truenorthsupplychain.com</t>
  </si>
  <si>
    <t>CON0499</t>
  </si>
  <si>
    <t>OPP0126</t>
  </si>
  <si>
    <t>LEAD0091</t>
  </si>
  <si>
    <t>chloe.bell@eastwoodfinancialservices.com</t>
  </si>
  <si>
    <t>Business Systems Analyst</t>
  </si>
  <si>
    <t>CON0544</t>
  </si>
  <si>
    <t>OPP0182</t>
  </si>
  <si>
    <t>LEAD0092</t>
  </si>
  <si>
    <t>Aaron</t>
  </si>
  <si>
    <t>aaron.collins@frontierlabs.com</t>
  </si>
  <si>
    <t>CON0053</t>
  </si>
  <si>
    <t>LEAD0093</t>
  </si>
  <si>
    <t>Nicole</t>
  </si>
  <si>
    <t>nicole.turner@northwindsupportservices.com</t>
  </si>
  <si>
    <t>CON0418</t>
  </si>
  <si>
    <t>LEAD0094</t>
  </si>
  <si>
    <t>omar.morgan@westfieldlabs.com</t>
  </si>
  <si>
    <t>Systems Administrator</t>
  </si>
  <si>
    <t>CON0411</t>
  </si>
  <si>
    <t>OPP0338</t>
  </si>
  <si>
    <t>LEAD0095</t>
  </si>
  <si>
    <t>eli.thomas@cedarstonehealthservices.com</t>
  </si>
  <si>
    <t>CON0536</t>
  </si>
  <si>
    <t>OPP0224</t>
  </si>
  <si>
    <t>LEAD0096</t>
  </si>
  <si>
    <t>Howard</t>
  </si>
  <si>
    <t>david.howard@clearwatersupportservices.com</t>
  </si>
  <si>
    <t>CON0397</t>
  </si>
  <si>
    <t>LEAD0097</t>
  </si>
  <si>
    <t>ella.smith@bluepeakdistribution.com</t>
  </si>
  <si>
    <t>CON0005</t>
  </si>
  <si>
    <t>OPP0259</t>
  </si>
  <si>
    <t>LEAD0098</t>
  </si>
  <si>
    <t>ashley.smith@granitepeakcarenetwork.com</t>
  </si>
  <si>
    <t>CON0312</t>
  </si>
  <si>
    <t>OPP0245</t>
  </si>
  <si>
    <t>LEAD0099</t>
  </si>
  <si>
    <t>steven.butler@primepointsoftware.com</t>
  </si>
  <si>
    <t>Director of Business Transformation</t>
  </si>
  <si>
    <t>CON0247</t>
  </si>
  <si>
    <t>OPP0361</t>
  </si>
  <si>
    <t>LEAD0100</t>
  </si>
  <si>
    <t>angela.cooper@suncrestfreight.com</t>
  </si>
  <si>
    <t>CON0271</t>
  </si>
  <si>
    <t>OPP0354</t>
  </si>
  <si>
    <t>LEAD0101</t>
  </si>
  <si>
    <t>Stewart</t>
  </si>
  <si>
    <t>lucas.stewart@maplewoodsystems.com</t>
  </si>
  <si>
    <t>CON0105</t>
  </si>
  <si>
    <t>OPP0252</t>
  </si>
  <si>
    <t>LEAD0102</t>
  </si>
  <si>
    <t>Lopez</t>
  </si>
  <si>
    <t>grace.lopez@fairviewmanufacturing.com</t>
  </si>
  <si>
    <t>CON0565</t>
  </si>
  <si>
    <t>OPP0270</t>
  </si>
  <si>
    <t>LEAD0103</t>
  </si>
  <si>
    <t>charles.peterson@suncrestfreight.com</t>
  </si>
  <si>
    <t>CON0270</t>
  </si>
  <si>
    <t>LEAD0104</t>
  </si>
  <si>
    <t>chloe.collins@skylineindustries.com</t>
  </si>
  <si>
    <t>VP of Business Systems</t>
  </si>
  <si>
    <t>CON0156</t>
  </si>
  <si>
    <t>LEAD0105</t>
  </si>
  <si>
    <t>Jose</t>
  </si>
  <si>
    <t>jose.roberts@oakridgeprofessionalservices.com</t>
  </si>
  <si>
    <t>CON0393</t>
  </si>
  <si>
    <t>OPP0320</t>
  </si>
  <si>
    <t>LEAD0106</t>
  </si>
  <si>
    <t>Elena</t>
  </si>
  <si>
    <t>elena.jones@northstarprofessionalservices.com</t>
  </si>
  <si>
    <t>CON0024</t>
  </si>
  <si>
    <t>OPP0121</t>
  </si>
  <si>
    <t>LEAD0107</t>
  </si>
  <si>
    <t>christopher.collins@cedarstonehealthservices.com</t>
  </si>
  <si>
    <t>CON0535</t>
  </si>
  <si>
    <t>OPP0076</t>
  </si>
  <si>
    <t>LEAD0108</t>
  </si>
  <si>
    <t>liam.patel@westlakeservices.com</t>
  </si>
  <si>
    <t>CON0306</t>
  </si>
  <si>
    <t>OPP0249</t>
  </si>
  <si>
    <t>LEAD0109</t>
  </si>
  <si>
    <t>abigail.washington@lakeshoretraining.com</t>
  </si>
  <si>
    <t>CON0058</t>
  </si>
  <si>
    <t>OPP0087</t>
  </si>
  <si>
    <t>LEAD0110</t>
  </si>
  <si>
    <t>aaliyah.kelly@frontierbuilders.com</t>
  </si>
  <si>
    <t>CON0640</t>
  </si>
  <si>
    <t>LEAD0111</t>
  </si>
  <si>
    <t>jordan.collins@crescentsolutions.com</t>
  </si>
  <si>
    <t>CON0518</t>
  </si>
  <si>
    <t>OPP0257</t>
  </si>
  <si>
    <t>LEAD0112</t>
  </si>
  <si>
    <t>alicia.rivera@northstarretail.com</t>
  </si>
  <si>
    <t>CON0389</t>
  </si>
  <si>
    <t>LEAD0113</t>
  </si>
  <si>
    <t>Robinson</t>
  </si>
  <si>
    <t>aaron.robinson@skylineprecisionworks.com</t>
  </si>
  <si>
    <t>Systems Manager</t>
  </si>
  <si>
    <t>CON0275</t>
  </si>
  <si>
    <t>OPP0298</t>
  </si>
  <si>
    <t>LEAD0114</t>
  </si>
  <si>
    <t>Andrew</t>
  </si>
  <si>
    <t>Martinez</t>
  </si>
  <si>
    <t>andrew.martinez@horizonsupportservices.com</t>
  </si>
  <si>
    <t>CON0546</t>
  </si>
  <si>
    <t>OPP0401</t>
  </si>
  <si>
    <t>LEAD0115</t>
  </si>
  <si>
    <t>emily.shah@truenorthfabrication.com</t>
  </si>
  <si>
    <t>CON0050</t>
  </si>
  <si>
    <t>OPP0236</t>
  </si>
  <si>
    <t>LEAD0116</t>
  </si>
  <si>
    <t>andrea.butler@bluewaterprecisionworks.com</t>
  </si>
  <si>
    <t>CON0077</t>
  </si>
  <si>
    <t>LEAD0117</t>
  </si>
  <si>
    <t>emily.adams@westfieldretail.com</t>
  </si>
  <si>
    <t>CON0505</t>
  </si>
  <si>
    <t>OPP0063</t>
  </si>
  <si>
    <t>LEAD0118</t>
  </si>
  <si>
    <t>William</t>
  </si>
  <si>
    <t>william.gomez@fairviewmanufacturing.com</t>
  </si>
  <si>
    <t>Senior Procurement Manager</t>
  </si>
  <si>
    <t>CON0564</t>
  </si>
  <si>
    <t>OPP0300</t>
  </si>
  <si>
    <t>LEAD0119</t>
  </si>
  <si>
    <t>Morris</t>
  </si>
  <si>
    <t>anthony.morris@fairviewmanufacturing.com</t>
  </si>
  <si>
    <t>CON0562</t>
  </si>
  <si>
    <t>OPP0181</t>
  </si>
  <si>
    <t>LEAD0120</t>
  </si>
  <si>
    <t>Eric</t>
  </si>
  <si>
    <t>eric.lopez@skylineclinicalservices.com</t>
  </si>
  <si>
    <t>CON0091</t>
  </si>
  <si>
    <t>OPP0288</t>
  </si>
  <si>
    <t>LEAD0121</t>
  </si>
  <si>
    <t>andrea.howard@stonebridgelearning.com</t>
  </si>
  <si>
    <t>CON0558</t>
  </si>
  <si>
    <t>OPP0155</t>
  </si>
  <si>
    <t>LEAD0122</t>
  </si>
  <si>
    <t>Phillips</t>
  </si>
  <si>
    <t>ethan.phillips@keystonelabs.com</t>
  </si>
  <si>
    <t>CON0442</t>
  </si>
  <si>
    <t>OPP0410</t>
  </si>
  <si>
    <t>LEAD0123</t>
  </si>
  <si>
    <t>Camila</t>
  </si>
  <si>
    <t>camila.young@mosaicprecisionworks.com</t>
  </si>
  <si>
    <t>CON0633</t>
  </si>
  <si>
    <t>OPP0365</t>
  </si>
  <si>
    <t>LEAD0124</t>
  </si>
  <si>
    <t>Thompson</t>
  </si>
  <si>
    <t>taylor.thompson@riverbendcontracting.com</t>
  </si>
  <si>
    <t>CON0069</t>
  </si>
  <si>
    <t>LEAD0125</t>
  </si>
  <si>
    <t>Parker</t>
  </si>
  <si>
    <t>brianna.parker@elmwoodfreight.com</t>
  </si>
  <si>
    <t>Director of Process Excellence</t>
  </si>
  <si>
    <t>CON0032</t>
  </si>
  <si>
    <t>OPP0177</t>
  </si>
  <si>
    <t>LEAD0126</t>
  </si>
  <si>
    <t>eva.allen@evergreenservices.com</t>
  </si>
  <si>
    <t>CON0095</t>
  </si>
  <si>
    <t>OPP0313</t>
  </si>
  <si>
    <t>LEAD0127</t>
  </si>
  <si>
    <t>ariana.thompson@highpointhealthpartners.com</t>
  </si>
  <si>
    <t>CON0501</t>
  </si>
  <si>
    <t>OPP0209</t>
  </si>
  <si>
    <t>LEAD0128</t>
  </si>
  <si>
    <t>Bailey</t>
  </si>
  <si>
    <t>CON0444</t>
  </si>
  <si>
    <t>OPP0185</t>
  </si>
  <si>
    <t>LEAD0129</t>
  </si>
  <si>
    <t>Amanda</t>
  </si>
  <si>
    <t>Clark</t>
  </si>
  <si>
    <t>amanda.clark@vertexdigital.com</t>
  </si>
  <si>
    <t>CON0036</t>
  </si>
  <si>
    <t>LEAD0130</t>
  </si>
  <si>
    <t>aiden.kim@clearwatermanufacturing.com</t>
  </si>
  <si>
    <t>CON0598</t>
  </si>
  <si>
    <t>OPP0093</t>
  </si>
  <si>
    <t>LEAD0131</t>
  </si>
  <si>
    <t>andrew.martinez@eastgateadvisorypartners.com</t>
  </si>
  <si>
    <t>CON0446</t>
  </si>
  <si>
    <t>LEAD0132</t>
  </si>
  <si>
    <t>nicole.white@suncrestsystems.com</t>
  </si>
  <si>
    <t>CON0596</t>
  </si>
  <si>
    <t>OPP0024</t>
  </si>
  <si>
    <t>LEAD0133</t>
  </si>
  <si>
    <t>carmen.scott@riverbendmedicalgroup.com</t>
  </si>
  <si>
    <t>SVP of Operations</t>
  </si>
  <si>
    <t>CON0494</t>
  </si>
  <si>
    <t>LEAD0134</t>
  </si>
  <si>
    <t>Hernandez</t>
  </si>
  <si>
    <t>jenna.hernandez@bluepeakfabrication.com</t>
  </si>
  <si>
    <t>CON0374</t>
  </si>
  <si>
    <t>OPP0379</t>
  </si>
  <si>
    <t>LEAD0135</t>
  </si>
  <si>
    <t>Jessica</t>
  </si>
  <si>
    <t>jessica.scott@vantagetraining.com</t>
  </si>
  <si>
    <t>CON0582</t>
  </si>
  <si>
    <t>OPP0377</t>
  </si>
  <si>
    <t>LEAD0136</t>
  </si>
  <si>
    <t>aaliyah.kim@clearpathmanufacturing.com</t>
  </si>
  <si>
    <t>CON0220</t>
  </si>
  <si>
    <t>OPP0374</t>
  </si>
  <si>
    <t>LEAD0137</t>
  </si>
  <si>
    <t>emily.hayes@riverbendlearningsystems.com</t>
  </si>
  <si>
    <t>CON0511</t>
  </si>
  <si>
    <t>LEAD0138</t>
  </si>
  <si>
    <t>ella.rodriguez@crescentsolutions.com</t>
  </si>
  <si>
    <t>CON0517</t>
  </si>
  <si>
    <t>OPP0062</t>
  </si>
  <si>
    <t>LEAD0139</t>
  </si>
  <si>
    <t>Katherine</t>
  </si>
  <si>
    <t>katherine.rivera@northstartechnologies.com</t>
  </si>
  <si>
    <t>CON0159</t>
  </si>
  <si>
    <t>OPP0323</t>
  </si>
  <si>
    <t>LEAD0140</t>
  </si>
  <si>
    <t>eric.bell@cobaltsupplychain.com</t>
  </si>
  <si>
    <t>Senior Business Systems Analyst</t>
  </si>
  <si>
    <t>CON0285</t>
  </si>
  <si>
    <t>OPP0025</t>
  </si>
  <si>
    <t>LEAD0141</t>
  </si>
  <si>
    <t>aiden.walker@clearwaterprecisionworks.com</t>
  </si>
  <si>
    <t>CON0356</t>
  </si>
  <si>
    <t>OPP0295</t>
  </si>
  <si>
    <t>LEAD0142</t>
  </si>
  <si>
    <t>Campbell</t>
  </si>
  <si>
    <t>olivia.campbell@horizonoperations.com</t>
  </si>
  <si>
    <t>CON0585</t>
  </si>
  <si>
    <t>OPP0233</t>
  </si>
  <si>
    <t>LEAD0143</t>
  </si>
  <si>
    <t>aiden.taylor@vertexlogistics.com</t>
  </si>
  <si>
    <t>CON0300</t>
  </si>
  <si>
    <t>OPP0285</t>
  </si>
  <si>
    <t>LEAD0144</t>
  </si>
  <si>
    <t>camila.perez@sterlingdistribution.com</t>
  </si>
  <si>
    <t>CON0119</t>
  </si>
  <si>
    <t>LEAD0145</t>
  </si>
  <si>
    <t>Jacob</t>
  </si>
  <si>
    <t>jacob.hill@parklinemanufacturing.com</t>
  </si>
  <si>
    <t>CON0430</t>
  </si>
  <si>
    <t>OPP0314</t>
  </si>
  <si>
    <t>LEAD0146</t>
  </si>
  <si>
    <t>leah.gomez@redstoneconstruction.com</t>
  </si>
  <si>
    <t>Senior Analyst</t>
  </si>
  <si>
    <t>CON0326</t>
  </si>
  <si>
    <t>LEAD0147</t>
  </si>
  <si>
    <t>King</t>
  </si>
  <si>
    <t>jose.king@greenfieldservices.com</t>
  </si>
  <si>
    <t>CON0622</t>
  </si>
  <si>
    <t>OPP0316</t>
  </si>
  <si>
    <t>LEAD0148</t>
  </si>
  <si>
    <t>carmen.johnson@sterlingdistribution.com</t>
  </si>
  <si>
    <t>CON0118</t>
  </si>
  <si>
    <t>OPP0124</t>
  </si>
  <si>
    <t>LEAD0149</t>
  </si>
  <si>
    <t>sofia.taylor@apextechnologies.com</t>
  </si>
  <si>
    <t>CON0081</t>
  </si>
  <si>
    <t>OPP0280</t>
  </si>
  <si>
    <t>LEAD0150</t>
  </si>
  <si>
    <t>Jenkins</t>
  </si>
  <si>
    <t>zoe.jenkins@ironwoodfinancial.com</t>
  </si>
  <si>
    <t>CON0381</t>
  </si>
  <si>
    <t>OPP0403</t>
  </si>
  <si>
    <t>LEAD0151</t>
  </si>
  <si>
    <t>madison.brooks@keystonelabs.com</t>
  </si>
  <si>
    <t>Senior Business Analyst</t>
  </si>
  <si>
    <t>CON0443</t>
  </si>
  <si>
    <t>OPP0372</t>
  </si>
  <si>
    <t>LEAD0152</t>
  </si>
  <si>
    <t>Claire</t>
  </si>
  <si>
    <t>claire.johnson@bluewatercontracting.com</t>
  </si>
  <si>
    <t>CON0351</t>
  </si>
  <si>
    <t>OPP0027</t>
  </si>
  <si>
    <t>LEAD0153</t>
  </si>
  <si>
    <t>James</t>
  </si>
  <si>
    <t>megan.james@maplewoodconsulting.com</t>
  </si>
  <si>
    <t>CON0437</t>
  </si>
  <si>
    <t>OPP0204</t>
  </si>
  <si>
    <t>LEAD0154</t>
  </si>
  <si>
    <t>elizabeth.gray@sterlingdigital.com</t>
  </si>
  <si>
    <t>CON0516</t>
  </si>
  <si>
    <t>OPP0026</t>
  </si>
  <si>
    <t>LEAD0155</t>
  </si>
  <si>
    <t>michael.ramirez@apexmarketplace.com</t>
  </si>
  <si>
    <t>CON0538</t>
  </si>
  <si>
    <t>OPP0049</t>
  </si>
  <si>
    <t>LEAD0156</t>
  </si>
  <si>
    <t>Hall</t>
  </si>
  <si>
    <t>michael.hall@lakeshoremanufacturing.com</t>
  </si>
  <si>
    <t>CON0534</t>
  </si>
  <si>
    <t>OPP0327</t>
  </si>
  <si>
    <t>LEAD0157</t>
  </si>
  <si>
    <t>angela.edwards@bluewaterindustrial.com</t>
  </si>
  <si>
    <t>CON0378</t>
  </si>
  <si>
    <t>OPP0159</t>
  </si>
  <si>
    <t>LEAD0158</t>
  </si>
  <si>
    <t>jason.jenkins@opengateadvisorypartners.com</t>
  </si>
  <si>
    <t>CON0463</t>
  </si>
  <si>
    <t>OPP0358</t>
  </si>
  <si>
    <t>LEAD0159</t>
  </si>
  <si>
    <t>christopher.torres@maplewooddistribution.com</t>
  </si>
  <si>
    <t>CON0281</t>
  </si>
  <si>
    <t>OPP0318</t>
  </si>
  <si>
    <t>LEAD0160</t>
  </si>
  <si>
    <t>ashley.campbell@catalystsupportservices.com</t>
  </si>
  <si>
    <t>CON0226</t>
  </si>
  <si>
    <t>LEAD0161</t>
  </si>
  <si>
    <t>aiden.nelson@cobaltsupplychain.com</t>
  </si>
  <si>
    <t>VP of Enterprise Systems</t>
  </si>
  <si>
    <t>CON0282</t>
  </si>
  <si>
    <t>OPP0173</t>
  </si>
  <si>
    <t>LEAD0162</t>
  </si>
  <si>
    <t>Danielle</t>
  </si>
  <si>
    <t>Hughes</t>
  </si>
  <si>
    <t>danielle.hughes@arborlearningsystems.com</t>
  </si>
  <si>
    <t>CON0086</t>
  </si>
  <si>
    <t>OPP0056</t>
  </si>
  <si>
    <t>LEAD0163</t>
  </si>
  <si>
    <t>aiden.campbell@silverlineservices.com</t>
  </si>
  <si>
    <t>CON0614</t>
  </si>
  <si>
    <t>LEAD0164</t>
  </si>
  <si>
    <t>noah.anderson@silveroakprofessionalservices.com</t>
  </si>
  <si>
    <t>CON0477</t>
  </si>
  <si>
    <t>OPP0045</t>
  </si>
  <si>
    <t>LEAD0165</t>
  </si>
  <si>
    <t>Nathan</t>
  </si>
  <si>
    <t>nathan.stewart@bluepeakconstruction.com</t>
  </si>
  <si>
    <t>CON0363</t>
  </si>
  <si>
    <t>OPP0051</t>
  </si>
  <si>
    <t>LEAD0166</t>
  </si>
  <si>
    <t>aiden.richardson@skylinebusinesssolutions.com</t>
  </si>
  <si>
    <t>CON0185</t>
  </si>
  <si>
    <t>LEAD0167</t>
  </si>
  <si>
    <t>eli.ramirez@rivermarkdigital.com</t>
  </si>
  <si>
    <t>CON0203</t>
  </si>
  <si>
    <t>OPP0263</t>
  </si>
  <si>
    <t>LEAD0168</t>
  </si>
  <si>
    <t>jenna.peterson@lakeshoretraining.com</t>
  </si>
  <si>
    <t>Program Manager</t>
  </si>
  <si>
    <t>CON0060</t>
  </si>
  <si>
    <t>OPP0283</t>
  </si>
  <si>
    <t>LEAD0169</t>
  </si>
  <si>
    <t>nathan.miller@brookstoneprecisionworks.com</t>
  </si>
  <si>
    <t>CON0266</t>
  </si>
  <si>
    <t>OPP0094</t>
  </si>
  <si>
    <t>LEAD0170</t>
  </si>
  <si>
    <t>elizabeth.johnson@blueharborprecisionworks.com</t>
  </si>
  <si>
    <t>CON0402</t>
  </si>
  <si>
    <t>OPP0254</t>
  </si>
  <si>
    <t>LEAD0171</t>
  </si>
  <si>
    <t>anthony.perez@northstarbusinesssolutions.com</t>
  </si>
  <si>
    <t>CON0290</t>
  </si>
  <si>
    <t>OPP0016</t>
  </si>
  <si>
    <t>LEAD0172</t>
  </si>
  <si>
    <t>Sanchez</t>
  </si>
  <si>
    <t>christopher.sanchez@ridgeviewconsulting.com</t>
  </si>
  <si>
    <t>CON0635</t>
  </si>
  <si>
    <t>LEAD0173</t>
  </si>
  <si>
    <t>eric.bennett@evergreensupportservices.com</t>
  </si>
  <si>
    <t>CON0265</t>
  </si>
  <si>
    <t>LEAD0174</t>
  </si>
  <si>
    <t>Davis</t>
  </si>
  <si>
    <t>alicia.davis@vertexservices.com</t>
  </si>
  <si>
    <t>CON0358</t>
  </si>
  <si>
    <t>OPP0029</t>
  </si>
  <si>
    <t>LEAD0175</t>
  </si>
  <si>
    <t>david.cooper@foxbridgelabs.com</t>
  </si>
  <si>
    <t>CON0570</t>
  </si>
  <si>
    <t>OPP0144</t>
  </si>
  <si>
    <t>LEAD0176</t>
  </si>
  <si>
    <t>ethan.hughes@cobaltprecisionworks.com</t>
  </si>
  <si>
    <t>Department Manager</t>
  </si>
  <si>
    <t>CON0336</t>
  </si>
  <si>
    <t>OPP0007</t>
  </si>
  <si>
    <t>LEAD0177</t>
  </si>
  <si>
    <t>samuel.clark@ironwoodsoftware.com</t>
  </si>
  <si>
    <t>CON0259</t>
  </si>
  <si>
    <t>OPP0154</t>
  </si>
  <si>
    <t>LEAD0178</t>
  </si>
  <si>
    <t>kevin.gomez@crownstonefinancialservices.com</t>
  </si>
  <si>
    <t>CON0047</t>
  </si>
  <si>
    <t>LEAD0179</t>
  </si>
  <si>
    <t>sofia.perez@cornerstoneadvisorypartners.com</t>
  </si>
  <si>
    <t>CON0074</t>
  </si>
  <si>
    <t>OPP0161</t>
  </si>
  <si>
    <t>LEAD0180</t>
  </si>
  <si>
    <t>vanessa.patel@brightpathhealthpartners.com</t>
  </si>
  <si>
    <t>CON0408</t>
  </si>
  <si>
    <t>OPP0397</t>
  </si>
  <si>
    <t>LEAD0181</t>
  </si>
  <si>
    <t>Adrian</t>
  </si>
  <si>
    <t>adrian.miller@primepointsoftware.com</t>
  </si>
  <si>
    <t>CON0249</t>
  </si>
  <si>
    <t>OPP0349</t>
  </si>
  <si>
    <t>LEAD0182</t>
  </si>
  <si>
    <t>jordan.lopez@skylinesystems.com</t>
  </si>
  <si>
    <t>CON0041</t>
  </si>
  <si>
    <t>OPP0404</t>
  </si>
  <si>
    <t>LEAD0183</t>
  </si>
  <si>
    <t>justin.phillips@meridiancontracting.com</t>
  </si>
  <si>
    <t>CON0394</t>
  </si>
  <si>
    <t>LEAD0184</t>
  </si>
  <si>
    <t>carmen.chen@brookstonebusinesssolutions.com</t>
  </si>
  <si>
    <t>Team Lead</t>
  </si>
  <si>
    <t>CON0323</t>
  </si>
  <si>
    <t>LEAD0185</t>
  </si>
  <si>
    <t>CON0560</t>
  </si>
  <si>
    <t>OPP0373</t>
  </si>
  <si>
    <t>LEAD0186</t>
  </si>
  <si>
    <t>daniel.peterson@arborsoftware.com</t>
  </si>
  <si>
    <t>CON0302</t>
  </si>
  <si>
    <t>LEAD0187</t>
  </si>
  <si>
    <t>CON0515</t>
  </si>
  <si>
    <t>OPP0284</t>
  </si>
  <si>
    <t>LEAD0188</t>
  </si>
  <si>
    <t>dominic.mitchell@cobaltclinicalservices.com</t>
  </si>
  <si>
    <t>CON0241</t>
  </si>
  <si>
    <t>OPP0218</t>
  </si>
  <si>
    <t>LEAD0189</t>
  </si>
  <si>
    <t>Julia</t>
  </si>
  <si>
    <t>julia.hernandez@foxbridgelabs.com</t>
  </si>
  <si>
    <t>CON0569</t>
  </si>
  <si>
    <t>OPP0044</t>
  </si>
  <si>
    <t>LEAD0190</t>
  </si>
  <si>
    <t>jacob.foster@evergreenwealthpartners.com</t>
  </si>
  <si>
    <t>CON0150</t>
  </si>
  <si>
    <t>LEAD0191</t>
  </si>
  <si>
    <t>justin.edwards@harborviewcapital.com</t>
  </si>
  <si>
    <t>CON0586</t>
  </si>
  <si>
    <t>OPP0133</t>
  </si>
  <si>
    <t>LEAD0192</t>
  </si>
  <si>
    <t>emily.kim@cobalthealthservices.com</t>
  </si>
  <si>
    <t>CON0234</t>
  </si>
  <si>
    <t>LEAD0193</t>
  </si>
  <si>
    <t>jordan.reed@blueharborprecisionworks.com</t>
  </si>
  <si>
    <t>CON0400</t>
  </si>
  <si>
    <t>OPP0189</t>
  </si>
  <si>
    <t>LEAD0194</t>
  </si>
  <si>
    <t>Gabriel</t>
  </si>
  <si>
    <t>gabriel.turner@parklineprofessionalservices.com</t>
  </si>
  <si>
    <t>CON0520</t>
  </si>
  <si>
    <t>OPP0381</t>
  </si>
  <si>
    <t>LEAD0195</t>
  </si>
  <si>
    <t>brianna.cooper@evergreenconsulting.com</t>
  </si>
  <si>
    <t>CON0110</t>
  </si>
  <si>
    <t>OPP0073</t>
  </si>
  <si>
    <t>LEAD0196</t>
  </si>
  <si>
    <t>carlos.torres@clearwatertransportation.com</t>
  </si>
  <si>
    <t>CON0121</t>
  </si>
  <si>
    <t>LEAD0197</t>
  </si>
  <si>
    <t>steven.collins@cobaltbuilders.com</t>
  </si>
  <si>
    <t>CON0045</t>
  </si>
  <si>
    <t>OPP0243</t>
  </si>
  <si>
    <t>LEAD0198</t>
  </si>
  <si>
    <t>henry.gray@highlandclinicalservices.com</t>
  </si>
  <si>
    <t>CON0474</t>
  </si>
  <si>
    <t>OPP0265</t>
  </si>
  <si>
    <t>LEAD0199</t>
  </si>
  <si>
    <t>ella.shah@elmwoodtransportation.com</t>
  </si>
  <si>
    <t>CON0594</t>
  </si>
  <si>
    <t>OPP0098</t>
  </si>
  <si>
    <t>LEAD0200</t>
  </si>
  <si>
    <t>claire.gomez@opengateadvisorypartners.com</t>
  </si>
  <si>
    <t>CON0464</t>
  </si>
  <si>
    <t>LEAD0201</t>
  </si>
  <si>
    <t>thomas.edwards@eastgatesupplychain.com</t>
  </si>
  <si>
    <t>CON0327</t>
  </si>
  <si>
    <t>OPP0264</t>
  </si>
  <si>
    <t>LEAD0202</t>
  </si>
  <si>
    <t>noah.rogers@frontierfinancialservices.com</t>
  </si>
  <si>
    <t>CON0355</t>
  </si>
  <si>
    <t>OPP0281</t>
  </si>
  <si>
    <t>LEAD0203</t>
  </si>
  <si>
    <t>jordan.diaz@cobaltbuilders.com</t>
  </si>
  <si>
    <t>CON0046</t>
  </si>
  <si>
    <t>OPP0105</t>
  </si>
  <si>
    <t>LEAD0204</t>
  </si>
  <si>
    <t>alexandra.cooper@lakeshoreinfrastructure.com</t>
  </si>
  <si>
    <t>CON0550</t>
  </si>
  <si>
    <t>OPP0225</t>
  </si>
  <si>
    <t>LEAD0205</t>
  </si>
  <si>
    <t>marcus.roberts@maplewoodbrands.com</t>
  </si>
  <si>
    <t>CON0514</t>
  </si>
  <si>
    <t>OPP0362</t>
  </si>
  <si>
    <t>LEAD0206</t>
  </si>
  <si>
    <t>olivia.miller@beaconhealthpartners.com</t>
  </si>
  <si>
    <t>CON0650</t>
  </si>
  <si>
    <t>OPP0277</t>
  </si>
  <si>
    <t>LEAD0207</t>
  </si>
  <si>
    <t>diana.nguyen@riverbendsystems.com</t>
  </si>
  <si>
    <t>CON0395</t>
  </si>
  <si>
    <t>OPP0012</t>
  </si>
  <si>
    <t>LEAD0208</t>
  </si>
  <si>
    <t>jacob.mitchell@ridgeviewconsulting.com</t>
  </si>
  <si>
    <t>CON0636</t>
  </si>
  <si>
    <t>LEAD0209</t>
  </si>
  <si>
    <t>leah.miller@granitepeakmanufacturing.com</t>
  </si>
  <si>
    <t>CON0229</t>
  </si>
  <si>
    <t>OPP0386</t>
  </si>
  <si>
    <t>LEAD0210</t>
  </si>
  <si>
    <t>henry.white@beaconcapital.com</t>
  </si>
  <si>
    <t>CON0286</t>
  </si>
  <si>
    <t>OPP0198</t>
  </si>
  <si>
    <t>LEAD0211</t>
  </si>
  <si>
    <t>christopher.hill@arborlearningsystems.com</t>
  </si>
  <si>
    <t>CON0087</t>
  </si>
  <si>
    <t>OPP0128</t>
  </si>
  <si>
    <t>LEAD0212</t>
  </si>
  <si>
    <t>elizabeth.edwards@cornerstoneconstruction.com</t>
  </si>
  <si>
    <t>CON0460</t>
  </si>
  <si>
    <t>LEAD0213</t>
  </si>
  <si>
    <t>dominic.perry@frontiersoftware.com</t>
  </si>
  <si>
    <t>CON0292</t>
  </si>
  <si>
    <t>OPP0157</t>
  </si>
  <si>
    <t>LEAD0214</t>
  </si>
  <si>
    <t>ella.harris@northstarbusinesssolutions.com</t>
  </si>
  <si>
    <t>CON0289</t>
  </si>
  <si>
    <t>LEAD0215</t>
  </si>
  <si>
    <t>brandon.richardson@westlakeacademy.com</t>
  </si>
  <si>
    <t>CON0383</t>
  </si>
  <si>
    <t>LEAD0216</t>
  </si>
  <si>
    <t>leah.clark@brookstoneprecisionworks.com</t>
  </si>
  <si>
    <t>CON0267</t>
  </si>
  <si>
    <t>LEAD0217</t>
  </si>
  <si>
    <t>maya.collins@foxbridgefinancial.com</t>
  </si>
  <si>
    <t>Process Improvement Manager</t>
  </si>
  <si>
    <t>CON0199</t>
  </si>
  <si>
    <t>OPP0213</t>
  </si>
  <si>
    <t>LEAD0218</t>
  </si>
  <si>
    <t>noah.perez@brookstonesolutions.com</t>
  </si>
  <si>
    <t>CON0611</t>
  </si>
  <si>
    <t>OPP0202</t>
  </si>
  <si>
    <t>LEAD0219</t>
  </si>
  <si>
    <t>andrew.moore@redwoodoperations.com</t>
  </si>
  <si>
    <t>CON0330</t>
  </si>
  <si>
    <t>OPP0048</t>
  </si>
  <si>
    <t>LEAD0220</t>
  </si>
  <si>
    <t>Ross</t>
  </si>
  <si>
    <t>henry.ross@horizonsupportservices.com</t>
  </si>
  <si>
    <t>CON0549</t>
  </si>
  <si>
    <t>LEAD0221</t>
  </si>
  <si>
    <t>natalie.torres@clearpathprofessionalservices.com</t>
  </si>
  <si>
    <t>CON0017</t>
  </si>
  <si>
    <t>LEAD0222</t>
  </si>
  <si>
    <t>brianna.morgan@granitepeakclinicalservices.com</t>
  </si>
  <si>
    <t>CON0316</t>
  </si>
  <si>
    <t>LEAD0223</t>
  </si>
  <si>
    <t>lucas.white@opengateadvisorypartners.com</t>
  </si>
  <si>
    <t>CON0465</t>
  </si>
  <si>
    <t>LEAD0224</t>
  </si>
  <si>
    <t>lauren.williams@vertexconsulting.com</t>
  </si>
  <si>
    <t>Strategic Sourcing Director</t>
  </si>
  <si>
    <t>CON0621</t>
  </si>
  <si>
    <t>LEAD0225</t>
  </si>
  <si>
    <t>CON0469</t>
  </si>
  <si>
    <t>OPP0310</t>
  </si>
  <si>
    <t>LEAD0226</t>
  </si>
  <si>
    <t>isaiah.allen@highpointfreight.com</t>
  </si>
  <si>
    <t>CON0414</t>
  </si>
  <si>
    <t>OPP0192</t>
  </si>
  <si>
    <t>LEAD0227</t>
  </si>
  <si>
    <t>christopher.miller@silveroakretail.com</t>
  </si>
  <si>
    <t>CON0424</t>
  </si>
  <si>
    <t>OPP0101</t>
  </si>
  <si>
    <t>LEAD0228</t>
  </si>
  <si>
    <t>jordan.taylor@vertexwealthpartners.com</t>
  </si>
  <si>
    <t>CON0589</t>
  </si>
  <si>
    <t>OPP0169</t>
  </si>
  <si>
    <t>LEAD0229</t>
  </si>
  <si>
    <t>katherine.lee@greenfieldindustries.com</t>
  </si>
  <si>
    <t>CON0143</t>
  </si>
  <si>
    <t>OPP0196</t>
  </si>
  <si>
    <t>LEAD0230</t>
  </si>
  <si>
    <t>daniel.kim@clearwatersupportservices.com</t>
  </si>
  <si>
    <t>CON0396</t>
  </si>
  <si>
    <t>OPP0054</t>
  </si>
  <si>
    <t>LEAD0231</t>
  </si>
  <si>
    <t>andrea.cruz@bluewaterhealthpartners.com</t>
  </si>
  <si>
    <t>Operations Program Manager</t>
  </si>
  <si>
    <t>CON0009</t>
  </si>
  <si>
    <t>OPP0037</t>
  </si>
  <si>
    <t>LEAD0232</t>
  </si>
  <si>
    <t>carlos.bennett@westfieldcommerce.com</t>
  </si>
  <si>
    <t>CON0529</t>
  </si>
  <si>
    <t>LEAD0233</t>
  </si>
  <si>
    <t>rebecca.walker@clearpathindustrial.com</t>
  </si>
  <si>
    <t>CON0062</t>
  </si>
  <si>
    <t>OPP0004</t>
  </si>
  <si>
    <t>LEAD0234</t>
  </si>
  <si>
    <t>justin.evans@goldcrestdistribution.com</t>
  </si>
  <si>
    <t>CON0002</t>
  </si>
  <si>
    <t>OPP0276</t>
  </si>
  <si>
    <t>LEAD0235</t>
  </si>
  <si>
    <t>rebecca.gomez@northwindlearningsystems.com</t>
  </si>
  <si>
    <t>CON0172</t>
  </si>
  <si>
    <t>OPP0261</t>
  </si>
  <si>
    <t>LEAD0236</t>
  </si>
  <si>
    <t>rebecca.ortiz@meridianconstruction.com</t>
  </si>
  <si>
    <t>CON0140</t>
  </si>
  <si>
    <t>LEAD0237</t>
  </si>
  <si>
    <t>abigail.chen@pinecrestlabs.com</t>
  </si>
  <si>
    <t>CON0470</t>
  </si>
  <si>
    <t>LEAD0238</t>
  </si>
  <si>
    <t>taylor.lee@brookstonelabs.com</t>
  </si>
  <si>
    <t>CON0370</t>
  </si>
  <si>
    <t>OPP0247</t>
  </si>
  <si>
    <t>LEAD0239</t>
  </si>
  <si>
    <t>nathan.hill@silveroakretail.com</t>
  </si>
  <si>
    <t>CON0423</t>
  </si>
  <si>
    <t>LEAD0240</t>
  </si>
  <si>
    <t>jacob.peterson@frontierbuilders.com</t>
  </si>
  <si>
    <t>CON0642</t>
  </si>
  <si>
    <t>OPP0115</t>
  </si>
  <si>
    <t>LEAD0241</t>
  </si>
  <si>
    <t>henry.garcia@highlandlogistics.com</t>
  </si>
  <si>
    <t>CON0162</t>
  </si>
  <si>
    <t>LEAD0242</t>
  </si>
  <si>
    <t>danielle.gray@westlakesupportservices.com</t>
  </si>
  <si>
    <t>CON0482</t>
  </si>
  <si>
    <t>OPP0100</t>
  </si>
  <si>
    <t>LEAD0243</t>
  </si>
  <si>
    <t>carmen.diaz@parklinemanufacturing.com</t>
  </si>
  <si>
    <t>CON0428</t>
  </si>
  <si>
    <t>OPP0041</t>
  </si>
  <si>
    <t>LEAD0244</t>
  </si>
  <si>
    <t>rachel.thomas@foxbridgefinancial.com</t>
  </si>
  <si>
    <t>CON0200</t>
  </si>
  <si>
    <t>OPP0047</t>
  </si>
  <si>
    <t>LEAD0245</t>
  </si>
  <si>
    <t>brianna.lopez@eastwoodfinancialservices.com</t>
  </si>
  <si>
    <t>CON0543</t>
  </si>
  <si>
    <t>OPP0138</t>
  </si>
  <si>
    <t>LEAD0246</t>
  </si>
  <si>
    <t>olivia.cooper@clearwaterprecisionworks.com</t>
  </si>
  <si>
    <t>CON0357</t>
  </si>
  <si>
    <t>OPP0219</t>
  </si>
  <si>
    <t>LEAD0247</t>
  </si>
  <si>
    <t>jasmine.robinson@blueharborhealthservices.com</t>
  </si>
  <si>
    <t>CON0240</t>
  </si>
  <si>
    <t>OPP0423</t>
  </si>
  <si>
    <t>LEAD0248</t>
  </si>
  <si>
    <t>henry.miller@bluewaterbuilders.com</t>
  </si>
  <si>
    <t>CON0109</t>
  </si>
  <si>
    <t>LEAD0249</t>
  </si>
  <si>
    <t>henry.roberts@clearpathmanufacturing.com</t>
  </si>
  <si>
    <t>CON0221</t>
  </si>
  <si>
    <t>OPP0422</t>
  </si>
  <si>
    <t>LEAD0250</t>
  </si>
  <si>
    <t>sofia.evans@cedarstoneretailgroup.com</t>
  </si>
  <si>
    <t>CON0093</t>
  </si>
  <si>
    <t>OPP0081</t>
  </si>
  <si>
    <t>LEAD0251</t>
  </si>
  <si>
    <t>jose.young@granitepeakadvisorypartners.com</t>
  </si>
  <si>
    <t>CON0126</t>
  </si>
  <si>
    <t>LEAD0252</t>
  </si>
  <si>
    <t>ariana.wilson@lakeshorecommerce.com</t>
  </si>
  <si>
    <t>CON0269</t>
  </si>
  <si>
    <t>LEAD0253</t>
  </si>
  <si>
    <t>jose.hernandez@vantagetraining.com</t>
  </si>
  <si>
    <t>CON0583</t>
  </si>
  <si>
    <t>OPP0334</t>
  </si>
  <si>
    <t>LEAD0254</t>
  </si>
  <si>
    <t>brianna.rodriguez@highlandclinicalservices.com</t>
  </si>
  <si>
    <t>CON0475</t>
  </si>
  <si>
    <t>LEAD0255</t>
  </si>
  <si>
    <t>amanda.gomez@cornerstoneindustries.com</t>
  </si>
  <si>
    <t>IT Specialist</t>
  </si>
  <si>
    <t>CON0262</t>
  </si>
  <si>
    <t>OPP0409</t>
  </si>
  <si>
    <t>LEAD0256</t>
  </si>
  <si>
    <t>adrian.carter@vantagesystems.com</t>
  </si>
  <si>
    <t>CON0254</t>
  </si>
  <si>
    <t>LEAD0257</t>
  </si>
  <si>
    <t>dominic.robinson@fairviewmanufacturing.com</t>
  </si>
  <si>
    <t>CON0563</t>
  </si>
  <si>
    <t>LEAD0258</t>
  </si>
  <si>
    <t>dominic.morris@sterlingdigital.com</t>
  </si>
  <si>
    <t>CON0457</t>
  </si>
  <si>
    <t>OPP0367</t>
  </si>
  <si>
    <t>LEAD0259</t>
  </si>
  <si>
    <t>maya.williams@highpointfreight.com</t>
  </si>
  <si>
    <t>CON0415</t>
  </si>
  <si>
    <t>OPP0166</t>
  </si>
  <si>
    <t>LEAD0260</t>
  </si>
  <si>
    <t>justin.mitchell@catalystsupplychain.com</t>
  </si>
  <si>
    <t>CON0481</t>
  </si>
  <si>
    <t>OPP0382</t>
  </si>
  <si>
    <t>LEAD0261</t>
  </si>
  <si>
    <t>noah.shah@cedarstonefinancial.com</t>
  </si>
  <si>
    <t>CON0567</t>
  </si>
  <si>
    <t>OPP0059</t>
  </si>
  <si>
    <t>LEAD0262</t>
  </si>
  <si>
    <t>maya.shah@goldcrestdistribution.com</t>
  </si>
  <si>
    <t>CON0001</t>
  </si>
  <si>
    <t>LEAD0263</t>
  </si>
  <si>
    <t>emily.evans@oakridgeindustries.com</t>
  </si>
  <si>
    <t>CON0123</t>
  </si>
  <si>
    <t>OPP0139</t>
  </si>
  <si>
    <t>LEAD0264</t>
  </si>
  <si>
    <t>olivia.thompson@blueharbordigital.com</t>
  </si>
  <si>
    <t>CON0392</t>
  </si>
  <si>
    <t>OPP0296</t>
  </si>
  <si>
    <t>LEAD0265</t>
  </si>
  <si>
    <t>Victoria</t>
  </si>
  <si>
    <t>victoria.phillips@sterlingdistribution.com</t>
  </si>
  <si>
    <t>CON0120</t>
  </si>
  <si>
    <t>OPP0061</t>
  </si>
  <si>
    <t>LEAD0266</t>
  </si>
  <si>
    <t>liam.edwards@beaconfreight.com</t>
  </si>
  <si>
    <t>CON0452</t>
  </si>
  <si>
    <t>OPP0235</t>
  </si>
  <si>
    <t>LEAD0267</t>
  </si>
  <si>
    <t>justin.lee@crownstonefabrication.com</t>
  </si>
  <si>
    <t>CON0473</t>
  </si>
  <si>
    <t>OPP0394</t>
  </si>
  <si>
    <t>LEAD0268</t>
  </si>
  <si>
    <t>noah.howard@blueharbordigital.com</t>
  </si>
  <si>
    <t>CON0391</t>
  </si>
  <si>
    <t>OPP0363</t>
  </si>
  <si>
    <t>LEAD0269</t>
  </si>
  <si>
    <t>nathan.edwards@riverbendconsulting.com</t>
  </si>
  <si>
    <t>CON0057</t>
  </si>
  <si>
    <t>OPP0311</t>
  </si>
  <si>
    <t>LEAD0270</t>
  </si>
  <si>
    <t>samuel.martinez@oakridgedistribution.com</t>
  </si>
  <si>
    <t>CON0277</t>
  </si>
  <si>
    <t>OPP0239</t>
  </si>
  <si>
    <t>LEAD0271</t>
  </si>
  <si>
    <t>chloe.collins@maplewooddistribution.com</t>
  </si>
  <si>
    <t>CON0279</t>
  </si>
  <si>
    <t>OPP0424</t>
  </si>
  <si>
    <t>LEAD0272</t>
  </si>
  <si>
    <t>nathan.bell@suncrestclinicalservices.com</t>
  </si>
  <si>
    <t>CON0131</t>
  </si>
  <si>
    <t>OPP0344</t>
  </si>
  <si>
    <t>LEAD0273</t>
  </si>
  <si>
    <t>abigail.ward@cedarstoneoperations.com</t>
  </si>
  <si>
    <t>CON0012</t>
  </si>
  <si>
    <t>OPP0228</t>
  </si>
  <si>
    <t>LEAD0274</t>
  </si>
  <si>
    <t>grace.king@mosaicfabrication.com</t>
  </si>
  <si>
    <t>CON0332</t>
  </si>
  <si>
    <t>OPP0200</t>
  </si>
  <si>
    <t>LEAD0275</t>
  </si>
  <si>
    <t>brianna.thompson@granitepeakfreight.com</t>
  </si>
  <si>
    <t>CON0043</t>
  </si>
  <si>
    <t>OPP0022</t>
  </si>
  <si>
    <t>LEAD0276</t>
  </si>
  <si>
    <t>brianna.morris@silveroakprofessionalservices.com</t>
  </si>
  <si>
    <t>Vendor Management Manager</t>
  </si>
  <si>
    <t>CON0479</t>
  </si>
  <si>
    <t>LEAD0277</t>
  </si>
  <si>
    <t>andrew.price@pioneersoftware.com</t>
  </si>
  <si>
    <t>CON0184</t>
  </si>
  <si>
    <t>LEAD0278</t>
  </si>
  <si>
    <t>victoria.washington@silveroakprofessionalservices.com</t>
  </si>
  <si>
    <t>CON0478</t>
  </si>
  <si>
    <t>LEAD0279</t>
  </si>
  <si>
    <t>carmen.jackson@rivermarkcapital.com</t>
  </si>
  <si>
    <t>CON0134</t>
  </si>
  <si>
    <t>LEAD0280</t>
  </si>
  <si>
    <t>elena.smith@northstarcommerce.com</t>
  </si>
  <si>
    <t>CON0310</t>
  </si>
  <si>
    <t>OPP0312</t>
  </si>
  <si>
    <t>LEAD0281</t>
  </si>
  <si>
    <t>dominic.collins@bluepeakconstruction.com</t>
  </si>
  <si>
    <t>CON0364</t>
  </si>
  <si>
    <t>OPP0149</t>
  </si>
  <si>
    <t>LEAD0282</t>
  </si>
  <si>
    <t>derek.bennett@redstonemanufacturing.com</t>
  </si>
  <si>
    <t>CON0225</t>
  </si>
  <si>
    <t>OPP0227</t>
  </si>
  <si>
    <t>LEAD0283</t>
  </si>
  <si>
    <t>brandon.taylor@arborcarenetwork.com</t>
  </si>
  <si>
    <t>CON0553</t>
  </si>
  <si>
    <t>OPP0106</t>
  </si>
  <si>
    <t>LEAD0284</t>
  </si>
  <si>
    <t>adrian.king@harborviewretail.com</t>
  </si>
  <si>
    <t>CON0338</t>
  </si>
  <si>
    <t>OPP0359</t>
  </si>
  <si>
    <t>LEAD0285</t>
  </si>
  <si>
    <t>emily.green@suncrestcarenetwork.com</t>
  </si>
  <si>
    <t>CON0626</t>
  </si>
  <si>
    <t>OPP0210</t>
  </si>
  <si>
    <t>LEAD0286</t>
  </si>
  <si>
    <t>ariana.reed@cedarstonelabs.com</t>
  </si>
  <si>
    <t>CON0117</t>
  </si>
  <si>
    <t>LEAD0287</t>
  </si>
  <si>
    <t>Ryan</t>
  </si>
  <si>
    <t>ryan.moore@brookstonelearningsystems.com</t>
  </si>
  <si>
    <t>CON0487</t>
  </si>
  <si>
    <t>OPP0146</t>
  </si>
  <si>
    <t>LEAD0288</t>
  </si>
  <si>
    <t>henry.martin@riverbendlearningsystems.com</t>
  </si>
  <si>
    <t>CON0513</t>
  </si>
  <si>
    <t>OPP0293</t>
  </si>
  <si>
    <t>LEAD0289</t>
  </si>
  <si>
    <t>ariana.harris@summitridgebuilders.com</t>
  </si>
  <si>
    <t>CON0206</t>
  </si>
  <si>
    <t>OPP0206</t>
  </si>
  <si>
    <t>LEAD0290</t>
  </si>
  <si>
    <t>olivia.phillips@frontierprecisionworks.com</t>
  </si>
  <si>
    <t>CON0223</t>
  </si>
  <si>
    <t>OPP0392</t>
  </si>
  <si>
    <t>LEAD0291</t>
  </si>
  <si>
    <t>noah.cruz@apexretail.com</t>
  </si>
  <si>
    <t>CON0168</t>
  </si>
  <si>
    <t>OPP0108</t>
  </si>
  <si>
    <t>LEAD0292</t>
  </si>
  <si>
    <t>alexandra.jackson@brightpathhealthpartners.com</t>
  </si>
  <si>
    <t>CON0409</t>
  </si>
  <si>
    <t>OPP0333</t>
  </si>
  <si>
    <t>LEAD0293</t>
  </si>
  <si>
    <t>andrew.miller@pioneersoftware.com</t>
  </si>
  <si>
    <t>CON0183</t>
  </si>
  <si>
    <t>OPP0096</t>
  </si>
  <si>
    <t>LEAD0294</t>
  </si>
  <si>
    <t>camila.brooks@keystonelabs.com</t>
  </si>
  <si>
    <t>CON0245</t>
  </si>
  <si>
    <t>LEAD0295</t>
  </si>
  <si>
    <t>bianca.phillips@highpointhealthpartners.com</t>
  </si>
  <si>
    <t>CON0502</t>
  </si>
  <si>
    <t>OPP0099</t>
  </si>
  <si>
    <t>LEAD0296</t>
  </si>
  <si>
    <t>Barnes</t>
  </si>
  <si>
    <t>andrea.barnes@riverbendmedicalgroup.com</t>
  </si>
  <si>
    <t>CON0495</t>
  </si>
  <si>
    <t>LEAD0297</t>
  </si>
  <si>
    <t>noah.hall@redstoneconstruction.com</t>
  </si>
  <si>
    <t>CON0325</t>
  </si>
  <si>
    <t>OPP0165</t>
  </si>
  <si>
    <t>LEAD0298</t>
  </si>
  <si>
    <t>Jack</t>
  </si>
  <si>
    <t>jack.rogers@frontierlearning.com</t>
  </si>
  <si>
    <t>CON0224</t>
  </si>
  <si>
    <t>OPP0275</t>
  </si>
  <si>
    <t>LEAD0299</t>
  </si>
  <si>
    <t>william.wilson@primepointconsulting.com</t>
  </si>
  <si>
    <t>CON0155</t>
  </si>
  <si>
    <t>LEAD0300</t>
  </si>
  <si>
    <t>rachel.torres@summitridgebuilders.com</t>
  </si>
  <si>
    <t>CON0207</t>
  </si>
  <si>
    <t>OPP0336</t>
  </si>
  <si>
    <t>LEAD0301</t>
  </si>
  <si>
    <t>parker.smith@goldcresttechnology.com</t>
  </si>
  <si>
    <t>Goldcrest Technology Systems</t>
  </si>
  <si>
    <t>Marketing Qualified Lead</t>
  </si>
  <si>
    <t>Working</t>
  </si>
  <si>
    <t>LEAD0302</t>
  </si>
  <si>
    <t>taylor.thomas@ironwoodresources.com</t>
  </si>
  <si>
    <t>Ironwood Resources Co.</t>
  </si>
  <si>
    <t>Connected</t>
  </si>
  <si>
    <t>LEAD0303</t>
  </si>
  <si>
    <t>ella.price@rivertonlabs.com</t>
  </si>
  <si>
    <t>Riverton Labs Systems</t>
  </si>
  <si>
    <t>Lead</t>
  </si>
  <si>
    <t>LEAD0304</t>
  </si>
  <si>
    <t>jordan.kelly@westbrook.com</t>
  </si>
  <si>
    <t>Westbrook Systems LLC</t>
  </si>
  <si>
    <t>Nurture</t>
  </si>
  <si>
    <t>LEAD0305</t>
  </si>
  <si>
    <t>Cameron</t>
  </si>
  <si>
    <t>cameron.kim@newbridge.com</t>
  </si>
  <si>
    <t>Newbridge Partners Partners</t>
  </si>
  <si>
    <t>LEAD0306</t>
  </si>
  <si>
    <t>Riley</t>
  </si>
  <si>
    <t>riley.green@falcon.com</t>
  </si>
  <si>
    <t>Falcon Solutions LLC</t>
  </si>
  <si>
    <t>LEAD0307</t>
  </si>
  <si>
    <t>chloe.brooks@brightwelldistribution.com</t>
  </si>
  <si>
    <t>Brightwell Distribution Group</t>
  </si>
  <si>
    <t>Enterprise Applications Manager</t>
  </si>
  <si>
    <t>Disqualified</t>
  </si>
  <si>
    <t>Timing Not Right</t>
  </si>
  <si>
    <t>LEAD0308</t>
  </si>
  <si>
    <t>Wood</t>
  </si>
  <si>
    <t>sophia.wood@northstarindustries.com</t>
  </si>
  <si>
    <t>Northstar Industries Inc.</t>
  </si>
  <si>
    <t>LEAD0309</t>
  </si>
  <si>
    <t>sophia.evans@copperdistribution.com</t>
  </si>
  <si>
    <t>Copper Distribution Systems</t>
  </si>
  <si>
    <t>LEAD0310</t>
  </si>
  <si>
    <t>Quinn</t>
  </si>
  <si>
    <t>quinn.patel@mapleworks.com</t>
  </si>
  <si>
    <t>Maple Works Systems</t>
  </si>
  <si>
    <t>Bad Contact Data</t>
  </si>
  <si>
    <t>LEAD0311</t>
  </si>
  <si>
    <t>logan.morgan@newbridgecommerce.com</t>
  </si>
  <si>
    <t>Parkside Commerce LLC</t>
  </si>
  <si>
    <t>LEAD0312</t>
  </si>
  <si>
    <t>quinn.ortiz@evergreenoperations.com</t>
  </si>
  <si>
    <t>Evergreen Operations Solutions</t>
  </si>
  <si>
    <t>LEAD0313</t>
  </si>
  <si>
    <t>Drew</t>
  </si>
  <si>
    <t>drew.williams@redwoodresources.com</t>
  </si>
  <si>
    <t>Redwood Resources Inc.</t>
  </si>
  <si>
    <t>Sales Qualified Lead</t>
  </si>
  <si>
    <t>Qualified</t>
  </si>
  <si>
    <t>LEAD0314</t>
  </si>
  <si>
    <t>Blake</t>
  </si>
  <si>
    <t>blake.mitchell@bridgepoint.com</t>
  </si>
  <si>
    <t>Bridgepoint Solutions Systems</t>
  </si>
  <si>
    <t>Enterprise Requirements</t>
  </si>
  <si>
    <t>LEAD0315</t>
  </si>
  <si>
    <t>henry.brooks@pioneerworks.com</t>
  </si>
  <si>
    <t>Pioneer Works Partners</t>
  </si>
  <si>
    <t>LEAD0316</t>
  </si>
  <si>
    <t>alex.mitchell@goldcrestservices.com</t>
  </si>
  <si>
    <t>Goldcrest Services Inc.</t>
  </si>
  <si>
    <t>New</t>
  </si>
  <si>
    <t>LEAD0317</t>
  </si>
  <si>
    <t>Miles</t>
  </si>
  <si>
    <t>miles.ramirez@parkside.com</t>
  </si>
  <si>
    <t>Parkside Solutions Inc.</t>
  </si>
  <si>
    <t>Business Systems Manager</t>
  </si>
  <si>
    <t>LEAD0318</t>
  </si>
  <si>
    <t>Sydney</t>
  </si>
  <si>
    <t>sydney.sanchez@sterlingworks.com</t>
  </si>
  <si>
    <t>Sterling Works Group</t>
  </si>
  <si>
    <t>LEAD0319</t>
  </si>
  <si>
    <t>Avery</t>
  </si>
  <si>
    <t>avery.patel@crescentresources.com</t>
  </si>
  <si>
    <t>Crescent Resources Co.</t>
  </si>
  <si>
    <t>LEAD0320</t>
  </si>
  <si>
    <t>Owen</t>
  </si>
  <si>
    <t>owen.jackson@lakesideholdings.com</t>
  </si>
  <si>
    <t>Lakeside Holdings Solutions</t>
  </si>
  <si>
    <t>Not a Fit</t>
  </si>
  <si>
    <t>LEAD0321</t>
  </si>
  <si>
    <t>chloe.scott@clearpath.com</t>
  </si>
  <si>
    <t>ClearPath Group Systems</t>
  </si>
  <si>
    <t>LEAD0322</t>
  </si>
  <si>
    <t>ethan.ramirez@prime.com</t>
  </si>
  <si>
    <t>Prime Partners Co.</t>
  </si>
  <si>
    <t>Finance Director</t>
  </si>
  <si>
    <t>LEAD0323</t>
  </si>
  <si>
    <t>Casey</t>
  </si>
  <si>
    <t>casey.patel@solsticenetworks.com</t>
  </si>
  <si>
    <t>Solstice Networks Group</t>
  </si>
  <si>
    <t>No Budget</t>
  </si>
  <si>
    <t>LEAD0324</t>
  </si>
  <si>
    <t>olivia.turner@redwood.com</t>
  </si>
  <si>
    <t>Redwood Solutions Solutions</t>
  </si>
  <si>
    <t>LEAD0325</t>
  </si>
  <si>
    <t>ella.green@riverbendresources.com</t>
  </si>
  <si>
    <t>Riverbend Resources Solutions</t>
  </si>
  <si>
    <t>LEAD0326</t>
  </si>
  <si>
    <t>Jamie</t>
  </si>
  <si>
    <t>jamie.mitchell@oakridgeconsulting.com</t>
  </si>
  <si>
    <t>Oakridge Consulting Systems</t>
  </si>
  <si>
    <t>LEAD0327</t>
  </si>
  <si>
    <t>jack.ramirez@summitoperations.com</t>
  </si>
  <si>
    <t>Summit Operations Systems</t>
  </si>
  <si>
    <t>LEAD0328</t>
  </si>
  <si>
    <t>caleb.jackson@vertexresources.com</t>
  </si>
  <si>
    <t>Vertex Resources LLC</t>
  </si>
  <si>
    <t>LEAD0329</t>
  </si>
  <si>
    <t>owen.jenkins@granite.com</t>
  </si>
  <si>
    <t>Granite Partners Solutions</t>
  </si>
  <si>
    <t>LEAD0330</t>
  </si>
  <si>
    <t>Grant</t>
  </si>
  <si>
    <t>grant.edwards@highland.com</t>
  </si>
  <si>
    <t>Highland Solutions Inc.</t>
  </si>
  <si>
    <t>Director of IT</t>
  </si>
  <si>
    <t>LEAD0331</t>
  </si>
  <si>
    <t>Ruby</t>
  </si>
  <si>
    <t>ruby.nguyen@atlasdistribution.com</t>
  </si>
  <si>
    <t>Atlas Distribution LLC</t>
  </si>
  <si>
    <t>LEAD0332</t>
  </si>
  <si>
    <t>alex.richardson@evergreennetworks.com</t>
  </si>
  <si>
    <t>Evergreen Networks Inc.</t>
  </si>
  <si>
    <t>LEAD0333</t>
  </si>
  <si>
    <t>olivia.shah@monarch.com</t>
  </si>
  <si>
    <t>Monarch Systems Partners</t>
  </si>
  <si>
    <t>LEAD0334</t>
  </si>
  <si>
    <t>cameron.white@falcon.com</t>
  </si>
  <si>
    <t>Falcon Systems Solutions</t>
  </si>
  <si>
    <t>LEAD0335</t>
  </si>
  <si>
    <t>grace.nguyen@eastgate.com</t>
  </si>
  <si>
    <t>Eastgate Partners Systems</t>
  </si>
  <si>
    <t>LEAD0336</t>
  </si>
  <si>
    <t>sydney.mitchell@pioneerlabs.com</t>
  </si>
  <si>
    <t>Pioneer Labs Group</t>
  </si>
  <si>
    <t>LEAD0337</t>
  </si>
  <si>
    <t>jamie.morgan@cobalt.com</t>
  </si>
  <si>
    <t>Ironwood Manufacturing LLC</t>
  </si>
  <si>
    <t>LEAD0338</t>
  </si>
  <si>
    <t>Cole</t>
  </si>
  <si>
    <t>cole.bennett@copper.com</t>
  </si>
  <si>
    <t>Copper Group Systems</t>
  </si>
  <si>
    <t>LEAD0339</t>
  </si>
  <si>
    <t>drew.turner@summitdynamics.com</t>
  </si>
  <si>
    <t>Summit Dynamics LLC</t>
  </si>
  <si>
    <t>Duplicate Lead</t>
  </si>
  <si>
    <t>LEAD0340</t>
  </si>
  <si>
    <t>morgan.taylor@stonebridgeholdings.com</t>
  </si>
  <si>
    <t>Stonebridge Holdings Group</t>
  </si>
  <si>
    <t>LEAD0341</t>
  </si>
  <si>
    <t>cameron.turner@lakesideenterprises.com</t>
  </si>
  <si>
    <t>Lakeside Enterprises Co.</t>
  </si>
  <si>
    <t>LEAD0342</t>
  </si>
  <si>
    <t>mia.sanchez@harbor.com</t>
  </si>
  <si>
    <t>Harbor Group Inc.</t>
  </si>
  <si>
    <t>LEAD0343</t>
  </si>
  <si>
    <t>casey.morgan@summitsupply.com</t>
  </si>
  <si>
    <t>Summit Supply Solutions</t>
  </si>
  <si>
    <t>LEAD0344</t>
  </si>
  <si>
    <t>parker.wilson@northstarlogistics.com</t>
  </si>
  <si>
    <t>Northstar Logistics Solutions</t>
  </si>
  <si>
    <t>Sales Operations Manager</t>
  </si>
  <si>
    <t>LEAD0345</t>
  </si>
  <si>
    <t>owen.parker@bridgepointresources.com</t>
  </si>
  <si>
    <t>Bridgepoint Resources Inc.</t>
  </si>
  <si>
    <t>LEAD0346</t>
  </si>
  <si>
    <t>Logan</t>
  </si>
  <si>
    <t>logan.hall@brightwellhealth.com</t>
  </si>
  <si>
    <t>Brightwell Health Solutions</t>
  </si>
  <si>
    <t>No Response</t>
  </si>
  <si>
    <t>LEAD0347</t>
  </si>
  <si>
    <t>grace.williams@riverbendnetworks.com</t>
  </si>
  <si>
    <t>Riverbend Networks Partners</t>
  </si>
  <si>
    <t>LEAD0348</t>
  </si>
  <si>
    <t>casey.garcia@falconmanufacturing.com</t>
  </si>
  <si>
    <t>Falcon Manufacturing Solutions</t>
  </si>
  <si>
    <t>LEAD0349</t>
  </si>
  <si>
    <t>ruby.kim@northstar.com</t>
  </si>
  <si>
    <t>Northstar Group Solutions</t>
  </si>
  <si>
    <t>LEAD0350</t>
  </si>
  <si>
    <t>caleb.sanchez@newbridgenetworks.com</t>
  </si>
  <si>
    <t>Newbridge Networks Solutions</t>
  </si>
  <si>
    <t>LEAD0351</t>
  </si>
  <si>
    <t>lucas.wilson@cobaltlabs.com</t>
  </si>
  <si>
    <t>Cobalt Labs Partners</t>
  </si>
  <si>
    <t>LEAD0352</t>
  </si>
  <si>
    <t>jamie.miller@monarchindustries.com</t>
  </si>
  <si>
    <t>Monarch Industries Co.</t>
  </si>
  <si>
    <t>LEAD0353</t>
  </si>
  <si>
    <t>cole.kim@keystoneresources.com</t>
  </si>
  <si>
    <t>Keystone Resources Solutions</t>
  </si>
  <si>
    <t>LEAD0354</t>
  </si>
  <si>
    <t>sophia.perry@harborhealth.com</t>
  </si>
  <si>
    <t>Harbor Health Solutions</t>
  </si>
  <si>
    <t>LEAD0355</t>
  </si>
  <si>
    <t>Emma</t>
  </si>
  <si>
    <t>emma.howard@atlasservices.com</t>
  </si>
  <si>
    <t>Atlas Services Group</t>
  </si>
  <si>
    <t>LEAD0356</t>
  </si>
  <si>
    <t>morgan.patel@falconindustries.com</t>
  </si>
  <si>
    <t>Falcon Industries LLC</t>
  </si>
  <si>
    <t>LEAD0357</t>
  </si>
  <si>
    <t>jordan.peterson@beaconconsulting.com</t>
  </si>
  <si>
    <t>Beacon Consulting LLC</t>
  </si>
  <si>
    <t>LEAD0358</t>
  </si>
  <si>
    <t>jordan.jackson@summitdynamics.com</t>
  </si>
  <si>
    <t>Summit Dynamics Systems</t>
  </si>
  <si>
    <t>LEAD0359</t>
  </si>
  <si>
    <t>grace.bennett@keystonehealth.com</t>
  </si>
  <si>
    <t>Keystone Health Solutions</t>
  </si>
  <si>
    <t>LEAD0360</t>
  </si>
  <si>
    <t>grant.walker@goldcrest.com</t>
  </si>
  <si>
    <t>Goldcrest Partners Inc.</t>
  </si>
  <si>
    <t>LEAD0361</t>
  </si>
  <si>
    <t>jack.carter@libertyenterprises.com</t>
  </si>
  <si>
    <t>Liberty Enterprises Inc.</t>
  </si>
  <si>
    <t>LEAD0362</t>
  </si>
  <si>
    <t>Leo</t>
  </si>
  <si>
    <t>leo.parker@redwooddynamics.com</t>
  </si>
  <si>
    <t>Redwood Dynamics Co.</t>
  </si>
  <si>
    <t>LEAD0363</t>
  </si>
  <si>
    <t>taylor.bennett@falconconsulting.com</t>
  </si>
  <si>
    <t>Redwood Health Group</t>
  </si>
  <si>
    <t>LEAD0364</t>
  </si>
  <si>
    <t>jack.smith@harbormanufacturing.com</t>
  </si>
  <si>
    <t>Harbor Manufacturing Co.</t>
  </si>
  <si>
    <t>LEAD0365</t>
  </si>
  <si>
    <t>emma.rivera@copperholdings.com</t>
  </si>
  <si>
    <t>Copper Holdings Solutions</t>
  </si>
  <si>
    <t>LEAD0366</t>
  </si>
  <si>
    <t>leah.kim@crescenttechnology.com</t>
  </si>
  <si>
    <t>Crescent Technology Systems</t>
  </si>
  <si>
    <t>LEAD0367</t>
  </si>
  <si>
    <t>Mason</t>
  </si>
  <si>
    <t>mason.walker@atlashealth.com</t>
  </si>
  <si>
    <t>Atlas Health Group</t>
  </si>
  <si>
    <t>LEAD0368</t>
  </si>
  <si>
    <t>casey.ross@parkside.com</t>
  </si>
  <si>
    <t>Parkside Solutions Partners</t>
  </si>
  <si>
    <t>LEAD0369</t>
  </si>
  <si>
    <t>Reese</t>
  </si>
  <si>
    <t>reese.hughes@primeconsulting.com</t>
  </si>
  <si>
    <t>Prime Consulting Group</t>
  </si>
  <si>
    <t>LEAD0370</t>
  </si>
  <si>
    <t>ella.perry@clearpathlogistics.com</t>
  </si>
  <si>
    <t>ClearPath Logistics Systems</t>
  </si>
  <si>
    <t>LEAD0371</t>
  </si>
  <si>
    <t>cole.kim@atlaslogistics.com</t>
  </si>
  <si>
    <t>Atlas Logistics Group</t>
  </si>
  <si>
    <t>LEAD0372</t>
  </si>
  <si>
    <t>morgan.carter@crescenttechnology.com</t>
  </si>
  <si>
    <t>Crescent Technology Partners</t>
  </si>
  <si>
    <t>LEAD0373</t>
  </si>
  <si>
    <t>Hayden</t>
  </si>
  <si>
    <t>hayden.hall@libertytechnology.com</t>
  </si>
  <si>
    <t>Liberty Technology Inc.</t>
  </si>
  <si>
    <t>LEAD0374</t>
  </si>
  <si>
    <t>owen.martin@bridgepointconsulting.com</t>
  </si>
  <si>
    <t>Bridgepoint Consulting Solutions</t>
  </si>
  <si>
    <t>LEAD0375</t>
  </si>
  <si>
    <t>noah.lee@bridgepointlabs.com</t>
  </si>
  <si>
    <t>Bridgepoint Labs Partners</t>
  </si>
  <si>
    <t>LEAD0376</t>
  </si>
  <si>
    <t>leah.morgan@silverlineenterprises.com</t>
  </si>
  <si>
    <t>Silverline Enterprises LLC</t>
  </si>
  <si>
    <t>LEAD0377</t>
  </si>
  <si>
    <t>sydney.miller@solsticeanalytics.com</t>
  </si>
  <si>
    <t>Solstice Analytics Inc.</t>
  </si>
  <si>
    <t>LEAD0378</t>
  </si>
  <si>
    <t>jack.patel@oakridge.com</t>
  </si>
  <si>
    <t>Oakridge Partners Co.</t>
  </si>
  <si>
    <t>LEAD0379</t>
  </si>
  <si>
    <t>Cobalt Solutions Group</t>
  </si>
  <si>
    <t>LEAD0380</t>
  </si>
  <si>
    <t>jack.williams@rivertonindustries.com</t>
  </si>
  <si>
    <t>Riverton Industries LLC</t>
  </si>
  <si>
    <t>LEAD0381</t>
  </si>
  <si>
    <t>jordan.scott@sterlingdistribution.com</t>
  </si>
  <si>
    <t>Sterling Distribution Partners</t>
  </si>
  <si>
    <t>LEAD0382</t>
  </si>
  <si>
    <t>Lily</t>
  </si>
  <si>
    <t>lily.carter@parksidedistribution.com</t>
  </si>
  <si>
    <t>Parkside Distribution Systems</t>
  </si>
  <si>
    <t>LEAD0383</t>
  </si>
  <si>
    <t>Nora</t>
  </si>
  <si>
    <t>nora.murphy@highland.com</t>
  </si>
  <si>
    <t>Highland Solutions Solutions</t>
  </si>
  <si>
    <t>LEAD0384</t>
  </si>
  <si>
    <t>Emerson</t>
  </si>
  <si>
    <t>emerson.campbell@oakridgeconsulting.com</t>
  </si>
  <si>
    <t>Oakridge Consulting LLC</t>
  </si>
  <si>
    <t>LEAD0385</t>
  </si>
  <si>
    <t>ella.hayes@eastgateresources.com</t>
  </si>
  <si>
    <t>Eastgate Resources Solutions</t>
  </si>
  <si>
    <t>LEAD0386</t>
  </si>
  <si>
    <t>drew.price@lakesidecommerce.com</t>
  </si>
  <si>
    <t>Lakeside Commerce Systems</t>
  </si>
  <si>
    <t>LEAD0387</t>
  </si>
  <si>
    <t>grant.collins@redwooddistribution.com</t>
  </si>
  <si>
    <t>Redwood Distribution Group</t>
  </si>
  <si>
    <t>Paid Social</t>
  </si>
  <si>
    <t>LEAD0388</t>
  </si>
  <si>
    <t>caleb.sanchez@evergreendistribution.com</t>
  </si>
  <si>
    <t>Evergreen Distribution LLC</t>
  </si>
  <si>
    <t>LEAD0389</t>
  </si>
  <si>
    <t>jamie.turner@eastgatemanufacturing.com</t>
  </si>
  <si>
    <t>Eastgate Manufacturing LLC</t>
  </si>
  <si>
    <t>LEAD0390</t>
  </si>
  <si>
    <t>Skyler</t>
  </si>
  <si>
    <t>skyler.foster@riverton.com</t>
  </si>
  <si>
    <t>Riverton Solutions Systems</t>
  </si>
  <si>
    <t>LEAD0391</t>
  </si>
  <si>
    <t>Dakota</t>
  </si>
  <si>
    <t>dakota.lewis@monarchanalytics.com</t>
  </si>
  <si>
    <t>Monarch Analytics Group</t>
  </si>
  <si>
    <t>LEAD0392</t>
  </si>
  <si>
    <t>lucas.edwards@copperhealth.com</t>
  </si>
  <si>
    <t>Copper Health Inc.</t>
  </si>
  <si>
    <t>LEAD0393</t>
  </si>
  <si>
    <t>cole.hughes@oakridge.com</t>
  </si>
  <si>
    <t>Oakridge Group Solutions</t>
  </si>
  <si>
    <t>LEAD0394</t>
  </si>
  <si>
    <t>jack.wright@horizon.com</t>
  </si>
  <si>
    <t>Horizon Systems Inc.</t>
  </si>
  <si>
    <t>LEAD0395</t>
  </si>
  <si>
    <t>leo.campbell@mapleautomation.com</t>
  </si>
  <si>
    <t>Maple Automation Inc.</t>
  </si>
  <si>
    <t>LEAD0396</t>
  </si>
  <si>
    <t>emerson.morgan@beaconenterprises.com</t>
  </si>
  <si>
    <t>Beacon Enterprises Partners</t>
  </si>
  <si>
    <t>LEAD0397</t>
  </si>
  <si>
    <t>chloe.thomas@cobaltindustries.com</t>
  </si>
  <si>
    <t>Cobalt Industries Co.</t>
  </si>
  <si>
    <t>LEAD0398</t>
  </si>
  <si>
    <t>cole.evans@newbridgeconsulting.com</t>
  </si>
  <si>
    <t>Newbridge Consulting Solutions</t>
  </si>
  <si>
    <t>LEAD0399</t>
  </si>
  <si>
    <t>caleb.mitchell@stonebridge.com</t>
  </si>
  <si>
    <t>Stonebridge Solutions Partners</t>
  </si>
  <si>
    <t>Company Too Small</t>
  </si>
  <si>
    <t>LEAD0400</t>
  </si>
  <si>
    <t>taylor.patel@goldcrestdistribution.com</t>
  </si>
  <si>
    <t>Goldcrest Distribution Group</t>
  </si>
  <si>
    <t>LEAD0401</t>
  </si>
  <si>
    <t>blake.nelson@primetechnology.com</t>
  </si>
  <si>
    <t>Prime Technology Inc.</t>
  </si>
  <si>
    <t>LEAD0402</t>
  </si>
  <si>
    <t>owen.miller@pioneer.com</t>
  </si>
  <si>
    <t>Pioneer Systems Solutions</t>
  </si>
  <si>
    <t>LEAD0403</t>
  </si>
  <si>
    <t>logan.bennett@pioneerhealth.com</t>
  </si>
  <si>
    <t>Pioneer Health Solutions</t>
  </si>
  <si>
    <t>LEAD0404</t>
  </si>
  <si>
    <t>zoe.walker@riverbendanalytics.com</t>
  </si>
  <si>
    <t>Riverbend Analytics Partners</t>
  </si>
  <si>
    <t>LEAD0405</t>
  </si>
  <si>
    <t>ella.nelson@bridgepointdynamics.com</t>
  </si>
  <si>
    <t>Bridgepoint Dynamics Partners</t>
  </si>
  <si>
    <t>LEAD0406</t>
  </si>
  <si>
    <t>Newbridge Commerce Co.</t>
  </si>
  <si>
    <t>LEAD0407</t>
  </si>
  <si>
    <t>emerson.hall@monarchindustries.com</t>
  </si>
  <si>
    <t>Monarch Industries Partners</t>
  </si>
  <si>
    <t>LEAD0408</t>
  </si>
  <si>
    <t>grant.kim@oakridgedistribution.com</t>
  </si>
  <si>
    <t>Oakridge Distribution Solutions</t>
  </si>
  <si>
    <t>LEAD0409</t>
  </si>
  <si>
    <t>skyler.peterson@parksideenterprises.com</t>
  </si>
  <si>
    <t>Parkside Enterprises LLC</t>
  </si>
  <si>
    <t>LEAD0410</t>
  </si>
  <si>
    <t>maya.shah@ironwoodnetworks.com</t>
  </si>
  <si>
    <t>Ironwood Networks Partners</t>
  </si>
  <si>
    <t>LEAD0411</t>
  </si>
  <si>
    <t>Evan</t>
  </si>
  <si>
    <t>evan.smith@vertexresources.com</t>
  </si>
  <si>
    <t>Vertex Resources Systems</t>
  </si>
  <si>
    <t>LEAD0412</t>
  </si>
  <si>
    <t>mia.turner@riverton.com</t>
  </si>
  <si>
    <t>Riverton Partners Co.</t>
  </si>
  <si>
    <t>LEAD0413</t>
  </si>
  <si>
    <t>maya.young@cedarstoneindustries.com</t>
  </si>
  <si>
    <t>Cedarstone Industries LLC</t>
  </si>
  <si>
    <t>LEAD0414</t>
  </si>
  <si>
    <t>ava.johnson@crescentholdings.com</t>
  </si>
  <si>
    <t>Crescent Holdings Group</t>
  </si>
  <si>
    <t>LEAD0415</t>
  </si>
  <si>
    <t>jordan.peterson@maple.com</t>
  </si>
  <si>
    <t>Maple Solutions LLC</t>
  </si>
  <si>
    <t>LEAD0416</t>
  </si>
  <si>
    <t>caleb.roberts@stonebridgelogistics.com</t>
  </si>
  <si>
    <t>Stonebridge Logistics Solutions</t>
  </si>
  <si>
    <t>LEAD0417</t>
  </si>
  <si>
    <t>ella.bennett@solsticedynamics.com</t>
  </si>
  <si>
    <t>Solstice Dynamics Group</t>
  </si>
  <si>
    <t>LEAD0418</t>
  </si>
  <si>
    <t>ava.price@cedarstone.com</t>
  </si>
  <si>
    <t>Cedarstone Group Partners</t>
  </si>
  <si>
    <t>LEAD0419</t>
  </si>
  <si>
    <t>quinn.murphy@silverlineresources.com</t>
  </si>
  <si>
    <t>Silverline Resources Partners</t>
  </si>
  <si>
    <t>LEAD0420</t>
  </si>
  <si>
    <t>lucas.richardson@stonebridgedistribution.com</t>
  </si>
  <si>
    <t>Stonebridge Distribution Partners</t>
  </si>
  <si>
    <t>LEAD0421</t>
  </si>
  <si>
    <t>jamie.turner@brightwell.com</t>
  </si>
  <si>
    <t>Brightwell Solutions Solutions</t>
  </si>
  <si>
    <t>LEAD0422</t>
  </si>
  <si>
    <t>jordan.green@northstarholdings.com</t>
  </si>
  <si>
    <t>Northstar Holdings Group</t>
  </si>
  <si>
    <t>LEAD0423</t>
  </si>
  <si>
    <t>chloe.peterson@oakridgedynamics.com</t>
  </si>
  <si>
    <t>Oakridge Dynamics Systems</t>
  </si>
  <si>
    <t>LEAD0424</t>
  </si>
  <si>
    <t>evan.reed@rivertoncommerce.com</t>
  </si>
  <si>
    <t>Riverton Commerce Systems</t>
  </si>
  <si>
    <t>LEAD0425</t>
  </si>
  <si>
    <t>liam.parker@greenfielddynamics.com</t>
  </si>
  <si>
    <t>Greenfield Dynamics Co.</t>
  </si>
  <si>
    <t>LEAD0426</t>
  </si>
  <si>
    <t>nora.taylor@newbridge.com</t>
  </si>
  <si>
    <t>Newbridge Systems Partners</t>
  </si>
  <si>
    <t>LEAD0427</t>
  </si>
  <si>
    <t>drew.ward@clearpathdynamics.com</t>
  </si>
  <si>
    <t>ClearPath Dynamics Partners</t>
  </si>
  <si>
    <t>LEAD0428</t>
  </si>
  <si>
    <t>riley.reed@libertyresources.com</t>
  </si>
  <si>
    <t>Liberty Resources Group</t>
  </si>
  <si>
    <t>LEAD0429</t>
  </si>
  <si>
    <t>mason.miller@evergreenindustries.com</t>
  </si>
  <si>
    <t>Evergreen Industries Group</t>
  </si>
  <si>
    <t>LEAD0430</t>
  </si>
  <si>
    <t>caleb.martin@liberty.com</t>
  </si>
  <si>
    <t>Liberty Group Group</t>
  </si>
  <si>
    <t>LEAD0431</t>
  </si>
  <si>
    <t>evan.peterson@bluepeakconsulting.com</t>
  </si>
  <si>
    <t>BluePeak Consulting LLC</t>
  </si>
  <si>
    <t>LEAD0432</t>
  </si>
  <si>
    <t>evan.hall@mapleanalytics.com</t>
  </si>
  <si>
    <t>Maple Analytics Inc.</t>
  </si>
  <si>
    <t>LEAD0433</t>
  </si>
  <si>
    <t>maya.kelly@cedarstoneoperations.com</t>
  </si>
  <si>
    <t>Cedarstone Operations LLC</t>
  </si>
  <si>
    <t>LEAD0434</t>
  </si>
  <si>
    <t>grant.miller@oakridgeautomation.com</t>
  </si>
  <si>
    <t>Oakridge Automation Inc.</t>
  </si>
  <si>
    <t>LEAD0435</t>
  </si>
  <si>
    <t>skyler.white@primeautomation.com</t>
  </si>
  <si>
    <t>Prime Automation LLC</t>
  </si>
  <si>
    <t>LEAD0436</t>
  </si>
  <si>
    <t>ava.ross@evergreenhealth.com</t>
  </si>
  <si>
    <t>Evergreen Health Inc.</t>
  </si>
  <si>
    <t>LEAD0437</t>
  </si>
  <si>
    <t>liam.hughes@falconcommerce.com</t>
  </si>
  <si>
    <t>Falcon Commerce Co.</t>
  </si>
  <si>
    <t>LEAD0438</t>
  </si>
  <si>
    <t>ethan.scott@redwoodcommerce.com</t>
  </si>
  <si>
    <t>Redwood Commerce Group</t>
  </si>
  <si>
    <t>LEAD0439</t>
  </si>
  <si>
    <t>caleb.perry@lakesidenetworks.com</t>
  </si>
  <si>
    <t>Lakeside Networks Co.</t>
  </si>
  <si>
    <t>LEAD0440</t>
  </si>
  <si>
    <t>quinn.hayes@riverbendhealth.com</t>
  </si>
  <si>
    <t>Riverbend Health Co.</t>
  </si>
  <si>
    <t>LEAD0441</t>
  </si>
  <si>
    <t>olivia.patel@falconholdings.com</t>
  </si>
  <si>
    <t>Falcon Holdings Systems</t>
  </si>
  <si>
    <t>LEAD0442</t>
  </si>
  <si>
    <t>zoe.thomas@eastgateoperations.com</t>
  </si>
  <si>
    <t>Eastgate Operations Solutions</t>
  </si>
  <si>
    <t>LEAD0443</t>
  </si>
  <si>
    <t>ruby.green@northstarautomation.com</t>
  </si>
  <si>
    <t>Northstar Automation Co.</t>
  </si>
  <si>
    <t>LEAD0444</t>
  </si>
  <si>
    <t>ella.brooks@clearpathdistribution.com</t>
  </si>
  <si>
    <t>ClearPath Distribution Solutions</t>
  </si>
  <si>
    <t>LEAD0445</t>
  </si>
  <si>
    <t>blake.green@rivertonautomation.com</t>
  </si>
  <si>
    <t>Riverton Automation LLC</t>
  </si>
  <si>
    <t>LEAD0446</t>
  </si>
  <si>
    <t>miles.reed@brightwelllabs.com</t>
  </si>
  <si>
    <t>Brightwell Labs Solutions</t>
  </si>
  <si>
    <t>LEAD0447</t>
  </si>
  <si>
    <t>skyler.morgan@maplelogistics.com</t>
  </si>
  <si>
    <t>Maple Logistics LLC</t>
  </si>
  <si>
    <t>LEAD0448</t>
  </si>
  <si>
    <t>leo.campbell@apexmanufacturing.com</t>
  </si>
  <si>
    <t>Apex Manufacturing Partners</t>
  </si>
  <si>
    <t>LEAD0449</t>
  </si>
  <si>
    <t>natalie.patel@copperlabs.com</t>
  </si>
  <si>
    <t>Copper Labs Co.</t>
  </si>
  <si>
    <t>LEAD0450</t>
  </si>
  <si>
    <t>riley.garcia@riverton.com</t>
  </si>
  <si>
    <t>Riverton Solutions Co.</t>
  </si>
  <si>
    <t>LEAD0451</t>
  </si>
  <si>
    <t>reese.hayes@lakeside.com</t>
  </si>
  <si>
    <t>Lakeside Solutions Inc.</t>
  </si>
  <si>
    <t>LEAD0452</t>
  </si>
  <si>
    <t>mason.martin@ironwoodnetworks.com</t>
  </si>
  <si>
    <t>Ironwood Networks Inc.</t>
  </si>
  <si>
    <t>LEAD0453</t>
  </si>
  <si>
    <t>avery.ward@rivertonlabs.com</t>
  </si>
  <si>
    <t>Riverton Labs Group</t>
  </si>
  <si>
    <t>LEAD0454</t>
  </si>
  <si>
    <t>drew.garcia@bridgepointlogistics.com</t>
  </si>
  <si>
    <t>Bridgepoint Logistics Partners</t>
  </si>
  <si>
    <t>LEAD0455</t>
  </si>
  <si>
    <t>jordan.jenkins@ironwood.com</t>
  </si>
  <si>
    <t>Ironwood Group Solutions</t>
  </si>
  <si>
    <t>LEAD0456</t>
  </si>
  <si>
    <t>leah.walker@monarch.com</t>
  </si>
  <si>
    <t>Monarch Solutions LLC</t>
  </si>
  <si>
    <t>LEAD0457</t>
  </si>
  <si>
    <t>grace.price@oakridgeoperations.com</t>
  </si>
  <si>
    <t>Oakridge Operations LLC</t>
  </si>
  <si>
    <t>LEAD0458</t>
  </si>
  <si>
    <t>riley.evans@bluepeakhealth.com</t>
  </si>
  <si>
    <t>BluePeak Health Co.</t>
  </si>
  <si>
    <t>LEAD0459</t>
  </si>
  <si>
    <t>maya.wood@northstarcommerce.com</t>
  </si>
  <si>
    <t>Northstar Commerce Solutions</t>
  </si>
  <si>
    <t>LEAD0460</t>
  </si>
  <si>
    <t>sydney.wilson@summitautomation.com</t>
  </si>
  <si>
    <t>Summit Automation Group</t>
  </si>
  <si>
    <t>LEAD0461</t>
  </si>
  <si>
    <t>zoe.martin@silverlineconsulting.com</t>
  </si>
  <si>
    <t>Silverline Consulting Solutions</t>
  </si>
  <si>
    <t>LEAD0462</t>
  </si>
  <si>
    <t>grace.jackson@brightwell.com</t>
  </si>
  <si>
    <t>Brightwell Solutions LLC</t>
  </si>
  <si>
    <t>LEAD0463</t>
  </si>
  <si>
    <t>ava.collins@westbrooklabs.com</t>
  </si>
  <si>
    <t>Westbrook Labs LLC</t>
  </si>
  <si>
    <t>LEAD0464</t>
  </si>
  <si>
    <t>chloe.hayes@windwardlogistics.com</t>
  </si>
  <si>
    <t>Windward Logistics LLC</t>
  </si>
  <si>
    <t>LEAD0465</t>
  </si>
  <si>
    <t>cameron.campbell@evergreendynamics.com</t>
  </si>
  <si>
    <t>Evergreen Dynamics Systems</t>
  </si>
  <si>
    <t>LEAD0466</t>
  </si>
  <si>
    <t>cole.thomas@silverline.com</t>
  </si>
  <si>
    <t>Silverline Systems LLC</t>
  </si>
  <si>
    <t>LEAD0467</t>
  </si>
  <si>
    <t>dakota.carter@riverbendtechnology.com</t>
  </si>
  <si>
    <t>Riverbend Technology Partners</t>
  </si>
  <si>
    <t>LEAD0468</t>
  </si>
  <si>
    <t>owen.ross@pioneerdistribution.com</t>
  </si>
  <si>
    <t>Pioneer Distribution Solutions</t>
  </si>
  <si>
    <t>LEAD0469</t>
  </si>
  <si>
    <t>henry.scott@windwarddistribution.com</t>
  </si>
  <si>
    <t>Windward Distribution Group</t>
  </si>
  <si>
    <t>LEAD0470</t>
  </si>
  <si>
    <t>emerson.cooper@liberty.com</t>
  </si>
  <si>
    <t>Liberty Partners Inc.</t>
  </si>
  <si>
    <t>LEAD0471</t>
  </si>
  <si>
    <t>leah.carter@highlandcommerce.com</t>
  </si>
  <si>
    <t>Highland Commerce LLC</t>
  </si>
  <si>
    <t>LEAD0472</t>
  </si>
  <si>
    <t>ruby.young@solsticeenterprises.com</t>
  </si>
  <si>
    <t>Solstice Enterprises Co.</t>
  </si>
  <si>
    <t>LEAD0473</t>
  </si>
  <si>
    <t>avery.wright@atlastechnology.com</t>
  </si>
  <si>
    <t>Atlas Technology Solutions</t>
  </si>
  <si>
    <t>LEAD0474</t>
  </si>
  <si>
    <t>ethan.roberts@copperdistribution.com</t>
  </si>
  <si>
    <t>Copper Distribution Inc.</t>
  </si>
  <si>
    <t>LEAD0475</t>
  </si>
  <si>
    <t>leo.martin@riverbendenterprises.com</t>
  </si>
  <si>
    <t>Riverbend Enterprises LLC</t>
  </si>
  <si>
    <t>LEAD0476</t>
  </si>
  <si>
    <t>jack.scott@monarchworks.com</t>
  </si>
  <si>
    <t>Monarch Works LLC</t>
  </si>
  <si>
    <t>LEAD0477</t>
  </si>
  <si>
    <t>cole.hall@greenfield.com</t>
  </si>
  <si>
    <t>Greenfield Solutions Group</t>
  </si>
  <si>
    <t>LEAD0478</t>
  </si>
  <si>
    <t>Ian</t>
  </si>
  <si>
    <t>ian.rivera@lakeside.com</t>
  </si>
  <si>
    <t>Lakeside Systems Co.</t>
  </si>
  <si>
    <t>LEAD0479</t>
  </si>
  <si>
    <t>avery.ross@brightwelloperations.com</t>
  </si>
  <si>
    <t>Brightwell Operations Solutions</t>
  </si>
  <si>
    <t>LEAD0480</t>
  </si>
  <si>
    <t>lily.parker@cobaltoperations.com</t>
  </si>
  <si>
    <t>Cobalt Operations LLC</t>
  </si>
  <si>
    <t>LEAD0481</t>
  </si>
  <si>
    <t>morgan.williams@pioneerdynamics.com</t>
  </si>
  <si>
    <t>Pioneer Dynamics Group</t>
  </si>
  <si>
    <t>LEAD0482</t>
  </si>
  <si>
    <t>grace.rivera@newbridgelogistics.com</t>
  </si>
  <si>
    <t>Newbridge Logistics Co.</t>
  </si>
  <si>
    <t>LEAD0483</t>
  </si>
  <si>
    <t>quinn.nguyen@copper.com</t>
  </si>
  <si>
    <t>Copper Partners LLC</t>
  </si>
  <si>
    <t>LEAD0484</t>
  </si>
  <si>
    <t>zoe.edwards@granitedistribution.com</t>
  </si>
  <si>
    <t>Granite Distribution Systems</t>
  </si>
  <si>
    <t>LEAD0485</t>
  </si>
  <si>
    <t>blake.anderson@lakesidetechnology.com</t>
  </si>
  <si>
    <t>Lakeside Technology Solutions</t>
  </si>
  <si>
    <t>LEAD0486</t>
  </si>
  <si>
    <t>hayden.roberts@granitehealth.com</t>
  </si>
  <si>
    <t>Granite Health Inc.</t>
  </si>
  <si>
    <t>LEAD0487</t>
  </si>
  <si>
    <t>jordan.nelson@eastgatesupply.com</t>
  </si>
  <si>
    <t>Eastgate Supply Partners</t>
  </si>
  <si>
    <t>LEAD0488</t>
  </si>
  <si>
    <t>sophia.diaz@falcondistribution.com</t>
  </si>
  <si>
    <t>Falcon Distribution Partners</t>
  </si>
  <si>
    <t>LEAD0489</t>
  </si>
  <si>
    <t>grace.ward@clearpathanalytics.com</t>
  </si>
  <si>
    <t>ClearPath Analytics LLC</t>
  </si>
  <si>
    <t>LEAD0490</t>
  </si>
  <si>
    <t>sydney.white@stonebridgeresources.com</t>
  </si>
  <si>
    <t>Stonebridge Resources LLC</t>
  </si>
  <si>
    <t>LEAD0491</t>
  </si>
  <si>
    <t>maya.bennett@silverlinemanufacturing.com</t>
  </si>
  <si>
    <t>Silverline Manufacturing Co.</t>
  </si>
  <si>
    <t>LEAD0492</t>
  </si>
  <si>
    <t>blake.walker@beaconcommerce.com</t>
  </si>
  <si>
    <t>Beacon Commerce Solutions</t>
  </si>
  <si>
    <t>LEAD0493</t>
  </si>
  <si>
    <t>emma.campbell@newbridgeoperations.com</t>
  </si>
  <si>
    <t>Newbridge Operations Inc.</t>
  </si>
  <si>
    <t>LEAD0494</t>
  </si>
  <si>
    <t>maya.campbell@eastgateautomation.com</t>
  </si>
  <si>
    <t>Eastgate Automation LLC</t>
  </si>
  <si>
    <t>LEAD0495</t>
  </si>
  <si>
    <t>mia.anderson@cedarstoneindustries.com</t>
  </si>
  <si>
    <t>Cedarstone Industries Co.</t>
  </si>
  <si>
    <t>LEAD0496</t>
  </si>
  <si>
    <t>avery.martin@silverline.com</t>
  </si>
  <si>
    <t>Silverline Solutions Systems</t>
  </si>
  <si>
    <t>LEAD0497</t>
  </si>
  <si>
    <t>jordan.nguyen@northstarconsulting.com</t>
  </si>
  <si>
    <t>Northstar Consulting Inc.</t>
  </si>
  <si>
    <t>LEAD0498</t>
  </si>
  <si>
    <t>blake.murphy@evergreennetworks.com</t>
  </si>
  <si>
    <t>Evergreen Networks Solutions</t>
  </si>
  <si>
    <t>LEAD0499</t>
  </si>
  <si>
    <t>logan.white@crescentmanufacturing.com</t>
  </si>
  <si>
    <t>Crescent Manufacturing LLC</t>
  </si>
  <si>
    <t>LEAD0500</t>
  </si>
  <si>
    <t>sydney.white@cedarstonelabs.com</t>
  </si>
  <si>
    <t>Cedarstone Labs Co.</t>
  </si>
  <si>
    <t>LEAD0501</t>
  </si>
  <si>
    <t>leah.foster@cobaltdistribution.com</t>
  </si>
  <si>
    <t>Cobalt Distribution LLC</t>
  </si>
  <si>
    <t>LEAD0502</t>
  </si>
  <si>
    <t>mason.jackson@keystonedynamics.com</t>
  </si>
  <si>
    <t>Keystone Dynamics Systems</t>
  </si>
  <si>
    <t>LEAD0503</t>
  </si>
  <si>
    <t>alex.shah@beacondynamics.com</t>
  </si>
  <si>
    <t>Beacon Dynamics Systems</t>
  </si>
  <si>
    <t>LEAD0504</t>
  </si>
  <si>
    <t>dakota.patel@sterlingmanufacturing.com</t>
  </si>
  <si>
    <t>Sterling Manufacturing Solutions</t>
  </si>
  <si>
    <t>LEAD0505</t>
  </si>
  <si>
    <t>reese.carter@westbrook.com</t>
  </si>
  <si>
    <t>Westbrook Solutions Solutions</t>
  </si>
  <si>
    <t>LEAD0506</t>
  </si>
  <si>
    <t>parker.richardson@greenfield.com</t>
  </si>
  <si>
    <t>Greenfield Partners Co.</t>
  </si>
  <si>
    <t>LEAD0507</t>
  </si>
  <si>
    <t>skyler.richardson@greenfieldautomation.com</t>
  </si>
  <si>
    <t>Greenfield Automation Inc.</t>
  </si>
  <si>
    <t>LEAD0508</t>
  </si>
  <si>
    <t>reese.young@falcon.com</t>
  </si>
  <si>
    <t>Falcon Systems Systems</t>
  </si>
  <si>
    <t>LEAD0509</t>
  </si>
  <si>
    <t>sophia.kim@apexworks.com</t>
  </si>
  <si>
    <t>Apex Works Co.</t>
  </si>
  <si>
    <t>LEAD0510</t>
  </si>
  <si>
    <t>reese.kelly@windwardsupply.com</t>
  </si>
  <si>
    <t>Windward Supply Co.</t>
  </si>
  <si>
    <t>LEAD0511</t>
  </si>
  <si>
    <t>maya.patel@atlas.com</t>
  </si>
  <si>
    <t>Atlas Solutions Co.</t>
  </si>
  <si>
    <t>LEAD0512</t>
  </si>
  <si>
    <t>cole.ward@sterlingresources.com</t>
  </si>
  <si>
    <t>Sterling Resources Solutions</t>
  </si>
  <si>
    <t>LEAD0513</t>
  </si>
  <si>
    <t>leah.thomas@eastgatemanufacturing.com</t>
  </si>
  <si>
    <t>Eastgate Manufacturing Co.</t>
  </si>
  <si>
    <t>LEAD0514</t>
  </si>
  <si>
    <t>cole.cooper@parksidesupply.com</t>
  </si>
  <si>
    <t>Parkside Supply Partners</t>
  </si>
  <si>
    <t>LEAD0515</t>
  </si>
  <si>
    <t>henry.green@parksidenetworks.com</t>
  </si>
  <si>
    <t>Parkside Networks Group</t>
  </si>
  <si>
    <t>LEAD0516</t>
  </si>
  <si>
    <t>quinn.shah@silverlinecommerce.com</t>
  </si>
  <si>
    <t>Silverline Commerce Co.</t>
  </si>
  <si>
    <t>LEAD0517</t>
  </si>
  <si>
    <t>cameron.walker@pioneeroperations.com</t>
  </si>
  <si>
    <t>Pioneer Operations Systems</t>
  </si>
  <si>
    <t>LEAD0518</t>
  </si>
  <si>
    <t>ava.hayes@monarchdynamics.com</t>
  </si>
  <si>
    <t>Monarch Dynamics Inc.</t>
  </si>
  <si>
    <t>Website</t>
  </si>
  <si>
    <t>LEAD0519</t>
  </si>
  <si>
    <t>zoe.howard@northstarservices.com</t>
  </si>
  <si>
    <t>Northstar Services Co.</t>
  </si>
  <si>
    <t>LEAD0520</t>
  </si>
  <si>
    <t>ella.murphy@rivertonhealth.com</t>
  </si>
  <si>
    <t>Riverton Health Co.</t>
  </si>
  <si>
    <t>LEAD0521</t>
  </si>
  <si>
    <t>mia.williams@cobaltholdings.com</t>
  </si>
  <si>
    <t>Cobalt Holdings Solutions</t>
  </si>
  <si>
    <t>LEAD0522</t>
  </si>
  <si>
    <t>owen.morgan@keystonehealth.com</t>
  </si>
  <si>
    <t>Keystone Health Systems</t>
  </si>
  <si>
    <t>LEAD0523</t>
  </si>
  <si>
    <t>dakota.hayes@highlandworks.com</t>
  </si>
  <si>
    <t>Highland Works Solutions</t>
  </si>
  <si>
    <t>LEAD0524</t>
  </si>
  <si>
    <t>sydney.price@bridgepointautomation.com</t>
  </si>
  <si>
    <t>Bridgepoint Automation Solutions</t>
  </si>
  <si>
    <t>LEAD0525</t>
  </si>
  <si>
    <t>zoe.green@brightwellcommerce.com</t>
  </si>
  <si>
    <t>Brightwell Commerce Solutions</t>
  </si>
  <si>
    <t>LEAD0526</t>
  </si>
  <si>
    <t>reese.lee@maplecommerce.com</t>
  </si>
  <si>
    <t>Maple Commerce Co.</t>
  </si>
  <si>
    <t>LEAD0527</t>
  </si>
  <si>
    <t>sydney.hall@falconsupply.com</t>
  </si>
  <si>
    <t>Falcon Supply LLC</t>
  </si>
  <si>
    <t>LEAD0528</t>
  </si>
  <si>
    <t>leah.williams@redwood.com</t>
  </si>
  <si>
    <t>Redwood Solutions Systems</t>
  </si>
  <si>
    <t>LEAD0529</t>
  </si>
  <si>
    <t>jack.turner@westbrookconsulting.com</t>
  </si>
  <si>
    <t>Westbrook Consulting Solutions</t>
  </si>
  <si>
    <t>LEAD0530</t>
  </si>
  <si>
    <t>nora.thomas@mapleoperations.com</t>
  </si>
  <si>
    <t>Maple Operations Partners</t>
  </si>
  <si>
    <t>LEAD0531</t>
  </si>
  <si>
    <t>sydney.wood@riverbendtechnology.com</t>
  </si>
  <si>
    <t>Riverbend Technology LLC</t>
  </si>
  <si>
    <t>LEAD0532</t>
  </si>
  <si>
    <t>Horizon Enterprises Co.</t>
  </si>
  <si>
    <t>LEAD0533</t>
  </si>
  <si>
    <t>chloe.peterson@lakesidedynamics.com</t>
  </si>
  <si>
    <t>Lakeside Dynamics LLC</t>
  </si>
  <si>
    <t>LEAD0534</t>
  </si>
  <si>
    <t>mason.wood@ironwood.com</t>
  </si>
  <si>
    <t>Ironwood Solutions Group</t>
  </si>
  <si>
    <t>LEAD0535</t>
  </si>
  <si>
    <t>taylor.walker@clearpathautomation.com</t>
  </si>
  <si>
    <t>ClearPath Automation Group</t>
  </si>
  <si>
    <t>LEAD0536</t>
  </si>
  <si>
    <t>morgan.shah@greenfieldindustries.com</t>
  </si>
  <si>
    <t>Greenfield Industries Partners</t>
  </si>
  <si>
    <t>LEAD0537</t>
  </si>
  <si>
    <t>cole.green@cobaltmanufacturing.com</t>
  </si>
  <si>
    <t>Cobalt Manufacturing Systems</t>
  </si>
  <si>
    <t>LEAD0538</t>
  </si>
  <si>
    <t>miles.wright@falcon.com</t>
  </si>
  <si>
    <t>Falcon Solutions Solutions</t>
  </si>
  <si>
    <t>LEAD0539</t>
  </si>
  <si>
    <t>reese.roberts@pioneer.com</t>
  </si>
  <si>
    <t>Pioneer Group LLC</t>
  </si>
  <si>
    <t>LEAD0540</t>
  </si>
  <si>
    <t>evan.price@horizonholdings.com</t>
  </si>
  <si>
    <t>Horizon Holdings Co.</t>
  </si>
  <si>
    <t>LEAD0541</t>
  </si>
  <si>
    <t>owen.jackson@windwardservices.com</t>
  </si>
  <si>
    <t>Windward Services Partners</t>
  </si>
  <si>
    <t>LEAD0542</t>
  </si>
  <si>
    <t>caleb.patel@apexoperations.com</t>
  </si>
  <si>
    <t>Apex Operations LLC</t>
  </si>
  <si>
    <t>LEAD0543</t>
  </si>
  <si>
    <t>emma.jackson@lakesidemanufacturing.com</t>
  </si>
  <si>
    <t>Lakeside Manufacturing Systems</t>
  </si>
  <si>
    <t>LEAD0544</t>
  </si>
  <si>
    <t>emma.mitchell@lakesideservices.com</t>
  </si>
  <si>
    <t>Lakeside Services Inc.</t>
  </si>
  <si>
    <t>LEAD0545</t>
  </si>
  <si>
    <t>riley.jackson@beacon.com</t>
  </si>
  <si>
    <t>Beacon Systems LLC</t>
  </si>
  <si>
    <t>Referral</t>
  </si>
  <si>
    <t>LEAD0546</t>
  </si>
  <si>
    <t>maya.wilson@clearpathresources.com</t>
  </si>
  <si>
    <t>ClearPath Resources Solutions</t>
  </si>
  <si>
    <t>LEAD0547</t>
  </si>
  <si>
    <t>mia.cooper@beacon.com</t>
  </si>
  <si>
    <t>Beacon Partners LLC</t>
  </si>
  <si>
    <t>LEAD0548</t>
  </si>
  <si>
    <t>mia.shah@crescent.com</t>
  </si>
  <si>
    <t>Crescent Partners Systems</t>
  </si>
  <si>
    <t>LEAD0549</t>
  </si>
  <si>
    <t>miles.williams@bridgepointholdings.com</t>
  </si>
  <si>
    <t>Bridgepoint Holdings Systems</t>
  </si>
  <si>
    <t>LEAD0550</t>
  </si>
  <si>
    <t>blake.lewis@bridgepointlabs.com</t>
  </si>
  <si>
    <t>Bridgepoint Labs Co.</t>
  </si>
  <si>
    <t>LEAD0551</t>
  </si>
  <si>
    <t>jack.jackson@eastgateanalytics.com</t>
  </si>
  <si>
    <t>Eastgate Analytics LLC</t>
  </si>
  <si>
    <t>LEAD0552</t>
  </si>
  <si>
    <t>mason.shah@bluepeak.com</t>
  </si>
  <si>
    <t>BluePeak Solutions Group</t>
  </si>
  <si>
    <t>LEAD0553</t>
  </si>
  <si>
    <t>lily.garcia@goldcrestlabs.com</t>
  </si>
  <si>
    <t>Goldcrest Labs Systems</t>
  </si>
  <si>
    <t>LEAD0554</t>
  </si>
  <si>
    <t>jack.reed@highland.com</t>
  </si>
  <si>
    <t>Highland Systems Partners</t>
  </si>
  <si>
    <t>LEAD0555</t>
  </si>
  <si>
    <t>parker.patel@atlasanalytics.com</t>
  </si>
  <si>
    <t>Atlas Analytics LLC</t>
  </si>
  <si>
    <t>LEAD0556</t>
  </si>
  <si>
    <t>mia.kim@riverbendsupply.com</t>
  </si>
  <si>
    <t>Riverbend Supply Co.</t>
  </si>
  <si>
    <t>LEAD0557</t>
  </si>
  <si>
    <t>casey.brooks@brightwelllabs.com</t>
  </si>
  <si>
    <t>Brightwell Labs Co.</t>
  </si>
  <si>
    <t>LEAD0558</t>
  </si>
  <si>
    <t>zoe.ross@greenfielddistribution.com</t>
  </si>
  <si>
    <t>Greenfield Distribution Partners</t>
  </si>
  <si>
    <t>LEAD0559</t>
  </si>
  <si>
    <t>maya.ross@clearpathlabs.com</t>
  </si>
  <si>
    <t>ClearPath Labs LLC</t>
  </si>
  <si>
    <t>LEAD0560</t>
  </si>
  <si>
    <t>avery.price@harborenterprises.com</t>
  </si>
  <si>
    <t>Harbor Enterprises Co.</t>
  </si>
  <si>
    <t>LEAD0561</t>
  </si>
  <si>
    <t>henry.white@vertex.com</t>
  </si>
  <si>
    <t>Vertex Systems Group</t>
  </si>
  <si>
    <t>LEAD0562</t>
  </si>
  <si>
    <t>emma.jackson@bluepeakoperations.com</t>
  </si>
  <si>
    <t>BluePeak Operations Inc.</t>
  </si>
  <si>
    <t>LEAD0563</t>
  </si>
  <si>
    <t>blake.campbell@solstice.com</t>
  </si>
  <si>
    <t>Solstice Group LLC</t>
  </si>
  <si>
    <t>LEAD0564</t>
  </si>
  <si>
    <t>morgan.bennett@parksideservices.com</t>
  </si>
  <si>
    <t>Parkside Services Co.</t>
  </si>
  <si>
    <t>LEAD0565</t>
  </si>
  <si>
    <t>jack.white@westbrooknetworks.com</t>
  </si>
  <si>
    <t>Westbrook Networks Co.</t>
  </si>
  <si>
    <t>LEAD0566</t>
  </si>
  <si>
    <t>ella.shah@keystoneanalytics.com</t>
  </si>
  <si>
    <t>Keystone Analytics Co.</t>
  </si>
  <si>
    <t>LEAD0567</t>
  </si>
  <si>
    <t>reese.reed@pioneer.com</t>
  </si>
  <si>
    <t>Pioneer Partners Co.</t>
  </si>
  <si>
    <t>LEAD0568</t>
  </si>
  <si>
    <t>natalie.wright@lakesidelabs.com</t>
  </si>
  <si>
    <t>Lakeside Labs LLC</t>
  </si>
  <si>
    <t>LEAD0569</t>
  </si>
  <si>
    <t>taylor.wilson@silverlineconsulting.com</t>
  </si>
  <si>
    <t>Silverline Consulting Group</t>
  </si>
  <si>
    <t>LEAD0570</t>
  </si>
  <si>
    <t>ian.reed@rivertondistribution.com</t>
  </si>
  <si>
    <t>Riverton Distribution LLC</t>
  </si>
  <si>
    <t>LEAD0571</t>
  </si>
  <si>
    <t>leah.collins@monarchdynamics.com</t>
  </si>
  <si>
    <t>Monarch Dynamics Systems</t>
  </si>
  <si>
    <t>LEAD0572</t>
  </si>
  <si>
    <t>sydney.parker@silverlineautomation.com</t>
  </si>
  <si>
    <t>Silverline Automation Solutions</t>
  </si>
  <si>
    <t>LEAD0573</t>
  </si>
  <si>
    <t>sydney.collins@highlandoperations.com</t>
  </si>
  <si>
    <t>Highland Operations Partners</t>
  </si>
  <si>
    <t>LEAD0574</t>
  </si>
  <si>
    <t>cameron.kim@cedarstoneholdings.com</t>
  </si>
  <si>
    <t>Cedarstone Holdings LLC</t>
  </si>
  <si>
    <t>LEAD0575</t>
  </si>
  <si>
    <t>ian.johnson@evergreen.com</t>
  </si>
  <si>
    <t>Evergreen Group LLC</t>
  </si>
  <si>
    <t>LEAD0576</t>
  </si>
  <si>
    <t>maya.peterson@stonebridgeconsulting.com</t>
  </si>
  <si>
    <t>Stonebridge Consulting Systems</t>
  </si>
  <si>
    <t>LEAD0577</t>
  </si>
  <si>
    <t>lily.mitchell@keystonelabs.com</t>
  </si>
  <si>
    <t>Keystone Labs Group</t>
  </si>
  <si>
    <t>LEAD0578</t>
  </si>
  <si>
    <t>ethan.miller@cobaltresources.com</t>
  </si>
  <si>
    <t>Cobalt Resources LLC</t>
  </si>
  <si>
    <t>LEAD0579</t>
  </si>
  <si>
    <t>drew.diaz@cobaltconsulting.com</t>
  </si>
  <si>
    <t>Cobalt Consulting Co.</t>
  </si>
  <si>
    <t>LEAD0580</t>
  </si>
  <si>
    <t>hayden.kim@monarch.com</t>
  </si>
  <si>
    <t>Monarch Group Systems</t>
  </si>
  <si>
    <t>LEAD0581</t>
  </si>
  <si>
    <t>natalie.mitchell@newbridgeholdings.com</t>
  </si>
  <si>
    <t>Newbridge Holdings Systems</t>
  </si>
  <si>
    <t>LEAD0582</t>
  </si>
  <si>
    <t>parker.wood@libertylabs.com</t>
  </si>
  <si>
    <t>Liberty Labs LLC</t>
  </si>
  <si>
    <t>LEAD0583</t>
  </si>
  <si>
    <t>Brightwell Consulting Solutions</t>
  </si>
  <si>
    <t>LEAD0584</t>
  </si>
  <si>
    <t>jordan.evans@beaconsupply.com</t>
  </si>
  <si>
    <t>Beacon Supply Solutions</t>
  </si>
  <si>
    <t>LEAD0585</t>
  </si>
  <si>
    <t>olivia.wilson@harborautomation.com</t>
  </si>
  <si>
    <t>Harbor Automation LLC</t>
  </si>
  <si>
    <t>LEAD0586</t>
  </si>
  <si>
    <t>grace.wood@falconworks.com</t>
  </si>
  <si>
    <t>Falcon Works Solutions</t>
  </si>
  <si>
    <t>LEAD0587</t>
  </si>
  <si>
    <t>quinn.lewis@evergreendynamics.com</t>
  </si>
  <si>
    <t>Evergreen Dynamics Group</t>
  </si>
  <si>
    <t>LEAD0588</t>
  </si>
  <si>
    <t>grace.hughes@keystonemanufacturing.com</t>
  </si>
  <si>
    <t>Keystone Manufacturing Inc.</t>
  </si>
  <si>
    <t>LEAD0589</t>
  </si>
  <si>
    <t>lily.anderson@beaconautomation.com</t>
  </si>
  <si>
    <t>Beacon Automation Co.</t>
  </si>
  <si>
    <t>LEAD0590</t>
  </si>
  <si>
    <t>noah.martin@copper.com</t>
  </si>
  <si>
    <t>Copper Systems Partners</t>
  </si>
  <si>
    <t>LEAD0591</t>
  </si>
  <si>
    <t>skyler.miller@monarch.com</t>
  </si>
  <si>
    <t>Monarch Partners Partners</t>
  </si>
  <si>
    <t>LEAD0592</t>
  </si>
  <si>
    <t>skyler.jenkins@crescententerprises.com</t>
  </si>
  <si>
    <t>Crescent Enterprises Solutions</t>
  </si>
  <si>
    <t>LEAD0593</t>
  </si>
  <si>
    <t>leah.turner@harbor.com</t>
  </si>
  <si>
    <t>Harbor Group Partners</t>
  </si>
  <si>
    <t>LEAD0594</t>
  </si>
  <si>
    <t>ella.patel@falconholdings.com</t>
  </si>
  <si>
    <t>Falcon Holdings LLC</t>
  </si>
  <si>
    <t>LEAD0595</t>
  </si>
  <si>
    <t>alex.foster@windwardholdings.com</t>
  </si>
  <si>
    <t>Windward Holdings Solutions</t>
  </si>
  <si>
    <t>LEAD0596</t>
  </si>
  <si>
    <t>zoe.nguyen@bluepeaklogistics.com</t>
  </si>
  <si>
    <t>BluePeak Logistics Group</t>
  </si>
  <si>
    <t>LEAD0597</t>
  </si>
  <si>
    <t>ruby.miller@northstarenterprises.com</t>
  </si>
  <si>
    <t>Northstar Enterprises Co.</t>
  </si>
  <si>
    <t>LEAD0598</t>
  </si>
  <si>
    <t>emerson.miller@redwood.com</t>
  </si>
  <si>
    <t>Redwood Partners Partners</t>
  </si>
  <si>
    <t>LEAD0599</t>
  </si>
  <si>
    <t>owen.turner@ironwoodholdings.com</t>
  </si>
  <si>
    <t>Ironwood Holdings Partners</t>
  </si>
  <si>
    <t>LEAD0600</t>
  </si>
  <si>
    <t>ava.rivera@sterling.com</t>
  </si>
  <si>
    <t>Sterling Partners Co.</t>
  </si>
  <si>
    <t>LEAD0601</t>
  </si>
  <si>
    <t>blake.miller@cobaltenterprises.com</t>
  </si>
  <si>
    <t>Cobalt Enterprises Inc.</t>
  </si>
  <si>
    <t>LEAD0602</t>
  </si>
  <si>
    <t>noah.lee@rivertonenterprises.com</t>
  </si>
  <si>
    <t>Riverton Enterprises Partners</t>
  </si>
  <si>
    <t>LEAD0603</t>
  </si>
  <si>
    <t>ava.lee@bluepeakhealth.com</t>
  </si>
  <si>
    <t>BluePeak Health Inc.</t>
  </si>
  <si>
    <t>LEAD0604</t>
  </si>
  <si>
    <t>leo.shah@parkside.com</t>
  </si>
  <si>
    <t>Parkside Solutions Solutions</t>
  </si>
  <si>
    <t>LEAD0605</t>
  </si>
  <si>
    <t>ian.green@parksideautomation.com</t>
  </si>
  <si>
    <t>Parkside Automation Inc.</t>
  </si>
  <si>
    <t>LEAD0606</t>
  </si>
  <si>
    <t>ruby.hall@vertexindustries.com</t>
  </si>
  <si>
    <t>Vertex Industries Partners</t>
  </si>
  <si>
    <t>LEAD0607</t>
  </si>
  <si>
    <t>nora.ramirez@libertyoperations.com</t>
  </si>
  <si>
    <t>Liberty Operations Group</t>
  </si>
  <si>
    <t>LEAD0608</t>
  </si>
  <si>
    <t>lucas.lewis@primelogistics.com</t>
  </si>
  <si>
    <t>Prime Logistics Solutions</t>
  </si>
  <si>
    <t>LEAD0609</t>
  </si>
  <si>
    <t>jack.kelly@horizonresources.com</t>
  </si>
  <si>
    <t>Horizon Resources Systems</t>
  </si>
  <si>
    <t>LEAD0610</t>
  </si>
  <si>
    <t>ethan.kelly@horizonanalytics.com</t>
  </si>
  <si>
    <t>Horizon Analytics Group</t>
  </si>
  <si>
    <t>LEAD0611</t>
  </si>
  <si>
    <t>lily.anderson@vertex.com</t>
  </si>
  <si>
    <t>Vertex Partners Co.</t>
  </si>
  <si>
    <t>LEAD0612</t>
  </si>
  <si>
    <t>blake.jackson@bridgepoint.com</t>
  </si>
  <si>
    <t>Bridgepoint Group Systems</t>
  </si>
  <si>
    <t>LEAD0613</t>
  </si>
  <si>
    <t>ethan.roberts@bridgepointdynamics.com</t>
  </si>
  <si>
    <t>Bridgepoint Dynamics Solutions</t>
  </si>
  <si>
    <t>LEAD0614</t>
  </si>
  <si>
    <t>skyler.turner@apexcommerce.com</t>
  </si>
  <si>
    <t>Apex Commerce Group</t>
  </si>
  <si>
    <t>LEAD0615</t>
  </si>
  <si>
    <t>casey.ramirez@redwoodoperations.com</t>
  </si>
  <si>
    <t>Redwood Operations LLC</t>
  </si>
  <si>
    <t>LEAD0616</t>
  </si>
  <si>
    <t>leo.lewis@cedarstoneholdings.com</t>
  </si>
  <si>
    <t>Cedarstone Holdings Systems</t>
  </si>
  <si>
    <t>LEAD0617</t>
  </si>
  <si>
    <t>skyler.collins@westbrookdynamics.com</t>
  </si>
  <si>
    <t>Westbrook Dynamics Partners</t>
  </si>
  <si>
    <t>LEAD0618</t>
  </si>
  <si>
    <t>reese.young@evergreenindustries.com</t>
  </si>
  <si>
    <t>Evergreen Industries Systems</t>
  </si>
  <si>
    <t>LEAD0619</t>
  </si>
  <si>
    <t>zoe.richardson@northstaranalytics.com</t>
  </si>
  <si>
    <t>Northstar Analytics Group</t>
  </si>
  <si>
    <t>LEAD0620</t>
  </si>
  <si>
    <t>grant.patel@greenfieldservices.com</t>
  </si>
  <si>
    <t>Greenfield Services Group</t>
  </si>
  <si>
    <t>LEAD0621</t>
  </si>
  <si>
    <t>emerson.perry@brightwellindustries.com</t>
  </si>
  <si>
    <t>Brightwell Industries LLC</t>
  </si>
  <si>
    <t>LEAD0622</t>
  </si>
  <si>
    <t>grant.sanchez@ironwoodlabs.com</t>
  </si>
  <si>
    <t>Ironwood Labs Group</t>
  </si>
  <si>
    <t>LEAD0623</t>
  </si>
  <si>
    <t>casey.ramirez@pioneerhealth.com</t>
  </si>
  <si>
    <t>Pioneer Health Systems</t>
  </si>
  <si>
    <t>LEAD0624</t>
  </si>
  <si>
    <t>nora.diaz@clearpath.com</t>
  </si>
  <si>
    <t>ClearPath Group Solutions</t>
  </si>
  <si>
    <t>LEAD0625</t>
  </si>
  <si>
    <t>blake.hughes@westbrookcommerce.com</t>
  </si>
  <si>
    <t>Westbrook Commerce Systems</t>
  </si>
  <si>
    <t>LEAD0626</t>
  </si>
  <si>
    <t>ian.williams@bridgepointenterprises.com</t>
  </si>
  <si>
    <t>Bridgepoint Enterprises Systems</t>
  </si>
  <si>
    <t>LEAD0627</t>
  </si>
  <si>
    <t>ian.martin@harborworks.com</t>
  </si>
  <si>
    <t>Harbor Works Group</t>
  </si>
  <si>
    <t>LEAD0628</t>
  </si>
  <si>
    <t>avery.garcia@bluepeakanalytics.com</t>
  </si>
  <si>
    <t>BluePeak Analytics Co.</t>
  </si>
  <si>
    <t>LEAD0629</t>
  </si>
  <si>
    <t>maya.ramirez@ironwoodoperations.com</t>
  </si>
  <si>
    <t>Ironwood Operations Inc.</t>
  </si>
  <si>
    <t>LEAD0630</t>
  </si>
  <si>
    <t>jamie.lewis@silverlineservices.com</t>
  </si>
  <si>
    <t>Silverline Services Solutions</t>
  </si>
  <si>
    <t>LEAD0631</t>
  </si>
  <si>
    <t>casey.johnson@westbrooklabs.com</t>
  </si>
  <si>
    <t>Westbrook Labs Solutions</t>
  </si>
  <si>
    <t>LEAD0632</t>
  </si>
  <si>
    <t>cole.diaz@highlandoperations.com</t>
  </si>
  <si>
    <t>Highland Operations Solutions</t>
  </si>
  <si>
    <t>LEAD0633</t>
  </si>
  <si>
    <t>olivia.ramirez@windwardlabs.com</t>
  </si>
  <si>
    <t>Windward Labs Solutions</t>
  </si>
  <si>
    <t>LEAD0634</t>
  </si>
  <si>
    <t>dakota.price@horizoncommerce.com</t>
  </si>
  <si>
    <t>Horizon Commerce Systems</t>
  </si>
  <si>
    <t>LEAD0635</t>
  </si>
  <si>
    <t>parker.kelly@eastgate.com</t>
  </si>
  <si>
    <t>Eastgate Group Group</t>
  </si>
  <si>
    <t>LEAD0636</t>
  </si>
  <si>
    <t>caleb.sanchez@horizonlogistics.com</t>
  </si>
  <si>
    <t>Horizon Logistics LLC</t>
  </si>
  <si>
    <t>LEAD0637</t>
  </si>
  <si>
    <t>miles.turner@cedarstoneworks.com</t>
  </si>
  <si>
    <t>Cedarstone Works Solutions</t>
  </si>
  <si>
    <t>LEAD0638</t>
  </si>
  <si>
    <t>alex.murphy@atlasoperations.com</t>
  </si>
  <si>
    <t>Atlas Operations Co.</t>
  </si>
  <si>
    <t>LEAD0639</t>
  </si>
  <si>
    <t>morgan.hayes@beaconhealth.com</t>
  </si>
  <si>
    <t>Beacon Health Group</t>
  </si>
  <si>
    <t>LEAD0640</t>
  </si>
  <si>
    <t>leah.wood@ironwoodresources.com</t>
  </si>
  <si>
    <t>Ironwood Resources Inc.</t>
  </si>
  <si>
    <t>LEAD0641</t>
  </si>
  <si>
    <t>leah.ward@goldcrestholdings.com</t>
  </si>
  <si>
    <t>Goldcrest Holdings Group</t>
  </si>
  <si>
    <t>LEAD0642</t>
  </si>
  <si>
    <t>owen.martin@summitdistribution.com</t>
  </si>
  <si>
    <t>Summit Distribution Co.</t>
  </si>
  <si>
    <t>LEAD0643</t>
  </si>
  <si>
    <t>cameron.taylor@highlandenterprises.com</t>
  </si>
  <si>
    <t>Highland Enterprises Partners</t>
  </si>
  <si>
    <t>LEAD0644</t>
  </si>
  <si>
    <t>skyler.kelly@riverbendlogistics.com</t>
  </si>
  <si>
    <t>Riverbend Logistics Group</t>
  </si>
  <si>
    <t>LEAD0645</t>
  </si>
  <si>
    <t>leo.carter@northstarnetworks.com</t>
  </si>
  <si>
    <t>Northstar Networks Solutions</t>
  </si>
  <si>
    <t>LEAD0646</t>
  </si>
  <si>
    <t>alex.young@libertyautomation.com</t>
  </si>
  <si>
    <t>Liberty Automation Solutions</t>
  </si>
  <si>
    <t>LEAD0647</t>
  </si>
  <si>
    <t>sophia.peterson@apexlogistics.com</t>
  </si>
  <si>
    <t>Apex Logistics Inc.</t>
  </si>
  <si>
    <t>LEAD0648</t>
  </si>
  <si>
    <t>alex.bennett@bridgepointsupply.com</t>
  </si>
  <si>
    <t>Bridgepoint Supply LLC</t>
  </si>
  <si>
    <t>LEAD0649</t>
  </si>
  <si>
    <t>evan.campbell@clearpathworks.com</t>
  </si>
  <si>
    <t>ClearPath Works LLC</t>
  </si>
  <si>
    <t>LEAD0650</t>
  </si>
  <si>
    <t>parker.edwards@goldcrestresources.com</t>
  </si>
  <si>
    <t>Goldcrest Resources Systems</t>
  </si>
  <si>
    <t>LEAD0651</t>
  </si>
  <si>
    <t>taylor.ward@riverbendindustries.com</t>
  </si>
  <si>
    <t>Riverbend Industries Co.</t>
  </si>
  <si>
    <t>LEAD0652</t>
  </si>
  <si>
    <t>morgan.reed@riverbenddynamics.com</t>
  </si>
  <si>
    <t>Riverbend Dynamics Systems</t>
  </si>
  <si>
    <t>LEAD0653</t>
  </si>
  <si>
    <t>drew.sanchez@harbormanufacturing.com</t>
  </si>
  <si>
    <t>Harbor Manufacturing Solutions</t>
  </si>
  <si>
    <t>LEAD0654</t>
  </si>
  <si>
    <t>lucas.taylor@redwoodlabs.com</t>
  </si>
  <si>
    <t>Redwood Labs Partners</t>
  </si>
  <si>
    <t>LEAD0655</t>
  </si>
  <si>
    <t>sophia.kelly@silverlineautomation.com</t>
  </si>
  <si>
    <t>Silverline Automation Partners</t>
  </si>
  <si>
    <t>LEAD0656</t>
  </si>
  <si>
    <t>Falcon Consulting Co.</t>
  </si>
  <si>
    <t>LEAD0657</t>
  </si>
  <si>
    <t>ian.taylor@parksideindustries.com</t>
  </si>
  <si>
    <t>Parkside Industries Group</t>
  </si>
  <si>
    <t>LEAD0658</t>
  </si>
  <si>
    <t>nora.martin@oakridge.com</t>
  </si>
  <si>
    <t>Oakridge Group LLC</t>
  </si>
  <si>
    <t>LEAD0659</t>
  </si>
  <si>
    <t>skyler.hall@apexlabs.com</t>
  </si>
  <si>
    <t>Apex Labs Systems</t>
  </si>
  <si>
    <t>LEAD0660</t>
  </si>
  <si>
    <t>reese.rivera@parkside.com</t>
  </si>
  <si>
    <t>Parkside Group Group</t>
  </si>
  <si>
    <t>LEAD0661</t>
  </si>
  <si>
    <t>morgan.roberts@granitelogistics.com</t>
  </si>
  <si>
    <t>Granite Logistics Group</t>
  </si>
  <si>
    <t>LEAD0662</t>
  </si>
  <si>
    <t>emma.wilson@apex.com</t>
  </si>
  <si>
    <t>Apex Group Inc.</t>
  </si>
  <si>
    <t>LEAD0663</t>
  </si>
  <si>
    <t>ethan.evans@greenfielddynamics.com</t>
  </si>
  <si>
    <t>Greenfield Dynamics Inc.</t>
  </si>
  <si>
    <t>LEAD0664</t>
  </si>
  <si>
    <t>cole.diaz@summit.com</t>
  </si>
  <si>
    <t>Summit Systems Systems</t>
  </si>
  <si>
    <t>LEAD0665</t>
  </si>
  <si>
    <t>liam.patel@parksidehealth.com</t>
  </si>
  <si>
    <t>Parkside Health LLC</t>
  </si>
  <si>
    <t>LEAD0666</t>
  </si>
  <si>
    <t>Ironwood Analytics Inc.</t>
  </si>
  <si>
    <t>LEAD0667</t>
  </si>
  <si>
    <t>chloe.nelson@redwoodconsulting.com</t>
  </si>
  <si>
    <t>Redwood Consulting Co.</t>
  </si>
  <si>
    <t>LEAD0668</t>
  </si>
  <si>
    <t>reese.price@horizonenterprises.com</t>
  </si>
  <si>
    <t>Horizon Enterprises Solutions</t>
  </si>
  <si>
    <t>LEAD0669</t>
  </si>
  <si>
    <t>sydney.foster@lakeside.com</t>
  </si>
  <si>
    <t>Lakeside Partners Partners</t>
  </si>
  <si>
    <t>LEAD0670</t>
  </si>
  <si>
    <t>owen.hall@bridgepointsupply.com</t>
  </si>
  <si>
    <t>Bridgepoint Supply Co.</t>
  </si>
  <si>
    <t>LEAD0671</t>
  </si>
  <si>
    <t>caleb.hughes@clearpathenterprises.com</t>
  </si>
  <si>
    <t>ClearPath Enterprises LLC</t>
  </si>
  <si>
    <t>LEAD0672</t>
  </si>
  <si>
    <t>maya.carter@lakesideholdings.com</t>
  </si>
  <si>
    <t>Lakeside Holdings Partners</t>
  </si>
  <si>
    <t>LEAD0673</t>
  </si>
  <si>
    <t>grace.patel@silverlinemanufacturing.com</t>
  </si>
  <si>
    <t>Silverline Manufacturing Group</t>
  </si>
  <si>
    <t>LEAD0674</t>
  </si>
  <si>
    <t>mason.ward@monarch.com</t>
  </si>
  <si>
    <t>Monarch Partners Group</t>
  </si>
  <si>
    <t>LEAD0675</t>
  </si>
  <si>
    <t>evan.perry@keystoneindustries.com</t>
  </si>
  <si>
    <t>Keystone Industries LLC</t>
  </si>
  <si>
    <t>LEAD0676</t>
  </si>
  <si>
    <t>caleb.rivera@greenfieldtechnology.com</t>
  </si>
  <si>
    <t>Greenfield Technology Inc.</t>
  </si>
  <si>
    <t>LEAD0677</t>
  </si>
  <si>
    <t>natalie.hughes@lakesidecommerce.com</t>
  </si>
  <si>
    <t>Lakeside Commerce Group</t>
  </si>
  <si>
    <t>LEAD0678</t>
  </si>
  <si>
    <t>riley.taylor@vertexlogistics.com</t>
  </si>
  <si>
    <t>Vertex Logistics Group</t>
  </si>
  <si>
    <t>LEAD0679</t>
  </si>
  <si>
    <t>miles.wright@oakridge.com</t>
  </si>
  <si>
    <t>Oakridge Solutions Partners</t>
  </si>
  <si>
    <t>LEAD0680</t>
  </si>
  <si>
    <t>reese.reed@riverbenddynamics.com</t>
  </si>
  <si>
    <t>Riverbend Dynamics Partners</t>
  </si>
  <si>
    <t>LEAD0681</t>
  </si>
  <si>
    <t>evan.young@riverbend.com</t>
  </si>
  <si>
    <t>Riverbend Group Inc.</t>
  </si>
  <si>
    <t>LEAD0682</t>
  </si>
  <si>
    <t>evan.miller@parksidelabs.com</t>
  </si>
  <si>
    <t>Parkside Labs Co.</t>
  </si>
  <si>
    <t>LEAD0683</t>
  </si>
  <si>
    <t>jordan.price@goldcrestindustries.com</t>
  </si>
  <si>
    <t>Goldcrest Industries Systems</t>
  </si>
  <si>
    <t>LEAD0684</t>
  </si>
  <si>
    <t>mia.kim@clearpathholdings.com</t>
  </si>
  <si>
    <t>ClearPath Holdings Inc.</t>
  </si>
  <si>
    <t>LEAD0685</t>
  </si>
  <si>
    <t>nora.carter@riverbendenterprises.com</t>
  </si>
  <si>
    <t>Riverbend Enterprises Partners</t>
  </si>
  <si>
    <t>LEAD0686</t>
  </si>
  <si>
    <t>morgan.jenkins@silverlinedistribution.com</t>
  </si>
  <si>
    <t>Silverline Distribution Partners</t>
  </si>
  <si>
    <t>LEAD0687</t>
  </si>
  <si>
    <t>parker.howard@cedarstonedynamics.com</t>
  </si>
  <si>
    <t>Cedarstone Dynamics LLC</t>
  </si>
  <si>
    <t>LEAD0688</t>
  </si>
  <si>
    <t>natalie.ramirez@crescentnetworks.com</t>
  </si>
  <si>
    <t>Crescent Networks Partners</t>
  </si>
  <si>
    <t>LEAD0689</t>
  </si>
  <si>
    <t>ian.lewis@primedynamics.com</t>
  </si>
  <si>
    <t>Prime Dynamics Inc.</t>
  </si>
  <si>
    <t>LEAD0690</t>
  </si>
  <si>
    <t>ethan.williams@newbridgehealth.com</t>
  </si>
  <si>
    <t>Newbridge Health LLC</t>
  </si>
  <si>
    <t>LEAD0691</t>
  </si>
  <si>
    <t>nora.taylor@falconhealth.com</t>
  </si>
  <si>
    <t>Falcon Health LLC</t>
  </si>
  <si>
    <t>LEAD0692</t>
  </si>
  <si>
    <t>sophia.turner@solstice.com</t>
  </si>
  <si>
    <t>Solstice Solutions Solutions</t>
  </si>
  <si>
    <t>LEAD0693</t>
  </si>
  <si>
    <t>morgan.carter@riverbendindustries.com</t>
  </si>
  <si>
    <t>Riverbend Industries Partners</t>
  </si>
  <si>
    <t>LEAD0694</t>
  </si>
  <si>
    <t>casey.rivera@crescent.com</t>
  </si>
  <si>
    <t>Crescent Partners Partners</t>
  </si>
  <si>
    <t>LEAD0695</t>
  </si>
  <si>
    <t>Ironwood Partners LLC</t>
  </si>
  <si>
    <t>LEAD0696</t>
  </si>
  <si>
    <t>morgan.patel@stonebridgeresources.com</t>
  </si>
  <si>
    <t>Stonebridge Resources Partners</t>
  </si>
  <si>
    <t>LEAD0697</t>
  </si>
  <si>
    <t>jordan.thomas@riverbendautomation.com</t>
  </si>
  <si>
    <t>Riverbend Automation Solutions</t>
  </si>
  <si>
    <t>LEAD0698</t>
  </si>
  <si>
    <t>grace.roberts@riverbenddistribution.com</t>
  </si>
  <si>
    <t>Riverbend Distribution Co.</t>
  </si>
  <si>
    <t>LEAD0699</t>
  </si>
  <si>
    <t>taylor.ward@vertexresources.com</t>
  </si>
  <si>
    <t>Vertex Resources Solutions</t>
  </si>
  <si>
    <t>LEAD0700</t>
  </si>
  <si>
    <t>dakota.howard@libertyresources.com</t>
  </si>
  <si>
    <t>Liberty Resources LLC</t>
  </si>
  <si>
    <t>LEAD0701</t>
  </si>
  <si>
    <t>ian.johnson@stonebridgeenterprises.com</t>
  </si>
  <si>
    <t>Stonebridge Enterprises Solutions</t>
  </si>
  <si>
    <t>LEAD0702</t>
  </si>
  <si>
    <t>alex.richardson@lakesideoperations.com</t>
  </si>
  <si>
    <t>Lakeside Operations Inc.</t>
  </si>
  <si>
    <t>LEAD0703</t>
  </si>
  <si>
    <t>alex.parker@harborenterprises.com</t>
  </si>
  <si>
    <t>Harbor Enterprises Systems</t>
  </si>
  <si>
    <t>LEAD0704</t>
  </si>
  <si>
    <t>zoe.peterson@oakridgeworks.com</t>
  </si>
  <si>
    <t>Oakridge Works Group</t>
  </si>
  <si>
    <t>LEAD0705</t>
  </si>
  <si>
    <t>alex.price@falconoperations.com</t>
  </si>
  <si>
    <t>Falcon Operations LLC</t>
  </si>
  <si>
    <t>LEAD0706</t>
  </si>
  <si>
    <t>ava.young@maple.com</t>
  </si>
  <si>
    <t>Maple Solutions Solutions</t>
  </si>
  <si>
    <t>LEAD0707</t>
  </si>
  <si>
    <t>jack.jackson@atlasenterprises.com</t>
  </si>
  <si>
    <t>Atlas Enterprises Solutions</t>
  </si>
  <si>
    <t>LEAD0708</t>
  </si>
  <si>
    <t>nora.price@atlaslabs.com</t>
  </si>
  <si>
    <t>Atlas Labs LLC</t>
  </si>
  <si>
    <t>LEAD0709</t>
  </si>
  <si>
    <t>lucas.anderson@northstarcommerce.com</t>
  </si>
  <si>
    <t>Northstar Commerce Partners</t>
  </si>
  <si>
    <t>LEAD0710</t>
  </si>
  <si>
    <t>ruby.walker@harbornetworks.com</t>
  </si>
  <si>
    <t>Harbor Networks Solutions</t>
  </si>
  <si>
    <t>LEAD0711</t>
  </si>
  <si>
    <t>sydney.murphy@goldcrestautomation.com</t>
  </si>
  <si>
    <t>Goldcrest Automation Systems</t>
  </si>
  <si>
    <t>LEAD0712</t>
  </si>
  <si>
    <t>evan.martin@goldcrestdynamics.com</t>
  </si>
  <si>
    <t>Goldcrest Dynamics LLC</t>
  </si>
  <si>
    <t>LEAD0713</t>
  </si>
  <si>
    <t>grant.nguyen@monarch.com</t>
  </si>
  <si>
    <t>Monarch Systems Co.</t>
  </si>
  <si>
    <t>LEAD0714</t>
  </si>
  <si>
    <t>skyler.roberts@ironwoodservices.com</t>
  </si>
  <si>
    <t>Ironwood Services Group</t>
  </si>
  <si>
    <t>LEAD0715</t>
  </si>
  <si>
    <t>owen.garcia@maplenetworks.com</t>
  </si>
  <si>
    <t>Maple Networks Systems</t>
  </si>
  <si>
    <t>LEAD0716</t>
  </si>
  <si>
    <t>ian.shah@newbridge.com</t>
  </si>
  <si>
    <t>Newbridge Partners Inc.</t>
  </si>
  <si>
    <t>LEAD0717</t>
  </si>
  <si>
    <t>jamie.jenkins@eastgatelogistics.com</t>
  </si>
  <si>
    <t>Eastgate Logistics Partners</t>
  </si>
  <si>
    <t>LEAD0718</t>
  </si>
  <si>
    <t>emma.lewis@monarchautomation.com</t>
  </si>
  <si>
    <t>Monarch Automation Systems</t>
  </si>
  <si>
    <t>LEAD0719</t>
  </si>
  <si>
    <t>morgan.mitchell@windward.com</t>
  </si>
  <si>
    <t>Windward Solutions LLC</t>
  </si>
  <si>
    <t>LEAD0720</t>
  </si>
  <si>
    <t>nora.jackson@keystonemanufacturing.com</t>
  </si>
  <si>
    <t>Keystone Manufacturing Group</t>
  </si>
  <si>
    <t>LEAD0721</t>
  </si>
  <si>
    <t>avery.ortiz@evergreenresources.com</t>
  </si>
  <si>
    <t>Evergreen Resources Inc.</t>
  </si>
  <si>
    <t>LEAD0722</t>
  </si>
  <si>
    <t>drew.martin@atlaslabs.com</t>
  </si>
  <si>
    <t>Atlas Labs Inc.</t>
  </si>
  <si>
    <t>LEAD0723</t>
  </si>
  <si>
    <t>morgan.cooper@crescent.com</t>
  </si>
  <si>
    <t>Crescent Partners Co.</t>
  </si>
  <si>
    <t>LEAD0724</t>
  </si>
  <si>
    <t>mason.anderson@stonebridgemanufacturing.com</t>
  </si>
  <si>
    <t>Stonebridge Manufacturing Partners</t>
  </si>
  <si>
    <t>LEAD0725</t>
  </si>
  <si>
    <t>Windward Networks Systems</t>
  </si>
  <si>
    <t>LEAD0726</t>
  </si>
  <si>
    <t>liam.wilson@beaconsupply.com</t>
  </si>
  <si>
    <t>Beacon Supply LLC</t>
  </si>
  <si>
    <t>LEAD0727</t>
  </si>
  <si>
    <t>riley.price@windward.com</t>
  </si>
  <si>
    <t>Windward Partners Partners</t>
  </si>
  <si>
    <t>LEAD0728</t>
  </si>
  <si>
    <t>natalie.patel@cedarstone.com</t>
  </si>
  <si>
    <t>Cedarstone Solutions Inc.</t>
  </si>
  <si>
    <t>LEAD0729</t>
  </si>
  <si>
    <t>blake.ross@highland.com</t>
  </si>
  <si>
    <t>Highland Systems Inc.</t>
  </si>
  <si>
    <t>LEAD0730</t>
  </si>
  <si>
    <t>grace.foster@solstice.com</t>
  </si>
  <si>
    <t>Solstice Systems Systems</t>
  </si>
  <si>
    <t>LEAD0731</t>
  </si>
  <si>
    <t>grace.williams@maple.com</t>
  </si>
  <si>
    <t>Maple Systems Systems</t>
  </si>
  <si>
    <t>LEAD0732</t>
  </si>
  <si>
    <t>blake.peterson@pioneerindustries.com</t>
  </si>
  <si>
    <t>Pioneer Industries LLC</t>
  </si>
  <si>
    <t>LEAD0733</t>
  </si>
  <si>
    <t>lily.taylor@horizonholdings.com</t>
  </si>
  <si>
    <t>Horizon Holdings Solutions</t>
  </si>
  <si>
    <t>LEAD0734</t>
  </si>
  <si>
    <t>henry.edwards@stonebridgedistribution.com</t>
  </si>
  <si>
    <t>Stonebridge Distribution Solutions</t>
  </si>
  <si>
    <t>LEAD0735</t>
  </si>
  <si>
    <t>liam.peterson@windward.com</t>
  </si>
  <si>
    <t>Windward Systems LLC</t>
  </si>
  <si>
    <t>LEAD0736</t>
  </si>
  <si>
    <t>henry.perry@pioneerindustries.com</t>
  </si>
  <si>
    <t>Pioneer Industries Group</t>
  </si>
  <si>
    <t>LEAD0737</t>
  </si>
  <si>
    <t>ava.foster@evergreentechnology.com</t>
  </si>
  <si>
    <t>Evergreen Technology Systems</t>
  </si>
  <si>
    <t>LEAD0738</t>
  </si>
  <si>
    <t>evan.evans@beaconautomation.com</t>
  </si>
  <si>
    <t>Beacon Automation Solutions</t>
  </si>
  <si>
    <t>LEAD0739</t>
  </si>
  <si>
    <t>jordan.bennett@solsticelogistics.com</t>
  </si>
  <si>
    <t>Solstice Logistics Group</t>
  </si>
  <si>
    <t>LEAD0740</t>
  </si>
  <si>
    <t>mason.campbell@falcondynamics.com</t>
  </si>
  <si>
    <t>Falcon Dynamics Group</t>
  </si>
  <si>
    <t>LEAD0741</t>
  </si>
  <si>
    <t>casey.roberts@eastgateindustries.com</t>
  </si>
  <si>
    <t>Eastgate Industries LLC</t>
  </si>
  <si>
    <t>LEAD0742</t>
  </si>
  <si>
    <t>drew.wright@lakesideoperations.com</t>
  </si>
  <si>
    <t>Lakeside Operations Solutions</t>
  </si>
  <si>
    <t>LEAD0743</t>
  </si>
  <si>
    <t>skyler.wilson@stonebridgedistribution.com</t>
  </si>
  <si>
    <t>Stonebridge Distribution Systems</t>
  </si>
  <si>
    <t>LEAD0744</t>
  </si>
  <si>
    <t>grant.taylor@ironwoodanalytics.com</t>
  </si>
  <si>
    <t>Ironwood Analytics LLC</t>
  </si>
  <si>
    <t>LEAD0745</t>
  </si>
  <si>
    <t>jamie.ross@redwood.com</t>
  </si>
  <si>
    <t>Redwood Systems Systems</t>
  </si>
  <si>
    <t>LEAD0746</t>
  </si>
  <si>
    <t>henry.peterson@crescentservices.com</t>
  </si>
  <si>
    <t>Crescent Services Group</t>
  </si>
  <si>
    <t>LEAD0747</t>
  </si>
  <si>
    <t>blake.diaz@beaconenterprises.com</t>
  </si>
  <si>
    <t>Beacon Enterprises LLC</t>
  </si>
  <si>
    <t>LEAD0748</t>
  </si>
  <si>
    <t>ava.foster@bluepeakholdings.com</t>
  </si>
  <si>
    <t>BluePeak Holdings Co.</t>
  </si>
  <si>
    <t>LEAD0749</t>
  </si>
  <si>
    <t>drew.smith@redwoodtechnology.com</t>
  </si>
  <si>
    <t>Redwood Technology Group</t>
  </si>
  <si>
    <t>LEAD0750</t>
  </si>
  <si>
    <t>chloe.turner@solsticeanalytics.com</t>
  </si>
  <si>
    <t>Solstice Analytics Systems</t>
  </si>
  <si>
    <t>LEAD0751</t>
  </si>
  <si>
    <t>liam.green@parksidenetworks.com</t>
  </si>
  <si>
    <t>Parkside Networks Systems</t>
  </si>
  <si>
    <t>LEAD0752</t>
  </si>
  <si>
    <t>ava.ortiz@libertytechnology.com</t>
  </si>
  <si>
    <t>Liberty Technology Co.</t>
  </si>
  <si>
    <t>LEAD0753</t>
  </si>
  <si>
    <t>grace.smith@westbrookautomation.com</t>
  </si>
  <si>
    <t>Westbrook Automation LLC</t>
  </si>
  <si>
    <t>LEAD0754</t>
  </si>
  <si>
    <t>emerson.peterson@goldcrestlabs.com</t>
  </si>
  <si>
    <t>Goldcrest Labs Solutions</t>
  </si>
  <si>
    <t>LEAD0755</t>
  </si>
  <si>
    <t>natalie.mitchell@newbridge.com</t>
  </si>
  <si>
    <t>Newbridge Solutions LLC</t>
  </si>
  <si>
    <t>LEAD0756</t>
  </si>
  <si>
    <t>alex.kelly@crescentdistribution.com</t>
  </si>
  <si>
    <t>Crescent Distribution Group</t>
  </si>
  <si>
    <t>LEAD0757</t>
  </si>
  <si>
    <t>lily.edwards@clearpathoperations.com</t>
  </si>
  <si>
    <t>ClearPath Operations Inc.</t>
  </si>
  <si>
    <t>LEAD0758</t>
  </si>
  <si>
    <t>henry.richardson@lakesideautomation.com</t>
  </si>
  <si>
    <t>Lakeside Automation Co.</t>
  </si>
  <si>
    <t>LEAD0759</t>
  </si>
  <si>
    <t>casey.mitchell@rivertonlogistics.com</t>
  </si>
  <si>
    <t>Riverton Logistics Solutions</t>
  </si>
  <si>
    <t>LEAD0760</t>
  </si>
  <si>
    <t>skyler.thomas@redwoodlabs.com</t>
  </si>
  <si>
    <t>Redwood Labs Co.</t>
  </si>
  <si>
    <t>LEAD0761</t>
  </si>
  <si>
    <t>logan.wright@silverlinetechnology.com</t>
  </si>
  <si>
    <t>Silverline Technology Solutions</t>
  </si>
  <si>
    <t>LEAD0762</t>
  </si>
  <si>
    <t>leo.peterson@silverlinenetworks.com</t>
  </si>
  <si>
    <t>Silverline Networks Systems</t>
  </si>
  <si>
    <t>LEAD0763</t>
  </si>
  <si>
    <t>morgan.hayes@liberty.com</t>
  </si>
  <si>
    <t>Liberty Group Co.</t>
  </si>
  <si>
    <t>LEAD0764</t>
  </si>
  <si>
    <t>avery.ross@copperdistribution.com</t>
  </si>
  <si>
    <t>Copper Distribution Solutions</t>
  </si>
  <si>
    <t>LEAD0765</t>
  </si>
  <si>
    <t>morgan.edwards@riverbendservices.com</t>
  </si>
  <si>
    <t>Riverbend Services Systems</t>
  </si>
  <si>
    <t>LEAD0766</t>
  </si>
  <si>
    <t>henry.mitchell@silverline.com</t>
  </si>
  <si>
    <t>Silverline Group LLC</t>
  </si>
  <si>
    <t>LEAD0767</t>
  </si>
  <si>
    <t>casey.hughes@crescentholdings.com</t>
  </si>
  <si>
    <t>Crescent Holdings Partners</t>
  </si>
  <si>
    <t>LEAD0768</t>
  </si>
  <si>
    <t>grace.diaz@granitecommerce.com</t>
  </si>
  <si>
    <t>Granite Commerce Co.</t>
  </si>
  <si>
    <t>LEAD0769</t>
  </si>
  <si>
    <t>zoe.nelson@cedarstone.com</t>
  </si>
  <si>
    <t>Cedarstone Solutions Systems</t>
  </si>
  <si>
    <t>LEAD0770</t>
  </si>
  <si>
    <t>jack.turner@monarchdistribution.com</t>
  </si>
  <si>
    <t>Monarch Distribution Co.</t>
  </si>
  <si>
    <t>LEAD0771</t>
  </si>
  <si>
    <t>alex.johnson@beacontechnology.com</t>
  </si>
  <si>
    <t>Beacon Technology Partners</t>
  </si>
  <si>
    <t>LEAD0772</t>
  </si>
  <si>
    <t>emma.taylor@granite.com</t>
  </si>
  <si>
    <t>Granite Solutions Solutions</t>
  </si>
  <si>
    <t>LEAD0773</t>
  </si>
  <si>
    <t>miles.wilson@apex.com</t>
  </si>
  <si>
    <t>Apex Systems Partners</t>
  </si>
  <si>
    <t>LEAD0774</t>
  </si>
  <si>
    <t>zoe.carter@beaconindustries.com</t>
  </si>
  <si>
    <t>Beacon Industries Co.</t>
  </si>
  <si>
    <t>LEAD0775</t>
  </si>
  <si>
    <t>zoe.brooks@evergreenanalytics.com</t>
  </si>
  <si>
    <t>Evergreen Analytics Systems</t>
  </si>
  <si>
    <t>LEAD0776</t>
  </si>
  <si>
    <t>sophia.taylor@lakesideanalytics.com</t>
  </si>
  <si>
    <t>Lakeside Analytics Inc.</t>
  </si>
  <si>
    <t>LEAD0777</t>
  </si>
  <si>
    <t>jamie.rivera@maplenetworks.com</t>
  </si>
  <si>
    <t>Maple Networks Solutions</t>
  </si>
  <si>
    <t>LEAD0778</t>
  </si>
  <si>
    <t>grant.scott@bridgepointnetworks.com</t>
  </si>
  <si>
    <t>Bridgepoint Networks Partners</t>
  </si>
  <si>
    <t>LEAD0779</t>
  </si>
  <si>
    <t>cameron.ramirez@evergreenhealth.com</t>
  </si>
  <si>
    <t>Evergreen Health Solutions</t>
  </si>
  <si>
    <t>LEAD0780</t>
  </si>
  <si>
    <t>avery.patel@northstar.com</t>
  </si>
  <si>
    <t>Northstar Group Group</t>
  </si>
  <si>
    <t>LEAD0781</t>
  </si>
  <si>
    <t>jack.campbell@eastgateholdings.com</t>
  </si>
  <si>
    <t>Eastgate Holdings Systems</t>
  </si>
  <si>
    <t>LEAD0782</t>
  </si>
  <si>
    <t>liam.mitchell@riverbendoperations.com</t>
  </si>
  <si>
    <t>Riverbend Operations Systems</t>
  </si>
  <si>
    <t>LEAD0783</t>
  </si>
  <si>
    <t>grace.johnson@bluepeakhealth.com</t>
  </si>
  <si>
    <t>BluePeak Health Partners</t>
  </si>
  <si>
    <t>LEAD0784</t>
  </si>
  <si>
    <t>caleb.scott@crescentanalytics.com</t>
  </si>
  <si>
    <t>Crescent Analytics Inc.</t>
  </si>
  <si>
    <t>LEAD0785</t>
  </si>
  <si>
    <t>casey.rivera@windwardsupply.com</t>
  </si>
  <si>
    <t>Windward Supply Partners</t>
  </si>
  <si>
    <t>LEAD0786</t>
  </si>
  <si>
    <t>grace.collins@oakridgeenterprises.com</t>
  </si>
  <si>
    <t>Oakridge Enterprises Systems</t>
  </si>
  <si>
    <t>LEAD0787</t>
  </si>
  <si>
    <t>cole.collins@ironwood.com</t>
  </si>
  <si>
    <t>Ironwood Partners Co.</t>
  </si>
  <si>
    <t>LEAD0788</t>
  </si>
  <si>
    <t>dakota.murphy@redwoodanalytics.com</t>
  </si>
  <si>
    <t>Redwood Analytics Solutions</t>
  </si>
  <si>
    <t>LEAD0789</t>
  </si>
  <si>
    <t>blake.thomas@bluepeakenterprises.com</t>
  </si>
  <si>
    <t>BluePeak Enterprises LLC</t>
  </si>
  <si>
    <t>LEAD0790</t>
  </si>
  <si>
    <t>quinn.rivera@newbridgeresources.com</t>
  </si>
  <si>
    <t>Newbridge Resources Solutions</t>
  </si>
  <si>
    <t>LEAD0791</t>
  </si>
  <si>
    <t>casey.walker@parkside.com</t>
  </si>
  <si>
    <t>Parkside Partners Inc.</t>
  </si>
  <si>
    <t>LEAD0792</t>
  </si>
  <si>
    <t>jordan.ross@windwarddistribution.com</t>
  </si>
  <si>
    <t>Windward Distribution Solutions</t>
  </si>
  <si>
    <t>LEAD0793</t>
  </si>
  <si>
    <t>leah.shah@falcon.com</t>
  </si>
  <si>
    <t>Falcon Systems LLC</t>
  </si>
  <si>
    <t>LEAD0794</t>
  </si>
  <si>
    <t>emma.carter@greenfieldanalytics.com</t>
  </si>
  <si>
    <t>Greenfield Analytics LLC</t>
  </si>
  <si>
    <t>LEAD0795</t>
  </si>
  <si>
    <t>evan.kelly@cobaltresources.com</t>
  </si>
  <si>
    <t>Cobalt Resources Solutions</t>
  </si>
  <si>
    <t>LEAD0796</t>
  </si>
  <si>
    <t>sydney.walker@harbordynamics.com</t>
  </si>
  <si>
    <t>Harbor Dynamics Group</t>
  </si>
  <si>
    <t>LEAD0797</t>
  </si>
  <si>
    <t>casey.hayes@northstarsupply.com</t>
  </si>
  <si>
    <t>Northstar Supply Systems</t>
  </si>
  <si>
    <t>LEAD0798</t>
  </si>
  <si>
    <t>parker.jackson@redwoodindustries.com</t>
  </si>
  <si>
    <t>Redwood Industries Partners</t>
  </si>
  <si>
    <t>LEAD0799</t>
  </si>
  <si>
    <t>evan.scott@evergreensupply.com</t>
  </si>
  <si>
    <t>Evergreen Supply Co.</t>
  </si>
  <si>
    <t>LEAD0800</t>
  </si>
  <si>
    <t>liam.edwards@newbridgeholdings.com</t>
  </si>
  <si>
    <t>Newbridge Holdings LLC</t>
  </si>
  <si>
    <t>LEAD0801</t>
  </si>
  <si>
    <t>ruby.ross@newbridgetechnology.com</t>
  </si>
  <si>
    <t>Newbridge Technology Systems</t>
  </si>
  <si>
    <t>LEAD0802</t>
  </si>
  <si>
    <t>natalie.howard@silverlinenetworks.com</t>
  </si>
  <si>
    <t>Silverline Networks LLC</t>
  </si>
  <si>
    <t>LEAD0803</t>
  </si>
  <si>
    <t>miles.reed@monarchmanufacturing.com</t>
  </si>
  <si>
    <t>Monarch Manufacturing Co.</t>
  </si>
  <si>
    <t>LEAD0804</t>
  </si>
  <si>
    <t>liam.walker@sterlingdistribution.com</t>
  </si>
  <si>
    <t>Sterling Distribution Inc.</t>
  </si>
  <si>
    <t>LEAD0805</t>
  </si>
  <si>
    <t>maya.williams@cobaltlabs.com</t>
  </si>
  <si>
    <t>Cobalt Labs LLC</t>
  </si>
  <si>
    <t>LEAD0806</t>
  </si>
  <si>
    <t>blake.young@eastgateworks.com</t>
  </si>
  <si>
    <t>Eastgate Works Group</t>
  </si>
  <si>
    <t>LEAD0807</t>
  </si>
  <si>
    <t>lucas.cooper@stonebridgetechnology.com</t>
  </si>
  <si>
    <t>Stonebridge Technology Partners</t>
  </si>
  <si>
    <t>LEAD0808</t>
  </si>
  <si>
    <t>ruby.campbell@stonebridgeworks.com</t>
  </si>
  <si>
    <t>Stonebridge Works Group</t>
  </si>
  <si>
    <t>LEAD0809</t>
  </si>
  <si>
    <t>leah.martin@sterling.com</t>
  </si>
  <si>
    <t>Sterling Solutions Partners</t>
  </si>
  <si>
    <t>LEAD0810</t>
  </si>
  <si>
    <t>lily.evans@ironwoodconsulting.com</t>
  </si>
  <si>
    <t>Ironwood Consulting Systems</t>
  </si>
  <si>
    <t>LEAD0811</t>
  </si>
  <si>
    <t>grant.turner@sterlingconsulting.com</t>
  </si>
  <si>
    <t>Sterling Consulting LLC</t>
  </si>
  <si>
    <t>LEAD0812</t>
  </si>
  <si>
    <t>liam.evans@riverbenddistribution.com</t>
  </si>
  <si>
    <t>Riverbend Distribution LLC</t>
  </si>
  <si>
    <t>LEAD0813</t>
  </si>
  <si>
    <t>casey.morgan@vertexholdings.com</t>
  </si>
  <si>
    <t>Vertex Holdings Group</t>
  </si>
  <si>
    <t>LEAD0814</t>
  </si>
  <si>
    <t>avery.scott@harborhealth.com</t>
  </si>
  <si>
    <t>Harbor Health Co.</t>
  </si>
  <si>
    <t>LEAD0815</t>
  </si>
  <si>
    <t>grace.walker@stonebridgeservices.com</t>
  </si>
  <si>
    <t>Stonebridge Services Systems</t>
  </si>
  <si>
    <t>LEAD0816</t>
  </si>
  <si>
    <t>riley.price@silverlineworks.com</t>
  </si>
  <si>
    <t>Silverline Works Inc.</t>
  </si>
  <si>
    <t>LEAD0817</t>
  </si>
  <si>
    <t>olivia.ortiz@summitdistribution.com</t>
  </si>
  <si>
    <t>Summit Distribution Inc.</t>
  </si>
  <si>
    <t>LEAD0818</t>
  </si>
  <si>
    <t>ethan.mitchell@riverbendworks.com</t>
  </si>
  <si>
    <t>Riverbend Works Systems</t>
  </si>
  <si>
    <t>LEAD0819</t>
  </si>
  <si>
    <t>natalie.wilson@cobalt.com</t>
  </si>
  <si>
    <t>Cobalt Systems Partners</t>
  </si>
  <si>
    <t>LEAD0820</t>
  </si>
  <si>
    <t>parker.parker@evergreendynamics.com</t>
  </si>
  <si>
    <t>Evergreen Dynamics Partners</t>
  </si>
  <si>
    <t>LEAD0821</t>
  </si>
  <si>
    <t>grant.green@graniteservices.com</t>
  </si>
  <si>
    <t>Granite Services Group</t>
  </si>
  <si>
    <t>LEAD0822</t>
  </si>
  <si>
    <t>parker.martin@sterlingtechnology.com</t>
  </si>
  <si>
    <t>Sterling Technology Co.</t>
  </si>
  <si>
    <t>LEAD0823</t>
  </si>
  <si>
    <t>blake.lee@oakridgenetworks.com</t>
  </si>
  <si>
    <t>Oakridge Networks Group</t>
  </si>
  <si>
    <t>LEAD0824</t>
  </si>
  <si>
    <t>morgan.garcia@vertexmanufacturing.com</t>
  </si>
  <si>
    <t>Vertex Manufacturing Partners</t>
  </si>
  <si>
    <t>LEAD0825</t>
  </si>
  <si>
    <t>reese.hall@copperservices.com</t>
  </si>
  <si>
    <t>Copper Services Inc.</t>
  </si>
  <si>
    <t>LEAD0826</t>
  </si>
  <si>
    <t>chloe.carter@riverbendcommerce.com</t>
  </si>
  <si>
    <t>Riverbend Commerce Group</t>
  </si>
  <si>
    <t>Webinar</t>
  </si>
  <si>
    <t>LEAD0827</t>
  </si>
  <si>
    <t>mia.murphy@sterlinglogistics.com</t>
  </si>
  <si>
    <t>Sterling Logistics Solutions</t>
  </si>
  <si>
    <t>LEAD0828</t>
  </si>
  <si>
    <t>casey.taylor@silverlinehealth.com</t>
  </si>
  <si>
    <t>Silverline Health Inc.</t>
  </si>
  <si>
    <t>LEAD0829</t>
  </si>
  <si>
    <t>jamie.thomas@ironwoodresources.com</t>
  </si>
  <si>
    <t>Ironwood Resources Partners</t>
  </si>
  <si>
    <t>LEAD0830</t>
  </si>
  <si>
    <t>dakota.garcia@granitenetworks.com</t>
  </si>
  <si>
    <t>Redwood Enterprises Group</t>
  </si>
  <si>
    <t>LEAD0831</t>
  </si>
  <si>
    <t>alex.roberts@stonebridgeautomation.com</t>
  </si>
  <si>
    <t>Stonebridge Automation Solutions</t>
  </si>
  <si>
    <t>LEAD0832</t>
  </si>
  <si>
    <t>chloe.reed@cedarstone.com</t>
  </si>
  <si>
    <t>Cedarstone Partners Co.</t>
  </si>
  <si>
    <t>LEAD0833</t>
  </si>
  <si>
    <t>miles.kim@newbridgedistribution.com</t>
  </si>
  <si>
    <t>Newbridge Distribution Group</t>
  </si>
  <si>
    <t>LEAD0834</t>
  </si>
  <si>
    <t>henry.diaz@greenfieldoperations.com</t>
  </si>
  <si>
    <t>Greenfield Operations Co.</t>
  </si>
  <si>
    <t>LEAD0835</t>
  </si>
  <si>
    <t>jack.shah@northstarholdings.com</t>
  </si>
  <si>
    <t>Northstar Holdings Co.</t>
  </si>
  <si>
    <t>LEAD0836</t>
  </si>
  <si>
    <t>liam.parker@rivertonworks.com</t>
  </si>
  <si>
    <t>Riverton Works Co.</t>
  </si>
  <si>
    <t>LEAD0837</t>
  </si>
  <si>
    <t>henry.miller@silverlinelogistics.com</t>
  </si>
  <si>
    <t>Silverline Logistics Partners</t>
  </si>
  <si>
    <t>LEAD0838</t>
  </si>
  <si>
    <t>morgan.murphy@stonebridge.com</t>
  </si>
  <si>
    <t>Stonebridge Group Solutions</t>
  </si>
  <si>
    <t>LEAD0839</t>
  </si>
  <si>
    <t>ella.johnson@apex.com</t>
  </si>
  <si>
    <t>Apex Solutions Partners</t>
  </si>
  <si>
    <t>LEAD0840</t>
  </si>
  <si>
    <t>lily.ward@summit.com</t>
  </si>
  <si>
    <t>Summit Solutions Group</t>
  </si>
  <si>
    <t>LEAD0841</t>
  </si>
  <si>
    <t>hayden.hall@highlandanalytics.com</t>
  </si>
  <si>
    <t>Highland Analytics Co.</t>
  </si>
  <si>
    <t>LEAD0842</t>
  </si>
  <si>
    <t>ella.ward@bridgepoint.com</t>
  </si>
  <si>
    <t>Bridgepoint Partners Group</t>
  </si>
  <si>
    <t>LEAD0843</t>
  </si>
  <si>
    <t>reese.williams@copperworks.com</t>
  </si>
  <si>
    <t>Copper Works Co.</t>
  </si>
  <si>
    <t>LEAD0844</t>
  </si>
  <si>
    <t>blake.collins@libertydistribution.com</t>
  </si>
  <si>
    <t>Liberty Distribution Systems</t>
  </si>
  <si>
    <t>LEAD0845</t>
  </si>
  <si>
    <t>liam.price@cobaltholdings.com</t>
  </si>
  <si>
    <t>Cobalt Holdings Co.</t>
  </si>
  <si>
    <t>LEAD0846</t>
  </si>
  <si>
    <t>quinn.kelly@cedarstoneconsulting.com</t>
  </si>
  <si>
    <t>Cedarstone Consulting LLC</t>
  </si>
  <si>
    <t>LEAD0847</t>
  </si>
  <si>
    <t>taylor.brooks@northstarmanufacturing.com</t>
  </si>
  <si>
    <t>Northstar Manufacturing Partners</t>
  </si>
  <si>
    <t>LEAD0848</t>
  </si>
  <si>
    <t>cole.johnson@goldcrestcommerce.com</t>
  </si>
  <si>
    <t>Goldcrest Commerce Inc.</t>
  </si>
  <si>
    <t>LEAD0849</t>
  </si>
  <si>
    <t>mia.wilson@liberty.com</t>
  </si>
  <si>
    <t>Liberty Partners Partners</t>
  </si>
  <si>
    <t>LEAD0850</t>
  </si>
  <si>
    <t>logan.sanchez@atlas.com</t>
  </si>
  <si>
    <t>Atlas Partners Partners</t>
  </si>
  <si>
    <t>LEAD0851</t>
  </si>
  <si>
    <t>jordan.foster@evergreendistribution.com</t>
  </si>
  <si>
    <t>Evergreen Distribution Co.</t>
  </si>
  <si>
    <t>LEAD0852</t>
  </si>
  <si>
    <t>reese.lewis@silverlineholdings.com</t>
  </si>
  <si>
    <t>Silverline Holdings Systems</t>
  </si>
  <si>
    <t>LEAD0853</t>
  </si>
  <si>
    <t>casey.shah@bridgepointmanufacturing.com</t>
  </si>
  <si>
    <t>Bridgepoint Manufacturing Partners</t>
  </si>
  <si>
    <t>LEAD0854</t>
  </si>
  <si>
    <t>grant.lee@solstice.com</t>
  </si>
  <si>
    <t>Solstice Solutions Co.</t>
  </si>
  <si>
    <t>LEAD0855</t>
  </si>
  <si>
    <t>sydney.wright@rivertonresources.com</t>
  </si>
  <si>
    <t>Riverton Resources Solutions</t>
  </si>
  <si>
    <t>LEAD0856</t>
  </si>
  <si>
    <t>logan.thomas@maple.com</t>
  </si>
  <si>
    <t>Maple Solutions Co.</t>
  </si>
  <si>
    <t>LEAD0857</t>
  </si>
  <si>
    <t>hayden.diaz@westbrookdynamics.com</t>
  </si>
  <si>
    <t>Westbrook Dynamics Systems</t>
  </si>
  <si>
    <t>LEAD0858</t>
  </si>
  <si>
    <t>alex.hughes@solstice.com</t>
  </si>
  <si>
    <t>Solstice Partners Group</t>
  </si>
  <si>
    <t>LEAD0859</t>
  </si>
  <si>
    <t>sydney.perry@goldcrestanalytics.com</t>
  </si>
  <si>
    <t>Goldcrest Analytics LLC</t>
  </si>
  <si>
    <t>LEAD0860</t>
  </si>
  <si>
    <t>emerson.taylor@greenfieldconsulting.com</t>
  </si>
  <si>
    <t>Greenfield Consulting Co.</t>
  </si>
  <si>
    <t>LEAD0861</t>
  </si>
  <si>
    <t>emerson.nguyen@clearpathresources.com</t>
  </si>
  <si>
    <t>ClearPath Resources Inc.</t>
  </si>
  <si>
    <t>LEAD0862</t>
  </si>
  <si>
    <t>hayden.turner@sterlingservices.com</t>
  </si>
  <si>
    <t>Sterling Services Co.</t>
  </si>
  <si>
    <t>LEAD0863</t>
  </si>
  <si>
    <t>lily.smith@westbrookhealth.com</t>
  </si>
  <si>
    <t>Westbrook Health Partners</t>
  </si>
  <si>
    <t>LEAD0864</t>
  </si>
  <si>
    <t>noah.johnson@westbrookconsulting.com</t>
  </si>
  <si>
    <t>Westbrook Consulting Group</t>
  </si>
  <si>
    <t>LEAD0865</t>
  </si>
  <si>
    <t>avery.howard@falconmanufacturing.com</t>
  </si>
  <si>
    <t>Falcon Manufacturing Inc.</t>
  </si>
  <si>
    <t>LEAD0866</t>
  </si>
  <si>
    <t>alex.brooks@falconlabs.com</t>
  </si>
  <si>
    <t>Falcon Labs Systems</t>
  </si>
  <si>
    <t>LEAD0867</t>
  </si>
  <si>
    <t>jordan.richardson@pioneeroperations.com</t>
  </si>
  <si>
    <t>Pioneer Operations Group</t>
  </si>
  <si>
    <t>LEAD0868</t>
  </si>
  <si>
    <t>nora.wilson@horizonlabs.com</t>
  </si>
  <si>
    <t>Horizon Labs Partners</t>
  </si>
  <si>
    <t>LEAD0869</t>
  </si>
  <si>
    <t>drew.hughes@crescent.com</t>
  </si>
  <si>
    <t>Crescent Partners Group</t>
  </si>
  <si>
    <t>LEAD0870</t>
  </si>
  <si>
    <t>leo.young@lakesideenterprises.com</t>
  </si>
  <si>
    <t>Lakeside Enterprises Group</t>
  </si>
  <si>
    <t>LEAD0871</t>
  </si>
  <si>
    <t>liam.morgan@newbridge.com</t>
  </si>
  <si>
    <t>Newbridge Partners Systems</t>
  </si>
  <si>
    <t>LEAD0872</t>
  </si>
  <si>
    <t>emerson.parker@cobaltlogistics.com</t>
  </si>
  <si>
    <t>Cobalt Logistics Partners</t>
  </si>
  <si>
    <t>LEAD0873</t>
  </si>
  <si>
    <t>mia.patel@granitelogistics.com</t>
  </si>
  <si>
    <t>Granite Logistics LLC</t>
  </si>
  <si>
    <t>LEAD0874</t>
  </si>
  <si>
    <t>henry.ortiz@liberty.com</t>
  </si>
  <si>
    <t>Liberty Partners Solutions</t>
  </si>
  <si>
    <t>LEAD0875</t>
  </si>
  <si>
    <t>logan.ramirez@cobaltholdings.com</t>
  </si>
  <si>
    <t>Cobalt Holdings Partners</t>
  </si>
  <si>
    <t>LEAD0876</t>
  </si>
  <si>
    <t>sophia.perry@newbridgelogistics.com</t>
  </si>
  <si>
    <t>Newbridge Logistics Solutions</t>
  </si>
  <si>
    <t>LEAD0877</t>
  </si>
  <si>
    <t>emerson.jenkins@pioneercommerce.com</t>
  </si>
  <si>
    <t>Pioneer Commerce Solutions</t>
  </si>
  <si>
    <t>LEAD0878</t>
  </si>
  <si>
    <t>nora.nelson@cedarstonenetworks.com</t>
  </si>
  <si>
    <t>Cedarstone Networks LLC</t>
  </si>
  <si>
    <t>LEAD0879</t>
  </si>
  <si>
    <t>owen.shah@highlanddistribution.com</t>
  </si>
  <si>
    <t>Highland Distribution Group</t>
  </si>
  <si>
    <t>LEAD0880</t>
  </si>
  <si>
    <t>sydney.parker@clearpath.com</t>
  </si>
  <si>
    <t>ClearPath Systems Group</t>
  </si>
  <si>
    <t>LEAD0881</t>
  </si>
  <si>
    <t>cameron.turner@rivertonmanufacturing.com</t>
  </si>
  <si>
    <t>Riverton Manufacturing Partners</t>
  </si>
  <si>
    <t>LEAD0882</t>
  </si>
  <si>
    <t>jamie.wilson@evergreendynamics.com</t>
  </si>
  <si>
    <t>Evergreen Dynamics Solutions</t>
  </si>
  <si>
    <t>LEAD0883</t>
  </si>
  <si>
    <t>jordan.evans@lakesidecommerce.com</t>
  </si>
  <si>
    <t>Lakeside Commerce Co.</t>
  </si>
  <si>
    <t>LEAD0884</t>
  </si>
  <si>
    <t>ella.richardson@stonebridgeenterprises.com</t>
  </si>
  <si>
    <t>Stonebridge Enterprises LLC</t>
  </si>
  <si>
    <t>LEAD0885</t>
  </si>
  <si>
    <t>reese.foster@eastgate.com</t>
  </si>
  <si>
    <t>Eastgate Group Inc.</t>
  </si>
  <si>
    <t>LEAD0886</t>
  </si>
  <si>
    <t>riley.edwards@solstice.com</t>
  </si>
  <si>
    <t>Solstice Group Solutions</t>
  </si>
  <si>
    <t>LEAD0887</t>
  </si>
  <si>
    <t>cole.hall@cobaltworks.com</t>
  </si>
  <si>
    <t>Cobalt Works Inc.</t>
  </si>
  <si>
    <t>LEAD0888</t>
  </si>
  <si>
    <t>emma.nguyen@atlasworks.com</t>
  </si>
  <si>
    <t>Atlas Works Co.</t>
  </si>
  <si>
    <t>LEAD0889</t>
  </si>
  <si>
    <t>chloe.edwards@harborautomation.com</t>
  </si>
  <si>
    <t>Harbor Automation Partners</t>
  </si>
  <si>
    <t>LEAD0890</t>
  </si>
  <si>
    <t>grant.wright@primeresources.com</t>
  </si>
  <si>
    <t>Prime Resources Systems</t>
  </si>
  <si>
    <t>LEAD0891</t>
  </si>
  <si>
    <t>ruby.carter@lakesidesupply.com</t>
  </si>
  <si>
    <t>Lakeside Supply Inc.</t>
  </si>
  <si>
    <t>LEAD0892</t>
  </si>
  <si>
    <t>logan.edwards@goldcrestlabs.com</t>
  </si>
  <si>
    <t>Goldcrest Labs Partners</t>
  </si>
  <si>
    <t>LEAD0893</t>
  </si>
  <si>
    <t>ian.nguyen@solsticenetworks.com</t>
  </si>
  <si>
    <t>Solstice Networks LLC</t>
  </si>
  <si>
    <t>LEAD0894</t>
  </si>
  <si>
    <t>morgan.bennett@riverbendanalytics.com</t>
  </si>
  <si>
    <t>Riverbend Analytics Solutions</t>
  </si>
  <si>
    <t>LEAD0895</t>
  </si>
  <si>
    <t>miles.wright@libertyworks.com</t>
  </si>
  <si>
    <t>Liberty Works Inc.</t>
  </si>
  <si>
    <t>LEAD0896</t>
  </si>
  <si>
    <t>zoe.foster@graniteholdings.com</t>
  </si>
  <si>
    <t>Granite Holdings Partners</t>
  </si>
  <si>
    <t>LEAD0897</t>
  </si>
  <si>
    <t>riley.martin@beaconresources.com</t>
  </si>
  <si>
    <t>Beacon Resources Systems</t>
  </si>
  <si>
    <t>LEAD0898</t>
  </si>
  <si>
    <t>cole.ward@crescentworks.com</t>
  </si>
  <si>
    <t>Crescent Works Inc.</t>
  </si>
  <si>
    <t>LEAD0899</t>
  </si>
  <si>
    <t>chloe.thomas@summit.com</t>
  </si>
  <si>
    <t>Summit Systems Group</t>
  </si>
  <si>
    <t>LEAD0900</t>
  </si>
  <si>
    <t>Cobalt Partners Solutions</t>
  </si>
  <si>
    <t>LEAD0901</t>
  </si>
  <si>
    <t>mia.white@coppercommerce.com</t>
  </si>
  <si>
    <t>Copper Commerce Group</t>
  </si>
  <si>
    <t>LEAD0902</t>
  </si>
  <si>
    <t>zoe.taylor@lakesidehealth.com</t>
  </si>
  <si>
    <t>Lakeside Health Solutions</t>
  </si>
  <si>
    <t>LEAD0903</t>
  </si>
  <si>
    <t>cameron.diaz@apex.com</t>
  </si>
  <si>
    <t>Apex Systems Co.</t>
  </si>
  <si>
    <t>LEAD0904</t>
  </si>
  <si>
    <t>natalie.wright@vertexworks.com</t>
  </si>
  <si>
    <t>Vertex Works Systems</t>
  </si>
  <si>
    <t>LEAD0905</t>
  </si>
  <si>
    <t>mia.hall@apexworks.com</t>
  </si>
  <si>
    <t>Apex Works Systems</t>
  </si>
  <si>
    <t>LEAD0906</t>
  </si>
  <si>
    <t>Prime Industries Systems</t>
  </si>
  <si>
    <t>LEAD0907</t>
  </si>
  <si>
    <t>logan.smith@horizonmanufacturing.com</t>
  </si>
  <si>
    <t>Horizon Manufacturing Partners</t>
  </si>
  <si>
    <t>LEAD0908</t>
  </si>
  <si>
    <t>alex.collins@solsticedistribution.com</t>
  </si>
  <si>
    <t>Solstice Distribution Group</t>
  </si>
  <si>
    <t>LEAD0909</t>
  </si>
  <si>
    <t>noah.garcia@riverbendhealth.com</t>
  </si>
  <si>
    <t>Riverbend Health Partners</t>
  </si>
  <si>
    <t>LEAD0910</t>
  </si>
  <si>
    <t>natalie.wood@cobalt.com</t>
  </si>
  <si>
    <t>Cobalt Group Co.</t>
  </si>
  <si>
    <t>LEAD0911</t>
  </si>
  <si>
    <t>jamie.young@goldcrestenterprises.com</t>
  </si>
  <si>
    <t>Goldcrest Enterprises LLC</t>
  </si>
  <si>
    <t>LEAD0912</t>
  </si>
  <si>
    <t>morgan.morgan@prime.com</t>
  </si>
  <si>
    <t>Prime Systems Systems</t>
  </si>
  <si>
    <t>LEAD0913</t>
  </si>
  <si>
    <t>zoe.anderson@solsticeautomation.com</t>
  </si>
  <si>
    <t>Solstice Automation Group</t>
  </si>
  <si>
    <t>LEAD0914</t>
  </si>
  <si>
    <t>noah.jackson@bluepeakhealth.com</t>
  </si>
  <si>
    <t>BluePeak Health Group</t>
  </si>
  <si>
    <t>LEAD0915</t>
  </si>
  <si>
    <t>avery.shah@atlasindustries.com</t>
  </si>
  <si>
    <t>Atlas Industries Inc.</t>
  </si>
  <si>
    <t>LEAD0916</t>
  </si>
  <si>
    <t>ella.roberts@pioneerworks.com</t>
  </si>
  <si>
    <t>Pioneer Works Inc.</t>
  </si>
  <si>
    <t>LEAD0917</t>
  </si>
  <si>
    <t>hayden.jenkins@oakridge.com</t>
  </si>
  <si>
    <t>Oakridge Systems Solutions</t>
  </si>
  <si>
    <t>LEAD0918</t>
  </si>
  <si>
    <t>emerson.young@goldcrestautomation.com</t>
  </si>
  <si>
    <t>Goldcrest Automation Group</t>
  </si>
  <si>
    <t>LEAD0919</t>
  </si>
  <si>
    <t>Parkside Logistics Systems</t>
  </si>
  <si>
    <t>LEAD0920</t>
  </si>
  <si>
    <t>quinn.parker@ironwoodsupply.com</t>
  </si>
  <si>
    <t>Ironwood Supply Co.</t>
  </si>
  <si>
    <t>LEAD0921</t>
  </si>
  <si>
    <t>leah.collins@rivertonresources.com</t>
  </si>
  <si>
    <t>Riverton Resources Inc.</t>
  </si>
  <si>
    <t>LEAD0922</t>
  </si>
  <si>
    <t>cole.anderson@mapleresources.com</t>
  </si>
  <si>
    <t>Maple Resources LLC</t>
  </si>
  <si>
    <t>LEAD0923</t>
  </si>
  <si>
    <t>ian.hall@liberty.com</t>
  </si>
  <si>
    <t>Liberty Systems Systems</t>
  </si>
  <si>
    <t>LEAD0924</t>
  </si>
  <si>
    <t>lucas.thomas@brightwelloperations.com</t>
  </si>
  <si>
    <t>Brightwell Operations LLC</t>
  </si>
  <si>
    <t>LEAD0925</t>
  </si>
  <si>
    <t>mia.cooper@oakridgeautomation.com</t>
  </si>
  <si>
    <t>Oakridge Automation Group</t>
  </si>
  <si>
    <t>LEAD0926</t>
  </si>
  <si>
    <t>maya.martin@falconservices.com</t>
  </si>
  <si>
    <t>Falcon Services LLC</t>
  </si>
  <si>
    <t>LEAD0927</t>
  </si>
  <si>
    <t>taylor.green@highlandholdings.com</t>
  </si>
  <si>
    <t>Highland Holdings Systems</t>
  </si>
  <si>
    <t>LEAD0928</t>
  </si>
  <si>
    <t>dakota.reed@falconanalytics.com</t>
  </si>
  <si>
    <t>Falcon Analytics Partners</t>
  </si>
  <si>
    <t>LEAD0929</t>
  </si>
  <si>
    <t>leo.walker@atlasenterprises.com</t>
  </si>
  <si>
    <t>Atlas Enterprises Systems</t>
  </si>
  <si>
    <t>LEAD0930</t>
  </si>
  <si>
    <t>nora.williams@cobalttechnology.com</t>
  </si>
  <si>
    <t>Cobalt Technology Solutions</t>
  </si>
  <si>
    <t>LEAD0931</t>
  </si>
  <si>
    <t>ruby.thomas@bridgepointdynamics.com</t>
  </si>
  <si>
    <t>Bridgepoint Dynamics Inc.</t>
  </si>
  <si>
    <t>LEAD0932</t>
  </si>
  <si>
    <t>liam.rivera@falconservices.com</t>
  </si>
  <si>
    <t>Falcon Services Inc.</t>
  </si>
  <si>
    <t>LEAD0933</t>
  </si>
  <si>
    <t>sophia.cooper@granite.com</t>
  </si>
  <si>
    <t>Granite Solutions Systems</t>
  </si>
  <si>
    <t>LEAD0934</t>
  </si>
  <si>
    <t>henry.turner@stonebridgeindustries.com</t>
  </si>
  <si>
    <t>Stonebridge Industries Solutions</t>
  </si>
  <si>
    <t>LEAD0935</t>
  </si>
  <si>
    <t>nora.price@bluepeak.com</t>
  </si>
  <si>
    <t>BluePeak Partners Partners</t>
  </si>
  <si>
    <t>LEAD0936</t>
  </si>
  <si>
    <t>lily.scott@rivertonconsulting.com</t>
  </si>
  <si>
    <t>Riverton Consulting LLC</t>
  </si>
  <si>
    <t>LEAD0937</t>
  </si>
  <si>
    <t>leo.foster@parksideindustries.com</t>
  </si>
  <si>
    <t>Parkside Industries LLC</t>
  </si>
  <si>
    <t>LEAD0938</t>
  </si>
  <si>
    <t>ava.wilson@harbor.com</t>
  </si>
  <si>
    <t>Harbor Systems LLC</t>
  </si>
  <si>
    <t>LEAD0939</t>
  </si>
  <si>
    <t>leo.mitchell@copperholdings.com</t>
  </si>
  <si>
    <t>Copper Holdings Inc.</t>
  </si>
  <si>
    <t>LEAD0940</t>
  </si>
  <si>
    <t>jack.ross@parksideindustries.com</t>
  </si>
  <si>
    <t>Parkside Industries Systems</t>
  </si>
  <si>
    <t>LEAD0941</t>
  </si>
  <si>
    <t>cole.williams@mapleholdings.com</t>
  </si>
  <si>
    <t>Maple Holdings Solutions</t>
  </si>
  <si>
    <t>LEAD0942</t>
  </si>
  <si>
    <t>taylor.anderson@lakesideconsulting.com</t>
  </si>
  <si>
    <t>Lakeside Consulting LLC</t>
  </si>
  <si>
    <t>LEAD0943</t>
  </si>
  <si>
    <t>sydney.martin@newbridgeenterprises.com</t>
  </si>
  <si>
    <t>Newbridge Enterprises Inc.</t>
  </si>
  <si>
    <t>LEAD0944</t>
  </si>
  <si>
    <t>emma.johnson@goldcresthealth.com</t>
  </si>
  <si>
    <t>Goldcrest Health Systems</t>
  </si>
  <si>
    <t>LEAD0945</t>
  </si>
  <si>
    <t>liam.peterson@mapleservices.com</t>
  </si>
  <si>
    <t>Maple Services LLC</t>
  </si>
  <si>
    <t>LEAD0946</t>
  </si>
  <si>
    <t>ella.hall@brightwellsupply.com</t>
  </si>
  <si>
    <t>Brightwell Supply Group</t>
  </si>
  <si>
    <t>LEAD0947</t>
  </si>
  <si>
    <t>miles.young@sterlinganalytics.com</t>
  </si>
  <si>
    <t>Sterling Analytics LLC</t>
  </si>
  <si>
    <t>LEAD0948</t>
  </si>
  <si>
    <t>leah.turner@oakridgeworks.com</t>
  </si>
  <si>
    <t>Oakridge Works Partners</t>
  </si>
  <si>
    <t>LEAD0949</t>
  </si>
  <si>
    <t>riley.collins@crescentservices.com</t>
  </si>
  <si>
    <t>Crescent Services Systems</t>
  </si>
  <si>
    <t>LEAD0950</t>
  </si>
  <si>
    <t>noah.ortiz@granitesupply.com</t>
  </si>
  <si>
    <t>Granite Supply Group</t>
  </si>
  <si>
    <t>LEAD0951</t>
  </si>
  <si>
    <t>ruby.thomas@solsticesupply.com</t>
  </si>
  <si>
    <t>Solstice Supply Inc.</t>
  </si>
  <si>
    <t>LEAD0952</t>
  </si>
  <si>
    <t>lily.ramirez@brightwellhealth.com</t>
  </si>
  <si>
    <t>Brightwell Health Inc.</t>
  </si>
  <si>
    <t>LEAD0953</t>
  </si>
  <si>
    <t>chloe.nguyen@crescentholdings.com</t>
  </si>
  <si>
    <t>Crescent Holdings Co.</t>
  </si>
  <si>
    <t>LEAD0954</t>
  </si>
  <si>
    <t>chloe.young@cedarstonetechnology.com</t>
  </si>
  <si>
    <t>Cedarstone Technology LLC</t>
  </si>
  <si>
    <t>LEAD0955</t>
  </si>
  <si>
    <t>natalie.nguyen@libertysupply.com</t>
  </si>
  <si>
    <t>Liberty Supply Partners</t>
  </si>
  <si>
    <t>LEAD0956</t>
  </si>
  <si>
    <t>taylor.white@liberty.com</t>
  </si>
  <si>
    <t>Liberty Systems Co.</t>
  </si>
  <si>
    <t>LEAD0957</t>
  </si>
  <si>
    <t>quinn.ward@rivertonresources.com</t>
  </si>
  <si>
    <t>Riverton Resources Co.</t>
  </si>
  <si>
    <t>LEAD0958</t>
  </si>
  <si>
    <t>Newbridge Labs Partners</t>
  </si>
  <si>
    <t>LEAD0959</t>
  </si>
  <si>
    <t>miles.howard@ironwoodenterprises.com</t>
  </si>
  <si>
    <t>Ironwood Enterprises Inc.</t>
  </si>
  <si>
    <t>LEAD0960</t>
  </si>
  <si>
    <t>leo.hayes@rivertonsupply.com</t>
  </si>
  <si>
    <t>Riverton Supply Group</t>
  </si>
  <si>
    <t>LEAD0961</t>
  </si>
  <si>
    <t>sydney.rivera@falconservices.com</t>
  </si>
  <si>
    <t>Falcon Services Group</t>
  </si>
  <si>
    <t>LEAD0962</t>
  </si>
  <si>
    <t>lily.jackson@riverbendservices.com</t>
  </si>
  <si>
    <t>Riverbend Services Co.</t>
  </si>
  <si>
    <t>LEAD0963</t>
  </si>
  <si>
    <t>taylor.nelson@lakeside.com</t>
  </si>
  <si>
    <t>Lakeside Systems Systems</t>
  </si>
  <si>
    <t>LEAD0964</t>
  </si>
  <si>
    <t>liam.white@newbridgeservices.com</t>
  </si>
  <si>
    <t>Newbridge Services LLC</t>
  </si>
  <si>
    <t>LEAD0965</t>
  </si>
  <si>
    <t>maya.ross@redwoodanalytics.com</t>
  </si>
  <si>
    <t>Redwood Analytics LLC</t>
  </si>
  <si>
    <t>LEAD0966</t>
  </si>
  <si>
    <t>sydney.lee@parkside.com</t>
  </si>
  <si>
    <t>Parkside Partners Systems</t>
  </si>
  <si>
    <t>LEAD0967</t>
  </si>
  <si>
    <t>caleb.morgan@monarch.com</t>
  </si>
  <si>
    <t>Monarch Solutions Group</t>
  </si>
  <si>
    <t>LEAD0968</t>
  </si>
  <si>
    <t>jordan.nguyen@summithealth.com</t>
  </si>
  <si>
    <t>Summit Health Solutions</t>
  </si>
  <si>
    <t>LEAD0969</t>
  </si>
  <si>
    <t>Evergreen Manufacturing LLC</t>
  </si>
  <si>
    <t>LEAD0970</t>
  </si>
  <si>
    <t>noah.shah@atlasnetworks.com</t>
  </si>
  <si>
    <t>Atlas Networks Co.</t>
  </si>
  <si>
    <t>LEAD0971</t>
  </si>
  <si>
    <t>mia.garcia@maplelabs.com</t>
  </si>
  <si>
    <t>Maple Labs Group</t>
  </si>
  <si>
    <t>LEAD0972</t>
  </si>
  <si>
    <t>emma.murphy@apexautomation.com</t>
  </si>
  <si>
    <t>Apex Automation LLC</t>
  </si>
  <si>
    <t>LEAD0973</t>
  </si>
  <si>
    <t>natalie.parker@rivertonworks.com</t>
  </si>
  <si>
    <t>Riverton Works Systems</t>
  </si>
  <si>
    <t>LEAD0974</t>
  </si>
  <si>
    <t>chloe.kelly@bluepeaklogistics.com</t>
  </si>
  <si>
    <t>BluePeak Logistics Co.</t>
  </si>
  <si>
    <t>LEAD0975</t>
  </si>
  <si>
    <t>jamie.patel@redwood.com</t>
  </si>
  <si>
    <t>Redwood Systems Inc.</t>
  </si>
  <si>
    <t>LEAD0976</t>
  </si>
  <si>
    <t>miles.ramirez@beaconconsulting.com</t>
  </si>
  <si>
    <t>Beacon Consulting Co.</t>
  </si>
  <si>
    <t>LEAD0977</t>
  </si>
  <si>
    <t>lucas.lee@parksidedynamics.com</t>
  </si>
  <si>
    <t>Parkside Dynamics Inc.</t>
  </si>
  <si>
    <t>LEAD0978</t>
  </si>
  <si>
    <t>cole.smith@keystoneindustries.com</t>
  </si>
  <si>
    <t>Keystone Industries Co.</t>
  </si>
  <si>
    <t>LEAD0979</t>
  </si>
  <si>
    <t>liam.johnson@apexholdings.com</t>
  </si>
  <si>
    <t>Apex Holdings Group</t>
  </si>
  <si>
    <t>LEAD0980</t>
  </si>
  <si>
    <t>emma.price@rivertonholdings.com</t>
  </si>
  <si>
    <t>Riverton Holdings Co.</t>
  </si>
  <si>
    <t>LEAD0981</t>
  </si>
  <si>
    <t>maya.kim@beaconmanufacturing.com</t>
  </si>
  <si>
    <t>Beacon Manufacturing Inc.</t>
  </si>
  <si>
    <t>LEAD0982</t>
  </si>
  <si>
    <t>quinn.nguyen@apex.com</t>
  </si>
  <si>
    <t>Apex Solutions Group</t>
  </si>
  <si>
    <t>LEAD0983</t>
  </si>
  <si>
    <t>noah.howard@granitesupply.com</t>
  </si>
  <si>
    <t>Granite Supply Systems</t>
  </si>
  <si>
    <t>LEAD0984</t>
  </si>
  <si>
    <t>noah.reed@stonebridgehealth.com</t>
  </si>
  <si>
    <t>Stonebridge Health Group</t>
  </si>
  <si>
    <t>LEAD0985</t>
  </si>
  <si>
    <t>blake.perry@beaconcommerce.com</t>
  </si>
  <si>
    <t>Beacon Commerce Inc.</t>
  </si>
  <si>
    <t>LEAD0986</t>
  </si>
  <si>
    <t>lily.hughes@windwardindustries.com</t>
  </si>
  <si>
    <t>Windward Industries Inc.</t>
  </si>
  <si>
    <t>LEAD0987</t>
  </si>
  <si>
    <t>parker.wright@riverbenddistribution.com</t>
  </si>
  <si>
    <t>Riverbend Distribution Partners</t>
  </si>
  <si>
    <t>LEAD0988</t>
  </si>
  <si>
    <t>lily.taylor@cedarstonelogistics.com</t>
  </si>
  <si>
    <t>Cedarstone Logistics Systems</t>
  </si>
  <si>
    <t>LEAD0989</t>
  </si>
  <si>
    <t>chloe.bennett@monarch.com</t>
  </si>
  <si>
    <t>Monarch Solutions Inc.</t>
  </si>
  <si>
    <t>LEAD0990</t>
  </si>
  <si>
    <t>taylor.cooper@windward.com</t>
  </si>
  <si>
    <t>Windward Group Inc.</t>
  </si>
  <si>
    <t>LEAD0991</t>
  </si>
  <si>
    <t>taylor.wood@northstaroperations.com</t>
  </si>
  <si>
    <t>Northstar Operations Group</t>
  </si>
  <si>
    <t>LEAD0992</t>
  </si>
  <si>
    <t>jamie.parker@cedarstoneholdings.com</t>
  </si>
  <si>
    <t>Cedarstone Holdings Inc.</t>
  </si>
  <si>
    <t>LEAD0993</t>
  </si>
  <si>
    <t>reese.carter@apexhealth.com</t>
  </si>
  <si>
    <t>Apex Health Co.</t>
  </si>
  <si>
    <t>LEAD0994</t>
  </si>
  <si>
    <t>taylor.ross@bluepeak.com</t>
  </si>
  <si>
    <t>BluePeak Solutions Inc.</t>
  </si>
  <si>
    <t>LEAD0995</t>
  </si>
  <si>
    <t>liam.murphy@maplemanufacturing.com</t>
  </si>
  <si>
    <t>Maple Manufacturing Co.</t>
  </si>
  <si>
    <t>LEAD0996</t>
  </si>
  <si>
    <t>taylor.morgan@beacondistribution.com</t>
  </si>
  <si>
    <t>Beacon Distribution Solutions</t>
  </si>
  <si>
    <t>LEAD0997</t>
  </si>
  <si>
    <t>miles.edwards@highlandlogistics.com</t>
  </si>
  <si>
    <t>Highland Logistics Co.</t>
  </si>
  <si>
    <t>LEAD0998</t>
  </si>
  <si>
    <t>maya.nelson@prime.com</t>
  </si>
  <si>
    <t>Prime Solutions Partners</t>
  </si>
  <si>
    <t>LEAD0999</t>
  </si>
  <si>
    <t>quinn.murphy@greenfieldhealth.com</t>
  </si>
  <si>
    <t>Greenfield Health Solutions</t>
  </si>
  <si>
    <t>LEAD1000</t>
  </si>
  <si>
    <t>lily.bennett@primesupply.com</t>
  </si>
  <si>
    <t>Prime Supply Inc.</t>
  </si>
  <si>
    <t>LEAD1001</t>
  </si>
  <si>
    <t>jordan.martin@northstarhealth.com</t>
  </si>
  <si>
    <t>Northstar Health Partners</t>
  </si>
  <si>
    <t>LEAD1002</t>
  </si>
  <si>
    <t>parker.mitchell@parksideservices.com</t>
  </si>
  <si>
    <t>Parkside Services Group</t>
  </si>
  <si>
    <t>LEAD1003</t>
  </si>
  <si>
    <t>sydney.parker@libertyconsulting.com</t>
  </si>
  <si>
    <t>Liberty Consulting Systems</t>
  </si>
  <si>
    <t>LEAD1004</t>
  </si>
  <si>
    <t>sophia.jenkins@northstarresources.com</t>
  </si>
  <si>
    <t>Northstar Resources LLC</t>
  </si>
  <si>
    <t>LEAD1005</t>
  </si>
  <si>
    <t>reese.peterson@rivertonanalytics.com</t>
  </si>
  <si>
    <t>Riverton Analytics Partners</t>
  </si>
  <si>
    <t>LEAD1006</t>
  </si>
  <si>
    <t>cole.peterson@copperindustries.com</t>
  </si>
  <si>
    <t>Copper Industries Co.</t>
  </si>
  <si>
    <t>LEAD1007</t>
  </si>
  <si>
    <t>Maple Industries LLC</t>
  </si>
  <si>
    <t>LEAD1008</t>
  </si>
  <si>
    <t>dakota.carter@atlas.com</t>
  </si>
  <si>
    <t>Atlas Systems Co.</t>
  </si>
  <si>
    <t>LEAD1009</t>
  </si>
  <si>
    <t>reese.richardson@pioneerworks.com</t>
  </si>
  <si>
    <t>Pioneer Works Solutions</t>
  </si>
  <si>
    <t>LEAD1010</t>
  </si>
  <si>
    <t>ian.kelly@oakridgedistribution.com</t>
  </si>
  <si>
    <t>Oakridge Distribution Inc.</t>
  </si>
  <si>
    <t>LEAD1011</t>
  </si>
  <si>
    <t>ella.sanchez@horizon.com</t>
  </si>
  <si>
    <t>Horizon Solutions Solutions</t>
  </si>
  <si>
    <t>LEAD1012</t>
  </si>
  <si>
    <t>ian.wilson@greenfieldanalytics.com</t>
  </si>
  <si>
    <t>Greenfield Analytics Systems</t>
  </si>
  <si>
    <t>LEAD1013</t>
  </si>
  <si>
    <t>olivia.ross@horizonhealth.com</t>
  </si>
  <si>
    <t>Horizon Health Partners</t>
  </si>
  <si>
    <t>LEAD1014</t>
  </si>
  <si>
    <t>mia.patel@sterling.com</t>
  </si>
  <si>
    <t>Sterling Systems Co.</t>
  </si>
  <si>
    <t>LEAD1015</t>
  </si>
  <si>
    <t>alex.howard@parkside.com</t>
  </si>
  <si>
    <t>Parkside Group Partners</t>
  </si>
  <si>
    <t>LEAD1016</t>
  </si>
  <si>
    <t>cameron.diaz@lakeside.com</t>
  </si>
  <si>
    <t>Lakeside Group LLC</t>
  </si>
  <si>
    <t>LEAD1017</t>
  </si>
  <si>
    <t>cameron.thomas@harbordistribution.com</t>
  </si>
  <si>
    <t>Harbor Distribution Solutions</t>
  </si>
  <si>
    <t>LEAD1018</t>
  </si>
  <si>
    <t>alex.perry@newbridgedynamics.com</t>
  </si>
  <si>
    <t>Newbridge Dynamics Group</t>
  </si>
  <si>
    <t>LEAD1019</t>
  </si>
  <si>
    <t>grace.garcia@rivertonenterprises.com</t>
  </si>
  <si>
    <t>Riverton Enterprises Systems</t>
  </si>
  <si>
    <t>LEAD1020</t>
  </si>
  <si>
    <t>liam.jenkins@falconworks.com</t>
  </si>
  <si>
    <t>Falcon Works Co.</t>
  </si>
  <si>
    <t>LEAD1021</t>
  </si>
  <si>
    <t>jamie.price@horizonresources.com</t>
  </si>
  <si>
    <t>Horizon Resources Solutions</t>
  </si>
  <si>
    <t>LEAD1022</t>
  </si>
  <si>
    <t>liam.young@graniteindustries.com</t>
  </si>
  <si>
    <t>Granite Industries Co.</t>
  </si>
  <si>
    <t>LEAD1023</t>
  </si>
  <si>
    <t>riley.wright@monarchresources.com</t>
  </si>
  <si>
    <t>Monarch Resources Group</t>
  </si>
  <si>
    <t>LEAD1024</t>
  </si>
  <si>
    <t>nora.bennett@summitlabs.com</t>
  </si>
  <si>
    <t>Summit Labs Systems</t>
  </si>
  <si>
    <t>LEAD1025</t>
  </si>
  <si>
    <t>parker.patel@atlasholdings.com</t>
  </si>
  <si>
    <t>Atlas Holdings Partners</t>
  </si>
  <si>
    <t>LEAD1026</t>
  </si>
  <si>
    <t>sophia.perry@northstar.com</t>
  </si>
  <si>
    <t>Northstar Solutions Inc.</t>
  </si>
  <si>
    <t>LEAD1027</t>
  </si>
  <si>
    <t>cole.ramirez@monarchlabs.com</t>
  </si>
  <si>
    <t>Monarch Labs Partners</t>
  </si>
  <si>
    <t>LEAD1028</t>
  </si>
  <si>
    <t>mia.wilson@bluepeakcommerce.com</t>
  </si>
  <si>
    <t>BluePeak Commerce Systems</t>
  </si>
  <si>
    <t>LEAD1029</t>
  </si>
  <si>
    <t>riley.white@newbridgeautomation.com</t>
  </si>
  <si>
    <t>Newbridge Automation Inc.</t>
  </si>
  <si>
    <t>LEAD1030</t>
  </si>
  <si>
    <t>Granite Networks LLC</t>
  </si>
  <si>
    <t>LEAD1031</t>
  </si>
  <si>
    <t>caleb.edwards@beaconautomation.com</t>
  </si>
  <si>
    <t>Beacon Automation LLC</t>
  </si>
  <si>
    <t>LEAD1032</t>
  </si>
  <si>
    <t>maya.ross@silverlinenetworks.com</t>
  </si>
  <si>
    <t>Silverline Networks Group</t>
  </si>
  <si>
    <t>LEAD1033</t>
  </si>
  <si>
    <t>ian.patel@windwardoperations.com</t>
  </si>
  <si>
    <t>Windward Operations Co.</t>
  </si>
  <si>
    <t>LEAD1034</t>
  </si>
  <si>
    <t>owen.howard@monarchsupply.com</t>
  </si>
  <si>
    <t>Monarch Supply Partners</t>
  </si>
  <si>
    <t>LEAD1035</t>
  </si>
  <si>
    <t>sydney.kim@rivertondynamics.com</t>
  </si>
  <si>
    <t>Riverton Dynamics Co.</t>
  </si>
  <si>
    <t>LEAD1036</t>
  </si>
  <si>
    <t>liam.hall@evergreenanalytics.com</t>
  </si>
  <si>
    <t>Evergreen Analytics LLC</t>
  </si>
  <si>
    <t>LEAD1037</t>
  </si>
  <si>
    <t>hayden.hall@cedarstonesupply.com</t>
  </si>
  <si>
    <t>Cedarstone Supply Solutions</t>
  </si>
  <si>
    <t>LEAD1038</t>
  </si>
  <si>
    <t>maya.johnson@beaconnetworks.com</t>
  </si>
  <si>
    <t>Beacon Networks Group</t>
  </si>
  <si>
    <t>LEAD1039</t>
  </si>
  <si>
    <t>sophia.anderson@rivertonindustries.com</t>
  </si>
  <si>
    <t>Riverton Industries Group</t>
  </si>
  <si>
    <t>LEAD1040</t>
  </si>
  <si>
    <t>olivia.ross@horizonresources.com</t>
  </si>
  <si>
    <t>Horizon Resources Co.</t>
  </si>
  <si>
    <t>LEAD1041</t>
  </si>
  <si>
    <t>hayden.bennett@ironwoodservices.com</t>
  </si>
  <si>
    <t>Ironwood Services Systems</t>
  </si>
  <si>
    <t>LEAD1042</t>
  </si>
  <si>
    <t>grant.foster@cobaltcommerce.com</t>
  </si>
  <si>
    <t>Cobalt Commerce Group</t>
  </si>
  <si>
    <t>LEAD1043</t>
  </si>
  <si>
    <t>jamie.bennett@lakesidemanufacturing.com</t>
  </si>
  <si>
    <t>Lakeside Manufacturing Co.</t>
  </si>
  <si>
    <t>LEAD1044</t>
  </si>
  <si>
    <t>jordan.lee@vertexanalytics.com</t>
  </si>
  <si>
    <t>Vertex Analytics LLC</t>
  </si>
  <si>
    <t>LEAD1045</t>
  </si>
  <si>
    <t>sophia.miller@newbridgeservices.com</t>
  </si>
  <si>
    <t>Newbridge Services Inc.</t>
  </si>
  <si>
    <t>LEAD1046</t>
  </si>
  <si>
    <t>blake.lewis@harbormanufacturing.com</t>
  </si>
  <si>
    <t>Harbor Manufacturing LLC</t>
  </si>
  <si>
    <t>LEAD1047</t>
  </si>
  <si>
    <t>maya.wood@bridgepointlabs.com</t>
  </si>
  <si>
    <t>Bridgepoint Labs Systems</t>
  </si>
  <si>
    <t>LEAD1048</t>
  </si>
  <si>
    <t>jamie.lee@lakeside.com</t>
  </si>
  <si>
    <t>Lakeside Group Partners</t>
  </si>
  <si>
    <t>LEAD1049</t>
  </si>
  <si>
    <t>mia.morgan@newbridgeenterprises.com</t>
  </si>
  <si>
    <t>Newbridge Enterprises Group</t>
  </si>
  <si>
    <t>LEAD1050</t>
  </si>
  <si>
    <t>casey.garcia@beaconworks.com</t>
  </si>
  <si>
    <t>Beacon Works Partners</t>
  </si>
  <si>
    <t>LEAD1051</t>
  </si>
  <si>
    <t>henry.lee@westbrookworks.com</t>
  </si>
  <si>
    <t>Westbrook Works Solutions</t>
  </si>
  <si>
    <t>LEAD1052</t>
  </si>
  <si>
    <t>morgan.jackson@northstarworks.com</t>
  </si>
  <si>
    <t>Northstar Works Partners</t>
  </si>
  <si>
    <t>LEAD1053</t>
  </si>
  <si>
    <t>logan.ward@goldcrestsupply.com</t>
  </si>
  <si>
    <t>Goldcrest Supply Solutions</t>
  </si>
  <si>
    <t>LEAD1054</t>
  </si>
  <si>
    <t>evan.martin@apexnetworks.com</t>
  </si>
  <si>
    <t>Apex Networks Partners</t>
  </si>
  <si>
    <t>LEAD1055</t>
  </si>
  <si>
    <t>sophia.ramirez@parkside.com</t>
  </si>
  <si>
    <t>Parkside Systems Inc.</t>
  </si>
  <si>
    <t>LEAD1056</t>
  </si>
  <si>
    <t>ian.morgan@clearpathoperations.com</t>
  </si>
  <si>
    <t>ClearPath Operations Group</t>
  </si>
  <si>
    <t>LEAD1057</t>
  </si>
  <si>
    <t>morgan.taylor@primeresources.com</t>
  </si>
  <si>
    <t>Prime Resources Co.</t>
  </si>
  <si>
    <t>LEAD1058</t>
  </si>
  <si>
    <t>alex.ward@highlandtechnology.com</t>
  </si>
  <si>
    <t>Highland Technology Systems</t>
  </si>
  <si>
    <t>LEAD1059</t>
  </si>
  <si>
    <t>emerson.nelson@vertexlabs.com</t>
  </si>
  <si>
    <t>Vertex Labs LLC</t>
  </si>
  <si>
    <t>LEAD1060</t>
  </si>
  <si>
    <t>avery.lee@falconnetworks.com</t>
  </si>
  <si>
    <t>Falcon Networks Partners</t>
  </si>
  <si>
    <t>LEAD1061</t>
  </si>
  <si>
    <t>lily.lee@keystonenetworks.com</t>
  </si>
  <si>
    <t>Keystone Networks Solutions</t>
  </si>
  <si>
    <t>LEAD1062</t>
  </si>
  <si>
    <t>taylor.howard@monarch.com</t>
  </si>
  <si>
    <t>Monarch Partners Systems</t>
  </si>
  <si>
    <t>LEAD1063</t>
  </si>
  <si>
    <t>jamie.ramirez@mapledistribution.com</t>
  </si>
  <si>
    <t>Maple Distribution Inc.</t>
  </si>
  <si>
    <t>LEAD1064</t>
  </si>
  <si>
    <t>henry.hall@bluepeaklabs.com</t>
  </si>
  <si>
    <t>BluePeak Labs Co.</t>
  </si>
  <si>
    <t>LEAD1065</t>
  </si>
  <si>
    <t>riley.ramirez@keystonehealth.com</t>
  </si>
  <si>
    <t>Keystone Health Inc.</t>
  </si>
  <si>
    <t>LEAD1066</t>
  </si>
  <si>
    <t>jamie.lewis@stonebridgenetworks.com</t>
  </si>
  <si>
    <t>Stonebridge Networks LLC</t>
  </si>
  <si>
    <t>LEAD1067</t>
  </si>
  <si>
    <t>casey.price@ironwoodtechnology.com</t>
  </si>
  <si>
    <t>Ironwood Technology LLC</t>
  </si>
  <si>
    <t>LEAD1068</t>
  </si>
  <si>
    <t>riley.price@silverlineindustries.com</t>
  </si>
  <si>
    <t>Silverline Industries Group</t>
  </si>
  <si>
    <t>LEAD1069</t>
  </si>
  <si>
    <t>maya.thomas@westbrooknetworks.com</t>
  </si>
  <si>
    <t>Westbrook Networks LLC</t>
  </si>
  <si>
    <t>LEAD1070</t>
  </si>
  <si>
    <t>drew.evans@summitenterprises.com</t>
  </si>
  <si>
    <t>Summit Enterprises Co.</t>
  </si>
  <si>
    <t>LEAD1071</t>
  </si>
  <si>
    <t>jamie.scott@vertexcommerce.com</t>
  </si>
  <si>
    <t>Vertex Commerce Systems</t>
  </si>
  <si>
    <t>LEAD1072</t>
  </si>
  <si>
    <t>ian.ramirez@bridgepointsupply.com</t>
  </si>
  <si>
    <t>Bridgepoint Supply Group</t>
  </si>
  <si>
    <t>LEAD1073</t>
  </si>
  <si>
    <t>chloe.walker@summitindustries.com</t>
  </si>
  <si>
    <t>Summit Industries Partners</t>
  </si>
  <si>
    <t>LEAD1074</t>
  </si>
  <si>
    <t>avery.wright@windwarddynamics.com</t>
  </si>
  <si>
    <t>Windward Dynamics Solutions</t>
  </si>
  <si>
    <t>LEAD1075</t>
  </si>
  <si>
    <t>reese.price@harborresources.com</t>
  </si>
  <si>
    <t>Harbor Resources Co.</t>
  </si>
  <si>
    <t>LEAD1076</t>
  </si>
  <si>
    <t>emma.wright@westbrooklabs.com</t>
  </si>
  <si>
    <t>Westbrook Labs Partners</t>
  </si>
  <si>
    <t>LEAD1077</t>
  </si>
  <si>
    <t>skyler.green@stonebridgedynamics.com</t>
  </si>
  <si>
    <t>Stonebridge Dynamics LLC</t>
  </si>
  <si>
    <t>LEAD1078</t>
  </si>
  <si>
    <t>leo.collins@graniteworks.com</t>
  </si>
  <si>
    <t>Granite Works Inc.</t>
  </si>
  <si>
    <t>LEAD1079</t>
  </si>
  <si>
    <t>avery.evans@copperlabs.com</t>
  </si>
  <si>
    <t>Copper Labs Systems</t>
  </si>
  <si>
    <t>LEAD1080</t>
  </si>
  <si>
    <t>jack.williams@summitcommerce.com</t>
  </si>
  <si>
    <t>Summit Commerce Group</t>
  </si>
  <si>
    <t>LEAD1081</t>
  </si>
  <si>
    <t>mia.ross@redwoodoperations.com</t>
  </si>
  <si>
    <t>Redwood Operations Systems</t>
  </si>
  <si>
    <t>LEAD1082</t>
  </si>
  <si>
    <t>ethan.price@mapleworks.com</t>
  </si>
  <si>
    <t>Maple Works Partners</t>
  </si>
  <si>
    <t>LEAD1083</t>
  </si>
  <si>
    <t>blake.price@highlanddynamics.com</t>
  </si>
  <si>
    <t>Highland Dynamics Group</t>
  </si>
  <si>
    <t>LEAD1084</t>
  </si>
  <si>
    <t>ethan.campbell@harbormanufacturing.com</t>
  </si>
  <si>
    <t>Harbor Manufacturing Partners</t>
  </si>
  <si>
    <t>LEAD1085</t>
  </si>
  <si>
    <t>maya.martin@redwoodmanufacturing.com</t>
  </si>
  <si>
    <t>Redwood Manufacturing Partners</t>
  </si>
  <si>
    <t>LEAD1086</t>
  </si>
  <si>
    <t>taylor.ortiz@northstar.com</t>
  </si>
  <si>
    <t>Northstar Partners Group</t>
  </si>
  <si>
    <t>LEAD1087</t>
  </si>
  <si>
    <t>sophia.miller@keystonesupply.com</t>
  </si>
  <si>
    <t>Keystone Supply Inc.</t>
  </si>
  <si>
    <t>LEAD1088</t>
  </si>
  <si>
    <t>lily.mitchell@eastgatenetworks.com</t>
  </si>
  <si>
    <t>Eastgate Networks Systems</t>
  </si>
  <si>
    <t>LEAD1089</t>
  </si>
  <si>
    <t>henry.kim@lakesideresources.com</t>
  </si>
  <si>
    <t>Lakeside Resources Group</t>
  </si>
  <si>
    <t>LEAD1090</t>
  </si>
  <si>
    <t>emma.nguyen@evergreenworks.com</t>
  </si>
  <si>
    <t>Evergreen Works LLC</t>
  </si>
  <si>
    <t>LEAD1091</t>
  </si>
  <si>
    <t>morgan.martin@redwoodresources.com</t>
  </si>
  <si>
    <t>Redwood Resources Partners</t>
  </si>
  <si>
    <t>LEAD1092</t>
  </si>
  <si>
    <t>jack.young@cedarstonetechnology.com</t>
  </si>
  <si>
    <t>Cedarstone Technology Partners</t>
  </si>
  <si>
    <t>LEAD1093</t>
  </si>
  <si>
    <t>natalie.nguyen@crescentworks.com</t>
  </si>
  <si>
    <t>Crescent Works Partners</t>
  </si>
  <si>
    <t>LEAD1094</t>
  </si>
  <si>
    <t>jordan.hughes@vertexmanufacturing.com</t>
  </si>
  <si>
    <t>Vertex Manufacturing Solutions</t>
  </si>
  <si>
    <t>LEAD1095</t>
  </si>
  <si>
    <t>logan.miller@bluepeaknetworks.com</t>
  </si>
  <si>
    <t>BluePeak Networks LLC</t>
  </si>
  <si>
    <t>LEAD1096</t>
  </si>
  <si>
    <t>ruby.roberts@riverbend.com</t>
  </si>
  <si>
    <t>Riverbend Systems Partners</t>
  </si>
  <si>
    <t>LEAD1097</t>
  </si>
  <si>
    <t>riley.johnson@windwarddynamics.com</t>
  </si>
  <si>
    <t>Windward Dynamics Systems</t>
  </si>
  <si>
    <t>LEAD1098</t>
  </si>
  <si>
    <t>morgan.edwards@horizondynamics.com</t>
  </si>
  <si>
    <t>Horizon Dynamics Inc.</t>
  </si>
  <si>
    <t>LEAD1099</t>
  </si>
  <si>
    <t>Ironwood Health Partners</t>
  </si>
  <si>
    <t>LEAD1100</t>
  </si>
  <si>
    <t>nora.johnson@horizonindustries.com</t>
  </si>
  <si>
    <t>Horizon Industries Co.</t>
  </si>
  <si>
    <t>LEAD1101</t>
  </si>
  <si>
    <t>nora.johnson@windwardconsulting.com</t>
  </si>
  <si>
    <t>Windward Consulting LLC</t>
  </si>
  <si>
    <t>LEAD1102</t>
  </si>
  <si>
    <t>leo.brooks@mapleresources.com</t>
  </si>
  <si>
    <t>Maple Resources Partners</t>
  </si>
  <si>
    <t>LEAD1103</t>
  </si>
  <si>
    <t>nora.peterson@solsticenetworks.com</t>
  </si>
  <si>
    <t>Solstice Networks Co.</t>
  </si>
  <si>
    <t>LEAD1104</t>
  </si>
  <si>
    <t>natalie.foster@cedarstoneworks.com</t>
  </si>
  <si>
    <t>Cedarstone Works Co.</t>
  </si>
  <si>
    <t>LEAD1105</t>
  </si>
  <si>
    <t>zoe.garcia@copperdistribution.com</t>
  </si>
  <si>
    <t>Copper Distribution LLC</t>
  </si>
  <si>
    <t>LEAD1106</t>
  </si>
  <si>
    <t>cameron.white@goldcrest.com</t>
  </si>
  <si>
    <t>Goldcrest Solutions Co.</t>
  </si>
  <si>
    <t>LEAD1107</t>
  </si>
  <si>
    <t>henry.miller@evergreenanalytics.com</t>
  </si>
  <si>
    <t>Evergreen Analytics Solutions</t>
  </si>
  <si>
    <t>LEAD1108</t>
  </si>
  <si>
    <t>grace.kelly@newbridgeholdings.com</t>
  </si>
  <si>
    <t>Newbridge Holdings Group</t>
  </si>
  <si>
    <t>LEAD1109</t>
  </si>
  <si>
    <t>avery.green@summittechnology.com</t>
  </si>
  <si>
    <t>Summit Technology LLC</t>
  </si>
  <si>
    <t>LEAD1110</t>
  </si>
  <si>
    <t>ella.mitchell@ironwoodsupply.com</t>
  </si>
  <si>
    <t>Ironwood Supply Systems</t>
  </si>
  <si>
    <t>LEAD1111</t>
  </si>
  <si>
    <t>noah.morgan@newbridgemanufacturing.com</t>
  </si>
  <si>
    <t>Newbridge Manufacturing Group</t>
  </si>
  <si>
    <t>LEAD1112</t>
  </si>
  <si>
    <t>parker.rivera@lakesidelogistics.com</t>
  </si>
  <si>
    <t>Lakeside Logistics Systems</t>
  </si>
  <si>
    <t>LEAD1113</t>
  </si>
  <si>
    <t>alex.reed@primetechnology.com</t>
  </si>
  <si>
    <t>Prime Technology Co.</t>
  </si>
  <si>
    <t>LEAD1114</t>
  </si>
  <si>
    <t>logan.howard@highlanddynamics.com</t>
  </si>
  <si>
    <t>Highland Dynamics Systems</t>
  </si>
  <si>
    <t>LEAD1115</t>
  </si>
  <si>
    <t>avery.miller@westbrookworks.com</t>
  </si>
  <si>
    <t>Westbrook Works Partners</t>
  </si>
  <si>
    <t>LEAD1116</t>
  </si>
  <si>
    <t>henry.morgan@parksidedynamics.com</t>
  </si>
  <si>
    <t>Parkside Dynamics Systems</t>
  </si>
  <si>
    <t>LEAD1117</t>
  </si>
  <si>
    <t>leo.nguyen@rivertonholdings.com</t>
  </si>
  <si>
    <t>Riverton Holdings Partners</t>
  </si>
  <si>
    <t>LEAD1118</t>
  </si>
  <si>
    <t>caleb.price@clearpathindustries.com</t>
  </si>
  <si>
    <t>ClearPath Industries Solutions</t>
  </si>
  <si>
    <t>LEAD1119</t>
  </si>
  <si>
    <t>cole.patel@monarchdistribution.com</t>
  </si>
  <si>
    <t>Monarch Distribution Group</t>
  </si>
  <si>
    <t>LEAD1120</t>
  </si>
  <si>
    <t>grace.parker@riverbendworks.com</t>
  </si>
  <si>
    <t>Riverbend Works Group</t>
  </si>
  <si>
    <t>LEAD1121</t>
  </si>
  <si>
    <t>jamie.wright@highlandhealth.com</t>
  </si>
  <si>
    <t>Highland Health Inc.</t>
  </si>
  <si>
    <t>LEAD1122</t>
  </si>
  <si>
    <t>owen.jenkins@westbrookcommerce.com</t>
  </si>
  <si>
    <t>Westbrook Commerce Inc.</t>
  </si>
  <si>
    <t>LEAD1123</t>
  </si>
  <si>
    <t>alex.smith@vertexdistribution.com</t>
  </si>
  <si>
    <t>Vertex Distribution Systems</t>
  </si>
  <si>
    <t>LEAD1124</t>
  </si>
  <si>
    <t>jack.diaz@primelabs.com</t>
  </si>
  <si>
    <t>Prime Labs Systems</t>
  </si>
  <si>
    <t>LEAD1125</t>
  </si>
  <si>
    <t>jordan.diaz@monarchworks.com</t>
  </si>
  <si>
    <t>Monarch Works Group</t>
  </si>
  <si>
    <t>LEAD1126</t>
  </si>
  <si>
    <t>leah.turner@greenfieldtechnology.com</t>
  </si>
  <si>
    <t>Greenfield Technology Partners</t>
  </si>
  <si>
    <t>LEAD1127</t>
  </si>
  <si>
    <t>caleb.richardson@parksidedynamics.com</t>
  </si>
  <si>
    <t>Parkside Dynamics Group</t>
  </si>
  <si>
    <t>LEAD1128</t>
  </si>
  <si>
    <t>skyler.wright@solsticehealth.com</t>
  </si>
  <si>
    <t>Solstice Health LLC</t>
  </si>
  <si>
    <t>LEAD1129</t>
  </si>
  <si>
    <t>liam.richardson@bridgepointdistribution.com</t>
  </si>
  <si>
    <t>Bridgepoint Distribution LLC</t>
  </si>
  <si>
    <t>LEAD1130</t>
  </si>
  <si>
    <t>reese.edwards@atlasmanufacturing.com</t>
  </si>
  <si>
    <t>Atlas Manufacturing Co.</t>
  </si>
  <si>
    <t>LEAD1131</t>
  </si>
  <si>
    <t>grant.edwards@crescentautomation.com</t>
  </si>
  <si>
    <t>Crescent Automation Systems</t>
  </si>
  <si>
    <t>LEAD1132</t>
  </si>
  <si>
    <t>miles.jackson@riverbendholdings.com</t>
  </si>
  <si>
    <t>Riverbend Holdings LLC</t>
  </si>
  <si>
    <t>LEAD1133</t>
  </si>
  <si>
    <t>dakota.kim@goldcrestservices.com</t>
  </si>
  <si>
    <t>Goldcrest Services Systems</t>
  </si>
  <si>
    <t>LEAD1134</t>
  </si>
  <si>
    <t>ethan.mitchell@beacontechnology.com</t>
  </si>
  <si>
    <t>Beacon Technology Group</t>
  </si>
  <si>
    <t>LEAD1135</t>
  </si>
  <si>
    <t>sophia.brooks@vertexsupply.com</t>
  </si>
  <si>
    <t>Vertex Supply LLC</t>
  </si>
  <si>
    <t>LEAD1136</t>
  </si>
  <si>
    <t>alex.young@newbridgeconsulting.com</t>
  </si>
  <si>
    <t>Newbridge Consulting LLC</t>
  </si>
  <si>
    <t>LEAD1137</t>
  </si>
  <si>
    <t>zoe.wright@northstarresources.com</t>
  </si>
  <si>
    <t>Northstar Resources Partners</t>
  </si>
  <si>
    <t>LEAD1138</t>
  </si>
  <si>
    <t>nora.shah@lakeside.com</t>
  </si>
  <si>
    <t>Lakeside Group Inc.</t>
  </si>
  <si>
    <t>LEAD1139</t>
  </si>
  <si>
    <t>natalie.roberts@newbridgedistribution.com</t>
  </si>
  <si>
    <t>Newbridge Distribution Inc.</t>
  </si>
  <si>
    <t>LEAD1140</t>
  </si>
  <si>
    <t>mason.williams@bridgepointdistribution.com</t>
  </si>
  <si>
    <t>Bridgepoint Distribution Systems</t>
  </si>
  <si>
    <t>LEAD1141</t>
  </si>
  <si>
    <t>lily.hall@apexsupply.com</t>
  </si>
  <si>
    <t>Apex Supply Solutions</t>
  </si>
  <si>
    <t>LEAD1142</t>
  </si>
  <si>
    <t>ava.turner@redwoodholdings.com</t>
  </si>
  <si>
    <t>Redwood Holdings Group</t>
  </si>
  <si>
    <t>LEAD1143</t>
  </si>
  <si>
    <t>morgan.ross@crescenttechnology.com</t>
  </si>
  <si>
    <t>Crescent Technology Solutions</t>
  </si>
  <si>
    <t>LEAD1144</t>
  </si>
  <si>
    <t>parker.cooper@riverbendnetworks.com</t>
  </si>
  <si>
    <t>Riverbend Networks Systems</t>
  </si>
  <si>
    <t>LEAD1145</t>
  </si>
  <si>
    <t>liam.murphy@summitcommerce.com</t>
  </si>
  <si>
    <t>Summit Commerce Solutions</t>
  </si>
  <si>
    <t>LEAD1146</t>
  </si>
  <si>
    <t>ethan.sanchez@lakeside.com</t>
  </si>
  <si>
    <t>Lakeside Systems LLC</t>
  </si>
  <si>
    <t>LEAD1147</t>
  </si>
  <si>
    <t>jack.wood@ironwoodservices.com</t>
  </si>
  <si>
    <t>Ironwood Services Co.</t>
  </si>
  <si>
    <t>LEAD1148</t>
  </si>
  <si>
    <t>ruby.williams@bluepeakautomation.com</t>
  </si>
  <si>
    <t>BluePeak Automation LLC</t>
  </si>
  <si>
    <t>LEAD1149</t>
  </si>
  <si>
    <t>emma.jackson@parksidehealth.com</t>
  </si>
  <si>
    <t>Parkside Health Partners</t>
  </si>
  <si>
    <t>LEAD1150</t>
  </si>
  <si>
    <t>noah.brooks@bluepeakdistribution.com</t>
  </si>
  <si>
    <t>BluePeak Distribution Systems</t>
  </si>
  <si>
    <t>LEAD1151</t>
  </si>
  <si>
    <t>sydney.smith@falconindustries.com</t>
  </si>
  <si>
    <t>Falcon Industries Group</t>
  </si>
  <si>
    <t>LEAD1152</t>
  </si>
  <si>
    <t>lily.bennett@silverlinetechnology.com</t>
  </si>
  <si>
    <t>Silverline Technology LLC</t>
  </si>
  <si>
    <t>LEAD1153</t>
  </si>
  <si>
    <t>miles.hughes@falconautomation.com</t>
  </si>
  <si>
    <t>Falcon Automation Systems</t>
  </si>
  <si>
    <t>LEAD1154</t>
  </si>
  <si>
    <t>caleb.sanchez@solsticeoperations.com</t>
  </si>
  <si>
    <t>Solstice Operations Partners</t>
  </si>
  <si>
    <t>LEAD1155</t>
  </si>
  <si>
    <t>parker.carter@goldcrestworks.com</t>
  </si>
  <si>
    <t>Goldcrest Works Group</t>
  </si>
  <si>
    <t>LEAD1156</t>
  </si>
  <si>
    <t>liam.ramirez@ironwoodhealth.com</t>
  </si>
  <si>
    <t>Ironwood Health Group</t>
  </si>
  <si>
    <t>LEAD1157</t>
  </si>
  <si>
    <t>casey.green@graniteoperations.com</t>
  </si>
  <si>
    <t>Granite Operations Group</t>
  </si>
  <si>
    <t>LEAD1158</t>
  </si>
  <si>
    <t>jamie.perry@redwoodlabs.com</t>
  </si>
  <si>
    <t>Vertex Partners Systems</t>
  </si>
  <si>
    <t>LEAD1159</t>
  </si>
  <si>
    <t>skyler.campbell@windwardanalytics.com</t>
  </si>
  <si>
    <t>Windward Analytics Solutions</t>
  </si>
  <si>
    <t>LEAD1160</t>
  </si>
  <si>
    <t>skyler.wright@keystoneservices.com</t>
  </si>
  <si>
    <t>Keystone Services LLC</t>
  </si>
  <si>
    <t>LEAD1161</t>
  </si>
  <si>
    <t>ian.nelson@mapleresources.com</t>
  </si>
  <si>
    <t>Maple Resources Inc.</t>
  </si>
  <si>
    <t>LEAD1162</t>
  </si>
  <si>
    <t>casey.mitchell@highlandtechnology.com</t>
  </si>
  <si>
    <t>Highland Technology LLC</t>
  </si>
  <si>
    <t>LEAD1163</t>
  </si>
  <si>
    <t>morgan.edwards@silverlinedistribution.com</t>
  </si>
  <si>
    <t>Silverline Distribution Inc.</t>
  </si>
  <si>
    <t>LEAD1164</t>
  </si>
  <si>
    <t>chloe.bennett@beacon.com</t>
  </si>
  <si>
    <t>Beacon Systems Systems</t>
  </si>
  <si>
    <t>LEAD1165</t>
  </si>
  <si>
    <t>ian.johnson@pioneermanufacturing.com</t>
  </si>
  <si>
    <t>Pioneer Manufacturing Co.</t>
  </si>
  <si>
    <t>LEAD1166</t>
  </si>
  <si>
    <t>ava.walker@falcon.com</t>
  </si>
  <si>
    <t>Falcon Solutions Inc.</t>
  </si>
  <si>
    <t>LEAD1167</t>
  </si>
  <si>
    <t>grant.smith@bridgepointresources.com</t>
  </si>
  <si>
    <t>Bridgepoint Resources Partners</t>
  </si>
  <si>
    <t>LEAD1168</t>
  </si>
  <si>
    <t>Copper Logistics Solutions</t>
  </si>
  <si>
    <t>LEAD1169</t>
  </si>
  <si>
    <t>ian.smith@keystonemanufacturing.com</t>
  </si>
  <si>
    <t>Keystone Manufacturing Co.</t>
  </si>
  <si>
    <t>LEAD1170</t>
  </si>
  <si>
    <t>ruby.young@atlas.com</t>
  </si>
  <si>
    <t>Atlas Group Systems</t>
  </si>
  <si>
    <t>LEAD1171</t>
  </si>
  <si>
    <t>cameron.hughes@riverbenddistribution.com</t>
  </si>
  <si>
    <t>Riverbend Distribution Inc.</t>
  </si>
  <si>
    <t>LEAD1172</t>
  </si>
  <si>
    <t>chloe.perry@keystonesupply.com</t>
  </si>
  <si>
    <t>Keystone Supply Partners</t>
  </si>
  <si>
    <t>LEAD1173</t>
  </si>
  <si>
    <t>nora.murphy@vertexlabs.com</t>
  </si>
  <si>
    <t>Vertex Labs Co.</t>
  </si>
  <si>
    <t>LEAD1174</t>
  </si>
  <si>
    <t>owen.nguyen@windward.com</t>
  </si>
  <si>
    <t>Windward Solutions Inc.</t>
  </si>
  <si>
    <t>LEAD1175</t>
  </si>
  <si>
    <t>drew.carter@brightwellautomation.com</t>
  </si>
  <si>
    <t>Brightwell Automation LLC</t>
  </si>
  <si>
    <t>LEAD1176</t>
  </si>
  <si>
    <t>avery.johnson@harborservices.com</t>
  </si>
  <si>
    <t>Harbor Services Systems</t>
  </si>
  <si>
    <t>LEAD1177</t>
  </si>
  <si>
    <t>noah.cooper@copperconsulting.com</t>
  </si>
  <si>
    <t>Copper Consulting Solutions</t>
  </si>
  <si>
    <t>LEAD1178</t>
  </si>
  <si>
    <t>natalie.kelly@oakridgelabs.com</t>
  </si>
  <si>
    <t>Oakridge Labs Group</t>
  </si>
  <si>
    <t>LEAD1179</t>
  </si>
  <si>
    <t>nora.martin@redwoodlogistics.com</t>
  </si>
  <si>
    <t>Redwood Logistics Inc.</t>
  </si>
  <si>
    <t>LEAD1180</t>
  </si>
  <si>
    <t>leah.anderson@clearpathservices.com</t>
  </si>
  <si>
    <t>ClearPath Services Systems</t>
  </si>
  <si>
    <t>LEAD1181</t>
  </si>
  <si>
    <t>blake.wilson@horizonconsulting.com</t>
  </si>
  <si>
    <t>Horizon Consulting Co.</t>
  </si>
  <si>
    <t>LEAD1182</t>
  </si>
  <si>
    <t>morgan.price@evergreen.com</t>
  </si>
  <si>
    <t>Evergreen Solutions Systems</t>
  </si>
  <si>
    <t>LEAD1183</t>
  </si>
  <si>
    <t>reese.carter@monarch.com</t>
  </si>
  <si>
    <t>Monarch Group Inc.</t>
  </si>
  <si>
    <t>LEAD1184</t>
  </si>
  <si>
    <t>blake.turner@brightwelllabs.com</t>
  </si>
  <si>
    <t>Brightwell Labs Inc.</t>
  </si>
  <si>
    <t>LEAD1185</t>
  </si>
  <si>
    <t>miles.johnson@evergreendistribution.com</t>
  </si>
  <si>
    <t>Evergreen Distribution Solutions</t>
  </si>
  <si>
    <t>LEAD1186</t>
  </si>
  <si>
    <t>morgan.shah@ironwoodlabs.com</t>
  </si>
  <si>
    <t>Ironwood Labs Inc.</t>
  </si>
  <si>
    <t>LEAD1187</t>
  </si>
  <si>
    <t>alex.hall@falconautomation.com</t>
  </si>
  <si>
    <t>Falcon Automation Partners</t>
  </si>
  <si>
    <t>LEAD1188</t>
  </si>
  <si>
    <t>ruby.peterson@redwoodautomation.com</t>
  </si>
  <si>
    <t>Redwood Automation Group</t>
  </si>
  <si>
    <t>LEAD1189</t>
  </si>
  <si>
    <t>riley.wright@beaconholdings.com</t>
  </si>
  <si>
    <t>Beacon Holdings Solutions</t>
  </si>
  <si>
    <t>LEAD1190</t>
  </si>
  <si>
    <t>natalie.lewis@parksideautomation.com</t>
  </si>
  <si>
    <t>Parkside Automation Co.</t>
  </si>
  <si>
    <t>LEAD1191</t>
  </si>
  <si>
    <t>grace.jackson@apexdistribution.com</t>
  </si>
  <si>
    <t>Apex Distribution Group</t>
  </si>
  <si>
    <t>LEAD1192</t>
  </si>
  <si>
    <t>morgan.scott@ironwoodnetworks.com</t>
  </si>
  <si>
    <t>Ironwood Networks Co.</t>
  </si>
  <si>
    <t>LEAD1193</t>
  </si>
  <si>
    <t>chloe.brooks@beacon.com</t>
  </si>
  <si>
    <t>Beacon Partners Co.</t>
  </si>
  <si>
    <t>LEAD1194</t>
  </si>
  <si>
    <t>BluePeak Holdings LLC</t>
  </si>
  <si>
    <t>LEAD1195</t>
  </si>
  <si>
    <t>liam.shah@beaconautomation.com</t>
  </si>
  <si>
    <t>Beacon Automation Inc.</t>
  </si>
  <si>
    <t>LEAD1196</t>
  </si>
  <si>
    <t>cole.murphy@clearpathautomation.com</t>
  </si>
  <si>
    <t>ClearPath Automation Inc.</t>
  </si>
  <si>
    <t>LEAD1197</t>
  </si>
  <si>
    <t>mason.collins@westbrooksupply.com</t>
  </si>
  <si>
    <t>Westbrook Supply Group</t>
  </si>
  <si>
    <t>LEAD1198</t>
  </si>
  <si>
    <t>drew.edwards@eastgatetechnology.com</t>
  </si>
  <si>
    <t>Eastgate Technology Partners</t>
  </si>
  <si>
    <t>LEAD1199</t>
  </si>
  <si>
    <t>reese.miller@newbridgeworks.com</t>
  </si>
  <si>
    <t>Newbridge Works Co.</t>
  </si>
  <si>
    <t>LEAD1200</t>
  </si>
  <si>
    <t>cole.kelly@windwardautomation.com</t>
  </si>
  <si>
    <t>Windward Automation Inc.</t>
  </si>
  <si>
    <t>LEAD1201</t>
  </si>
  <si>
    <t>leo.miller@liberty.com</t>
  </si>
  <si>
    <t>Liberty Systems Group</t>
  </si>
  <si>
    <t>LEAD1202</t>
  </si>
  <si>
    <t>leah.smith@oakridgedynamics.com</t>
  </si>
  <si>
    <t>Oakridge Dynamics Inc.</t>
  </si>
  <si>
    <t>LEAD1203</t>
  </si>
  <si>
    <t>blake.brooks@beaconoperations.com</t>
  </si>
  <si>
    <t>Beacon Operations LLC</t>
  </si>
  <si>
    <t>LEAD1204</t>
  </si>
  <si>
    <t>quinn.williams@primeholdings.com</t>
  </si>
  <si>
    <t>Prime Holdings Partners</t>
  </si>
  <si>
    <t>LEAD1205</t>
  </si>
  <si>
    <t>riley.green@clearpathoperations.com</t>
  </si>
  <si>
    <t>ClearPath Operations Partners</t>
  </si>
  <si>
    <t>LEAD1206</t>
  </si>
  <si>
    <t>grace.peterson@falconautomation.com</t>
  </si>
  <si>
    <t>Falcon Automation Inc.</t>
  </si>
  <si>
    <t>LEAD1207</t>
  </si>
  <si>
    <t>ethan.collins@windwardlogistics.com</t>
  </si>
  <si>
    <t>Windward Logistics Co.</t>
  </si>
  <si>
    <t>LEAD1208</t>
  </si>
  <si>
    <t>owen.reed@highlandcommerce.com</t>
  </si>
  <si>
    <t>Highland Commerce Group</t>
  </si>
  <si>
    <t>LEAD1209</t>
  </si>
  <si>
    <t>blake.anderson@atlasdistribution.com</t>
  </si>
  <si>
    <t>Atlas Distribution Inc.</t>
  </si>
  <si>
    <t>LEAD1210</t>
  </si>
  <si>
    <t>olivia.reed@primeconsulting.com</t>
  </si>
  <si>
    <t>Prime Consulting Inc.</t>
  </si>
  <si>
    <t>LEAD1211</t>
  </si>
  <si>
    <t>reese.richardson@cedarstonenetworks.com</t>
  </si>
  <si>
    <t>Cedarstone Networks Solutions</t>
  </si>
  <si>
    <t>LEAD1212</t>
  </si>
  <si>
    <t>leah.martin@keystonetechnology.com</t>
  </si>
  <si>
    <t>Keystone Technology Co.</t>
  </si>
  <si>
    <t>LEAD1213</t>
  </si>
  <si>
    <t>cameron.mitchell@keystoneconsulting.com</t>
  </si>
  <si>
    <t>Keystone Consulting Systems</t>
  </si>
  <si>
    <t>LEAD1214</t>
  </si>
  <si>
    <t>evan.carter@brightwellmanufacturing.com</t>
  </si>
  <si>
    <t>Brightwell Manufacturing Co.</t>
  </si>
  <si>
    <t>LEAD1215</t>
  </si>
  <si>
    <t>olivia.taylor@eastgateoperations.com</t>
  </si>
  <si>
    <t>Eastgate Operations Co.</t>
  </si>
  <si>
    <t>LEAD1216</t>
  </si>
  <si>
    <t>noah.smith@primemanufacturing.com</t>
  </si>
  <si>
    <t>Prime Manufacturing Group</t>
  </si>
  <si>
    <t>LEAD1217</t>
  </si>
  <si>
    <t>lucas.mitchell@westbrooknetworks.com</t>
  </si>
  <si>
    <t>Westbrook Networks Inc.</t>
  </si>
  <si>
    <t>LEAD1218</t>
  </si>
  <si>
    <t>chloe.murphy@riverbendconsulting.com</t>
  </si>
  <si>
    <t>Riverbend Consulting Partners</t>
  </si>
  <si>
    <t>LEAD1219</t>
  </si>
  <si>
    <t>Redwood Labs Group</t>
  </si>
  <si>
    <t>LEAD1220</t>
  </si>
  <si>
    <t>grace.carter@vertexdistribution.com</t>
  </si>
  <si>
    <t>Vertex Distribution Group</t>
  </si>
  <si>
    <t>LEAD1221</t>
  </si>
  <si>
    <t>Liberty Health Partners</t>
  </si>
  <si>
    <t>LEAD1222</t>
  </si>
  <si>
    <t>parker.kim@cobalt.com</t>
  </si>
  <si>
    <t>Cobalt Solutions Co.</t>
  </si>
  <si>
    <t>LEAD1223</t>
  </si>
  <si>
    <t>ruby.wright@monarchholdings.com</t>
  </si>
  <si>
    <t>Monarch Holdings Group</t>
  </si>
  <si>
    <t>LEAD1224</t>
  </si>
  <si>
    <t>nora.murphy@eastgateresources.com</t>
  </si>
  <si>
    <t>Eastgate Resources Partners</t>
  </si>
  <si>
    <t>LEAD1225</t>
  </si>
  <si>
    <t>ella.jenkins@goldcrestindustries.com</t>
  </si>
  <si>
    <t>Goldcrest Industries Group</t>
  </si>
  <si>
    <t>LEAD1226</t>
  </si>
  <si>
    <t>natalie.nguyen@harborresources.com</t>
  </si>
  <si>
    <t>Harbor Resources Inc.</t>
  </si>
  <si>
    <t>LEAD1227</t>
  </si>
  <si>
    <t>jamie.taylor@cobalthealth.com</t>
  </si>
  <si>
    <t>Cobalt Health Solutions</t>
  </si>
  <si>
    <t>LEAD1228</t>
  </si>
  <si>
    <t>avery.campbell@solsticeresources.com</t>
  </si>
  <si>
    <t>Solstice Resources Systems</t>
  </si>
  <si>
    <t>LEAD1229</t>
  </si>
  <si>
    <t>jordan.jackson@mapleautomation.com</t>
  </si>
  <si>
    <t>Maple Automation Partners</t>
  </si>
  <si>
    <t>LEAD1230</t>
  </si>
  <si>
    <t>blake.sanchez@atlas.com</t>
  </si>
  <si>
    <t>Atlas Systems Group</t>
  </si>
  <si>
    <t>LEAD1231</t>
  </si>
  <si>
    <t>ClearPath Group Inc.</t>
  </si>
  <si>
    <t>LEAD1232</t>
  </si>
  <si>
    <t>grace.young@evergreenholdings.com</t>
  </si>
  <si>
    <t>Evergreen Holdings Co.</t>
  </si>
  <si>
    <t>LEAD1233</t>
  </si>
  <si>
    <t>jack.morgan@copperanalytics.com</t>
  </si>
  <si>
    <t>Copper Analytics Co.</t>
  </si>
  <si>
    <t>LEAD1234</t>
  </si>
  <si>
    <t>zoe.bennett@newbridgenetworks.com</t>
  </si>
  <si>
    <t>Newbridge Networks LLC</t>
  </si>
  <si>
    <t>LEAD1235</t>
  </si>
  <si>
    <t>maya.brooks@goldcrestlogistics.com</t>
  </si>
  <si>
    <t>Goldcrest Logistics LLC</t>
  </si>
  <si>
    <t>LEAD1236</t>
  </si>
  <si>
    <t>casey.nguyen@libertynetworks.com</t>
  </si>
  <si>
    <t>Liberty Networks Solutions</t>
  </si>
  <si>
    <t>LEAD1237</t>
  </si>
  <si>
    <t>sydney.peterson@falconanalytics.com</t>
  </si>
  <si>
    <t>Falcon Analytics LLC</t>
  </si>
  <si>
    <t>LEAD1238</t>
  </si>
  <si>
    <t>skyler.white@vertexindustries.com</t>
  </si>
  <si>
    <t>Vertex Industries LLC</t>
  </si>
  <si>
    <t>LEAD1239</t>
  </si>
  <si>
    <t>chloe.miller@sterlingresources.com</t>
  </si>
  <si>
    <t>Sterling Resources Inc.</t>
  </si>
  <si>
    <t>LEAD1240</t>
  </si>
  <si>
    <t>casey.cooper@keystoneautomation.com</t>
  </si>
  <si>
    <t>Keystone Automation Solutions</t>
  </si>
  <si>
    <t>LEAD1241</t>
  </si>
  <si>
    <t>owen.jackson@highlandhealth.com</t>
  </si>
  <si>
    <t>Highland Health Group</t>
  </si>
  <si>
    <t>LEAD1242</t>
  </si>
  <si>
    <t>emerson.ortiz@copperlogistics.com</t>
  </si>
  <si>
    <t>Copper Logistics Co.</t>
  </si>
  <si>
    <t>LEAD1243</t>
  </si>
  <si>
    <t>maya.perry@brightwellautomation.com</t>
  </si>
  <si>
    <t>Brightwell Automation Co.</t>
  </si>
  <si>
    <t>LEAD1244</t>
  </si>
  <si>
    <t>mia.williams@prime.com</t>
  </si>
  <si>
    <t>Prime Solutions LLC</t>
  </si>
  <si>
    <t>LEAD1245</t>
  </si>
  <si>
    <t>lily.shah@copperdynamics.com</t>
  </si>
  <si>
    <t>Copper Dynamics LLC</t>
  </si>
  <si>
    <t>LEAD1246</t>
  </si>
  <si>
    <t>parker.thomas@beaconautomation.com</t>
  </si>
  <si>
    <t>Beacon Automation Systems</t>
  </si>
  <si>
    <t>LEAD1247</t>
  </si>
  <si>
    <t>lucas.hughes@cedarstonemanufacturing.com</t>
  </si>
  <si>
    <t>Cedarstone Manufacturing Partners</t>
  </si>
  <si>
    <t>LEAD1248</t>
  </si>
  <si>
    <t>maya.reed@apexlogistics.com</t>
  </si>
  <si>
    <t>Apex Logistics LLC</t>
  </si>
  <si>
    <t>LEAD1249</t>
  </si>
  <si>
    <t>emerson.ross@lakesidetechnology.com</t>
  </si>
  <si>
    <t>Lakeside Technology Partners</t>
  </si>
  <si>
    <t>LEAD1250</t>
  </si>
  <si>
    <t>chloe.nguyen@windwardenterprises.com</t>
  </si>
  <si>
    <t>Windward Enterprises LLC</t>
  </si>
  <si>
    <t>LEAD1251</t>
  </si>
  <si>
    <t>noah.martin@westbrookanalytics.com</t>
  </si>
  <si>
    <t>Westbrook Analytics Inc.</t>
  </si>
  <si>
    <t>LEAD1252</t>
  </si>
  <si>
    <t>mason.anderson@harborholdings.com</t>
  </si>
  <si>
    <t>Harbor Holdings Group</t>
  </si>
  <si>
    <t>LEAD1253</t>
  </si>
  <si>
    <t>skyler.diaz@atlasservices.com</t>
  </si>
  <si>
    <t>Atlas Services LLC</t>
  </si>
  <si>
    <t>LEAD1254</t>
  </si>
  <si>
    <t>noah.jackson@highlandservices.com</t>
  </si>
  <si>
    <t>Highland Services Co.</t>
  </si>
  <si>
    <t>LEAD1255</t>
  </si>
  <si>
    <t>logan.ortiz@falconmanufacturing.com</t>
  </si>
  <si>
    <t>Falcon Manufacturing Systems</t>
  </si>
  <si>
    <t>LEAD1256</t>
  </si>
  <si>
    <t>quinn.white@brightwellsupply.com</t>
  </si>
  <si>
    <t>Brightwell Supply Inc.</t>
  </si>
  <si>
    <t>LEAD1257</t>
  </si>
  <si>
    <t>mia.evans@oakridgeholdings.com</t>
  </si>
  <si>
    <t>Oakridge Holdings LLC</t>
  </si>
  <si>
    <t>LEAD1258</t>
  </si>
  <si>
    <t>jamie.garcia@solsticeautomation.com</t>
  </si>
  <si>
    <t>Solstice Automation Co.</t>
  </si>
  <si>
    <t>LEAD1259</t>
  </si>
  <si>
    <t>jack.reed@windwardindustries.com</t>
  </si>
  <si>
    <t>Windward Industries Group</t>
  </si>
  <si>
    <t>LEAD1260</t>
  </si>
  <si>
    <t>miles.patel@redwood.com</t>
  </si>
  <si>
    <t>Redwood Partners Inc.</t>
  </si>
  <si>
    <t>LEAD1261</t>
  </si>
  <si>
    <t>casey.walker@copperconsulting.com</t>
  </si>
  <si>
    <t>Copper Consulting Systems</t>
  </si>
  <si>
    <t>LEAD1262</t>
  </si>
  <si>
    <t>lily.lewis@windwardindustries.com</t>
  </si>
  <si>
    <t>Windward Industries Co.</t>
  </si>
  <si>
    <t>LEAD1263</t>
  </si>
  <si>
    <t>ethan.smith@greenfielddistribution.com</t>
  </si>
  <si>
    <t>Greenfield Distribution Co.</t>
  </si>
  <si>
    <t>LEAD1264</t>
  </si>
  <si>
    <t>dakota.diaz@granite.com</t>
  </si>
  <si>
    <t>Granite Systems LLC</t>
  </si>
  <si>
    <t>LEAD1265</t>
  </si>
  <si>
    <t>ava.foster@solsticehealth.com</t>
  </si>
  <si>
    <t>Solstice Health Solutions</t>
  </si>
  <si>
    <t>LEAD1266</t>
  </si>
  <si>
    <t>quinn.reed@brightwellindustries.com</t>
  </si>
  <si>
    <t>Brightwell Industries Partners</t>
  </si>
  <si>
    <t>LEAD1267</t>
  </si>
  <si>
    <t>dakota.ortiz@highlanddistribution.com</t>
  </si>
  <si>
    <t>Highland Distribution LLC</t>
  </si>
  <si>
    <t>LEAD1268</t>
  </si>
  <si>
    <t>jack.edwards@primeservices.com</t>
  </si>
  <si>
    <t>Prime Services Partners</t>
  </si>
  <si>
    <t>LEAD1269</t>
  </si>
  <si>
    <t>leah.peterson@solsticedynamics.com</t>
  </si>
  <si>
    <t>Solstice Dynamics Solutions</t>
  </si>
  <si>
    <t>LEAD1270</t>
  </si>
  <si>
    <t>mason.lewis@crescent.com</t>
  </si>
  <si>
    <t>Crescent Solutions Partners</t>
  </si>
  <si>
    <t>LEAD1271</t>
  </si>
  <si>
    <t>Cobalt Consulting Group</t>
  </si>
  <si>
    <t>LEAD1272</t>
  </si>
  <si>
    <t>hayden.rivera@cobalt.com</t>
  </si>
  <si>
    <t>Cobalt Systems Inc.</t>
  </si>
  <si>
    <t>LEAD1273</t>
  </si>
  <si>
    <t>ella.white@cobaltlabs.com</t>
  </si>
  <si>
    <t>Cobalt Labs Solutions</t>
  </si>
  <si>
    <t>LEAD1274</t>
  </si>
  <si>
    <t>blake.reed@greenfieldmanufacturing.com</t>
  </si>
  <si>
    <t>Greenfield Manufacturing Group</t>
  </si>
  <si>
    <t>LEAD1275</t>
  </si>
  <si>
    <t>alex.richardson@bridgepointtechnology.com</t>
  </si>
  <si>
    <t>Bridgepoint Technology Partners</t>
  </si>
  <si>
    <t>LEAD1276</t>
  </si>
  <si>
    <t>Silverline Enterprises Group</t>
  </si>
  <si>
    <t>LEAD1277</t>
  </si>
  <si>
    <t>ella.wright@newbridgeautomation.com</t>
  </si>
  <si>
    <t>Newbridge Automation Solutions</t>
  </si>
  <si>
    <t>LEAD1278</t>
  </si>
  <si>
    <t>grace.foster@apexsupply.com</t>
  </si>
  <si>
    <t>Apex Supply Group</t>
  </si>
  <si>
    <t>LEAD1279</t>
  </si>
  <si>
    <t>parker.perry@atlasdynamics.com</t>
  </si>
  <si>
    <t>Atlas Dynamics Group</t>
  </si>
  <si>
    <t>LEAD1280</t>
  </si>
  <si>
    <t>blake.nguyen@cobaltlogistics.com</t>
  </si>
  <si>
    <t>Cobalt Logistics Inc.</t>
  </si>
  <si>
    <t>LEAD1281</t>
  </si>
  <si>
    <t>quinn.price@greenfieldautomation.com</t>
  </si>
  <si>
    <t>Greenfield Automation Partners</t>
  </si>
  <si>
    <t>LEAD1282</t>
  </si>
  <si>
    <t>sophia.johnson@monarchautomation.com</t>
  </si>
  <si>
    <t>Monarch Automation Solutions</t>
  </si>
  <si>
    <t>LEAD1283</t>
  </si>
  <si>
    <t>chloe.brooks@primenetworks.com</t>
  </si>
  <si>
    <t>Prime Networks Co.</t>
  </si>
  <si>
    <t>LEAD1284</t>
  </si>
  <si>
    <t>dakota.miller@liberty.com</t>
  </si>
  <si>
    <t>Liberty Systems LLC</t>
  </si>
  <si>
    <t>LEAD1285</t>
  </si>
  <si>
    <t>drew.williams@oakridgeresources.com</t>
  </si>
  <si>
    <t>Oakridge Resources LLC</t>
  </si>
  <si>
    <t>LEAD1286</t>
  </si>
  <si>
    <t>caleb.roberts@rivertonholdings.com</t>
  </si>
  <si>
    <t>Riverton Holdings Systems</t>
  </si>
  <si>
    <t>LEAD1287</t>
  </si>
  <si>
    <t>morgan.hayes@highlanddistribution.com</t>
  </si>
  <si>
    <t>Highland Distribution Partners</t>
  </si>
  <si>
    <t>LEAD1288</t>
  </si>
  <si>
    <t>grant.bennett@falcon.com</t>
  </si>
  <si>
    <t>Falcon Group Inc.</t>
  </si>
  <si>
    <t>LEAD1289</t>
  </si>
  <si>
    <t>lucas.perry@atlasenterprises.com</t>
  </si>
  <si>
    <t>Atlas Enterprises Co.</t>
  </si>
  <si>
    <t>LEAD1290</t>
  </si>
  <si>
    <t>cameron.smith@parksideconsulting.com</t>
  </si>
  <si>
    <t>Parkside Consulting Systems</t>
  </si>
  <si>
    <t>LEAD1291</t>
  </si>
  <si>
    <t>cole.martin@atlas.com</t>
  </si>
  <si>
    <t>Atlas Partners Inc.</t>
  </si>
  <si>
    <t>LEAD1292</t>
  </si>
  <si>
    <t>dakota.hayes@clearpathcommerce.com</t>
  </si>
  <si>
    <t>ClearPath Commerce Solutions</t>
  </si>
  <si>
    <t>LEAD1293</t>
  </si>
  <si>
    <t>cameron.hall@atlasindustries.com</t>
  </si>
  <si>
    <t>Atlas Industries Co.</t>
  </si>
  <si>
    <t>LEAD1294</t>
  </si>
  <si>
    <t>morgan.sanchez@summitmanufacturing.com</t>
  </si>
  <si>
    <t>Summit Manufacturing Partners</t>
  </si>
  <si>
    <t>LEAD1295</t>
  </si>
  <si>
    <t>ella.cooper@westbrookanalytics.com</t>
  </si>
  <si>
    <t>Westbrook Analytics LLC</t>
  </si>
  <si>
    <t>LEAD1296</t>
  </si>
  <si>
    <t>olivia.evans@apexholdings.com</t>
  </si>
  <si>
    <t>Apex Holdings Inc.</t>
  </si>
  <si>
    <t>LEAD1297</t>
  </si>
  <si>
    <t>taylor.patel@eastgateconsulting.com</t>
  </si>
  <si>
    <t>Eastgate Consulting Co.</t>
  </si>
  <si>
    <t>LEAD1298</t>
  </si>
  <si>
    <t>nora.brooks@solsticeautomation.com</t>
  </si>
  <si>
    <t>Solstice Automation LLC</t>
  </si>
  <si>
    <t>LEAD1299</t>
  </si>
  <si>
    <t>Ironwood Partners Partners</t>
  </si>
  <si>
    <t>LEAD1300</t>
  </si>
  <si>
    <t>noah.nguyen@primedistribution.com</t>
  </si>
  <si>
    <t>Prime Distribution Co.</t>
  </si>
  <si>
    <t>Lead ID</t>
  </si>
  <si>
    <t>Company Name</t>
  </si>
  <si>
    <t>Lead Segment</t>
  </si>
  <si>
    <t>Owner Job Title</t>
  </si>
  <si>
    <t>Owner Segment</t>
  </si>
  <si>
    <t>Owner Territory</t>
  </si>
  <si>
    <t>Routing Status</t>
  </si>
  <si>
    <t>Routing Compatible</t>
  </si>
  <si>
    <t>Unassigned</t>
  </si>
  <si>
    <t>Wrong AE Territory</t>
  </si>
  <si>
    <t>Wrong Segment</t>
  </si>
  <si>
    <t>Needs Review - Territory</t>
  </si>
  <si>
    <t>Needs Review - Segment</t>
  </si>
  <si>
    <t>Unexpected Owner Role</t>
  </si>
  <si>
    <t>Total Leads</t>
  </si>
  <si>
    <t>opportunity_id</t>
  </si>
  <si>
    <t>opportunity_name</t>
  </si>
  <si>
    <t>primary_contact_id</t>
  </si>
  <si>
    <t>opportunity_type</t>
  </si>
  <si>
    <t>stage</t>
  </si>
  <si>
    <t>stage_probability</t>
  </si>
  <si>
    <t>forecast_category</t>
  </si>
  <si>
    <t>expected_close_date</t>
  </si>
  <si>
    <t>actual_close_date</t>
  </si>
  <si>
    <t>next_step</t>
  </si>
  <si>
    <t>last_activity_date</t>
  </si>
  <si>
    <t>closed_lost_reason</t>
  </si>
  <si>
    <t>list_arr</t>
  </si>
  <si>
    <t>discount_pct</t>
  </si>
  <si>
    <t>net_arr</t>
  </si>
  <si>
    <t>contract_term_months</t>
  </si>
  <si>
    <t>subscription_tcv</t>
  </si>
  <si>
    <t>implementation_fee_list</t>
  </si>
  <si>
    <t>implementation_discount_pct</t>
  </si>
  <si>
    <t>implementation_fee_booked</t>
  </si>
  <si>
    <t>payment_terms</t>
  </si>
  <si>
    <t>billing_schedule</t>
  </si>
  <si>
    <t>custom_pricing_flag</t>
  </si>
  <si>
    <t>nonstandard_contract_terms</t>
  </si>
  <si>
    <t>deal_desk_required</t>
  </si>
  <si>
    <t>OPP0001</t>
  </si>
  <si>
    <t>Clearwater Consulting - Expansion</t>
  </si>
  <si>
    <t>CON0329</t>
  </si>
  <si>
    <t>Expansion</t>
  </si>
  <si>
    <t>Closed Won</t>
  </si>
  <si>
    <t>Closed</t>
  </si>
  <si>
    <t>Net 30</t>
  </si>
  <si>
    <t>Annual in Advance</t>
  </si>
  <si>
    <t>Northstar Business Solutions Inc. - New Business</t>
  </si>
  <si>
    <t>New Business</t>
  </si>
  <si>
    <t>Proposal</t>
  </si>
  <si>
    <t>Pipeline</t>
  </si>
  <si>
    <t>Confirm commercial feedback</t>
  </si>
  <si>
    <t>OPP0003</t>
  </si>
  <si>
    <t>Sterling Distribution - New Business</t>
  </si>
  <si>
    <t>ClearPath Industrial - New Business</t>
  </si>
  <si>
    <t>Closed Lost</t>
  </si>
  <si>
    <t>Lost contact</t>
  </si>
  <si>
    <t>Other</t>
  </si>
  <si>
    <t>Elmwood Freight - New Business</t>
  </si>
  <si>
    <t>Best Case</t>
  </si>
  <si>
    <t>PrimePoint Software - New Business</t>
  </si>
  <si>
    <t>Qualification</t>
  </si>
  <si>
    <t>Review technical requirements</t>
  </si>
  <si>
    <t>Cobalt Precision Works - New Business</t>
  </si>
  <si>
    <t>Catalyst Health Partners Inc. - New Business</t>
  </si>
  <si>
    <t>Sterling Medical Group - New Business</t>
  </si>
  <si>
    <t>Discovery</t>
  </si>
  <si>
    <t>Schedule discovery follow-up</t>
  </si>
  <si>
    <t>Net 60</t>
  </si>
  <si>
    <t>OPP0010</t>
  </si>
  <si>
    <t>Ridgeview Marketplace - New Business</t>
  </si>
  <si>
    <t>Solution Evaluation</t>
  </si>
  <si>
    <t>Review integration requirements</t>
  </si>
  <si>
    <t>Quarterly</t>
  </si>
  <si>
    <t>OPP0011</t>
  </si>
  <si>
    <t>Rivermark Digital - New Business</t>
  </si>
  <si>
    <t>Riverbend Systems Group - New Business</t>
  </si>
  <si>
    <t>OPP0013</t>
  </si>
  <si>
    <t>Bluewater Freight - New Business</t>
  </si>
  <si>
    <t>Validate budget and timing</t>
  </si>
  <si>
    <t>PrimePoint Commerce Inc. - New Business</t>
  </si>
  <si>
    <t>Evergreen Wealth Partners LLC - New Business</t>
  </si>
  <si>
    <t>No decision</t>
  </si>
  <si>
    <t>Pricing</t>
  </si>
  <si>
    <t>OPP0017</t>
  </si>
  <si>
    <t>Skyline Health Partners - New Business</t>
  </si>
  <si>
    <t>CON0149</t>
  </si>
  <si>
    <t>OPP0018</t>
  </si>
  <si>
    <t>Skyline Precision Works Group - New Business</t>
  </si>
  <si>
    <t>CON0274</t>
  </si>
  <si>
    <t>OPP0019</t>
  </si>
  <si>
    <t>Sterling Labs - New Business</t>
  </si>
  <si>
    <t>CON0135</t>
  </si>
  <si>
    <t>Confirm decision process</t>
  </si>
  <si>
    <t>OPP0020</t>
  </si>
  <si>
    <t>Maplewood Consulting - New Business</t>
  </si>
  <si>
    <t>CON0438</t>
  </si>
  <si>
    <t>OPP0021</t>
  </si>
  <si>
    <t>Highland Fabrication - Expansion</t>
  </si>
  <si>
    <t>CON0147</t>
  </si>
  <si>
    <t>Granite Peak Freight - New Business</t>
  </si>
  <si>
    <t>No budget</t>
  </si>
  <si>
    <t>OPP0023</t>
  </si>
  <si>
    <t>Fairview Advisory Partners - New Business</t>
  </si>
  <si>
    <t>CON0382</t>
  </si>
  <si>
    <t>Commit</t>
  </si>
  <si>
    <t>Confirm signature timeline</t>
  </si>
  <si>
    <t>Suncrest Systems - New Business</t>
  </si>
  <si>
    <t>Project delayed</t>
  </si>
  <si>
    <t>Cobalt Supply Chain LLC - New Business</t>
  </si>
  <si>
    <t>Sterling Digital - New Business</t>
  </si>
  <si>
    <t>Bluewater Contracting - New Business</t>
  </si>
  <si>
    <t>OPP0028</t>
  </si>
  <si>
    <t>Crownstone Business Solutions Group - Expansion</t>
  </si>
  <si>
    <t>CON0237</t>
  </si>
  <si>
    <t>Net 45</t>
  </si>
  <si>
    <t>Vertex Services Group Group - New Business</t>
  </si>
  <si>
    <t>OPP0030</t>
  </si>
  <si>
    <t>ClearPath Support Services - Expansion</t>
  </si>
  <si>
    <t>CON0369</t>
  </si>
  <si>
    <t>Negotiation / Legal</t>
  </si>
  <si>
    <t>Review procurement terms</t>
  </si>
  <si>
    <t>OPP0031</t>
  </si>
  <si>
    <t>Brightwell Operations Group - New Business</t>
  </si>
  <si>
    <t>CON0372</t>
  </si>
  <si>
    <t>OPP0032</t>
  </si>
  <si>
    <t>OPP0033</t>
  </si>
  <si>
    <t>Silver Oak Systems Group - New Business</t>
  </si>
  <si>
    <t>CON0566</t>
  </si>
  <si>
    <t>Resolve contract comments</t>
  </si>
  <si>
    <t>OPP0034</t>
  </si>
  <si>
    <t>Ridgeview Retail Group - Expansion</t>
  </si>
  <si>
    <t>CON0171</t>
  </si>
  <si>
    <t>Send final agreement for signature</t>
  </si>
  <si>
    <t>OPP0035</t>
  </si>
  <si>
    <t>OPP0036</t>
  </si>
  <si>
    <t>Fairview Commerce Group - Expansion</t>
  </si>
  <si>
    <t>CON0523</t>
  </si>
  <si>
    <t>Bluewater Health Partners - New Business</t>
  </si>
  <si>
    <t>OPP0038</t>
  </si>
  <si>
    <t>Sterling Advisory - Expansion</t>
  </si>
  <si>
    <t>CON0213</t>
  </si>
  <si>
    <t>OPP0039</t>
  </si>
  <si>
    <t>Beacon Freight - New Business</t>
  </si>
  <si>
    <t>OPP0040</t>
  </si>
  <si>
    <t>Bluewater Precision Works - New Business</t>
  </si>
  <si>
    <t>CON0078</t>
  </si>
  <si>
    <t>Confirm business requirements</t>
  </si>
  <si>
    <t>Parkline Manufacturing - New Business</t>
  </si>
  <si>
    <t>Competitor selected</t>
  </si>
  <si>
    <t>OPP0042</t>
  </si>
  <si>
    <t>Crescent Solutions - New Business</t>
  </si>
  <si>
    <t>OPP0043</t>
  </si>
  <si>
    <t>CON0595</t>
  </si>
  <si>
    <t>Review proposal with buyer</t>
  </si>
  <si>
    <t>Foxbridge Labs LLC - New Business</t>
  </si>
  <si>
    <t>Silver Oak Professional Services LLC - New Business</t>
  </si>
  <si>
    <t>Complete final procurement steps</t>
  </si>
  <si>
    <t>OPP0046</t>
  </si>
  <si>
    <t>Westlake Support Services Group - New Business</t>
  </si>
  <si>
    <t>Monthly</t>
  </si>
  <si>
    <t>Foxbridge Financial Group - New Business</t>
  </si>
  <si>
    <t>Redwood Operations - New Business</t>
  </si>
  <si>
    <t>Requirements not met</t>
  </si>
  <si>
    <t>Apex Marketplace - New Business</t>
  </si>
  <si>
    <t>Arbor Care Network - New Business</t>
  </si>
  <si>
    <t>BluePeak Construction - New Business</t>
  </si>
  <si>
    <t>OPP0052</t>
  </si>
  <si>
    <t>Arbor Financial Services - Expansion</t>
  </si>
  <si>
    <t>CON0163</t>
  </si>
  <si>
    <t>OPP0053</t>
  </si>
  <si>
    <t>Arbor Software Inc. - New Business</t>
  </si>
  <si>
    <t>CON0301</t>
  </si>
  <si>
    <t>Clearwater Support Services Group - New Business</t>
  </si>
  <si>
    <t>OPP0055</t>
  </si>
  <si>
    <t>Cobalt Health Services - Expansion</t>
  </si>
  <si>
    <t>CON0232</t>
  </si>
  <si>
    <t>Arbor Learning Systems Group - New Business</t>
  </si>
  <si>
    <t>OPP0057</t>
  </si>
  <si>
    <t>Clearwater Software LLC - New Business</t>
  </si>
  <si>
    <t>CON0537</t>
  </si>
  <si>
    <t>Complete technical evaluation</t>
  </si>
  <si>
    <t>OPP0058</t>
  </si>
  <si>
    <t>Cobalt Builders Inc. - New Business</t>
  </si>
  <si>
    <t>Cedarstone Financial Group - New Business</t>
  </si>
  <si>
    <t>OPP0060</t>
  </si>
  <si>
    <t>Vertex Retail Inc. - New Business</t>
  </si>
  <si>
    <t>Westfield Retail Group - New Business</t>
  </si>
  <si>
    <t>OPP0064</t>
  </si>
  <si>
    <t>Eastwood Financial Services Group - Expansion</t>
  </si>
  <si>
    <t>OPP0065</t>
  </si>
  <si>
    <t>Clearwater Health Partners - New Business</t>
  </si>
  <si>
    <t>CON0218</t>
  </si>
  <si>
    <t>OPP0066</t>
  </si>
  <si>
    <t>Northstar Software - New Business</t>
  </si>
  <si>
    <t>CON0542</t>
  </si>
  <si>
    <t>Skyline Industries - New Business</t>
  </si>
  <si>
    <t>OPP0068</t>
  </si>
  <si>
    <t>Greenfield Services Group LLC - New Business</t>
  </si>
  <si>
    <t>CON0624</t>
  </si>
  <si>
    <t>OPP0069</t>
  </si>
  <si>
    <t>Clearwater Manufacturing - New Business</t>
  </si>
  <si>
    <t>OPP0070</t>
  </si>
  <si>
    <t>Mosaic Fabrication Inc. - New Business</t>
  </si>
  <si>
    <t>OPP0071</t>
  </si>
  <si>
    <t>Vantage Training - New Business</t>
  </si>
  <si>
    <t>OPP0072</t>
  </si>
  <si>
    <t>Evergreen Consulting - New Business</t>
  </si>
  <si>
    <t>OPP0074</t>
  </si>
  <si>
    <t>Beacon Software - Expansion</t>
  </si>
  <si>
    <t>CON0375</t>
  </si>
  <si>
    <t>OPP0075</t>
  </si>
  <si>
    <t>Cedarstone Health Services LLC - New Business</t>
  </si>
  <si>
    <t>OPP0077</t>
  </si>
  <si>
    <t>Brightwell Operations Group - Expansion</t>
  </si>
  <si>
    <t>OPP0078</t>
  </si>
  <si>
    <t>Sterling Digital - Expansion</t>
  </si>
  <si>
    <t>Brightwell Digital Group - New Business</t>
  </si>
  <si>
    <t>OPP0080</t>
  </si>
  <si>
    <t>Cedarstone Retail Group Inc. - New Business</t>
  </si>
  <si>
    <t>OPP0082</t>
  </si>
  <si>
    <t>Blue Harbor Health Services - Expansion</t>
  </si>
  <si>
    <t>OPP0083</t>
  </si>
  <si>
    <t>Oakridge Distribution - New Business</t>
  </si>
  <si>
    <t>CON0276</t>
  </si>
  <si>
    <t>Finalize pricing and legal terms</t>
  </si>
  <si>
    <t>Rivermark Medical Group - New Business</t>
  </si>
  <si>
    <t>OPP0085</t>
  </si>
  <si>
    <t>Catalyst Supply Chain LLC - New Business</t>
  </si>
  <si>
    <t>CON0480</t>
  </si>
  <si>
    <t>Schedule pricing review</t>
  </si>
  <si>
    <t>Redwood Fabrication - New Business</t>
  </si>
  <si>
    <t>Lakeshore Training - New Business</t>
  </si>
  <si>
    <t>OPP0088</t>
  </si>
  <si>
    <t>Silver Oak Retail Group - New Business</t>
  </si>
  <si>
    <t>OPP0089</t>
  </si>
  <si>
    <t>Frontier Precision Works LLC - New Business</t>
  </si>
  <si>
    <t>Vantage Freight LLC - New Business</t>
  </si>
  <si>
    <t>OPP0091</t>
  </si>
  <si>
    <t>Crownstone Fabrication - New Business</t>
  </si>
  <si>
    <t>Brookstone Precision Works - New Business</t>
  </si>
  <si>
    <t>OPP0095</t>
  </si>
  <si>
    <t>Identify additional stakeholders</t>
  </si>
  <si>
    <t>Pioneer Software - New Business</t>
  </si>
  <si>
    <t>OPP0097</t>
  </si>
  <si>
    <t>Northwind Systems - Expansion</t>
  </si>
  <si>
    <t>CON0528</t>
  </si>
  <si>
    <t>Elmwood Transportation - New Business</t>
  </si>
  <si>
    <t>Highpoint Health Partners - New Business</t>
  </si>
  <si>
    <t>OPP0102</t>
  </si>
  <si>
    <t>Summit Ridge Academy Group - New Business</t>
  </si>
  <si>
    <t>CON0238</t>
  </si>
  <si>
    <t>OPP0103</t>
  </si>
  <si>
    <t>Vertex Logistics - Expansion</t>
  </si>
  <si>
    <t>OPP0104</t>
  </si>
  <si>
    <t>OPP0107</t>
  </si>
  <si>
    <t>Northstar Technologies Inc. - New Business</t>
  </si>
  <si>
    <t>CON0160</t>
  </si>
  <si>
    <t>Apex Retail - New Business</t>
  </si>
  <si>
    <t>Blue Harbor Brands - New Business</t>
  </si>
  <si>
    <t>OPP0110</t>
  </si>
  <si>
    <t>Granite Peak Clinical Services - New Business</t>
  </si>
  <si>
    <t>CON0315</t>
  </si>
  <si>
    <t>OPP0111</t>
  </si>
  <si>
    <t>Harborview Digital - New Business</t>
  </si>
  <si>
    <t>CON0064</t>
  </si>
  <si>
    <t>Stonebridge Professional Services Group - New Business</t>
  </si>
  <si>
    <t>Brightwell Fabrication Inc. - New Business</t>
  </si>
  <si>
    <t>OPP0114</t>
  </si>
  <si>
    <t>Skyline Systems - New Business</t>
  </si>
  <si>
    <t>Frontier Builders - New Business</t>
  </si>
  <si>
    <t>OPP0117</t>
  </si>
  <si>
    <t>Lakeshore Infrastructure - New Business</t>
  </si>
  <si>
    <t>OPP0118</t>
  </si>
  <si>
    <t>BluePeak Brands - New Business</t>
  </si>
  <si>
    <t>CON0384</t>
  </si>
  <si>
    <t>OPP0119</t>
  </si>
  <si>
    <t>Ironwood Industrial Inc. - New Business</t>
  </si>
  <si>
    <t>CON0313</t>
  </si>
  <si>
    <t>OPP0120</t>
  </si>
  <si>
    <t>OpenGate Solutions - New Business</t>
  </si>
  <si>
    <t>Northstar Professional Services - New Business</t>
  </si>
  <si>
    <t>OPP0122</t>
  </si>
  <si>
    <t>Sterling Distribution - Expansion</t>
  </si>
  <si>
    <t>OPP0123</t>
  </si>
  <si>
    <t>Skyline Business Solutions - New Business</t>
  </si>
  <si>
    <t>CON0186</t>
  </si>
  <si>
    <t>Silver Oak Academy - New Business</t>
  </si>
  <si>
    <t>TrueNorth Supply Chain - New Business</t>
  </si>
  <si>
    <t>ClearPath Advisory - New Business</t>
  </si>
  <si>
    <t>OPP0129</t>
  </si>
  <si>
    <t>OPP0130</t>
  </si>
  <si>
    <t>Harborview Capital - New Business</t>
  </si>
  <si>
    <t>OPP0132</t>
  </si>
  <si>
    <t>Eastgate Advisory Group - Expansion</t>
  </si>
  <si>
    <t>CON0080</t>
  </si>
  <si>
    <t>OPP0134</t>
  </si>
  <si>
    <t>Brookstone Labs Inc. - Expansion</t>
  </si>
  <si>
    <t>Vertex Logistics - New Business</t>
  </si>
  <si>
    <t>OPP0136</t>
  </si>
  <si>
    <t>Vertex Wealth Partners Inc. - New Business</t>
  </si>
  <si>
    <t>OPP0137</t>
  </si>
  <si>
    <t>Cornerstone Construction - New Business</t>
  </si>
  <si>
    <t>Eastwood Financial Services Group - New Business</t>
  </si>
  <si>
    <t>Oakridge Industries - New Business</t>
  </si>
  <si>
    <t>OPP0140</t>
  </si>
  <si>
    <t>Skyline Care Network - New Business</t>
  </si>
  <si>
    <t>Sterling Advisory - New Business</t>
  </si>
  <si>
    <t>OPP0143</t>
  </si>
  <si>
    <t>OPP0145</t>
  </si>
  <si>
    <t>Cornerstone Industries Inc. - New Business</t>
  </si>
  <si>
    <t>Brookstone Learning Systems - New Business</t>
  </si>
  <si>
    <t>OPP0147</t>
  </si>
  <si>
    <t>Stonebridge Financial Services Group - New Business</t>
  </si>
  <si>
    <t>CON0600</t>
  </si>
  <si>
    <t>Brookstone Health Services - New Business</t>
  </si>
  <si>
    <t>Skyline Fabrication LLC - New Business</t>
  </si>
  <si>
    <t>OPP0151</t>
  </si>
  <si>
    <t>CON0453</t>
  </si>
  <si>
    <t>OPP0152</t>
  </si>
  <si>
    <t>Fairview Manufacturing - New Business</t>
  </si>
  <si>
    <t>OPP0153</t>
  </si>
  <si>
    <t>TrueNorth Marketplace Inc. - Expansion</t>
  </si>
  <si>
    <t>CON0471</t>
  </si>
  <si>
    <t>Ironwood Software Group - New Business</t>
  </si>
  <si>
    <t>Stonebridge Learning - New Business</t>
  </si>
  <si>
    <t>Frontier Software - New Business</t>
  </si>
  <si>
    <t>BrightPath Advisory Partners LLC - New Business</t>
  </si>
  <si>
    <t>Bluewater Industrial - New Business</t>
  </si>
  <si>
    <t>Cedarstone Operations - New Business</t>
  </si>
  <si>
    <t>Cornerstone Advisory Partners - New Business</t>
  </si>
  <si>
    <t>OPP0162</t>
  </si>
  <si>
    <t>OPP0163</t>
  </si>
  <si>
    <t>Ridgeview Consulting Group - New Business</t>
  </si>
  <si>
    <t>CON0634</t>
  </si>
  <si>
    <t>OPP0164</t>
  </si>
  <si>
    <t>Redstone Construction - New Business</t>
  </si>
  <si>
    <t>Highpoint Freight - New Business</t>
  </si>
  <si>
    <t>OPP0167</t>
  </si>
  <si>
    <t>Brookstone Retail Group - New Business</t>
  </si>
  <si>
    <t>CON0573</t>
  </si>
  <si>
    <t>OPP0168</t>
  </si>
  <si>
    <t>Riverbend Academy - New Business</t>
  </si>
  <si>
    <t>CON0027</t>
  </si>
  <si>
    <t>Pioneer Care Network Inc. - New Business</t>
  </si>
  <si>
    <t>Vertex Consulting - New Business</t>
  </si>
  <si>
    <t>OPP0172</t>
  </si>
  <si>
    <t>CON0148</t>
  </si>
  <si>
    <t>OPP0175</t>
  </si>
  <si>
    <t>OPP0176</t>
  </si>
  <si>
    <t>Schedule product demo</t>
  </si>
  <si>
    <t>OPP0178</t>
  </si>
  <si>
    <t>Vantage Systems - New Business</t>
  </si>
  <si>
    <t>OPP0180</t>
  </si>
  <si>
    <t>CON0044</t>
  </si>
  <si>
    <t>OPP0183</t>
  </si>
  <si>
    <t>Meridian Financial Services - New Business</t>
  </si>
  <si>
    <t>CON0260</t>
  </si>
  <si>
    <t>Cedarstone Freight LLC - New Business</t>
  </si>
  <si>
    <t>OPP0186</t>
  </si>
  <si>
    <t>Riverbend Medical Group Inc. - New Business</t>
  </si>
  <si>
    <t>OPP0187</t>
  </si>
  <si>
    <t>Fairview Commerce Group - New Business</t>
  </si>
  <si>
    <t>CON0522</t>
  </si>
  <si>
    <t>Westfield Construction Group - New Business</t>
  </si>
  <si>
    <t>Blue Harbor Precision Works LLC - New Business</t>
  </si>
  <si>
    <t>OPP0190</t>
  </si>
  <si>
    <t>Arbor Financial Services - New Business</t>
  </si>
  <si>
    <t>OPP0193</t>
  </si>
  <si>
    <t>OPP0194</t>
  </si>
  <si>
    <t>OPP0195</t>
  </si>
  <si>
    <t>Vertex Digital Group - Expansion</t>
  </si>
  <si>
    <t>CON0182</t>
  </si>
  <si>
    <t>Greenfield Industries LLC - New Business</t>
  </si>
  <si>
    <t>OPP0197</t>
  </si>
  <si>
    <t>Brookstone Labs Inc. - New Business</t>
  </si>
  <si>
    <t>Beacon Capital - New Business</t>
  </si>
  <si>
    <t>ClearPath Manufacturing LLC - New Business</t>
  </si>
  <si>
    <t>OPP0201</t>
  </si>
  <si>
    <t>Stonebridge Services Group - New Business</t>
  </si>
  <si>
    <t>CON0599</t>
  </si>
  <si>
    <t>Brookstone Solutions Inc. - New Business</t>
  </si>
  <si>
    <t>OPP0203</t>
  </si>
  <si>
    <t>CON0335</t>
  </si>
  <si>
    <t>OPP0205</t>
  </si>
  <si>
    <t>Redwood Manufacturing Inc. - New Business</t>
  </si>
  <si>
    <t>CON0525</t>
  </si>
  <si>
    <t>Summit Ridge Builders Group - New Business</t>
  </si>
  <si>
    <t>OPP0207</t>
  </si>
  <si>
    <t>Redstone Manufacturing - New Business</t>
  </si>
  <si>
    <t>OPP0208</t>
  </si>
  <si>
    <t>BluePeak Care Network - New Business</t>
  </si>
  <si>
    <t>CON0373</t>
  </si>
  <si>
    <t>Suncrest Care Network - New Business</t>
  </si>
  <si>
    <t>TrueNorth Health Services - New Business</t>
  </si>
  <si>
    <t>Keystone Labs LLC - New Business</t>
  </si>
  <si>
    <t>Bridgeway Learning Systems Group - New Business</t>
  </si>
  <si>
    <t>OPP0215</t>
  </si>
  <si>
    <t>OPP0216</t>
  </si>
  <si>
    <t>BluePeak Care Network - Expansion</t>
  </si>
  <si>
    <t>OPP0217</t>
  </si>
  <si>
    <t>Keystone Labs - New Business</t>
  </si>
  <si>
    <t>Cobalt Clinical Services LLC - New Business</t>
  </si>
  <si>
    <t>Clearwater Precision Works LLC - New Business</t>
  </si>
  <si>
    <t>OPP0220</t>
  </si>
  <si>
    <t>Apex Precision Works LLC - New Business</t>
  </si>
  <si>
    <t>CON0013</t>
  </si>
  <si>
    <t>OPP0221</t>
  </si>
  <si>
    <t>Granite Peak Business Services Inc. - New Business</t>
  </si>
  <si>
    <t>CON0321</t>
  </si>
  <si>
    <t>Rivermark Capital Group - New Business</t>
  </si>
  <si>
    <t>OPP0226</t>
  </si>
  <si>
    <t>Granite Peak Advisory Partners - New Business</t>
  </si>
  <si>
    <t>OPP0229</t>
  </si>
  <si>
    <t>Foxbridge Capital - Expansion</t>
  </si>
  <si>
    <t>CON0456</t>
  </si>
  <si>
    <t>Goldcrest Distribution Inc. - New Business</t>
  </si>
  <si>
    <t>OPP0231</t>
  </si>
  <si>
    <t>Maplewood Systems - New Business</t>
  </si>
  <si>
    <t>Horizon Operations Group - New Business</t>
  </si>
  <si>
    <t>OPP0234</t>
  </si>
  <si>
    <t>Cobalt Health Services - New Business</t>
  </si>
  <si>
    <t>TrueNorth Fabrication - New Business</t>
  </si>
  <si>
    <t>OPP0237</t>
  </si>
  <si>
    <t>OPP0238</t>
  </si>
  <si>
    <t>Suncrest Care Network - Expansion</t>
  </si>
  <si>
    <t>OPP0240</t>
  </si>
  <si>
    <t>OPP0241</t>
  </si>
  <si>
    <t>Stonebridge Solutions - Expansion</t>
  </si>
  <si>
    <t>CON0176</t>
  </si>
  <si>
    <t>Silverline Transportation - New Business</t>
  </si>
  <si>
    <t>Granite Peak Care Network LLC - New Business</t>
  </si>
  <si>
    <t>OPP0246</t>
  </si>
  <si>
    <t>CON0641</t>
  </si>
  <si>
    <t>OPP0248</t>
  </si>
  <si>
    <t>Skyline Clinical Services - New Business</t>
  </si>
  <si>
    <t>Westlake Services Group - New Business</t>
  </si>
  <si>
    <t>OPP0250</t>
  </si>
  <si>
    <t>Frontier Academy Group - New Business</t>
  </si>
  <si>
    <t>CON0649</t>
  </si>
  <si>
    <t>Harborview Clinical Services Group - New Business</t>
  </si>
  <si>
    <t>OPP0253</t>
  </si>
  <si>
    <t>OPP0255</t>
  </si>
  <si>
    <t>CON0161</t>
  </si>
  <si>
    <t>OPP0256</t>
  </si>
  <si>
    <t>Lakeview Support Services - New Business</t>
  </si>
  <si>
    <t>CON0552</t>
  </si>
  <si>
    <t>OPP0258</t>
  </si>
  <si>
    <t>Crownstone Financial Services Group - New Business</t>
  </si>
  <si>
    <t>BluePeak Distribution Group - New Business</t>
  </si>
  <si>
    <t>Cobalt Labs - New Business</t>
  </si>
  <si>
    <t>Northwind Learning Systems Group - New Business</t>
  </si>
  <si>
    <t>OPP0262</t>
  </si>
  <si>
    <t>Pinecrest Fabrication Group - New Business</t>
  </si>
  <si>
    <t>CON0629</t>
  </si>
  <si>
    <t>Eastgate Supply Chain - New Business</t>
  </si>
  <si>
    <t>Highland Clinical Services - New Business</t>
  </si>
  <si>
    <t>OPP0266</t>
  </si>
  <si>
    <t>OPP0267</t>
  </si>
  <si>
    <t>Riverbend Learning Systems - Expansion</t>
  </si>
  <si>
    <t>CON0512</t>
  </si>
  <si>
    <t>Clearwater Financial Group - New Business</t>
  </si>
  <si>
    <t>OPP0269</t>
  </si>
  <si>
    <t>Granite Peak Manufacturing LLC - New Business</t>
  </si>
  <si>
    <t>OPP0271</t>
  </si>
  <si>
    <t>Elmwood Wealth Partners - New Business</t>
  </si>
  <si>
    <t>CON0462</t>
  </si>
  <si>
    <t>OPP0272</t>
  </si>
  <si>
    <t>Redstone Marketplace Inc. - New Business</t>
  </si>
  <si>
    <t>CON0251</t>
  </si>
  <si>
    <t>OPP0273</t>
  </si>
  <si>
    <t>Vertex Support Services - New Business</t>
  </si>
  <si>
    <t>Frontier Learning - New Business</t>
  </si>
  <si>
    <t>Beacon Health Partners - New Business</t>
  </si>
  <si>
    <t>OPP0278</t>
  </si>
  <si>
    <t>OPP0279</t>
  </si>
  <si>
    <t>Crestpoint Medical Group - New Business</t>
  </si>
  <si>
    <t>CON0040</t>
  </si>
  <si>
    <t>Apex Technologies Group - New Business</t>
  </si>
  <si>
    <t>Frontier Financial Services Inc. - New Business</t>
  </si>
  <si>
    <t>OPP0282</t>
  </si>
  <si>
    <t>Skyline Fabrication - New Business</t>
  </si>
  <si>
    <t>CON0359</t>
  </si>
  <si>
    <t>Rivermark Labs Inc. - New Business</t>
  </si>
  <si>
    <t>Foxbridge Capital - New Business</t>
  </si>
  <si>
    <t>OPP0287</t>
  </si>
  <si>
    <t>OPP0289</t>
  </si>
  <si>
    <t>BrightPath Health Partners LLC - New Business</t>
  </si>
  <si>
    <t>OPP0290</t>
  </si>
  <si>
    <t>Highland Digital - New Business</t>
  </si>
  <si>
    <t>CON0173</t>
  </si>
  <si>
    <t>Greenfield Software - New Business</t>
  </si>
  <si>
    <t>OPP0292</t>
  </si>
  <si>
    <t>Riverbend Learning Systems - New Business</t>
  </si>
  <si>
    <t>Horizon Fabrication - New Business</t>
  </si>
  <si>
    <t>Blue Harbor Digital Inc. - New Business</t>
  </si>
  <si>
    <t>OPP0299</t>
  </si>
  <si>
    <t>Northwind Brands - New Business</t>
  </si>
  <si>
    <t>CON0637</t>
  </si>
  <si>
    <t>OPP0301</t>
  </si>
  <si>
    <t>Lakeshore Manufacturing - New Business</t>
  </si>
  <si>
    <t>CON0532</t>
  </si>
  <si>
    <t>OPP0302</t>
  </si>
  <si>
    <t>OPP0303</t>
  </si>
  <si>
    <t>OPP0304</t>
  </si>
  <si>
    <t>OPP0305</t>
  </si>
  <si>
    <t>CON0144</t>
  </si>
  <si>
    <t>OPP0306</t>
  </si>
  <si>
    <t>Bluewater Contracting - Expansion</t>
  </si>
  <si>
    <t>Ridgeview Retail Group - New Business</t>
  </si>
  <si>
    <t>OPP0308</t>
  </si>
  <si>
    <t>Westfield Labs - Expansion</t>
  </si>
  <si>
    <t>OPP0309</t>
  </si>
  <si>
    <t>Highland Fabrication - New Business</t>
  </si>
  <si>
    <t>Pinecrest Labs - New Business</t>
  </si>
  <si>
    <t>Riverbend Consulting Group - New Business</t>
  </si>
  <si>
    <t>Northstar Commerce - New Business</t>
  </si>
  <si>
    <t>Evergreen Services Group Inc. - New Business</t>
  </si>
  <si>
    <t>Rivermark Retail - New Business</t>
  </si>
  <si>
    <t>OPP0317</t>
  </si>
  <si>
    <t>Elmwood Transportation - Expansion</t>
  </si>
  <si>
    <t>Maplewood Distribution Inc. - New Business</t>
  </si>
  <si>
    <t>OPP0319</t>
  </si>
  <si>
    <t>Oakridge Professional Services - New Business</t>
  </si>
  <si>
    <t>OPP0321</t>
  </si>
  <si>
    <t>OPP0324</t>
  </si>
  <si>
    <t>Brookstone Software - New Business</t>
  </si>
  <si>
    <t>CON0434</t>
  </si>
  <si>
    <t>OPP0325</t>
  </si>
  <si>
    <t>Keystone Builders - New Business</t>
  </si>
  <si>
    <t>CON0617</t>
  </si>
  <si>
    <t>OPP0326</t>
  </si>
  <si>
    <t>OPP0328</t>
  </si>
  <si>
    <t>Fairview Digital - New Business</t>
  </si>
  <si>
    <t>OPP0330</t>
  </si>
  <si>
    <t>OpenGate Advisory Partners Inc. - New Business</t>
  </si>
  <si>
    <t>OPP0331</t>
  </si>
  <si>
    <t>OPP0332</t>
  </si>
  <si>
    <t>Suncrest Freight Inc. - New Business</t>
  </si>
  <si>
    <t>Westfield Labs - New Business</t>
  </si>
  <si>
    <t>OPP0339</t>
  </si>
  <si>
    <t>Brookstone Business Solutions - New Business</t>
  </si>
  <si>
    <t>OPP0341</t>
  </si>
  <si>
    <t>Bluewater Builders - New Business</t>
  </si>
  <si>
    <t>Oakridge Support Services - New Business</t>
  </si>
  <si>
    <t>OPP0343</t>
  </si>
  <si>
    <t>Fairview Consulting Group - New Business</t>
  </si>
  <si>
    <t>CON0346</t>
  </si>
  <si>
    <t>Suncrest Clinical Services - New Business</t>
  </si>
  <si>
    <t>OPP0345</t>
  </si>
  <si>
    <t>Catalyst Support Services - Expansion</t>
  </si>
  <si>
    <t>CON0227</t>
  </si>
  <si>
    <t>OPP0346</t>
  </si>
  <si>
    <t>OPP0347</t>
  </si>
  <si>
    <t>Silver Oak Manufacturing - Expansion</t>
  </si>
  <si>
    <t>CON0295</t>
  </si>
  <si>
    <t>OPP0350</t>
  </si>
  <si>
    <t>Meridian Financial Services - Expansion</t>
  </si>
  <si>
    <t>OPP0351</t>
  </si>
  <si>
    <t>OPP0352</t>
  </si>
  <si>
    <t>OPP0353</t>
  </si>
  <si>
    <t>Vertex Digital LLC - New Business</t>
  </si>
  <si>
    <t>CON0037</t>
  </si>
  <si>
    <t>OPP0355</t>
  </si>
  <si>
    <t>Riverbend Contracting Group - New Business</t>
  </si>
  <si>
    <t>OPP0357</t>
  </si>
  <si>
    <t>Harborview Retail Group - New Business</t>
  </si>
  <si>
    <t>OPP0360</t>
  </si>
  <si>
    <t>Brookstone Technologies - New Business</t>
  </si>
  <si>
    <t>CON0441</t>
  </si>
  <si>
    <t>Maplewood Brands - New Business</t>
  </si>
  <si>
    <t>Ironwood Precision Works - New Business</t>
  </si>
  <si>
    <t>Mosaic Precision Works - New Business</t>
  </si>
  <si>
    <t>OPP0366</t>
  </si>
  <si>
    <t>Sterling Digital Inc. - New Business</t>
  </si>
  <si>
    <t>OPP0368</t>
  </si>
  <si>
    <t>Evergreen Support Services - New Business</t>
  </si>
  <si>
    <t>OPP0369</t>
  </si>
  <si>
    <t>CON0023</t>
  </si>
  <si>
    <t>OPP0370</t>
  </si>
  <si>
    <t>BluePeak Construction - Expansion</t>
  </si>
  <si>
    <t>OPP0371</t>
  </si>
  <si>
    <t>CON0219</t>
  </si>
  <si>
    <t>Highpoint Financial Services Group - New Business</t>
  </si>
  <si>
    <t>OPP0375</t>
  </si>
  <si>
    <t>Highland Logistics - New Business</t>
  </si>
  <si>
    <t>OPP0376</t>
  </si>
  <si>
    <t>OPP0378</t>
  </si>
  <si>
    <t>Beacon Capital - Expansion</t>
  </si>
  <si>
    <t>BluePeak Fabrication - New Business</t>
  </si>
  <si>
    <t>OPP0380</t>
  </si>
  <si>
    <t>Parkline Professional Services - New Business</t>
  </si>
  <si>
    <t>OPP0383</t>
  </si>
  <si>
    <t>OPP0384</t>
  </si>
  <si>
    <t>OPP0385</t>
  </si>
  <si>
    <t>Horizon Support Services - Expansion</t>
  </si>
  <si>
    <t>CON0547</t>
  </si>
  <si>
    <t>OPP0387</t>
  </si>
  <si>
    <t>Cobalt Clinical Services LLC - Expansion</t>
  </si>
  <si>
    <t>CON0242</t>
  </si>
  <si>
    <t>OPP0388</t>
  </si>
  <si>
    <t>Riverbend Support Services Inc. - New Business</t>
  </si>
  <si>
    <t>OPP0390</t>
  </si>
  <si>
    <t>Skyline Clinical Services - Expansion</t>
  </si>
  <si>
    <t>OPP0391</t>
  </si>
  <si>
    <t>Foxbridge Training Inc. - New Business</t>
  </si>
  <si>
    <t>CON0082</t>
  </si>
  <si>
    <t>OPP0393</t>
  </si>
  <si>
    <t>CON0308</t>
  </si>
  <si>
    <t>OPP0395</t>
  </si>
  <si>
    <t>Ironwood Financial Group - New Business</t>
  </si>
  <si>
    <t>OPP0396</t>
  </si>
  <si>
    <t>Northwind Contracting LLC - New Business</t>
  </si>
  <si>
    <t>CON0264</t>
  </si>
  <si>
    <t>OPP0398</t>
  </si>
  <si>
    <t>OPP0399</t>
  </si>
  <si>
    <t>Clearwater Transportation - New Business</t>
  </si>
  <si>
    <t>OPP0400</t>
  </si>
  <si>
    <t>Vantage Transportation Group - New Business</t>
  </si>
  <si>
    <t>CON0061</t>
  </si>
  <si>
    <t>Horizon Support Services - New Business</t>
  </si>
  <si>
    <t>OPP0402</t>
  </si>
  <si>
    <t>Clearwater Financial Group - Expansion</t>
  </si>
  <si>
    <t>OPP0405</t>
  </si>
  <si>
    <t>CON0377</t>
  </si>
  <si>
    <t>OPP0406</t>
  </si>
  <si>
    <t>OPP0407</t>
  </si>
  <si>
    <t>OPP0408</t>
  </si>
  <si>
    <t>Bluewater Manufacturing - New Business</t>
  </si>
  <si>
    <t>OPP0411</t>
  </si>
  <si>
    <t>OPP0412</t>
  </si>
  <si>
    <t>OPP0413</t>
  </si>
  <si>
    <t>Oakridge Industries - Expansion</t>
  </si>
  <si>
    <t>OPP0414</t>
  </si>
  <si>
    <t>OPP0415</t>
  </si>
  <si>
    <t>OPP0416</t>
  </si>
  <si>
    <t>CON0094</t>
  </si>
  <si>
    <t>OPP0417</t>
  </si>
  <si>
    <t>ClearPath Manufacturing LLC - Expansion</t>
  </si>
  <si>
    <t>OPP0418</t>
  </si>
  <si>
    <t>OPP0419</t>
  </si>
  <si>
    <t>OPP0420</t>
  </si>
  <si>
    <t>Cedarstone Software - Expansion</t>
  </si>
  <si>
    <t>OPP0421</t>
  </si>
  <si>
    <t>Blue Harbor Health Services - New Business</t>
  </si>
  <si>
    <t>Opportunity ID</t>
  </si>
  <si>
    <t>Opportunity Name</t>
  </si>
  <si>
    <t>Lead Source</t>
  </si>
  <si>
    <t>Stage</t>
  </si>
  <si>
    <t>Net ARR</t>
  </si>
  <si>
    <t>Expected Close Date</t>
  </si>
  <si>
    <t>Last Activity Date</t>
  </si>
  <si>
    <t>Next Step</t>
  </si>
  <si>
    <t>Days Overdue</t>
  </si>
  <si>
    <t>Days Since Last Activity</t>
  </si>
  <si>
    <t>Pipeline Health</t>
  </si>
  <si>
    <t>Critical Field Gap</t>
  </si>
  <si>
    <t>Open Opportunities</t>
  </si>
  <si>
    <t>Healthy</t>
  </si>
  <si>
    <t>Overdue</t>
  </si>
  <si>
    <t>Stale</t>
  </si>
  <si>
    <t>Stale + Overdue</t>
  </si>
  <si>
    <t>Flagged Open Opportunities</t>
  </si>
  <si>
    <t>Open Opps With Any Critical Gap</t>
  </si>
  <si>
    <t>Missing Source</t>
  </si>
  <si>
    <t>Missing Next Step</t>
  </si>
  <si>
    <t>Missing Owner</t>
  </si>
  <si>
    <t>approval_id</t>
  </si>
  <si>
    <t>approval_type</t>
  </si>
  <si>
    <t>requested_by_user_id</t>
  </si>
  <si>
    <t>approver_user_id</t>
  </si>
  <si>
    <t>requested_at</t>
  </si>
  <si>
    <t>decision_at</t>
  </si>
  <si>
    <t>approval_status</t>
  </si>
  <si>
    <t>requested_discount_pct</t>
  </si>
  <si>
    <t>exception_details</t>
  </si>
  <si>
    <t>business_justification</t>
  </si>
  <si>
    <t>approver_comments</t>
  </si>
  <si>
    <t>APR0000001</t>
  </si>
  <si>
    <t>Discount</t>
  </si>
  <si>
    <t>Approved</t>
  </si>
  <si>
    <t>Recurring subscription discount requested at 15.2%</t>
  </si>
  <si>
    <t>Customer requested flexibility to meet procurement requirements</t>
  </si>
  <si>
    <t>Approved based on documented business case</t>
  </si>
  <si>
    <t>APR0000002</t>
  </si>
  <si>
    <t>Payment Terms</t>
  </si>
  <si>
    <t>Requested Other terms / Quarterly billing</t>
  </si>
  <si>
    <t>Multi-year commitment with expansion potential</t>
  </si>
  <si>
    <t>Approved for this transaction only</t>
  </si>
  <si>
    <t>APR0000003</t>
  </si>
  <si>
    <t>Recurring subscription discount requested at 21.4%</t>
  </si>
  <si>
    <t>Expanded product scope supports the requested concession</t>
  </si>
  <si>
    <t>Approved as requested</t>
  </si>
  <si>
    <t>APR0000004</t>
  </si>
  <si>
    <t>Requested Net 60 terms / Annual in Advance billing</t>
  </si>
  <si>
    <t>Competitive situation with a strategic prospect</t>
  </si>
  <si>
    <t>Approved with no additional concessions</t>
  </si>
  <si>
    <t>APR0000005</t>
  </si>
  <si>
    <t>Customer Fit</t>
  </si>
  <si>
    <t>Prospect falls outside standard target-market boundaries</t>
  </si>
  <si>
    <t>APR0000006</t>
  </si>
  <si>
    <t>Recurring subscription discount requested at 14.0%</t>
  </si>
  <si>
    <t>APR0000007</t>
  </si>
  <si>
    <t>Recurring subscription discount requested at 22.7%</t>
  </si>
  <si>
    <t>APR0000008</t>
  </si>
  <si>
    <t>Recurring subscription discount requested at 19.5%</t>
  </si>
  <si>
    <t>Strategic logo with strong reference potential</t>
  </si>
  <si>
    <t>APR0000009</t>
  </si>
  <si>
    <t>Custom Pricing</t>
  </si>
  <si>
    <t>Nonstandard/custom pricing arrangement requested</t>
  </si>
  <si>
    <t>APR0000010</t>
  </si>
  <si>
    <t>Recurring subscription discount requested at 21.7%</t>
  </si>
  <si>
    <t>APR0000011</t>
  </si>
  <si>
    <t>Requested Net 60 terms / Other billing</t>
  </si>
  <si>
    <t>APR0000012</t>
  </si>
  <si>
    <t>APR0000013</t>
  </si>
  <si>
    <t>APR0000014</t>
  </si>
  <si>
    <t>Requested Net 30 terms / Monthly billing</t>
  </si>
  <si>
    <t>Commercial exception needed to keep the deal on schedule</t>
  </si>
  <si>
    <t>APR0000015</t>
  </si>
  <si>
    <t>Recurring subscription discount requested at 12.6%</t>
  </si>
  <si>
    <t>APR0000016</t>
  </si>
  <si>
    <t>Recurring subscription discount requested at 29.1%</t>
  </si>
  <si>
    <t>APR0000017</t>
  </si>
  <si>
    <t>Requested Other terms / Annual in Advance billing</t>
  </si>
  <si>
    <t>APR0000018</t>
  </si>
  <si>
    <t>Implementation Discount</t>
  </si>
  <si>
    <t>Implementation fee discount requested at 23.7%</t>
  </si>
  <si>
    <t>APR0000019</t>
  </si>
  <si>
    <t>Requested Net 30 terms / Quarterly billing</t>
  </si>
  <si>
    <t>APR0000020</t>
  </si>
  <si>
    <t>APR0000021</t>
  </si>
  <si>
    <t>Recurring subscription discount requested at 10.5%</t>
  </si>
  <si>
    <t>APR0000022</t>
  </si>
  <si>
    <t>Recurring subscription discount requested at 22.6%</t>
  </si>
  <si>
    <t>APR0000023</t>
  </si>
  <si>
    <t>Recurring subscription discount requested at 22.2%</t>
  </si>
  <si>
    <t>APR0000024</t>
  </si>
  <si>
    <t>Recurring subscription discount requested at 23.8%</t>
  </si>
  <si>
    <t>APR0000025</t>
  </si>
  <si>
    <t>APR0000026</t>
  </si>
  <si>
    <t>Recurring subscription discount requested at 14.1%</t>
  </si>
  <si>
    <t>APR0000027</t>
  </si>
  <si>
    <t>Recurring subscription discount requested at 34.4%</t>
  </si>
  <si>
    <t>APR0000028</t>
  </si>
  <si>
    <t>Recurring subscription discount requested at 12.7%</t>
  </si>
  <si>
    <t>APR0000029</t>
  </si>
  <si>
    <t>Requested Net 45 terms / Annual in Advance billing</t>
  </si>
  <si>
    <t>APR0000030</t>
  </si>
  <si>
    <t>Recurring subscription discount requested at 22.8%</t>
  </si>
  <si>
    <t>APR0000031</t>
  </si>
  <si>
    <t>Recurring subscription discount requested at 32.6%</t>
  </si>
  <si>
    <t>APR0000032</t>
  </si>
  <si>
    <t>Recurring subscription discount requested at 17.2%</t>
  </si>
  <si>
    <t>APR0000033</t>
  </si>
  <si>
    <t>APR0000034</t>
  </si>
  <si>
    <t>Recurring subscription discount requested at 23.0%</t>
  </si>
  <si>
    <t>APR0000035</t>
  </si>
  <si>
    <t>Pending</t>
  </si>
  <si>
    <t>Recurring subscription discount requested at 13.3%</t>
  </si>
  <si>
    <t>APR0000036</t>
  </si>
  <si>
    <t>APR0000037</t>
  </si>
  <si>
    <t>APR0000038</t>
  </si>
  <si>
    <t>APR0000039</t>
  </si>
  <si>
    <t>APR0000040</t>
  </si>
  <si>
    <t>APR0000041</t>
  </si>
  <si>
    <t>APR0000042</t>
  </si>
  <si>
    <t>Recurring subscription discount requested at 39.9%</t>
  </si>
  <si>
    <t>APR0000043</t>
  </si>
  <si>
    <t>Recurring subscription discount requested at 14.5%</t>
  </si>
  <si>
    <t>APR0000044</t>
  </si>
  <si>
    <t>Recurring subscription discount requested at 21.5%</t>
  </si>
  <si>
    <t>APR0000045</t>
  </si>
  <si>
    <t>APR0000046</t>
  </si>
  <si>
    <t>Rejected</t>
  </si>
  <si>
    <t>Recurring subscription discount requested at 14.2%</t>
  </si>
  <si>
    <t>Rejected; concession exceeds acceptable commercial threshold</t>
  </si>
  <si>
    <t>APR0000047</t>
  </si>
  <si>
    <t>APR0000048</t>
  </si>
  <si>
    <t>APR0000049</t>
  </si>
  <si>
    <t>APR0000050</t>
  </si>
  <si>
    <t>APR0000051</t>
  </si>
  <si>
    <t>APR0000052</t>
  </si>
  <si>
    <t>APR0000053</t>
  </si>
  <si>
    <t>Rejected; insufficient business justification</t>
  </si>
  <si>
    <t>APR0000054</t>
  </si>
  <si>
    <t>Recurring subscription discount requested at 22.9%</t>
  </si>
  <si>
    <t>APR0000055</t>
  </si>
  <si>
    <t>APR0000056</t>
  </si>
  <si>
    <t>Implementation fee discount requested at 28.7%</t>
  </si>
  <si>
    <t>APR0000057</t>
  </si>
  <si>
    <t>Recurring subscription discount requested at 15.1%</t>
  </si>
  <si>
    <t>APR0000058</t>
  </si>
  <si>
    <t>APR0000059</t>
  </si>
  <si>
    <t>Recurring subscription discount requested at 26.3%</t>
  </si>
  <si>
    <t>APR0000060</t>
  </si>
  <si>
    <t>Recurring subscription discount requested at 24.7%</t>
  </si>
  <si>
    <t>APR0000061</t>
  </si>
  <si>
    <t>Recurring subscription discount requested at 21.0%</t>
  </si>
  <si>
    <t>APR0000062</t>
  </si>
  <si>
    <t>Recurring subscription discount requested at 24.1%</t>
  </si>
  <si>
    <t>APR0000063</t>
  </si>
  <si>
    <t>APR0000064</t>
  </si>
  <si>
    <t>Implementation fee discount requested at 23.6%</t>
  </si>
  <si>
    <t>APR0000065</t>
  </si>
  <si>
    <t>Recurring subscription discount requested at 23.6%</t>
  </si>
  <si>
    <t>APR0000066</t>
  </si>
  <si>
    <t>APR0000067</t>
  </si>
  <si>
    <t>APR0000068</t>
  </si>
  <si>
    <t>Implementation fee discount requested at 24.8%</t>
  </si>
  <si>
    <t>APR0000069</t>
  </si>
  <si>
    <t>Recurring subscription discount requested at 23.1%</t>
  </si>
  <si>
    <t>APR0000070</t>
  </si>
  <si>
    <t>Recurring subscription discount requested at 11.3%</t>
  </si>
  <si>
    <t>APR0000071</t>
  </si>
  <si>
    <t>Contract Terms</t>
  </si>
  <si>
    <t>Customer requested changes to standard contract language</t>
  </si>
  <si>
    <t>APR0000072</t>
  </si>
  <si>
    <t>APR0000073</t>
  </si>
  <si>
    <t>Recurring subscription discount requested at 22.1%</t>
  </si>
  <si>
    <t>APR0000074</t>
  </si>
  <si>
    <t>APR0000075</t>
  </si>
  <si>
    <t>APR0000076</t>
  </si>
  <si>
    <t>APR0000077</t>
  </si>
  <si>
    <t>APR0000078</t>
  </si>
  <si>
    <t>APR0000079</t>
  </si>
  <si>
    <t>APR0000080</t>
  </si>
  <si>
    <t>APR0000081</t>
  </si>
  <si>
    <t>APR0000082</t>
  </si>
  <si>
    <t>Recurring subscription discount requested at 20.9%</t>
  </si>
  <si>
    <t>APR0000083</t>
  </si>
  <si>
    <t>Recurring subscription discount requested at 18.1%</t>
  </si>
  <si>
    <t>APR0000084</t>
  </si>
  <si>
    <t>APR0000085</t>
  </si>
  <si>
    <t>Recurring subscription discount requested at 35.2%</t>
  </si>
  <si>
    <t>APR0000086</t>
  </si>
  <si>
    <t>Recurring subscription discount requested at 24.3%</t>
  </si>
  <si>
    <t>APR0000087</t>
  </si>
  <si>
    <t>APR0000088</t>
  </si>
  <si>
    <t>APR0000089</t>
  </si>
  <si>
    <t>APR0000090</t>
  </si>
  <si>
    <t>APR0000091</t>
  </si>
  <si>
    <t>APR0000092</t>
  </si>
  <si>
    <t>APR0000093</t>
  </si>
  <si>
    <t>Recurring subscription discount requested at 27.9%</t>
  </si>
  <si>
    <t>APR0000094</t>
  </si>
  <si>
    <t>APR0000095</t>
  </si>
  <si>
    <t>Recurring subscription discount requested at 31.9%</t>
  </si>
  <si>
    <t>APR0000096</t>
  </si>
  <si>
    <t>Implementation fee discount requested at 24.2%</t>
  </si>
  <si>
    <t>APR0000097</t>
  </si>
  <si>
    <t>Requested Net 30 terms / Other billing</t>
  </si>
  <si>
    <t>APR0000098</t>
  </si>
  <si>
    <t>APR0000099</t>
  </si>
  <si>
    <t>Recurring subscription discount requested at 24.9%</t>
  </si>
  <si>
    <t>APR0000100</t>
  </si>
  <si>
    <t>APR0000101</t>
  </si>
  <si>
    <t>Recurring subscription discount requested at 18.2%</t>
  </si>
  <si>
    <t>APR0000102</t>
  </si>
  <si>
    <t>APR0000103</t>
  </si>
  <si>
    <t>APR0000104</t>
  </si>
  <si>
    <t>APR0000105</t>
  </si>
  <si>
    <t>APR0000106</t>
  </si>
  <si>
    <t>APR0000107</t>
  </si>
  <si>
    <t>Recurring subscription discount requested at 23.9%</t>
  </si>
  <si>
    <t>APR0000108</t>
  </si>
  <si>
    <t>APR0000109</t>
  </si>
  <si>
    <t>APR0000110</t>
  </si>
  <si>
    <t>APR0000111</t>
  </si>
  <si>
    <t>APR0000112</t>
  </si>
  <si>
    <t>Rejected pending revised terms</t>
  </si>
  <si>
    <t>APR0000113</t>
  </si>
  <si>
    <t>Recurring subscription discount requested at 32.4%</t>
  </si>
  <si>
    <t>APR0000114</t>
  </si>
  <si>
    <t>Recurring subscription discount requested at 16.2%</t>
  </si>
  <si>
    <t>APR0000115</t>
  </si>
  <si>
    <t>APR0000116</t>
  </si>
  <si>
    <t>APR0000117</t>
  </si>
  <si>
    <t>APR0000118</t>
  </si>
  <si>
    <t>APR0000119</t>
  </si>
  <si>
    <t>Recurring subscription discount requested at 21.1%</t>
  </si>
  <si>
    <t>APR0000120</t>
  </si>
  <si>
    <t>Recurring subscription discount requested at 16.3%</t>
  </si>
  <si>
    <t>APR0000121</t>
  </si>
  <si>
    <t>Recurring subscription discount requested at 19.6%</t>
  </si>
  <si>
    <t>APR0000122</t>
  </si>
  <si>
    <t>APR0000123</t>
  </si>
  <si>
    <t>Implementation fee discount requested at 25.5%</t>
  </si>
  <si>
    <t>APR0000124</t>
  </si>
  <si>
    <t>Recurring subscription discount requested at 11.9%</t>
  </si>
  <si>
    <t>APR0000125</t>
  </si>
  <si>
    <t>Discount %</t>
  </si>
  <si>
    <t>Billing Schedule</t>
  </si>
  <si>
    <t>Nonstandard Contract Terms</t>
  </si>
  <si>
    <t>Implementation Discount %</t>
  </si>
  <si>
    <t>Actual Deal Desk Required</t>
  </si>
  <si>
    <t>Expected Deal Desk Required</t>
  </si>
  <si>
    <t>Flag Audit Status</t>
  </si>
  <si>
    <t>Approval Record Count</t>
  </si>
  <si>
    <t>Approval Evidence Status</t>
  </si>
  <si>
    <t>Correctly Flagged</t>
  </si>
  <si>
    <t>Correctly Not Flagged</t>
  </si>
  <si>
    <t>Missing Required Flag</t>
  </si>
  <si>
    <t>Closed Deals Requiring Deal Desk</t>
  </si>
  <si>
    <t>Approval Evidence Present</t>
  </si>
  <si>
    <t>Missing Approval Evidence</t>
  </si>
  <si>
    <t>Total Opportunities</t>
  </si>
  <si>
    <t>Unnecessary Flag</t>
  </si>
  <si>
    <t>Row Labels</t>
  </si>
  <si>
    <t>Grand Total</t>
  </si>
  <si>
    <t>Column Labels</t>
  </si>
  <si>
    <t>Count of Opportunity ID</t>
  </si>
  <si>
    <t>Sum of Net ARR</t>
  </si>
  <si>
    <t>Open Opportunity Count by Stage &amp; Pipeline Health</t>
  </si>
  <si>
    <t>Lead Routing Status Summary</t>
  </si>
  <si>
    <t>% of Total Leads</t>
  </si>
  <si>
    <t>Lead Count</t>
  </si>
  <si>
    <t>Missed Required Flag</t>
  </si>
  <si>
    <t>Deal Desk Flag Audit Summary</t>
  </si>
  <si>
    <t>Opportunity Count</t>
  </si>
  <si>
    <t>% of Total Opportunities</t>
  </si>
  <si>
    <t>Open Pipeline ARR by Health Status</t>
  </si>
  <si>
    <t>Metric</t>
  </si>
  <si>
    <t>Excel Result</t>
  </si>
  <si>
    <t>Benchmark</t>
  </si>
  <si>
    <t>Status</t>
  </si>
  <si>
    <t>Total Accounts</t>
  </si>
  <si>
    <t>Open Pipeline ARR</t>
  </si>
  <si>
    <t>Routing Compatible Leads</t>
  </si>
  <si>
    <t>Deal Desk Flag Accuracy</t>
  </si>
  <si>
    <t>AsterPeak Revenue Operations Audit Summary</t>
  </si>
  <si>
    <t>Accounts Reviewed</t>
  </si>
  <si>
    <t>Leads Reviewed</t>
  </si>
  <si>
    <t>Opportunities Reviewed</t>
  </si>
  <si>
    <t>Account Routing / Ownership Exceptions</t>
  </si>
  <si>
    <t>Lead Routing Compatible Rate</t>
  </si>
  <si>
    <t>Open Pipeline ARR at Risk</t>
  </si>
  <si>
    <t>Open Opportunities With Critical Gaps</t>
  </si>
  <si>
    <t>Audit analysis date: September 28,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</si>
</sst>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164" formatCode="\$#,##0"/>
    <numFmt numFmtId="165" formatCode="yyyy\-mm\-dd\ hh:mm"/>
    <numFmt numFmtId="166" formatCode="yyyy\-mm\-dd"/>
    <numFmt numFmtId="167" formatCode="\$#,##0.00"/>
    <numFmt numFmtId="168" formatCode="0.0"/>
    <numFmt numFmtId="169" formatCode="&quot;$&quot;#,##0.00"/>
    <numFmt numFmtId="176" formatCode="&quot;$&quot;#,##0"/>
    <numFmt numFmtId="177" formatCode="0.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0"/>
      <name val="Aptos Narrow"/>
    </font>
    <font>
      <sz val="11"/>
      <color theme="1"/>
      <name val="Aptos Narrow"/>
      <family val="2"/>
    </font>
    <font>
      <sz val="11"/>
      <color theme="10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rial Unicode MS"/>
    </font>
    <font>
      <b/>
      <sz val="11"/>
      <color theme="1"/>
      <name val="Aptos ExtraBold"/>
      <family val="2"/>
    </font>
    <font>
      <b/>
      <sz val="11"/>
      <color theme="1"/>
      <name val="Aptos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50">
    <xf numFmtId="0" fontId="0" fillId="0" borderId="0" xfId="0"/>
    <xf numFmtId="0" fontId="1" fillId="0" borderId="0" xfId="1"/>
    <xf numFmtId="0" fontId="2" fillId="0" borderId="0" xfId="1" applyFont="1" applyAlignment="1">
      <alignment horizontal="center" vertical="center"/>
    </xf>
    <xf numFmtId="1" fontId="1" fillId="0" borderId="0" xfId="1" applyNumberFormat="1"/>
    <xf numFmtId="164" fontId="1" fillId="0" borderId="0" xfId="1" applyNumberFormat="1"/>
    <xf numFmtId="165" fontId="1" fillId="0" borderId="0" xfId="1" applyNumberFormat="1"/>
    <xf numFmtId="0" fontId="2" fillId="0" borderId="0" xfId="1" applyFont="1" applyAlignment="1">
      <alignment horizontal="right" vertical="center"/>
    </xf>
    <xf numFmtId="0" fontId="1" fillId="0" borderId="0" xfId="1" applyAlignment="1">
      <alignment vertical="center"/>
    </xf>
    <xf numFmtId="0" fontId="1" fillId="0" borderId="0" xfId="1" applyAlignment="1">
      <alignment horizontal="right" vertical="center"/>
    </xf>
    <xf numFmtId="0" fontId="2" fillId="0" borderId="0" xfId="1" applyFont="1"/>
    <xf numFmtId="0" fontId="3" fillId="0" borderId="0" xfId="2" applyAlignment="1">
      <alignment vertical="center"/>
    </xf>
    <xf numFmtId="14" fontId="1" fillId="0" borderId="0" xfId="1" applyNumberFormat="1" applyAlignment="1">
      <alignment vertical="center"/>
    </xf>
    <xf numFmtId="22" fontId="0" fillId="0" borderId="0" xfId="0" applyNumberFormat="1"/>
    <xf numFmtId="0" fontId="6" fillId="0" borderId="0" xfId="1" applyFont="1" applyAlignment="1">
      <alignment horizontal="center" vertical="center"/>
    </xf>
    <xf numFmtId="0" fontId="4" fillId="0" borderId="0" xfId="3"/>
    <xf numFmtId="165" fontId="4" fillId="0" borderId="0" xfId="3" applyNumberFormat="1"/>
    <xf numFmtId="0" fontId="6" fillId="2" borderId="0" xfId="3" applyFont="1" applyFill="1"/>
    <xf numFmtId="166" fontId="4" fillId="0" borderId="0" xfId="3" applyNumberFormat="1"/>
    <xf numFmtId="167" fontId="4" fillId="0" borderId="0" xfId="3" applyNumberFormat="1"/>
    <xf numFmtId="168" fontId="4" fillId="0" borderId="0" xfId="3" applyNumberFormat="1"/>
    <xf numFmtId="0" fontId="4" fillId="3" borderId="1" xfId="3" applyNumberFormat="1" applyFont="1" applyFill="1" applyBorder="1" applyAlignment="1"/>
    <xf numFmtId="0" fontId="4" fillId="3" borderId="2" xfId="3" applyNumberFormat="1" applyFont="1" applyFill="1" applyBorder="1" applyAlignment="1"/>
    <xf numFmtId="0" fontId="4" fillId="0" borderId="1" xfId="3" applyNumberFormat="1" applyFont="1" applyBorder="1" applyAlignment="1"/>
    <xf numFmtId="0" fontId="4" fillId="0" borderId="2" xfId="3" applyNumberFormat="1" applyFont="1" applyBorder="1" applyAlignment="1"/>
    <xf numFmtId="167" fontId="4" fillId="3" borderId="2" xfId="3" applyNumberFormat="1" applyFont="1" applyFill="1" applyBorder="1" applyAlignment="1"/>
    <xf numFmtId="167" fontId="4" fillId="0" borderId="2" xfId="3" applyNumberFormat="1" applyFont="1" applyBorder="1" applyAlignment="1"/>
    <xf numFmtId="169" fontId="0" fillId="0" borderId="0" xfId="0" applyNumberFormat="1"/>
    <xf numFmtId="14" fontId="0" fillId="0" borderId="0" xfId="0" applyNumberFormat="1"/>
    <xf numFmtId="0" fontId="7" fillId="0" borderId="0" xfId="0" applyFont="1"/>
    <xf numFmtId="168" fontId="4" fillId="3" borderId="2" xfId="3" applyNumberFormat="1" applyFont="1" applyFill="1" applyBorder="1" applyAlignment="1"/>
    <xf numFmtId="168" fontId="4" fillId="0" borderId="2" xfId="3" applyNumberFormat="1" applyFont="1" applyBorder="1" applyAlignment="1"/>
    <xf numFmtId="0" fontId="4" fillId="0" borderId="0" xfId="3"/>
    <xf numFmtId="165" fontId="4" fillId="0" borderId="0" xfId="3" applyNumberFormat="1"/>
    <xf numFmtId="0" fontId="6" fillId="2" borderId="0" xfId="3" applyFont="1" applyFill="1"/>
    <xf numFmtId="168" fontId="4" fillId="0" borderId="0" xfId="3" applyNumberFormat="1"/>
    <xf numFmtId="0" fontId="4" fillId="3" borderId="3" xfId="3" applyNumberFormat="1" applyFont="1" applyFill="1" applyBorder="1" applyAlignment="1"/>
    <xf numFmtId="0" fontId="4" fillId="0" borderId="3" xfId="3" applyNumberFormat="1" applyFont="1" applyBorder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76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177" fontId="0" fillId="0" borderId="0" xfId="0" applyNumberFormat="1"/>
    <xf numFmtId="0" fontId="9" fillId="0" borderId="0" xfId="0" applyFont="1" applyAlignment="1">
      <alignment horizont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</cellXfs>
  <cellStyles count="5">
    <cellStyle name="Hyperlink" xfId="2" xr:uid="{421FBC71-A08C-4406-90F4-FA11B62A6BE3}"/>
    <cellStyle name="Hyperlink 2" xfId="4" xr:uid="{5403E940-42E0-4EF7-9233-7C6974944D0E}"/>
    <cellStyle name="Normal" xfId="0" builtinId="0"/>
    <cellStyle name="Normal 2" xfId="1" xr:uid="{EF9D8616-ABEC-45DB-9377-195AE2F4D2AD}"/>
    <cellStyle name="Normal 3" xfId="3" xr:uid="{EB641E1A-17D1-455D-8EC3-23A546E261EB}"/>
  </cellStyles>
  <dxfs count="10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C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0.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7" formatCode="\$#,##0.0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8" formatCode="0.0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9EAF7"/>
        </patternFill>
      </fill>
    </dxf>
    <dxf>
      <numFmt numFmtId="168" formatCode="0.0"/>
    </dxf>
    <dxf>
      <numFmt numFmtId="165" formatCode="yyyy\-mm\-dd\ hh:mm"/>
    </dxf>
    <dxf>
      <numFmt numFmtId="165" formatCode="yyyy\-mm\-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69" formatCode="&quot;$&quot;#,##0.00"/>
    </dxf>
    <dxf>
      <numFmt numFmtId="167" formatCode="\$#,##0.00"/>
    </dxf>
    <dxf>
      <numFmt numFmtId="168" formatCode="0.0"/>
    </dxf>
    <dxf>
      <numFmt numFmtId="167" formatCode="\$#,##0.00"/>
    </dxf>
    <dxf>
      <numFmt numFmtId="167" formatCode="\$#,##0.00"/>
    </dxf>
    <dxf>
      <numFmt numFmtId="167" formatCode="\$#,##0.00"/>
    </dxf>
    <dxf>
      <numFmt numFmtId="168" formatCode="0.0"/>
    </dxf>
    <dxf>
      <numFmt numFmtId="167" formatCode="\$#,##0.00"/>
    </dxf>
    <dxf>
      <numFmt numFmtId="166" formatCode="yyyy\-mm\-dd"/>
    </dxf>
    <dxf>
      <numFmt numFmtId="166" formatCode="yyyy\-mm\-dd"/>
    </dxf>
    <dxf>
      <numFmt numFmtId="166" formatCode="yyyy\-mm\-dd"/>
    </dxf>
    <dxf>
      <numFmt numFmtId="165" formatCode="yyyy\-mm\-dd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rgb="FFD9EAF7"/>
        </patternFill>
      </fill>
    </dxf>
    <dxf>
      <alignment horizontal="general" vertical="center" textRotation="0" wrapText="0" indent="0" justifyLastLine="0" shrinkToFit="0" readingOrder="0"/>
    </dxf>
    <dxf>
      <numFmt numFmtId="19" formatCode="m/d/yyyy"/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yyyy\-mm\-dd\ hh:mm"/>
    </dxf>
    <dxf>
      <numFmt numFmtId="1" formatCode="0"/>
    </dxf>
    <dxf>
      <numFmt numFmtId="164" formatCode="\$#,##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e" refreshedDate="46299.544350810182" createdVersion="8" refreshedVersion="8" minRefreshableVersion="3" recordCount="425" xr:uid="{84CFBD8C-BAAA-45E4-9E20-8DB7E8A857DB}">
  <cacheSource type="worksheet">
    <worksheetSource name="tblPipelineAudit"/>
  </cacheSource>
  <cacheFields count="14">
    <cacheField name="Opportunity ID" numFmtId="0">
      <sharedItems/>
    </cacheField>
    <cacheField name="Opportunity Name" numFmtId="0">
      <sharedItems/>
    </cacheField>
    <cacheField name="Account ID" numFmtId="0">
      <sharedItems/>
    </cacheField>
    <cacheField name="Owner ID" numFmtId="0">
      <sharedItems containsBlank="1"/>
    </cacheField>
    <cacheField name="Lead Source" numFmtId="0">
      <sharedItems containsBlank="1"/>
    </cacheField>
    <cacheField name="Stage" numFmtId="0">
      <sharedItems count="8">
        <s v="Closed Won"/>
        <s v="Proposal"/>
        <s v="Closed Lost"/>
        <s v="Qualification"/>
        <s v="Discovery"/>
        <s v="Solution Evaluation"/>
        <s v="Commit"/>
        <s v="Negotiation / Legal"/>
      </sharedItems>
    </cacheField>
    <cacheField name="Net ARR" numFmtId="169">
      <sharedItems containsSemiMixedTypes="0" containsString="0" containsNumber="1" containsInteger="1" minValue="4644" maxValue="99200"/>
    </cacheField>
    <cacheField name="Expected Close Date" numFmtId="14">
      <sharedItems containsSemiMixedTypes="0" containsNonDate="0" containsDate="1" containsString="0" minDate="2022-04-30T23:38:07" maxDate="2026-12-23T00:00:00"/>
    </cacheField>
    <cacheField name="Last Activity Date" numFmtId="14">
      <sharedItems containsSemiMixedTypes="0" containsNonDate="0" containsDate="1" containsString="0" minDate="2022-04-13T23:38:07" maxDate="2026-09-25T00:00:00"/>
    </cacheField>
    <cacheField name="Next Step" numFmtId="0">
      <sharedItems containsBlank="1"/>
    </cacheField>
    <cacheField name="Days Overdue" numFmtId="0">
      <sharedItems containsMixedTypes="1" containsNumber="1" containsInteger="1" minValue="0" maxValue="56"/>
    </cacheField>
    <cacheField name="Days Since Last Activity" numFmtId="0">
      <sharedItems containsMixedTypes="1" containsNumber="1" containsInteger="1" minValue="4" maxValue="98"/>
    </cacheField>
    <cacheField name="Pipeline Health" numFmtId="0">
      <sharedItems count="5">
        <s v="Closed"/>
        <s v="Healthy"/>
        <s v="Stale"/>
        <s v="Overdue"/>
        <s v="Stale + Overdue"/>
      </sharedItems>
    </cacheField>
    <cacheField name="Critical Field Gap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e" refreshedDate="46299.56456979167" createdVersion="8" refreshedVersion="8" minRefreshableVersion="3" recordCount="1300" xr:uid="{49621FCF-66A2-483B-B2EF-92803D84735E}">
  <cacheSource type="worksheet">
    <worksheetSource name="tblLeadRouting"/>
  </cacheSource>
  <cacheFields count="11">
    <cacheField name="Lead ID" numFmtId="0">
      <sharedItems/>
    </cacheField>
    <cacheField name="Company Name" numFmtId="0">
      <sharedItems/>
    </cacheField>
    <cacheField name="Lead Segment" numFmtId="0">
      <sharedItems containsBlank="1"/>
    </cacheField>
    <cacheField name="State" numFmtId="0">
      <sharedItems containsBlank="1"/>
    </cacheField>
    <cacheField name="Owner ID" numFmtId="0">
      <sharedItems containsBlank="1"/>
    </cacheField>
    <cacheField name="Expected Owner Segment" numFmtId="0">
      <sharedItems/>
    </cacheField>
    <cacheField name="Expected Territory" numFmtId="0">
      <sharedItems containsMixedTypes="1" containsNumber="1" containsInteger="1" minValue="1" maxValue="4"/>
    </cacheField>
    <cacheField name="Owner Job Title" numFmtId="0">
      <sharedItems/>
    </cacheField>
    <cacheField name="Owner Segment" numFmtId="0">
      <sharedItems/>
    </cacheField>
    <cacheField name="Owner Territory" numFmtId="0">
      <sharedItems containsMixedTypes="1" containsNumber="1" containsInteger="1" minValue="1" maxValue="4"/>
    </cacheField>
    <cacheField name="Routing Status" numFmtId="0">
      <sharedItems count="6">
        <s v="Routing Compatible"/>
        <s v="Needs Review - Segment"/>
        <s v="Wrong AE Territory"/>
        <s v="Needs Review - Territory"/>
        <s v="Unassigned"/>
        <s v="Wrong Seg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e" refreshedDate="46299.56771087963" createdVersion="8" refreshedVersion="8" minRefreshableVersion="3" recordCount="425" xr:uid="{41F6316B-0582-433D-A65F-85406D70C7D1}">
  <cacheSource type="worksheet">
    <worksheetSource name="tblDealDeskAudit"/>
  </cacheSource>
  <cacheFields count="16">
    <cacheField name="Opportunity ID" numFmtId="0">
      <sharedItems/>
    </cacheField>
    <cacheField name="Account ID" numFmtId="0">
      <sharedItems/>
    </cacheField>
    <cacheField name="Stage" numFmtId="0">
      <sharedItems/>
    </cacheField>
    <cacheField name="Discount %" numFmtId="168">
      <sharedItems containsSemiMixedTypes="0" containsString="0" containsNumber="1" minValue="0.1" maxValue="39.9"/>
    </cacheField>
    <cacheField name="Net ARR" numFmtId="167">
      <sharedItems containsSemiMixedTypes="0" containsString="0" containsNumber="1" containsInteger="1" minValue="4644" maxValue="99200"/>
    </cacheField>
    <cacheField name="Payment Terms" numFmtId="0">
      <sharedItems/>
    </cacheField>
    <cacheField name="Billing Schedule" numFmtId="0">
      <sharedItems/>
    </cacheField>
    <cacheField name="Custom Pricing" numFmtId="0">
      <sharedItems/>
    </cacheField>
    <cacheField name="Nonstandard Contract Terms" numFmtId="0">
      <sharedItems/>
    </cacheField>
    <cacheField name="Implementation Discount %" numFmtId="168">
      <sharedItems containsSemiMixedTypes="0" containsString="0" containsNumber="1" minValue="0" maxValue="29.4"/>
    </cacheField>
    <cacheField name="Actual Deal Desk Required" numFmtId="0">
      <sharedItems/>
    </cacheField>
    <cacheField name="Employee Count" numFmtId="0">
      <sharedItems containsMixedTypes="1" containsNumber="1" containsInteger="1" minValue="5" maxValue="3773"/>
    </cacheField>
    <cacheField name="Expected Deal Desk Required" numFmtId="0">
      <sharedItems/>
    </cacheField>
    <cacheField name="Flag Audit Status" numFmtId="0">
      <sharedItems count="4">
        <s v="Correctly Not Flagged"/>
        <s v="Correctly Flagged"/>
        <s v="Missed Required Flag"/>
        <s v="Unnecessary Flag"/>
      </sharedItems>
    </cacheField>
    <cacheField name="Approval Record Count" numFmtId="0">
      <sharedItems containsSemiMixedTypes="0" containsString="0" containsNumber="1" containsInteger="1" minValue="0" maxValue="3"/>
    </cacheField>
    <cacheField name="Approval Evidenc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s v="OPP0001"/>
    <s v="Clearwater Consulting - Expansion"/>
    <s v="ACC0162"/>
    <s v="USR006"/>
    <s v="Inbound Demo Request"/>
    <x v="0"/>
    <n v="5646"/>
    <d v="2024-09-28T00:00:00"/>
    <d v="2024-08-24T00:00:00"/>
    <m/>
    <s v=""/>
    <s v=""/>
    <x v="0"/>
    <s v=""/>
  </r>
  <r>
    <s v="OPP0002"/>
    <s v="Northstar Business Solutions Inc. - New Business"/>
    <s v="ACC0142"/>
    <s v="USR012"/>
    <s v="Customer Referral"/>
    <x v="1"/>
    <n v="27832"/>
    <d v="2026-10-28T00:00:00"/>
    <d v="2026-09-02T00:00:00"/>
    <s v="Confirm commercial feedback"/>
    <n v="0"/>
    <n v="26"/>
    <x v="1"/>
    <s v="No Gap"/>
  </r>
  <r>
    <s v="OPP0003"/>
    <s v="Sterling Distribution - New Business"/>
    <s v="ACC0060"/>
    <s v="USR011"/>
    <s v="Partner Referral"/>
    <x v="0"/>
    <n v="27660"/>
    <d v="2024-05-08T00:00:00"/>
    <d v="2024-05-08T00:00:00"/>
    <m/>
    <s v=""/>
    <s v=""/>
    <x v="0"/>
    <s v=""/>
  </r>
  <r>
    <s v="OPP0004"/>
    <s v="ClearPath Industrial - New Business"/>
    <s v="ACC0029"/>
    <s v="USR006"/>
    <s v="Inbound Demo Request"/>
    <x v="2"/>
    <n v="19536"/>
    <d v="2025-12-30T08:54:11"/>
    <d v="2026-01-24T08:54:11"/>
    <m/>
    <s v=""/>
    <s v=""/>
    <x v="0"/>
    <s v=""/>
  </r>
  <r>
    <s v="OPP0005"/>
    <s v="Elmwood Freight - New Business"/>
    <s v="ACC0013"/>
    <s v="USR012"/>
    <s v="Content Download"/>
    <x v="1"/>
    <n v="87824"/>
    <d v="2026-11-08T00:00:00"/>
    <d v="2026-09-14T00:00:00"/>
    <s v="Confirm commercial feedback"/>
    <n v="0"/>
    <n v="14"/>
    <x v="1"/>
    <s v="No Gap"/>
  </r>
  <r>
    <s v="OPP0006"/>
    <s v="PrimePoint Software - New Business"/>
    <s v="ACC0122"/>
    <s v="USR010"/>
    <s v="Organic Search"/>
    <x v="3"/>
    <n v="99200"/>
    <d v="2026-11-11T00:00:00"/>
    <d v="2026-09-02T00:00:00"/>
    <s v="Review technical requirements"/>
    <n v="0"/>
    <n v="26"/>
    <x v="1"/>
    <s v="No Gap"/>
  </r>
  <r>
    <s v="OPP0007"/>
    <s v="Cobalt Precision Works - New Business"/>
    <s v="ACC0166"/>
    <s v="USR007"/>
    <s v="Organic Search"/>
    <x v="1"/>
    <n v="9012"/>
    <d v="2026-11-07T00:00:00"/>
    <d v="2026-09-20T00:00:00"/>
    <s v="Confirm commercial feedback"/>
    <n v="0"/>
    <n v="8"/>
    <x v="1"/>
    <s v="No Gap"/>
  </r>
  <r>
    <s v="OPP0008"/>
    <s v="Catalyst Health Partners Inc. - New Business"/>
    <s v="ACC0296"/>
    <s v="USR012"/>
    <s v="Outbound SDR"/>
    <x v="0"/>
    <n v="35986"/>
    <d v="2025-11-04T13:38:46"/>
    <d v="2025-10-02T13:38:46"/>
    <m/>
    <s v=""/>
    <s v=""/>
    <x v="0"/>
    <s v=""/>
  </r>
  <r>
    <s v="OPP0009"/>
    <s v="Sterling Medical Group - New Business"/>
    <s v="ACC0052"/>
    <s v="USR009"/>
    <s v="Organic Search"/>
    <x v="4"/>
    <n v="72756"/>
    <d v="2026-11-02T00:00:00"/>
    <d v="2026-09-04T00:00:00"/>
    <s v="Schedule discovery follow-up"/>
    <n v="0"/>
    <n v="24"/>
    <x v="1"/>
    <s v="No Gap"/>
  </r>
  <r>
    <s v="OPP0010"/>
    <s v="Ridgeview Marketplace - New Business"/>
    <s v="ACC0144"/>
    <s v="USR006"/>
    <m/>
    <x v="5"/>
    <n v="19920"/>
    <d v="2026-11-09T00:00:00"/>
    <d v="2026-09-02T00:00:00"/>
    <s v="Review integration requirements"/>
    <n v="0"/>
    <n v="26"/>
    <x v="1"/>
    <s v="Missing Source"/>
  </r>
  <r>
    <s v="OPP0011"/>
    <s v="Rivermark Digital - New Business"/>
    <s v="ACC0100"/>
    <s v="USR009"/>
    <s v="Content Download"/>
    <x v="5"/>
    <n v="63882"/>
    <d v="2026-11-14T00:00:00"/>
    <d v="2026-09-21T00:00:00"/>
    <s v="Review integration requirements"/>
    <n v="0"/>
    <n v="7"/>
    <x v="1"/>
    <s v="No Gap"/>
  </r>
  <r>
    <s v="OPP0012"/>
    <s v="Riverbend Systems Group - New Business"/>
    <s v="ACC0201"/>
    <s v="USR008"/>
    <s v="Partner Referral"/>
    <x v="0"/>
    <n v="19240"/>
    <d v="2023-06-05T07:51:14"/>
    <d v="2023-06-02T07:51:14"/>
    <m/>
    <s v=""/>
    <s v=""/>
    <x v="0"/>
    <s v=""/>
  </r>
  <r>
    <s v="OPP0013"/>
    <s v="Bluewater Freight - New Business"/>
    <s v="ACC0241"/>
    <s v="USR007"/>
    <s v="Outbound SDR"/>
    <x v="3"/>
    <n v="16380"/>
    <d v="2026-10-24T00:00:00"/>
    <d v="2026-09-14T00:00:00"/>
    <s v="Validate budget and timing"/>
    <n v="0"/>
    <n v="14"/>
    <x v="1"/>
    <s v="No Gap"/>
  </r>
  <r>
    <s v="OPP0014"/>
    <s v="PrimePoint Commerce Inc. - New Business"/>
    <s v="ACC0157"/>
    <s v="USR007"/>
    <s v="Content Download"/>
    <x v="5"/>
    <n v="32046"/>
    <d v="2026-10-14T00:00:00"/>
    <d v="2026-09-08T00:00:00"/>
    <s v="Review integration requirements"/>
    <n v="0"/>
    <n v="20"/>
    <x v="1"/>
    <s v="No Gap"/>
  </r>
  <r>
    <s v="OPP0015"/>
    <s v="Evergreen Wealth Partners LLC - New Business"/>
    <s v="ACC0074"/>
    <s v="USR012"/>
    <s v="Customer Referral"/>
    <x v="2"/>
    <n v="62628"/>
    <d v="2026-04-03T20:26:39"/>
    <d v="2026-03-22T20:26:39"/>
    <m/>
    <s v=""/>
    <s v=""/>
    <x v="0"/>
    <s v=""/>
  </r>
  <r>
    <s v="OPP0016"/>
    <s v="Northstar Business Solutions Inc. - New Business"/>
    <s v="ACC0142"/>
    <s v="USR012"/>
    <s v="Outbound SDR"/>
    <x v="2"/>
    <n v="40446"/>
    <d v="2024-01-19T17:50:18"/>
    <d v="2024-01-14T17:50:18"/>
    <m/>
    <s v=""/>
    <s v=""/>
    <x v="0"/>
    <s v=""/>
  </r>
  <r>
    <s v="OPP0017"/>
    <s v="Skyline Health Partners - New Business"/>
    <s v="ACC0073"/>
    <s v="USR006"/>
    <s v="Paid Search"/>
    <x v="0"/>
    <n v="14672"/>
    <d v="2025-11-01T00:00:00"/>
    <d v="2025-10-25T00:00:00"/>
    <m/>
    <s v=""/>
    <s v=""/>
    <x v="0"/>
    <s v=""/>
  </r>
  <r>
    <s v="OPP0018"/>
    <s v="Skyline Precision Works Group - New Business"/>
    <s v="ACC0136"/>
    <s v="USR010"/>
    <s v="Outbound SDR"/>
    <x v="0"/>
    <n v="17480"/>
    <d v="2026-08-23T20:11:33"/>
    <d v="2026-07-24T20:11:33"/>
    <m/>
    <s v=""/>
    <s v=""/>
    <x v="0"/>
    <s v=""/>
  </r>
  <r>
    <s v="OPP0019"/>
    <s v="Sterling Labs - New Business"/>
    <s v="ACC0067"/>
    <s v="USR012"/>
    <s v="Paid Search"/>
    <x v="3"/>
    <n v="28350"/>
    <d v="2026-11-26T00:00:00"/>
    <d v="2026-09-16T00:00:00"/>
    <s v="Confirm decision process"/>
    <n v="0"/>
    <n v="12"/>
    <x v="1"/>
    <s v="No Gap"/>
  </r>
  <r>
    <s v="OPP0020"/>
    <s v="Maplewood Consulting - New Business"/>
    <s v="ACC0219"/>
    <s v="USR012"/>
    <s v="Outbound SDR"/>
    <x v="0"/>
    <n v="86680"/>
    <d v="2026-07-17T13:54:05"/>
    <d v="2026-06-17T13:54:05"/>
    <m/>
    <s v=""/>
    <s v=""/>
    <x v="0"/>
    <s v=""/>
  </r>
  <r>
    <s v="OPP0021"/>
    <s v="Highland Fabrication - Expansion"/>
    <s v="ACC0072"/>
    <s v="USR011"/>
    <s v="Webinar / Event"/>
    <x v="0"/>
    <n v="11136"/>
    <d v="2026-07-31T08:24:46"/>
    <d v="2026-07-29T08:24:46"/>
    <m/>
    <s v=""/>
    <s v=""/>
    <x v="0"/>
    <s v=""/>
  </r>
  <r>
    <s v="OPP0022"/>
    <s v="Granite Peak Freight - New Business"/>
    <s v="ACC0019"/>
    <s v="USR008"/>
    <s v="Customer Referral"/>
    <x v="2"/>
    <n v="23472"/>
    <d v="2025-12-14T21:02:19"/>
    <d v="2025-11-24T21:02:19"/>
    <m/>
    <s v=""/>
    <s v=""/>
    <x v="0"/>
    <s v=""/>
  </r>
  <r>
    <s v="OPP0023"/>
    <s v="Fairview Advisory Partners - New Business"/>
    <s v="ACC0192"/>
    <s v="USR008"/>
    <s v="Content Download"/>
    <x v="6"/>
    <n v="18620"/>
    <d v="2026-10-01T00:00:00"/>
    <d v="2026-09-18T00:00:00"/>
    <s v="Confirm signature timeline"/>
    <n v="0"/>
    <n v="10"/>
    <x v="1"/>
    <s v="No Gap"/>
  </r>
  <r>
    <s v="OPP0024"/>
    <s v="Suncrest Systems - New Business"/>
    <s v="ACC0298"/>
    <s v="USR011"/>
    <s v="Webinar / Event"/>
    <x v="2"/>
    <n v="42136"/>
    <d v="2025-05-25T12:42:30"/>
    <d v="2025-05-25T12:42:30"/>
    <m/>
    <s v=""/>
    <s v=""/>
    <x v="0"/>
    <s v=""/>
  </r>
  <r>
    <s v="OPP0025"/>
    <s v="Cobalt Supply Chain LLC - New Business"/>
    <s v="ACC0140"/>
    <s v="USR012"/>
    <s v="Paid Search"/>
    <x v="0"/>
    <n v="84040"/>
    <d v="2022-11-06T23:54:34"/>
    <d v="2022-10-07T23:54:34"/>
    <m/>
    <s v=""/>
    <s v=""/>
    <x v="0"/>
    <s v=""/>
  </r>
  <r>
    <s v="OPP0026"/>
    <s v="Sterling Digital - New Business"/>
    <s v="ACC0257"/>
    <s v="USR011"/>
    <s v="Outbound SDR"/>
    <x v="0"/>
    <n v="55624"/>
    <d v="2023-06-10T04:35:46"/>
    <d v="2023-05-24T04:35:46"/>
    <m/>
    <s v=""/>
    <s v=""/>
    <x v="0"/>
    <s v=""/>
  </r>
  <r>
    <s v="OPP0027"/>
    <s v="Bluewater Contracting - New Business"/>
    <s v="ACC0173"/>
    <s v="USR008"/>
    <s v="Content Download"/>
    <x v="5"/>
    <n v="21308"/>
    <d v="2026-11-22T00:00:00"/>
    <d v="2026-08-31T00:00:00"/>
    <m/>
    <n v="0"/>
    <n v="28"/>
    <x v="1"/>
    <s v="Missing Next Step"/>
  </r>
  <r>
    <s v="OPP0028"/>
    <s v="Crownstone Business Solutions Group - Expansion"/>
    <s v="ACC0117"/>
    <s v="USR009"/>
    <s v="Partner Referral"/>
    <x v="0"/>
    <n v="17658"/>
    <d v="2026-07-20T06:47:44"/>
    <d v="2026-07-20T06:47:44"/>
    <m/>
    <s v=""/>
    <s v=""/>
    <x v="0"/>
    <s v=""/>
  </r>
  <r>
    <s v="OPP0029"/>
    <s v="Vertex Services Group Group - New Business"/>
    <s v="ACC0177"/>
    <s v="USR006"/>
    <s v="Inbound Demo Request"/>
    <x v="5"/>
    <n v="18312"/>
    <d v="2026-11-05T00:00:00"/>
    <d v="2026-07-30T00:00:00"/>
    <s v="Review integration requirements"/>
    <n v="0"/>
    <n v="60"/>
    <x v="2"/>
    <s v="No Gap"/>
  </r>
  <r>
    <s v="OPP0030"/>
    <s v="ClearPath Support Services - Expansion"/>
    <s v="ACC0184"/>
    <s v="USR007"/>
    <s v="Outbound SDR"/>
    <x v="7"/>
    <n v="16362"/>
    <d v="2026-08-15T00:00:00"/>
    <d v="2026-08-30T00:00:00"/>
    <s v="Review procurement terms"/>
    <n v="44"/>
    <n v="29"/>
    <x v="3"/>
    <s v="No Gap"/>
  </r>
  <r>
    <s v="OPP0031"/>
    <s v="Brightwell Operations Group - New Business"/>
    <s v="ACC0186"/>
    <s v="USR009"/>
    <s v="Partner Referral"/>
    <x v="0"/>
    <n v="37772"/>
    <d v="2025-03-25T00:00:00"/>
    <d v="2025-04-02T00:00:00"/>
    <m/>
    <s v=""/>
    <s v=""/>
    <x v="0"/>
    <s v=""/>
  </r>
  <r>
    <s v="OPP0032"/>
    <s v="Fairview Advisory Partners - New Business"/>
    <s v="ACC0192"/>
    <s v="USR008"/>
    <s v="Content Download"/>
    <x v="3"/>
    <n v="25290"/>
    <d v="2026-12-02T00:00:00"/>
    <d v="2026-09-17T00:00:00"/>
    <s v="Review technical requirements"/>
    <n v="0"/>
    <n v="11"/>
    <x v="1"/>
    <s v="No Gap"/>
  </r>
  <r>
    <s v="OPP0033"/>
    <s v="Silver Oak Systems Group - New Business"/>
    <s v="ACC0283"/>
    <s v="USR006"/>
    <s v="Inbound Demo Request"/>
    <x v="7"/>
    <n v="29490"/>
    <d v="2026-10-22T00:00:00"/>
    <d v="2026-09-19T00:00:00"/>
    <s v="Resolve contract comments"/>
    <n v="0"/>
    <n v="9"/>
    <x v="1"/>
    <s v="No Gap"/>
  </r>
  <r>
    <s v="OPP0034"/>
    <s v="Ridgeview Retail Group - Expansion"/>
    <s v="ACC0084"/>
    <s v="USR010"/>
    <m/>
    <x v="6"/>
    <n v="8088"/>
    <d v="2026-09-26T00:00:00"/>
    <d v="2026-09-15T00:00:00"/>
    <s v="Send final agreement for signature"/>
    <n v="2"/>
    <n v="13"/>
    <x v="3"/>
    <s v="Missing Source"/>
  </r>
  <r>
    <s v="OPP0035"/>
    <s v="Bluewater Freight - New Business"/>
    <s v="ACC0241"/>
    <s v="USR007"/>
    <s v="Outbound SDR"/>
    <x v="3"/>
    <n v="22344"/>
    <d v="2026-08-10T00:00:00"/>
    <d v="2026-09-18T00:00:00"/>
    <s v="Confirm decision process"/>
    <n v="49"/>
    <n v="10"/>
    <x v="3"/>
    <s v="No Gap"/>
  </r>
  <r>
    <s v="OPP0036"/>
    <s v="Fairview Commerce Group - Expansion"/>
    <s v="ACC0261"/>
    <s v="USR012"/>
    <s v="Inbound Demo Request"/>
    <x v="0"/>
    <n v="29376"/>
    <d v="2024-06-05T00:00:00"/>
    <d v="2024-05-31T00:00:00"/>
    <m/>
    <s v=""/>
    <s v=""/>
    <x v="0"/>
    <s v=""/>
  </r>
  <r>
    <s v="OPP0037"/>
    <s v="Bluewater Health Partners - New Business"/>
    <s v="ACC0003"/>
    <s v="USR009"/>
    <s v="Inbound Demo Request"/>
    <x v="2"/>
    <n v="33528"/>
    <d v="2024-09-21T10:19:06"/>
    <d v="2024-10-04T10:19:06"/>
    <m/>
    <s v=""/>
    <s v=""/>
    <x v="0"/>
    <s v=""/>
  </r>
  <r>
    <s v="OPP0038"/>
    <s v="Sterling Advisory - Expansion"/>
    <s v="ACC0106"/>
    <s v="USR009"/>
    <s v="Paid Search"/>
    <x v="0"/>
    <n v="26432"/>
    <d v="2024-05-03T20:15:31"/>
    <d v="2024-04-16T20:15:31"/>
    <m/>
    <s v=""/>
    <s v=""/>
    <x v="0"/>
    <s v=""/>
  </r>
  <r>
    <s v="OPP0039"/>
    <s v="Beacon Freight - New Business"/>
    <s v="ACC0225"/>
    <s v="USR012"/>
    <s v="Content Download"/>
    <x v="0"/>
    <n v="86112"/>
    <d v="2026-08-05T00:00:00"/>
    <d v="2026-07-29T00:00:00"/>
    <m/>
    <s v=""/>
    <s v=""/>
    <x v="0"/>
    <s v=""/>
  </r>
  <r>
    <s v="OPP0040"/>
    <s v="Bluewater Precision Works - New Business"/>
    <s v="ACC0036"/>
    <s v="USR008"/>
    <s v="Paid Search"/>
    <x v="4"/>
    <n v="10524"/>
    <d v="2026-12-10T00:00:00"/>
    <d v="2026-09-07T00:00:00"/>
    <s v="Confirm business requirements"/>
    <n v="0"/>
    <n v="21"/>
    <x v="1"/>
    <s v="No Gap"/>
  </r>
  <r>
    <s v="OPP0041"/>
    <s v="Parkline Manufacturing - New Business"/>
    <s v="ACC0216"/>
    <s v="USR011"/>
    <s v="Content Download"/>
    <x v="2"/>
    <n v="26942"/>
    <d v="2023-03-02T11:17:12"/>
    <d v="2023-02-11T11:17:12"/>
    <m/>
    <s v=""/>
    <s v=""/>
    <x v="0"/>
    <s v=""/>
  </r>
  <r>
    <s v="OPP0042"/>
    <s v="Crescent Solutions - New Business"/>
    <s v="ACC0258"/>
    <s v="USR012"/>
    <s v="Inbound Demo Request"/>
    <x v="0"/>
    <n v="57780"/>
    <d v="2026-05-06T17:46:07"/>
    <d v="2026-04-02T17:46:07"/>
    <m/>
    <s v=""/>
    <s v=""/>
    <x v="0"/>
    <s v=""/>
  </r>
  <r>
    <s v="OPP0043"/>
    <s v="Suncrest Systems - New Business"/>
    <s v="ACC0298"/>
    <s v="USR011"/>
    <s v="Webinar / Event"/>
    <x v="1"/>
    <n v="31314"/>
    <d v="2026-10-06T00:00:00"/>
    <d v="2026-09-02T00:00:00"/>
    <s v="Review proposal with buyer"/>
    <n v="0"/>
    <n v="26"/>
    <x v="1"/>
    <s v="No Gap"/>
  </r>
  <r>
    <s v="OPP0044"/>
    <s v="Foxbridge Labs LLC - New Business"/>
    <s v="ACC0286"/>
    <s v="USR012"/>
    <s v="Paid Search"/>
    <x v="0"/>
    <n v="83162"/>
    <d v="2022-11-18T01:12:22"/>
    <d v="2022-10-31T01:12:22"/>
    <m/>
    <s v=""/>
    <s v=""/>
    <x v="0"/>
    <s v=""/>
  </r>
  <r>
    <s v="OPP0045"/>
    <s v="Silver Oak Professional Services LLC - New Business"/>
    <s v="ACC0237"/>
    <s v="USR009"/>
    <s v="Content Download"/>
    <x v="6"/>
    <n v="29160"/>
    <d v="2026-09-27T00:00:00"/>
    <d v="2026-09-07T00:00:00"/>
    <s v="Complete final procurement steps"/>
    <n v="1"/>
    <n v="21"/>
    <x v="3"/>
    <s v="No Gap"/>
  </r>
  <r>
    <s v="OPP0046"/>
    <s v="Westlake Support Services Group - New Business"/>
    <s v="ACC0239"/>
    <s v="USR012"/>
    <s v="Organic Search"/>
    <x v="0"/>
    <n v="41076"/>
    <d v="2025-04-18T00:00:00"/>
    <d v="2025-03-30T00:00:00"/>
    <m/>
    <s v=""/>
    <s v=""/>
    <x v="0"/>
    <s v=""/>
  </r>
  <r>
    <s v="OPP0047"/>
    <s v="Foxbridge Financial Group - New Business"/>
    <s v="ACC0099"/>
    <s v="USR008"/>
    <s v="Organic Search"/>
    <x v="2"/>
    <n v="11904"/>
    <d v="2025-06-17T14:10:17"/>
    <d v="2025-06-24T14:10:17"/>
    <m/>
    <s v=""/>
    <s v=""/>
    <x v="0"/>
    <s v=""/>
  </r>
  <r>
    <s v="OPP0048"/>
    <s v="Redwood Operations - New Business"/>
    <s v="ACC0163"/>
    <s v="USR006"/>
    <s v="Organic Search"/>
    <x v="2"/>
    <n v="37810"/>
    <d v="2023-06-12T01:50:40"/>
    <d v="2023-06-12T01:50:40"/>
    <m/>
    <s v=""/>
    <s v=""/>
    <x v="0"/>
    <s v=""/>
  </r>
  <r>
    <s v="OPP0049"/>
    <s v="Apex Marketplace - New Business"/>
    <s v="ACC0269"/>
    <s v="USR009"/>
    <s v="Organic Search"/>
    <x v="2"/>
    <n v="33762"/>
    <d v="2023-12-03T03:02:15"/>
    <d v="2023-11-22T03:02:15"/>
    <m/>
    <s v=""/>
    <s v=""/>
    <x v="0"/>
    <s v=""/>
  </r>
  <r>
    <s v="OPP0050"/>
    <s v="Arbor Care Network - New Business"/>
    <s v="ACC0277"/>
    <s v="USR010"/>
    <s v="Content Download"/>
    <x v="2"/>
    <n v="38650"/>
    <d v="2026-02-27T03:25:25"/>
    <d v="2026-02-13T03:25:25"/>
    <m/>
    <s v=""/>
    <s v=""/>
    <x v="0"/>
    <s v=""/>
  </r>
  <r>
    <s v="OPP0051"/>
    <s v="BluePeak Construction - New Business"/>
    <s v="ACC0181"/>
    <s v="USR010"/>
    <s v="Inbound Demo Request"/>
    <x v="2"/>
    <n v="30158"/>
    <d v="2026-09-11T15:16:00"/>
    <d v="2026-08-30T15:16:00"/>
    <m/>
    <s v=""/>
    <s v=""/>
    <x v="0"/>
    <s v=""/>
  </r>
  <r>
    <s v="OPP0052"/>
    <s v="Arbor Financial Services - Expansion"/>
    <s v="ACC0080"/>
    <s v="USR012"/>
    <s v="Paid Search"/>
    <x v="0"/>
    <n v="15184"/>
    <d v="2024-10-07T00:00:00"/>
    <d v="2024-09-30T00:00:00"/>
    <m/>
    <s v=""/>
    <s v=""/>
    <x v="0"/>
    <s v=""/>
  </r>
  <r>
    <s v="OPP0053"/>
    <s v="Arbor Software Inc. - New Business"/>
    <s v="ACC0148"/>
    <s v="USR006"/>
    <s v="Webinar / Event"/>
    <x v="6"/>
    <n v="32130"/>
    <d v="2026-10-02T00:00:00"/>
    <d v="2026-09-01T00:00:00"/>
    <s v="Complete final procurement steps"/>
    <n v="0"/>
    <n v="27"/>
    <x v="1"/>
    <s v="No Gap"/>
  </r>
  <r>
    <s v="OPP0054"/>
    <s v="Clearwater Support Services Group - New Business"/>
    <s v="ACC0202"/>
    <s v="USR011"/>
    <s v="Outbound SDR"/>
    <x v="2"/>
    <n v="51084"/>
    <d v="2026-05-24T03:04:06"/>
    <d v="2026-04-18T03:04:06"/>
    <m/>
    <s v=""/>
    <s v=""/>
    <x v="0"/>
    <s v=""/>
  </r>
  <r>
    <s v="OPP0055"/>
    <s v="Cobalt Health Services - Expansion"/>
    <s v="ACC0115"/>
    <s v="USR011"/>
    <s v="Organic Search"/>
    <x v="0"/>
    <n v="11400"/>
    <d v="2025-03-12T00:00:00"/>
    <d v="2025-02-10T00:00:00"/>
    <m/>
    <s v=""/>
    <s v=""/>
    <x v="0"/>
    <s v=""/>
  </r>
  <r>
    <s v="OPP0056"/>
    <s v="Arbor Learning Systems Group - New Business"/>
    <s v="ACC0043"/>
    <s v="USR006"/>
    <s v="Webinar / Event"/>
    <x v="2"/>
    <n v="11640"/>
    <d v="2023-11-25T05:59:17"/>
    <d v="2023-10-21T05:59:17"/>
    <m/>
    <s v=""/>
    <s v=""/>
    <x v="0"/>
    <s v=""/>
  </r>
  <r>
    <s v="OPP0057"/>
    <s v="Clearwater Software LLC - New Business"/>
    <s v="ACC0268"/>
    <s v="USR008"/>
    <s v="Outbound SDR"/>
    <x v="5"/>
    <n v="11508"/>
    <d v="2026-10-14T00:00:00"/>
    <d v="2026-09-14T00:00:00"/>
    <s v="Complete technical evaluation"/>
    <n v="0"/>
    <n v="14"/>
    <x v="1"/>
    <s v="No Gap"/>
  </r>
  <r>
    <s v="OPP0058"/>
    <s v="Cobalt Builders Inc. - New Business"/>
    <s v="ACC0020"/>
    <s v="USR007"/>
    <s v="Content Download"/>
    <x v="3"/>
    <n v="32688"/>
    <d v="2026-12-08T00:00:00"/>
    <d v="2026-09-04T00:00:00"/>
    <s v="Confirm decision process"/>
    <n v="0"/>
    <n v="24"/>
    <x v="1"/>
    <s v="No Gap"/>
  </r>
  <r>
    <s v="OPP0059"/>
    <s v="Cedarstone Financial Group - New Business"/>
    <s v="ACC0284"/>
    <s v="USR009"/>
    <s v="Outbound SDR"/>
    <x v="2"/>
    <n v="34276"/>
    <d v="2022-10-19T02:15:45"/>
    <d v="2022-10-17T02:15:45"/>
    <m/>
    <s v=""/>
    <s v=""/>
    <x v="0"/>
    <s v=""/>
  </r>
  <r>
    <s v="OPP0060"/>
    <s v="Vertex Retail Inc. - New Business"/>
    <s v="ACC0308"/>
    <s v="USR006"/>
    <s v="Content Download"/>
    <x v="4"/>
    <n v="10848"/>
    <d v="2026-11-22T00:00:00"/>
    <d v="2026-09-07T00:00:00"/>
    <s v="Confirm business requirements"/>
    <n v="0"/>
    <n v="21"/>
    <x v="1"/>
    <s v="No Gap"/>
  </r>
  <r>
    <s v="OPP0061"/>
    <s v="Sterling Distribution - New Business"/>
    <s v="ACC0060"/>
    <s v="USR011"/>
    <s v="Paid Search"/>
    <x v="2"/>
    <n v="54208"/>
    <d v="2023-02-20T03:59:43"/>
    <d v="2023-02-20T03:59:43"/>
    <m/>
    <s v=""/>
    <s v=""/>
    <x v="0"/>
    <s v=""/>
  </r>
  <r>
    <s v="OPP0062"/>
    <s v="Crescent Solutions - New Business"/>
    <s v="ACC0258"/>
    <s v="USR012"/>
    <s v="Inbound Demo Request"/>
    <x v="0"/>
    <n v="49680"/>
    <d v="2026-09-17T00:00:00"/>
    <d v="2026-09-12T00:00:00"/>
    <m/>
    <s v=""/>
    <s v=""/>
    <x v="0"/>
    <s v=""/>
  </r>
  <r>
    <s v="OPP0063"/>
    <s v="Westfield Retail Group - New Business"/>
    <s v="ACC0251"/>
    <s v="USR008"/>
    <s v="Customer Referral"/>
    <x v="2"/>
    <n v="17298"/>
    <d v="2024-05-23T02:06:58"/>
    <d v="2024-05-21T02:06:58"/>
    <m/>
    <s v=""/>
    <s v=""/>
    <x v="0"/>
    <s v=""/>
  </r>
  <r>
    <s v="OPP0064"/>
    <s v="Eastwood Financial Services Group - Expansion"/>
    <s v="ACC0272"/>
    <s v="USR010"/>
    <s v="Organic Search"/>
    <x v="0"/>
    <n v="11130"/>
    <d v="2026-04-04T06:53:25"/>
    <d v="2026-04-04T06:53:25"/>
    <m/>
    <s v=""/>
    <s v=""/>
    <x v="0"/>
    <s v=""/>
  </r>
  <r>
    <s v="OPP0065"/>
    <s v="Clearwater Health Partners - New Business"/>
    <s v="ACC0108"/>
    <s v="USR007"/>
    <s v="Inbound Demo Request"/>
    <x v="1"/>
    <n v="41958"/>
    <d v="2026-09-12T00:00:00"/>
    <d v="2026-09-13T00:00:00"/>
    <s v="Review proposal with buyer"/>
    <n v="16"/>
    <n v="15"/>
    <x v="3"/>
    <s v="No Gap"/>
  </r>
  <r>
    <s v="OPP0066"/>
    <s v="Northstar Software - New Business"/>
    <s v="ACC0271"/>
    <s v="USR008"/>
    <m/>
    <x v="0"/>
    <n v="11868"/>
    <d v="2025-11-03T14:38:02"/>
    <d v="2025-11-16T14:38:02"/>
    <m/>
    <s v=""/>
    <s v=""/>
    <x v="0"/>
    <s v=""/>
  </r>
  <r>
    <s v="OPP0067"/>
    <s v="Skyline Industries - New Business"/>
    <s v="ACC0077"/>
    <s v="USR010"/>
    <s v="Inbound Demo Request"/>
    <x v="2"/>
    <n v="38192"/>
    <d v="2024-02-15T04:33:01"/>
    <d v="2024-03-16T04:33:01"/>
    <m/>
    <s v=""/>
    <s v=""/>
    <x v="0"/>
    <s v=""/>
  </r>
  <r>
    <s v="OPP0068"/>
    <s v="Greenfield Services Group LLC - New Business"/>
    <s v="ACC0313"/>
    <s v="USR009"/>
    <s v="Organic Search"/>
    <x v="0"/>
    <n v="50868"/>
    <d v="2026-08-08T00:38:18"/>
    <d v="2026-08-06T00:38:18"/>
    <m/>
    <s v=""/>
    <s v=""/>
    <x v="0"/>
    <s v=""/>
  </r>
  <r>
    <s v="OPP0069"/>
    <s v="Clearwater Manufacturing - New Business"/>
    <s v="ACC0299"/>
    <s v="USR006"/>
    <s v="Content Download"/>
    <x v="4"/>
    <n v="9876"/>
    <d v="2026-11-10T00:00:00"/>
    <d v="2026-09-01T00:00:00"/>
    <s v="Schedule discovery follow-up"/>
    <n v="0"/>
    <n v="27"/>
    <x v="1"/>
    <s v="No Gap"/>
  </r>
  <r>
    <s v="OPP0070"/>
    <s v="Mosaic Fabrication Inc. - New Business"/>
    <s v="ACC0164"/>
    <s v="USR007"/>
    <s v="Webinar / Event"/>
    <x v="0"/>
    <n v="17556"/>
    <d v="2026-07-27T03:36:41"/>
    <d v="2026-07-09T03:36:41"/>
    <m/>
    <s v=""/>
    <s v=""/>
    <x v="0"/>
    <s v=""/>
  </r>
  <r>
    <s v="OPP0071"/>
    <s v="Vantage Training - New Business"/>
    <s v="ACC0292"/>
    <s v="USR012"/>
    <s v="Webinar / Event"/>
    <x v="4"/>
    <n v="30552"/>
    <d v="2026-12-22T00:00:00"/>
    <d v="2026-08-30T00:00:00"/>
    <m/>
    <n v="0"/>
    <n v="29"/>
    <x v="1"/>
    <s v="Missing Next Step"/>
  </r>
  <r>
    <s v="OPP0072"/>
    <s v="Cobalt Precision Works - New Business"/>
    <s v="ACC0166"/>
    <s v="USR007"/>
    <s v="Partner Referral"/>
    <x v="5"/>
    <n v="16344"/>
    <d v="2026-11-04T00:00:00"/>
    <d v="2026-09-02T00:00:00"/>
    <s v="Complete technical evaluation"/>
    <n v="0"/>
    <n v="26"/>
    <x v="1"/>
    <s v="No Gap"/>
  </r>
  <r>
    <s v="OPP0073"/>
    <s v="Evergreen Consulting - New Business"/>
    <s v="ACC0056"/>
    <s v="USR012"/>
    <s v="Outbound SDR"/>
    <x v="2"/>
    <n v="86416"/>
    <d v="2026-04-21T09:41:05"/>
    <d v="2026-04-17T09:41:05"/>
    <m/>
    <s v=""/>
    <s v=""/>
    <x v="0"/>
    <s v=""/>
  </r>
  <r>
    <s v="OPP0074"/>
    <s v="Beacon Software - Expansion"/>
    <s v="ACC0189"/>
    <s v="USR011"/>
    <s v="Inbound Demo Request"/>
    <x v="0"/>
    <n v="7896"/>
    <d v="2025-09-26T00:00:00"/>
    <d v="2025-09-08T00:00:00"/>
    <m/>
    <s v=""/>
    <s v=""/>
    <x v="0"/>
    <s v=""/>
  </r>
  <r>
    <s v="OPP0075"/>
    <s v="Fairview Advisory Partners - New Business"/>
    <s v="ACC0192"/>
    <s v="USR008"/>
    <m/>
    <x v="1"/>
    <n v="29736"/>
    <d v="2026-10-16T00:00:00"/>
    <d v="2026-09-18T00:00:00"/>
    <s v="Review proposal with buyer"/>
    <n v="0"/>
    <n v="10"/>
    <x v="1"/>
    <s v="Missing Source"/>
  </r>
  <r>
    <s v="OPP0076"/>
    <s v="Cedarstone Health Services LLC - New Business"/>
    <s v="ACC0267"/>
    <s v="USR005"/>
    <s v="Customer Referral"/>
    <x v="2"/>
    <n v="24668"/>
    <d v="2025-06-17T17:30:59"/>
    <d v="2025-06-17T17:30:59"/>
    <m/>
    <s v=""/>
    <s v=""/>
    <x v="0"/>
    <s v=""/>
  </r>
  <r>
    <s v="OPP0077"/>
    <s v="Brightwell Operations Group - Expansion"/>
    <s v="ACC0186"/>
    <s v="USR009"/>
    <s v="Partner Referral"/>
    <x v="0"/>
    <n v="5670"/>
    <d v="2024-01-29T00:00:00"/>
    <d v="2024-01-13T00:00:00"/>
    <m/>
    <s v=""/>
    <s v=""/>
    <x v="0"/>
    <s v=""/>
  </r>
  <r>
    <s v="OPP0078"/>
    <s v="Sterling Digital - Expansion"/>
    <s v="ACC0257"/>
    <s v="USR011"/>
    <s v="Outbound SDR"/>
    <x v="0"/>
    <n v="5586"/>
    <d v="2024-09-20T00:00:00"/>
    <d v="2024-09-20T00:00:00"/>
    <m/>
    <s v=""/>
    <s v=""/>
    <x v="0"/>
    <s v=""/>
  </r>
  <r>
    <s v="OPP0079"/>
    <s v="Brightwell Digital Group - New Business"/>
    <s v="ACC0179"/>
    <s v="USR011"/>
    <s v="Paid Search"/>
    <x v="2"/>
    <n v="34428"/>
    <d v="2023-08-24T08:08:31"/>
    <d v="2023-08-20T08:08:31"/>
    <m/>
    <s v=""/>
    <s v=""/>
    <x v="0"/>
    <s v=""/>
  </r>
  <r>
    <s v="OPP0080"/>
    <s v="Bluewater Health Partners - New Business"/>
    <s v="ACC0003"/>
    <s v="USR009"/>
    <m/>
    <x v="4"/>
    <n v="72960"/>
    <d v="2026-12-11T00:00:00"/>
    <d v="2026-09-18T00:00:00"/>
    <s v="Confirm business requirements"/>
    <n v="0"/>
    <n v="10"/>
    <x v="1"/>
    <s v="Missing Source"/>
  </r>
  <r>
    <s v="OPP0081"/>
    <s v="Cedarstone Retail Group Inc. - New Business"/>
    <s v="ACC0048"/>
    <s v="USR005"/>
    <s v="Outbound SDR"/>
    <x v="2"/>
    <n v="24150"/>
    <d v="2025-11-11T23:06:55"/>
    <d v="2025-11-14T23:06:55"/>
    <m/>
    <s v=""/>
    <s v=""/>
    <x v="0"/>
    <s v=""/>
  </r>
  <r>
    <s v="OPP0082"/>
    <s v="Blue Harbor Health Services - Expansion"/>
    <s v="ACC0119"/>
    <s v="USR005"/>
    <s v="Outbound SDR"/>
    <x v="0"/>
    <n v="13244"/>
    <d v="2024-07-27T00:00:00"/>
    <d v="2024-07-25T00:00:00"/>
    <m/>
    <s v=""/>
    <s v=""/>
    <x v="0"/>
    <s v=""/>
  </r>
  <r>
    <s v="OPP0083"/>
    <s v="Oakridge Distribution - New Business"/>
    <s v="ACC0137"/>
    <s v="USR011"/>
    <s v="Webinar / Event"/>
    <x v="7"/>
    <n v="28200"/>
    <d v="2026-10-23T00:00:00"/>
    <d v="2026-08-17T00:00:00"/>
    <s v="Finalize pricing and legal terms"/>
    <n v="0"/>
    <n v="42"/>
    <x v="2"/>
    <s v="No Gap"/>
  </r>
  <r>
    <s v="OPP0084"/>
    <s v="Rivermark Medical Group - New Business"/>
    <s v="ACC0323"/>
    <s v="USR005"/>
    <s v="Organic Search"/>
    <x v="2"/>
    <n v="15138"/>
    <d v="2024-07-02T00:18:29"/>
    <d v="2024-06-13T00:18:29"/>
    <m/>
    <s v=""/>
    <s v=""/>
    <x v="0"/>
    <s v=""/>
  </r>
  <r>
    <s v="OPP0085"/>
    <s v="Catalyst Supply Chain LLC - New Business"/>
    <s v="ACC0238"/>
    <s v="USR006"/>
    <s v="Outbound SDR"/>
    <x v="1"/>
    <n v="23424"/>
    <d v="2026-10-10T00:00:00"/>
    <d v="2026-09-04T00:00:00"/>
    <s v="Schedule pricing review"/>
    <n v="0"/>
    <n v="24"/>
    <x v="1"/>
    <s v="No Gap"/>
  </r>
  <r>
    <s v="OPP0086"/>
    <s v="Redwood Fabrication - New Business"/>
    <s v="ACC0031"/>
    <s v="USR008"/>
    <s v="Organic Search"/>
    <x v="0"/>
    <n v="9480"/>
    <d v="2023-04-23T11:42:15"/>
    <d v="2023-05-07T11:42:15"/>
    <m/>
    <s v=""/>
    <s v=""/>
    <x v="0"/>
    <s v=""/>
  </r>
  <r>
    <s v="OPP0087"/>
    <s v="Lakeshore Training - New Business"/>
    <s v="ACC0027"/>
    <s v="USR011"/>
    <s v="Outbound SDR"/>
    <x v="7"/>
    <n v="55260"/>
    <d v="2026-10-01T00:00:00"/>
    <d v="2026-09-10T00:00:00"/>
    <s v="Resolve contract comments"/>
    <n v="0"/>
    <n v="18"/>
    <x v="1"/>
    <s v="No Gap"/>
  </r>
  <r>
    <s v="OPP0088"/>
    <s v="Silver Oak Retail Group - New Business"/>
    <s v="ACC0213"/>
    <s v="USR011"/>
    <s v="Inbound Demo Request"/>
    <x v="4"/>
    <n v="82026"/>
    <d v="2026-11-04T00:00:00"/>
    <d v="2026-09-02T00:00:00"/>
    <s v="Schedule discovery follow-up"/>
    <n v="0"/>
    <n v="26"/>
    <x v="1"/>
    <s v="No Gap"/>
  </r>
  <r>
    <s v="OPP0089"/>
    <s v="Frontier Precision Works LLC - New Business"/>
    <s v="ACC0110"/>
    <s v="USR006"/>
    <m/>
    <x v="7"/>
    <n v="8280"/>
    <d v="2026-09-29T00:00:00"/>
    <d v="2026-09-16T00:00:00"/>
    <s v="Review procurement terms"/>
    <n v="0"/>
    <n v="12"/>
    <x v="1"/>
    <s v="Missing Source"/>
  </r>
  <r>
    <s v="OPP0090"/>
    <s v="Vantage Freight LLC - New Business"/>
    <s v="ACC0008"/>
    <s v="USR011"/>
    <s v="Webinar / Event"/>
    <x v="2"/>
    <n v="79120"/>
    <d v="2024-07-11T19:56:53"/>
    <d v="2024-08-06T19:56:53"/>
    <m/>
    <s v=""/>
    <s v=""/>
    <x v="0"/>
    <s v=""/>
  </r>
  <r>
    <s v="OPP0091"/>
    <s v="Crownstone Fabrication - New Business"/>
    <s v="ACC0234"/>
    <s v="USR005"/>
    <m/>
    <x v="0"/>
    <n v="27900"/>
    <d v="2026-09-14T12:19:45"/>
    <d v="2026-08-14T12:19:45"/>
    <m/>
    <s v=""/>
    <s v=""/>
    <x v="0"/>
    <s v=""/>
  </r>
  <r>
    <s v="OPP0092"/>
    <s v="Maplewood Consulting - New Business"/>
    <s v="ACC0219"/>
    <s v="USR012"/>
    <s v="Webinar / Event"/>
    <x v="0"/>
    <n v="89148"/>
    <d v="2024-06-03T22:35:40"/>
    <d v="2024-06-02T22:35:40"/>
    <m/>
    <s v=""/>
    <s v=""/>
    <x v="0"/>
    <s v=""/>
  </r>
  <r>
    <s v="OPP0093"/>
    <s v="Clearwater Manufacturing - New Business"/>
    <s v="ACC0299"/>
    <s v="USR006"/>
    <s v="Content Download"/>
    <x v="2"/>
    <n v="22944"/>
    <d v="2024-08-07T13:45:43"/>
    <d v="2024-07-23T13:45:43"/>
    <m/>
    <s v=""/>
    <s v=""/>
    <x v="0"/>
    <s v=""/>
  </r>
  <r>
    <s v="OPP0094"/>
    <s v="Brookstone Precision Works - New Business"/>
    <s v="ACC0132"/>
    <s v="USR009"/>
    <s v="Customer Referral"/>
    <x v="2"/>
    <n v="45250"/>
    <d v="2025-09-24T10:32:47"/>
    <d v="2025-09-24T10:32:47"/>
    <m/>
    <s v=""/>
    <s v=""/>
    <x v="0"/>
    <s v=""/>
  </r>
  <r>
    <s v="OPP0095"/>
    <s v="Frontier Precision Works LLC - New Business"/>
    <s v="ACC0110"/>
    <s v="USR006"/>
    <m/>
    <x v="4"/>
    <n v="38892"/>
    <d v="2026-12-16T00:00:00"/>
    <d v="2026-09-16T00:00:00"/>
    <s v="Identify additional stakeholders"/>
    <n v="0"/>
    <n v="12"/>
    <x v="1"/>
    <s v="Missing Source"/>
  </r>
  <r>
    <s v="OPP0096"/>
    <s v="Pioneer Software - New Business"/>
    <s v="ACC0093"/>
    <s v="USR007"/>
    <s v="Inbound Demo Request"/>
    <x v="2"/>
    <n v="33132"/>
    <d v="2024-09-28T19:02:08"/>
    <d v="2024-09-07T19:02:08"/>
    <m/>
    <s v=""/>
    <s v=""/>
    <x v="0"/>
    <s v=""/>
  </r>
  <r>
    <s v="OPP0097"/>
    <s v="Northwind Systems - Expansion"/>
    <s v="ACC0264"/>
    <s v="USR007"/>
    <s v="Content Download"/>
    <x v="0"/>
    <n v="17620"/>
    <d v="2026-08-13T05:08:44"/>
    <d v="2026-08-25T05:08:44"/>
    <m/>
    <s v=""/>
    <s v=""/>
    <x v="0"/>
    <s v=""/>
  </r>
  <r>
    <s v="OPP0098"/>
    <s v="Elmwood Transportation - New Business"/>
    <s v="ACC0297"/>
    <s v="USR008"/>
    <s v="Organic Search"/>
    <x v="2"/>
    <n v="21720"/>
    <d v="2025-08-13T07:55:18"/>
    <d v="2025-07-28T07:55:18"/>
    <m/>
    <s v=""/>
    <s v=""/>
    <x v="0"/>
    <s v=""/>
  </r>
  <r>
    <s v="OPP0099"/>
    <s v="Highpoint Health Partners - New Business"/>
    <s v="ACC0249"/>
    <s v="USR010"/>
    <s v="Customer Referral"/>
    <x v="2"/>
    <n v="39560"/>
    <d v="2026-03-04T20:02:20"/>
    <d v="2026-03-18T20:02:20"/>
    <m/>
    <s v=""/>
    <s v=""/>
    <x v="0"/>
    <s v=""/>
  </r>
  <r>
    <s v="OPP0100"/>
    <s v="Westlake Support Services Group - New Business"/>
    <s v="ACC0239"/>
    <s v="USR012"/>
    <s v="Organic Search"/>
    <x v="0"/>
    <n v="37840"/>
    <d v="2024-06-20T00:04:47"/>
    <d v="2024-06-15T00:04:47"/>
    <m/>
    <s v=""/>
    <s v=""/>
    <x v="0"/>
    <s v=""/>
  </r>
  <r>
    <s v="OPP0101"/>
    <s v="Silver Oak Retail Group - New Business"/>
    <s v="ACC0213"/>
    <s v="USR011"/>
    <s v="Inbound Demo Request"/>
    <x v="6"/>
    <n v="87138"/>
    <d v="2026-09-30T00:00:00"/>
    <d v="2026-09-07T00:00:00"/>
    <s v="Complete final procurement steps"/>
    <n v="0"/>
    <n v="21"/>
    <x v="1"/>
    <s v="No Gap"/>
  </r>
  <r>
    <s v="OPP0102"/>
    <s v="Summit Ridge Academy Group - New Business"/>
    <s v="ACC0118"/>
    <s v="USR005"/>
    <m/>
    <x v="0"/>
    <n v="11088"/>
    <d v="2024-03-22T00:00:00"/>
    <d v="2024-04-04T00:00:00"/>
    <m/>
    <s v=""/>
    <s v=""/>
    <x v="0"/>
    <s v=""/>
  </r>
  <r>
    <s v="OPP0103"/>
    <s v="Vertex Logistics - Expansion"/>
    <s v="ACC0147"/>
    <s v="USR008"/>
    <s v="Inbound Demo Request"/>
    <x v="0"/>
    <n v="5676"/>
    <d v="2026-03-18T00:00:00"/>
    <d v="2026-03-12T00:00:00"/>
    <m/>
    <s v=""/>
    <s v=""/>
    <x v="0"/>
    <s v=""/>
  </r>
  <r>
    <s v="OPP0104"/>
    <s v="Clearwater Manufacturing - New Business"/>
    <s v="ACC0299"/>
    <m/>
    <s v="Content Download"/>
    <x v="7"/>
    <n v="27780"/>
    <d v="2026-09-30T00:00:00"/>
    <d v="2026-09-19T00:00:00"/>
    <s v="Resolve contract comments"/>
    <n v="0"/>
    <n v="9"/>
    <x v="1"/>
    <s v="Missing Owner"/>
  </r>
  <r>
    <s v="OPP0105"/>
    <s v="Cobalt Builders Inc. - New Business"/>
    <s v="ACC0020"/>
    <s v="USR007"/>
    <s v="Inbound Demo Request"/>
    <x v="2"/>
    <n v="9348"/>
    <d v="2026-02-15T16:47:50"/>
    <d v="2026-02-12T16:47:50"/>
    <m/>
    <s v=""/>
    <s v=""/>
    <x v="0"/>
    <s v=""/>
  </r>
  <r>
    <s v="OPP0106"/>
    <s v="Arbor Care Network - New Business"/>
    <s v="ACC0277"/>
    <s v="USR010"/>
    <s v="Customer Referral"/>
    <x v="2"/>
    <n v="44050"/>
    <d v="2026-02-03T22:05:50"/>
    <d v="2026-02-06T22:05:50"/>
    <m/>
    <s v=""/>
    <s v=""/>
    <x v="0"/>
    <s v=""/>
  </r>
  <r>
    <s v="OPP0107"/>
    <s v="Northstar Technologies Inc. - New Business"/>
    <s v="ACC0078"/>
    <s v="USR012"/>
    <s v="Content Download"/>
    <x v="3"/>
    <n v="49100"/>
    <d v="2026-11-22T00:00:00"/>
    <d v="2026-09-11T00:00:00"/>
    <s v="Confirm decision process"/>
    <n v="0"/>
    <n v="17"/>
    <x v="1"/>
    <s v="No Gap"/>
  </r>
  <r>
    <s v="OPP0108"/>
    <s v="Apex Retail - New Business"/>
    <s v="ACC0083"/>
    <s v="USR012"/>
    <s v="Paid Search"/>
    <x v="2"/>
    <n v="62436"/>
    <d v="2025-03-30T13:32:57"/>
    <d v="2025-03-30T13:32:57"/>
    <m/>
    <s v=""/>
    <s v=""/>
    <x v="0"/>
    <s v=""/>
  </r>
  <r>
    <s v="OPP0109"/>
    <s v="Blue Harbor Brands - New Business"/>
    <s v="ACC0169"/>
    <s v="USR008"/>
    <s v="Inbound Demo Request"/>
    <x v="2"/>
    <n v="31552"/>
    <d v="2024-10-08T16:19:24"/>
    <d v="2024-10-02T16:19:24"/>
    <m/>
    <s v=""/>
    <s v=""/>
    <x v="0"/>
    <s v=""/>
  </r>
  <r>
    <s v="OPP0110"/>
    <s v="Granite Peak Clinical Services - New Business"/>
    <s v="ACC0155"/>
    <s v="USR009"/>
    <s v="Customer Referral"/>
    <x v="4"/>
    <n v="26010"/>
    <d v="2026-11-26T00:00:00"/>
    <d v="2026-09-22T00:00:00"/>
    <s v="Identify additional stakeholders"/>
    <n v="0"/>
    <n v="6"/>
    <x v="1"/>
    <s v="No Gap"/>
  </r>
  <r>
    <s v="OPP0111"/>
    <s v="Harborview Digital - New Business"/>
    <s v="ACC0030"/>
    <s v="USR010"/>
    <s v="Webinar / Event"/>
    <x v="6"/>
    <n v="73520"/>
    <d v="2026-10-07T00:00:00"/>
    <d v="2026-09-24T00:00:00"/>
    <s v="Send final agreement for signature"/>
    <n v="0"/>
    <n v="4"/>
    <x v="1"/>
    <s v="No Gap"/>
  </r>
  <r>
    <s v="OPP0112"/>
    <s v="Stonebridge Professional Services Group - New Business"/>
    <s v="ACC0051"/>
    <s v="USR011"/>
    <s v="Inbound Demo Request"/>
    <x v="2"/>
    <n v="63648"/>
    <d v="2025-07-21T18:02:26"/>
    <d v="2025-06-20T18:02:26"/>
    <m/>
    <s v=""/>
    <s v=""/>
    <x v="0"/>
    <s v=""/>
  </r>
  <r>
    <s v="OPP0113"/>
    <s v="Brightwell Fabrication Inc. - New Business"/>
    <s v="ACC0236"/>
    <s v="USR005"/>
    <s v="Inbound Demo Request"/>
    <x v="3"/>
    <n v="11568"/>
    <d v="2026-11-29T00:00:00"/>
    <d v="2026-09-09T00:00:00"/>
    <s v="Confirm decision process"/>
    <n v="0"/>
    <n v="19"/>
    <x v="1"/>
    <s v="No Gap"/>
  </r>
  <r>
    <s v="OPP0114"/>
    <s v="Skyline Systems - New Business"/>
    <s v="ACC0017"/>
    <s v="USR005"/>
    <s v="Organic Search"/>
    <x v="1"/>
    <n v="25636"/>
    <d v="2026-10-05T00:00:00"/>
    <d v="2026-09-15T00:00:00"/>
    <s v="Confirm commercial feedback"/>
    <n v="0"/>
    <n v="13"/>
    <x v="1"/>
    <s v="No Gap"/>
  </r>
  <r>
    <s v="OPP0115"/>
    <s v="Frontier Builders - New Business"/>
    <s v="ACC0322"/>
    <s v="USR009"/>
    <s v="Outbound SDR"/>
    <x v="0"/>
    <n v="77440"/>
    <d v="2024-09-18T01:51:20"/>
    <d v="2024-09-17T01:51:20"/>
    <m/>
    <s v=""/>
    <s v=""/>
    <x v="0"/>
    <s v=""/>
  </r>
  <r>
    <s v="OPP0116"/>
    <s v="Harborview Digital - New Business"/>
    <s v="ACC0030"/>
    <s v="USR010"/>
    <m/>
    <x v="0"/>
    <n v="44608"/>
    <d v="2023-10-22T04:03:28"/>
    <d v="2023-10-17T04:03:28"/>
    <m/>
    <s v=""/>
    <s v=""/>
    <x v="0"/>
    <s v=""/>
  </r>
  <r>
    <s v="OPP0117"/>
    <s v="Lakeshore Infrastructure - New Business"/>
    <s v="ACC0275"/>
    <s v="USR006"/>
    <s v="Outbound SDR"/>
    <x v="7"/>
    <n v="21888"/>
    <d v="2026-10-02T00:00:00"/>
    <d v="2026-08-09T00:00:00"/>
    <m/>
    <n v="0"/>
    <n v="50"/>
    <x v="2"/>
    <s v="Missing Next Step"/>
  </r>
  <r>
    <s v="OPP0118"/>
    <s v="BluePeak Brands - New Business"/>
    <s v="ACC0194"/>
    <s v="USR006"/>
    <s v="Content Download"/>
    <x v="3"/>
    <n v="38850"/>
    <d v="2026-11-06T00:00:00"/>
    <d v="2026-09-12T00:00:00"/>
    <s v="Validate budget and timing"/>
    <n v="0"/>
    <n v="16"/>
    <x v="1"/>
    <s v="No Gap"/>
  </r>
  <r>
    <s v="OPP0119"/>
    <s v="Ironwood Industrial Inc. - New Business"/>
    <s v="ACC0154"/>
    <s v="USR006"/>
    <s v="Outbound SDR"/>
    <x v="6"/>
    <n v="18520"/>
    <d v="2026-08-21T00:00:00"/>
    <d v="2026-08-31T00:00:00"/>
    <s v="Confirm signature timeline"/>
    <n v="38"/>
    <n v="28"/>
    <x v="3"/>
    <s v="No Gap"/>
  </r>
  <r>
    <s v="OPP0120"/>
    <s v="OpenGate Solutions - New Business"/>
    <s v="ACC0204"/>
    <s v="USR010"/>
    <m/>
    <x v="1"/>
    <n v="65520"/>
    <d v="2026-10-29T00:00:00"/>
    <d v="2026-09-04T00:00:00"/>
    <s v="Confirm commercial feedback"/>
    <n v="0"/>
    <n v="24"/>
    <x v="1"/>
    <s v="Missing Source"/>
  </r>
  <r>
    <s v="OPP0121"/>
    <s v="Northstar Professional Services - New Business"/>
    <s v="ACC0009"/>
    <s v="USR008"/>
    <s v="Customer Referral"/>
    <x v="5"/>
    <n v="28692"/>
    <d v="2026-11-22T00:00:00"/>
    <d v="2026-09-18T00:00:00"/>
    <m/>
    <n v="0"/>
    <n v="10"/>
    <x v="1"/>
    <s v="Missing Next Step"/>
  </r>
  <r>
    <s v="OPP0122"/>
    <s v="Sterling Distribution - Expansion"/>
    <s v="ACC0060"/>
    <s v="USR011"/>
    <s v="Partner Referral"/>
    <x v="0"/>
    <n v="25424"/>
    <d v="2024-11-19T00:00:00"/>
    <d v="2024-12-17T00:00:00"/>
    <m/>
    <s v=""/>
    <s v=""/>
    <x v="0"/>
    <s v=""/>
  </r>
  <r>
    <s v="OPP0123"/>
    <s v="Skyline Business Solutions - New Business"/>
    <s v="ACC0094"/>
    <s v="USR005"/>
    <s v="Organic Search"/>
    <x v="7"/>
    <n v="11184"/>
    <d v="2026-09-12T00:00:00"/>
    <d v="2026-08-04T00:00:00"/>
    <s v="Finalize pricing and legal terms"/>
    <n v="16"/>
    <n v="55"/>
    <x v="4"/>
    <s v="No Gap"/>
  </r>
  <r>
    <s v="OPP0124"/>
    <s v="Sterling Distribution - New Business"/>
    <s v="ACC0060"/>
    <s v="USR011"/>
    <s v="Partner Referral"/>
    <x v="2"/>
    <n v="41400"/>
    <d v="2024-01-06T16:37:04"/>
    <d v="2023-12-04T16:37:04"/>
    <m/>
    <s v=""/>
    <s v=""/>
    <x v="0"/>
    <s v=""/>
  </r>
  <r>
    <s v="OPP0125"/>
    <s v="Silver Oak Academy - New Business"/>
    <s v="ACC0306"/>
    <s v="USR006"/>
    <s v="Content Download"/>
    <x v="7"/>
    <n v="15824"/>
    <d v="2026-10-21T00:00:00"/>
    <d v="2026-09-20T00:00:00"/>
    <s v="Resolve contract comments"/>
    <n v="0"/>
    <n v="8"/>
    <x v="1"/>
    <s v="No Gap"/>
  </r>
  <r>
    <s v="OPP0126"/>
    <s v="TrueNorth Supply Chain - New Business"/>
    <s v="ACC0247"/>
    <s v="USR009"/>
    <s v="Paid Search"/>
    <x v="2"/>
    <n v="40650"/>
    <d v="2026-07-02T08:56:44"/>
    <d v="2026-07-07T08:56:44"/>
    <m/>
    <s v=""/>
    <s v=""/>
    <x v="0"/>
    <s v=""/>
  </r>
  <r>
    <s v="OPP0127"/>
    <s v="ClearPath Advisory - New Business"/>
    <s v="ACC0068"/>
    <s v="USR010"/>
    <s v="Webinar / Event"/>
    <x v="2"/>
    <n v="63648"/>
    <d v="2026-02-01T05:25:29"/>
    <d v="2026-01-11T05:25:29"/>
    <m/>
    <s v=""/>
    <s v=""/>
    <x v="0"/>
    <s v=""/>
  </r>
  <r>
    <s v="OPP0128"/>
    <s v="Arbor Learning Systems Group - New Business"/>
    <s v="ACC0043"/>
    <s v="USR006"/>
    <m/>
    <x v="2"/>
    <n v="27540"/>
    <d v="2023-10-28T03:31:09"/>
    <d v="2023-10-25T03:31:09"/>
    <m/>
    <s v=""/>
    <s v=""/>
    <x v="0"/>
    <s v=""/>
  </r>
  <r>
    <s v="OPP0129"/>
    <s v="Vertex Services Group Group - New Business"/>
    <s v="ACC0177"/>
    <s v="USR006"/>
    <s v="Inbound Demo Request"/>
    <x v="4"/>
    <n v="38600"/>
    <d v="2026-10-31T00:00:00"/>
    <d v="2026-09-04T00:00:00"/>
    <s v="Schedule discovery follow-up"/>
    <n v="0"/>
    <n v="24"/>
    <x v="1"/>
    <s v="No Gap"/>
  </r>
  <r>
    <s v="OPP0130"/>
    <s v="Harborview Capital - New Business"/>
    <s v="ACC0294"/>
    <s v="USR011"/>
    <s v="Organic Search"/>
    <x v="0"/>
    <n v="35834"/>
    <d v="2025-01-07T00:00:00"/>
    <d v="2025-01-06T00:00:00"/>
    <m/>
    <s v=""/>
    <s v=""/>
    <x v="0"/>
    <s v=""/>
  </r>
  <r>
    <s v="OPP0131"/>
    <s v="Elmwood Freight - New Business"/>
    <s v="ACC0013"/>
    <s v="USR012"/>
    <s v="Webinar / Event"/>
    <x v="5"/>
    <n v="49200"/>
    <d v="2026-11-16T00:00:00"/>
    <d v="2026-09-16T00:00:00"/>
    <s v="Complete technical evaluation"/>
    <n v="0"/>
    <n v="12"/>
    <x v="1"/>
    <s v="No Gap"/>
  </r>
  <r>
    <s v="OPP0132"/>
    <s v="Eastgate Advisory Group - Expansion"/>
    <s v="ACC0038"/>
    <s v="USR006"/>
    <s v="Inbound Demo Request"/>
    <x v="0"/>
    <n v="18720"/>
    <d v="2025-12-09T14:47:35"/>
    <d v="2025-12-16T14:47:35"/>
    <m/>
    <s v=""/>
    <s v=""/>
    <x v="0"/>
    <s v=""/>
  </r>
  <r>
    <s v="OPP0133"/>
    <s v="Harborview Capital - New Business"/>
    <s v="ACC0294"/>
    <s v="USR011"/>
    <s v="Partner Referral"/>
    <x v="0"/>
    <n v="62208"/>
    <d v="2023-04-19T18:12:18"/>
    <d v="2023-03-29T18:12:18"/>
    <m/>
    <s v=""/>
    <s v=""/>
    <x v="0"/>
    <s v=""/>
  </r>
  <r>
    <s v="OPP0134"/>
    <s v="Brookstone Labs Inc. - Expansion"/>
    <s v="ACC0185"/>
    <s v="USR005"/>
    <s v="Webinar / Event"/>
    <x v="7"/>
    <n v="14148"/>
    <d v="2026-10-24T00:00:00"/>
    <d v="2026-09-08T00:00:00"/>
    <s v="Finalize pricing and legal terms"/>
    <n v="0"/>
    <n v="20"/>
    <x v="1"/>
    <s v="No Gap"/>
  </r>
  <r>
    <s v="OPP0135"/>
    <s v="Vertex Logistics - New Business"/>
    <s v="ACC0147"/>
    <s v="USR008"/>
    <s v="Inbound Demo Request"/>
    <x v="0"/>
    <n v="15030"/>
    <d v="2024-03-29T11:44:37"/>
    <d v="2024-04-07T11:44:37"/>
    <m/>
    <s v=""/>
    <s v=""/>
    <x v="0"/>
    <s v=""/>
  </r>
  <r>
    <s v="OPP0136"/>
    <s v="Vertex Wealth Partners Inc. - New Business"/>
    <s v="ACC0295"/>
    <s v="USR010"/>
    <s v="Paid Search"/>
    <x v="0"/>
    <n v="33012"/>
    <d v="2026-02-17T00:00:00"/>
    <d v="2026-01-12T00:00:00"/>
    <m/>
    <s v=""/>
    <s v=""/>
    <x v="0"/>
    <s v=""/>
  </r>
  <r>
    <s v="OPP0137"/>
    <s v="Cornerstone Construction - New Business"/>
    <s v="ACC0228"/>
    <s v="USR012"/>
    <s v="Outbound SDR"/>
    <x v="0"/>
    <n v="53186"/>
    <d v="2026-02-07T19:17:38"/>
    <d v="2026-01-26T19:17:38"/>
    <m/>
    <s v=""/>
    <s v=""/>
    <x v="0"/>
    <s v=""/>
  </r>
  <r>
    <s v="OPP0138"/>
    <s v="Eastwood Financial Services Group - New Business"/>
    <s v="ACC0272"/>
    <s v="USR010"/>
    <s v="Organic Search"/>
    <x v="7"/>
    <n v="32676"/>
    <d v="2026-08-24T00:00:00"/>
    <d v="2026-09-01T00:00:00"/>
    <s v="Review procurement terms"/>
    <n v="35"/>
    <n v="27"/>
    <x v="3"/>
    <s v="No Gap"/>
  </r>
  <r>
    <s v="OPP0139"/>
    <s v="Oakridge Industries - New Business"/>
    <s v="ACC0062"/>
    <s v="USR012"/>
    <s v="Outbound SDR"/>
    <x v="6"/>
    <n v="82368"/>
    <d v="2026-10-03T00:00:00"/>
    <d v="2026-09-23T00:00:00"/>
    <s v="Confirm signature timeline"/>
    <n v="0"/>
    <n v="5"/>
    <x v="1"/>
    <s v="No Gap"/>
  </r>
  <r>
    <s v="OPP0140"/>
    <s v="Arbor Learning Systems Group - New Business"/>
    <s v="ACC0043"/>
    <s v="USR006"/>
    <s v="Webinar / Event"/>
    <x v="4"/>
    <n v="15024"/>
    <d v="2026-11-25T00:00:00"/>
    <d v="2026-09-21T00:00:00"/>
    <s v="Schedule discovery follow-up"/>
    <n v="0"/>
    <n v="7"/>
    <x v="1"/>
    <s v="No Gap"/>
  </r>
  <r>
    <s v="OPP0141"/>
    <s v="Skyline Care Network - New Business"/>
    <s v="ACC0057"/>
    <s v="USR005"/>
    <s v="Outbound SDR"/>
    <x v="3"/>
    <n v="31314"/>
    <d v="2026-12-06T00:00:00"/>
    <d v="2026-09-24T00:00:00"/>
    <s v="Review technical requirements"/>
    <n v="0"/>
    <n v="4"/>
    <x v="1"/>
    <s v="No Gap"/>
  </r>
  <r>
    <s v="OPP0142"/>
    <s v="Sterling Advisory - New Business"/>
    <s v="ACC0106"/>
    <s v="USR009"/>
    <s v="Paid Search"/>
    <x v="2"/>
    <n v="67104"/>
    <d v="2024-07-31T10:59:24"/>
    <d v="2024-08-12T10:59:24"/>
    <m/>
    <s v=""/>
    <s v=""/>
    <x v="0"/>
    <s v=""/>
  </r>
  <r>
    <s v="OPP0143"/>
    <s v="Foxbridge Financial Group - New Business"/>
    <s v="ACC0099"/>
    <s v="USR008"/>
    <s v="Organic Search"/>
    <x v="0"/>
    <n v="28650"/>
    <d v="2025-06-09T15:02:30"/>
    <d v="2025-06-06T15:02:30"/>
    <m/>
    <s v=""/>
    <s v=""/>
    <x v="0"/>
    <s v=""/>
  </r>
  <r>
    <s v="OPP0144"/>
    <s v="Foxbridge Labs LLC - New Business"/>
    <s v="ACC0286"/>
    <s v="USR012"/>
    <s v="Organic Search"/>
    <x v="0"/>
    <n v="83420"/>
    <d v="2022-12-06T16:15:06"/>
    <d v="2022-12-03T16:15:06"/>
    <m/>
    <s v=""/>
    <s v=""/>
    <x v="0"/>
    <s v=""/>
  </r>
  <r>
    <s v="OPP0145"/>
    <s v="Cornerstone Industries Inc. - New Business"/>
    <s v="ACC0128"/>
    <s v="USR008"/>
    <m/>
    <x v="3"/>
    <n v="34632"/>
    <d v="2026-10-28T00:00:00"/>
    <d v="2026-09-07T00:00:00"/>
    <m/>
    <n v="0"/>
    <n v="21"/>
    <x v="1"/>
    <s v="Missing Source; Missing Next Step"/>
  </r>
  <r>
    <s v="OPP0146"/>
    <s v="Brookstone Learning Systems - New Business"/>
    <s v="ACC0242"/>
    <s v="USR008"/>
    <s v="Outbound SDR"/>
    <x v="2"/>
    <n v="27584"/>
    <d v="2026-01-03T17:30:41"/>
    <d v="2026-01-01T17:30:41"/>
    <m/>
    <s v=""/>
    <s v=""/>
    <x v="0"/>
    <s v=""/>
  </r>
  <r>
    <s v="OPP0147"/>
    <s v="Stonebridge Financial Services Group - New Business"/>
    <s v="ACC0301"/>
    <s v="USR012"/>
    <s v="Organic Search"/>
    <x v="4"/>
    <n v="32606"/>
    <d v="2026-11-12T00:00:00"/>
    <d v="2026-09-03T00:00:00"/>
    <s v="Schedule discovery follow-up"/>
    <n v="0"/>
    <n v="25"/>
    <x v="1"/>
    <s v="No Gap"/>
  </r>
  <r>
    <s v="OPP0148"/>
    <s v="Brookstone Health Services - New Business"/>
    <s v="ACC0212"/>
    <s v="USR006"/>
    <s v="Outbound SDR"/>
    <x v="2"/>
    <n v="11616"/>
    <d v="2024-11-17T17:28:23"/>
    <d v="2024-11-03T17:28:23"/>
    <m/>
    <s v=""/>
    <s v=""/>
    <x v="0"/>
    <s v=""/>
  </r>
  <r>
    <s v="OPP0149"/>
    <s v="BluePeak Construction - New Business"/>
    <s v="ACC0181"/>
    <s v="USR010"/>
    <s v="Outbound SDR"/>
    <x v="7"/>
    <n v="52380"/>
    <d v="2026-09-16T00:00:00"/>
    <d v="2026-09-06T00:00:00"/>
    <s v="Resolve contract comments"/>
    <n v="12"/>
    <n v="22"/>
    <x v="3"/>
    <s v="No Gap"/>
  </r>
  <r>
    <s v="OPP0150"/>
    <s v="Skyline Fabrication LLC - New Business"/>
    <s v="ACC0305"/>
    <s v="USR006"/>
    <s v="Webinar / Event"/>
    <x v="0"/>
    <n v="24930"/>
    <d v="2025-02-18T17:52:43"/>
    <d v="2025-03-17T17:52:43"/>
    <m/>
    <s v=""/>
    <s v=""/>
    <x v="0"/>
    <s v=""/>
  </r>
  <r>
    <s v="OPP0151"/>
    <s v="Beacon Freight - New Business"/>
    <s v="ACC0225"/>
    <s v="USR012"/>
    <s v="Content Download"/>
    <x v="0"/>
    <n v="90528"/>
    <d v="2026-01-10T00:00:00"/>
    <d v="2026-02-06T00:00:00"/>
    <m/>
    <s v=""/>
    <s v=""/>
    <x v="0"/>
    <s v=""/>
  </r>
  <r>
    <s v="OPP0152"/>
    <s v="Fairview Manufacturing - New Business"/>
    <s v="ACC0282"/>
    <s v="USR010"/>
    <s v="Paid Search"/>
    <x v="3"/>
    <n v="82632"/>
    <d v="2026-11-18T00:00:00"/>
    <d v="2026-09-05T00:00:00"/>
    <s v="Validate budget and timing"/>
    <n v="0"/>
    <n v="23"/>
    <x v="1"/>
    <s v="No Gap"/>
  </r>
  <r>
    <s v="OPP0153"/>
    <s v="TrueNorth Marketplace Inc. - Expansion"/>
    <s v="ACC0233"/>
    <s v="USR009"/>
    <s v="Webinar / Event"/>
    <x v="0"/>
    <n v="10320"/>
    <d v="2024-07-30T15:31:51"/>
    <d v="2024-06-24T15:31:51"/>
    <m/>
    <s v=""/>
    <s v=""/>
    <x v="0"/>
    <s v=""/>
  </r>
  <r>
    <s v="OPP0154"/>
    <s v="Ironwood Software Group - New Business"/>
    <s v="ACC0126"/>
    <s v="USR005"/>
    <s v="Content Download"/>
    <x v="2"/>
    <n v="37590"/>
    <d v="2023-05-14T14:39:23"/>
    <d v="2023-04-07T14:39:23"/>
    <m/>
    <s v=""/>
    <s v=""/>
    <x v="0"/>
    <s v=""/>
  </r>
  <r>
    <s v="OPP0155"/>
    <s v="Stonebridge Learning - New Business"/>
    <s v="ACC0279"/>
    <s v="USR011"/>
    <s v="Inbound Demo Request"/>
    <x v="2"/>
    <n v="53360"/>
    <d v="2024-01-04T08:32:47"/>
    <d v="2023-12-04T08:32:47"/>
    <m/>
    <s v=""/>
    <s v=""/>
    <x v="0"/>
    <s v=""/>
  </r>
  <r>
    <s v="OPP0156"/>
    <s v="Rivermark Digital - New Business"/>
    <s v="ACC0100"/>
    <s v="USR009"/>
    <s v="Paid Search"/>
    <x v="2"/>
    <n v="54780"/>
    <d v="2025-08-04T16:02:11"/>
    <d v="2025-08-03T16:02:11"/>
    <m/>
    <s v=""/>
    <s v=""/>
    <x v="0"/>
    <s v=""/>
  </r>
  <r>
    <s v="OPP0157"/>
    <s v="Frontier Software - New Business"/>
    <s v="ACC0143"/>
    <s v="USR008"/>
    <s v="Webinar / Event"/>
    <x v="0"/>
    <n v="15600"/>
    <d v="2024-12-31T19:45:33"/>
    <d v="2024-12-26T19:45:33"/>
    <m/>
    <s v=""/>
    <s v=""/>
    <x v="0"/>
    <s v=""/>
  </r>
  <r>
    <s v="OPP0158"/>
    <s v="BrightPath Advisory Partners LLC - New Business"/>
    <s v="ACC0250"/>
    <s v="USR008"/>
    <s v="Partner Referral"/>
    <x v="2"/>
    <n v="19180"/>
    <d v="2023-03-28T21:49:27"/>
    <d v="2023-02-20T21:49:27"/>
    <m/>
    <s v=""/>
    <s v=""/>
    <x v="0"/>
    <s v=""/>
  </r>
  <r>
    <s v="OPP0159"/>
    <s v="Bluewater Industrial - New Business"/>
    <s v="ACC0190"/>
    <s v="USR010"/>
    <s v="Outbound SDR"/>
    <x v="2"/>
    <n v="66096"/>
    <d v="2025-03-06T22:44:22"/>
    <d v="2025-02-27T22:44:22"/>
    <m/>
    <s v=""/>
    <s v=""/>
    <x v="0"/>
    <s v=""/>
  </r>
  <r>
    <s v="OPP0160"/>
    <s v="Cedarstone Operations - New Business"/>
    <s v="ACC0004"/>
    <s v="USR012"/>
    <s v="Inbound Demo Request"/>
    <x v="1"/>
    <n v="23130"/>
    <d v="2026-09-15T00:00:00"/>
    <d v="2026-09-17T00:00:00"/>
    <s v="Schedule pricing review"/>
    <n v="13"/>
    <n v="11"/>
    <x v="3"/>
    <s v="No Gap"/>
  </r>
  <r>
    <s v="OPP0161"/>
    <s v="Cornerstone Advisory Partners - New Business"/>
    <s v="ACC0034"/>
    <s v="USR006"/>
    <s v="Outbound SDR"/>
    <x v="2"/>
    <n v="32976"/>
    <d v="2024-08-12T01:13:00"/>
    <d v="2024-08-21T01:13:00"/>
    <m/>
    <s v=""/>
    <s v=""/>
    <x v="0"/>
    <s v=""/>
  </r>
  <r>
    <s v="OPP0162"/>
    <s v="Catalyst Supply Chain LLC - New Business"/>
    <s v="ACC0238"/>
    <s v="USR006"/>
    <s v="Inbound Demo Request"/>
    <x v="1"/>
    <n v="27810"/>
    <d v="2026-11-01T00:00:00"/>
    <d v="2026-08-23T00:00:00"/>
    <s v="Review proposal with buyer"/>
    <n v="0"/>
    <n v="36"/>
    <x v="2"/>
    <s v="No Gap"/>
  </r>
  <r>
    <s v="OPP0163"/>
    <s v="Ridgeview Consulting Group - New Business"/>
    <s v="ACC0319"/>
    <s v="USR012"/>
    <s v="Paid Search"/>
    <x v="4"/>
    <n v="52056"/>
    <d v="2026-09-04T00:00:00"/>
    <d v="2026-09-18T00:00:00"/>
    <s v="Identify additional stakeholders"/>
    <n v="24"/>
    <n v="10"/>
    <x v="3"/>
    <s v="No Gap"/>
  </r>
  <r>
    <s v="OPP0164"/>
    <s v="Northstar Software - New Business"/>
    <s v="ACC0271"/>
    <s v="USR007"/>
    <s v="Outbound SDR"/>
    <x v="0"/>
    <n v="11256"/>
    <d v="2026-04-16T14:38:02"/>
    <d v="2026-04-23T14:38:02"/>
    <m/>
    <s v=""/>
    <s v=""/>
    <x v="0"/>
    <s v=""/>
  </r>
  <r>
    <s v="OPP0165"/>
    <s v="Redstone Construction - New Business"/>
    <s v="ACC0160"/>
    <s v="USR012"/>
    <s v="Paid Search"/>
    <x v="6"/>
    <n v="43286"/>
    <d v="2026-10-03T00:00:00"/>
    <d v="2026-09-04T00:00:00"/>
    <s v="Complete final procurement steps"/>
    <n v="0"/>
    <n v="24"/>
    <x v="1"/>
    <s v="No Gap"/>
  </r>
  <r>
    <s v="OPP0166"/>
    <s v="Highpoint Freight - New Business"/>
    <s v="ACC0209"/>
    <s v="USR009"/>
    <s v="Organic Search"/>
    <x v="2"/>
    <n v="47200"/>
    <d v="2024-07-06T02:14:41"/>
    <d v="2024-06-23T02:14:41"/>
    <m/>
    <s v=""/>
    <s v=""/>
    <x v="0"/>
    <s v=""/>
  </r>
  <r>
    <s v="OPP0167"/>
    <s v="Brookstone Retail Group - New Business"/>
    <s v="ACC0287"/>
    <s v="USR008"/>
    <s v="Inbound Demo Request"/>
    <x v="0"/>
    <n v="12960"/>
    <d v="2025-02-17T00:00:00"/>
    <d v="2025-01-18T00:00:00"/>
    <m/>
    <s v=""/>
    <s v=""/>
    <x v="0"/>
    <s v=""/>
  </r>
  <r>
    <s v="OPP0168"/>
    <s v="Riverbend Academy - New Business"/>
    <s v="ACC0010"/>
    <s v="USR011"/>
    <s v="Inbound Demo Request"/>
    <x v="5"/>
    <n v="88298"/>
    <d v="2026-10-18T00:00:00"/>
    <d v="2026-09-10T00:00:00"/>
    <s v="Complete technical evaluation"/>
    <n v="0"/>
    <n v="18"/>
    <x v="1"/>
    <s v="No Gap"/>
  </r>
  <r>
    <s v="OPP0169"/>
    <s v="Vertex Wealth Partners Inc. - New Business"/>
    <s v="ACC0295"/>
    <s v="USR010"/>
    <s v="Paid Search"/>
    <x v="0"/>
    <n v="67248"/>
    <d v="2023-06-15T04:05:36"/>
    <d v="2023-06-09T04:05:36"/>
    <m/>
    <s v=""/>
    <s v=""/>
    <x v="0"/>
    <s v=""/>
  </r>
  <r>
    <s v="OPP0170"/>
    <s v="Pioneer Care Network Inc. - New Business"/>
    <s v="ACC0270"/>
    <s v="USR005"/>
    <s v="Paid Search"/>
    <x v="2"/>
    <n v="36666"/>
    <d v="2025-12-05T22:58:29"/>
    <d v="2025-11-16T22:58:29"/>
    <m/>
    <s v=""/>
    <s v=""/>
    <x v="0"/>
    <s v=""/>
  </r>
  <r>
    <s v="OPP0171"/>
    <s v="Vertex Consulting - New Business"/>
    <s v="ACC0312"/>
    <s v="USR010"/>
    <s v="Content Download"/>
    <x v="2"/>
    <n v="86240"/>
    <d v="2023-12-05T16:33:09"/>
    <d v="2023-11-19T16:33:09"/>
    <m/>
    <s v=""/>
    <s v=""/>
    <x v="0"/>
    <s v=""/>
  </r>
  <r>
    <s v="OPP0172"/>
    <s v="Skyline Health Partners - New Business"/>
    <s v="ACC0073"/>
    <s v="USR006"/>
    <s v="Paid Search"/>
    <x v="0"/>
    <n v="18660"/>
    <d v="2026-03-19T00:00:00"/>
    <d v="2026-03-13T00:00:00"/>
    <m/>
    <s v=""/>
    <s v=""/>
    <x v="0"/>
    <s v=""/>
  </r>
  <r>
    <s v="OPP0173"/>
    <s v="Cobalt Supply Chain LLC - New Business"/>
    <s v="ACC0140"/>
    <s v="USR012"/>
    <s v="Partner Referral"/>
    <x v="0"/>
    <n v="87912"/>
    <d v="2023-05-04T11:48:07"/>
    <d v="2023-05-03T11:48:07"/>
    <m/>
    <s v=""/>
    <s v=""/>
    <x v="0"/>
    <s v=""/>
  </r>
  <r>
    <s v="OPP0174"/>
    <s v="Cobalt Supply Chain LLC - New Business"/>
    <s v="ACC0140"/>
    <s v="USR012"/>
    <s v="Content Download"/>
    <x v="2"/>
    <n v="90804"/>
    <d v="2023-02-08T10:55:22"/>
    <d v="2023-02-21T10:55:22"/>
    <m/>
    <s v=""/>
    <s v=""/>
    <x v="0"/>
    <s v=""/>
  </r>
  <r>
    <s v="OPP0175"/>
    <s v="Granite Peak Freight - New Business"/>
    <s v="ACC0019"/>
    <s v="USR008"/>
    <s v="Customer Referral"/>
    <x v="0"/>
    <n v="38556"/>
    <d v="2026-05-01T05:43:01"/>
    <d v="2026-04-13T05:43:01"/>
    <m/>
    <s v=""/>
    <s v=""/>
    <x v="0"/>
    <s v=""/>
  </r>
  <r>
    <s v="OPP0176"/>
    <s v="Arbor Learning Systems Group - New Business"/>
    <s v="ACC0043"/>
    <s v="USR006"/>
    <s v="Organic Search"/>
    <x v="5"/>
    <n v="26124"/>
    <d v="2026-10-29T00:00:00"/>
    <d v="2026-07-06T00:00:00"/>
    <s v="Schedule product demo"/>
    <n v="0"/>
    <n v="84"/>
    <x v="2"/>
    <s v="No Gap"/>
  </r>
  <r>
    <s v="OPP0177"/>
    <s v="Elmwood Freight - New Business"/>
    <s v="ACC0013"/>
    <s v="USR012"/>
    <s v="Webinar / Event"/>
    <x v="5"/>
    <n v="78016"/>
    <d v="2026-10-17T00:00:00"/>
    <d v="2026-09-17T00:00:00"/>
    <s v="Schedule product demo"/>
    <n v="0"/>
    <n v="11"/>
    <x v="1"/>
    <s v="No Gap"/>
  </r>
  <r>
    <s v="OPP0178"/>
    <s v="Granite Peak Clinical Services - New Business"/>
    <s v="ACC0155"/>
    <s v="USR009"/>
    <s v="Inbound Demo Request"/>
    <x v="4"/>
    <n v="61404"/>
    <d v="2026-12-19T00:00:00"/>
    <d v="2026-08-18T00:00:00"/>
    <s v="Confirm business requirements"/>
    <n v="0"/>
    <n v="41"/>
    <x v="2"/>
    <s v="No Gap"/>
  </r>
  <r>
    <s v="OPP0179"/>
    <s v="Vantage Systems - New Business"/>
    <s v="ACC0124"/>
    <s v="USR009"/>
    <s v="Paid Search"/>
    <x v="3"/>
    <n v="43194"/>
    <d v="2026-10-26T00:00:00"/>
    <d v="2026-09-18T00:00:00"/>
    <s v="Confirm decision process"/>
    <n v="0"/>
    <n v="10"/>
    <x v="1"/>
    <s v="No Gap"/>
  </r>
  <r>
    <s v="OPP0180"/>
    <s v="Granite Peak Freight - New Business"/>
    <s v="ACC0019"/>
    <s v="USR008"/>
    <s v="Outbound SDR"/>
    <x v="0"/>
    <n v="9492"/>
    <d v="2025-11-26T05:43:01"/>
    <d v="2025-12-01T05:43:01"/>
    <m/>
    <s v=""/>
    <s v=""/>
    <x v="0"/>
    <s v=""/>
  </r>
  <r>
    <s v="OPP0181"/>
    <s v="Fairview Manufacturing - New Business"/>
    <s v="ACC0282"/>
    <s v="USR010"/>
    <s v="Outbound SDR"/>
    <x v="5"/>
    <n v="87768"/>
    <d v="2026-08-07T00:00:00"/>
    <d v="2026-09-12T00:00:00"/>
    <s v="Schedule product demo"/>
    <n v="52"/>
    <n v="16"/>
    <x v="3"/>
    <s v="No Gap"/>
  </r>
  <r>
    <s v="OPP0182"/>
    <s v="Eastwood Financial Services Group - New Business"/>
    <s v="ACC0272"/>
    <s v="USR010"/>
    <s v="Organic Search"/>
    <x v="0"/>
    <n v="46050"/>
    <d v="2026-08-23T11:01:04"/>
    <d v="2026-08-19T11:01:04"/>
    <m/>
    <s v=""/>
    <s v=""/>
    <x v="0"/>
    <s v=""/>
  </r>
  <r>
    <s v="OPP0183"/>
    <s v="Meridian Financial Services - New Business"/>
    <s v="ACC0127"/>
    <s v="USR011"/>
    <s v="Content Download"/>
    <x v="0"/>
    <n v="40710"/>
    <d v="2025-11-11T00:00:00"/>
    <d v="2025-11-16T00:00:00"/>
    <m/>
    <s v=""/>
    <s v=""/>
    <x v="0"/>
    <s v=""/>
  </r>
  <r>
    <s v="OPP0184"/>
    <s v="Foxbridge Labs LLC - New Business"/>
    <s v="ACC0286"/>
    <s v="USR012"/>
    <s v="Webinar / Event"/>
    <x v="0"/>
    <n v="64308"/>
    <d v="2022-08-26T19:55:45"/>
    <d v="2022-08-20T19:55:45"/>
    <m/>
    <s v=""/>
    <s v=""/>
    <x v="0"/>
    <s v=""/>
  </r>
  <r>
    <s v="OPP0185"/>
    <s v="Cedarstone Freight LLC - New Business"/>
    <s v="ACC0222"/>
    <s v="USR008"/>
    <s v="Webinar / Event"/>
    <x v="2"/>
    <n v="11040"/>
    <d v="2024-07-10T21:37:26"/>
    <d v="2024-07-06T21:37:26"/>
    <m/>
    <s v=""/>
    <s v=""/>
    <x v="0"/>
    <s v=""/>
  </r>
  <r>
    <s v="OPP0186"/>
    <s v="Riverbend Medical Group Inc. - New Business"/>
    <s v="ACC0246"/>
    <s v="USR012"/>
    <s v="Partner Referral"/>
    <x v="0"/>
    <n v="64086"/>
    <d v="2025-10-23T00:00:00"/>
    <d v="2025-09-21T00:00:00"/>
    <m/>
    <s v=""/>
    <s v=""/>
    <x v="0"/>
    <s v=""/>
  </r>
  <r>
    <s v="OPP0187"/>
    <s v="Fairview Commerce Group - New Business"/>
    <s v="ACC0261"/>
    <s v="USR012"/>
    <s v="Organic Search"/>
    <x v="0"/>
    <n v="36360"/>
    <d v="2024-09-01T00:00:00"/>
    <d v="2024-08-31T00:00:00"/>
    <m/>
    <s v=""/>
    <s v=""/>
    <x v="0"/>
    <s v=""/>
  </r>
  <r>
    <s v="OPP0188"/>
    <s v="Westfield Construction Group - New Business"/>
    <s v="ACC0097"/>
    <s v="USR011"/>
    <s v="Content Download"/>
    <x v="7"/>
    <n v="53256"/>
    <d v="2026-09-09T00:00:00"/>
    <d v="2026-09-17T00:00:00"/>
    <s v="Resolve contract comments"/>
    <n v="19"/>
    <n v="11"/>
    <x v="3"/>
    <s v="No Gap"/>
  </r>
  <r>
    <s v="OPP0189"/>
    <s v="Blue Harbor Precision Works LLC - New Business"/>
    <s v="ACC0203"/>
    <s v="USR011"/>
    <s v="Content Download"/>
    <x v="0"/>
    <n v="53136"/>
    <d v="2025-06-18T03:24:44"/>
    <d v="2025-06-01T03:24:44"/>
    <m/>
    <s v=""/>
    <s v=""/>
    <x v="0"/>
    <s v=""/>
  </r>
  <r>
    <s v="OPP0190"/>
    <s v="Arbor Financial Services - New Business"/>
    <s v="ACC0080"/>
    <s v="USR012"/>
    <s v="Paid Search"/>
    <x v="0"/>
    <n v="46600"/>
    <d v="2025-09-10T00:00:00"/>
    <d v="2025-10-07T00:00:00"/>
    <m/>
    <s v=""/>
    <s v=""/>
    <x v="0"/>
    <s v=""/>
  </r>
  <r>
    <s v="OPP0191"/>
    <s v="Meridian Financial Services - New Business"/>
    <s v="ACC0127"/>
    <s v="USR011"/>
    <s v="Content Download"/>
    <x v="0"/>
    <n v="36892"/>
    <d v="2022-05-14T03:47:02"/>
    <d v="2022-05-18T03:47:02"/>
    <m/>
    <s v=""/>
    <s v=""/>
    <x v="0"/>
    <s v=""/>
  </r>
  <r>
    <s v="OPP0192"/>
    <s v="Highpoint Freight - New Business"/>
    <s v="ACC0209"/>
    <s v="USR009"/>
    <s v="Content Download"/>
    <x v="3"/>
    <n v="72150"/>
    <d v="2026-08-21T00:00:00"/>
    <d v="2026-09-07T00:00:00"/>
    <s v="Validate budget and timing"/>
    <n v="38"/>
    <n v="21"/>
    <x v="3"/>
    <s v="No Gap"/>
  </r>
  <r>
    <s v="OPP0193"/>
    <s v="Arbor Learning Systems Group - New Business"/>
    <s v="ACC0043"/>
    <s v="USR006"/>
    <s v="Organic Search"/>
    <x v="5"/>
    <n v="19180"/>
    <d v="2026-08-31T00:00:00"/>
    <d v="2026-09-19T00:00:00"/>
    <s v="Schedule product demo"/>
    <n v="28"/>
    <n v="9"/>
    <x v="3"/>
    <s v="No Gap"/>
  </r>
  <r>
    <s v="OPP0194"/>
    <s v="Redwood Fabrication - New Business"/>
    <s v="ACC0031"/>
    <s v="USR006"/>
    <s v="Organic Search"/>
    <x v="0"/>
    <n v="33668"/>
    <d v="2025-05-27T00:00:00"/>
    <d v="2025-05-26T00:00:00"/>
    <m/>
    <s v=""/>
    <s v=""/>
    <x v="0"/>
    <s v=""/>
  </r>
  <r>
    <s v="OPP0195"/>
    <s v="Vertex Digital Group - Expansion"/>
    <s v="ACC0092"/>
    <s v="USR010"/>
    <s v="Content Download"/>
    <x v="0"/>
    <n v="18300"/>
    <d v="2024-09-26T00:00:00"/>
    <d v="2024-09-26T00:00:00"/>
    <m/>
    <s v=""/>
    <s v=""/>
    <x v="0"/>
    <s v=""/>
  </r>
  <r>
    <s v="OPP0196"/>
    <s v="Greenfield Industries LLC - New Business"/>
    <s v="ACC0071"/>
    <s v="USR011"/>
    <s v="Webinar / Event"/>
    <x v="0"/>
    <n v="30720"/>
    <d v="2026-07-14T19:10:54"/>
    <d v="2026-07-13T19:10:54"/>
    <m/>
    <s v=""/>
    <s v=""/>
    <x v="0"/>
    <s v=""/>
  </r>
  <r>
    <s v="OPP0197"/>
    <s v="Brookstone Labs Inc. - New Business"/>
    <s v="ACC0185"/>
    <s v="USR005"/>
    <s v="Webinar / Event"/>
    <x v="0"/>
    <n v="28530"/>
    <d v="2026-07-05T16:17:37"/>
    <d v="2026-07-03T16:17:37"/>
    <m/>
    <s v=""/>
    <s v=""/>
    <x v="0"/>
    <s v=""/>
  </r>
  <r>
    <s v="OPP0198"/>
    <s v="Beacon Capital - New Business"/>
    <s v="ACC0141"/>
    <s v="USR009"/>
    <s v="Outbound SDR"/>
    <x v="6"/>
    <n v="79520"/>
    <d v="2026-08-16T00:00:00"/>
    <d v="2026-09-07T00:00:00"/>
    <s v="Confirm signature timeline"/>
    <n v="43"/>
    <n v="21"/>
    <x v="3"/>
    <s v="No Gap"/>
  </r>
  <r>
    <s v="OPP0199"/>
    <s v="ClearPath Manufacturing LLC - New Business"/>
    <s v="ACC0109"/>
    <s v="USR010"/>
    <s v="Content Download"/>
    <x v="0"/>
    <n v="47200"/>
    <d v="2025-09-07T17:05:04"/>
    <d v="2025-09-16T17:05:04"/>
    <m/>
    <s v=""/>
    <s v=""/>
    <x v="0"/>
    <s v=""/>
  </r>
  <r>
    <s v="OPP0200"/>
    <s v="Mosaic Fabrication Inc. - New Business"/>
    <s v="ACC0164"/>
    <s v="USR007"/>
    <s v="Webinar / Event"/>
    <x v="0"/>
    <n v="11148"/>
    <d v="2026-07-08T07:10:55"/>
    <d v="2026-08-05T07:10:55"/>
    <m/>
    <s v=""/>
    <s v=""/>
    <x v="0"/>
    <s v=""/>
  </r>
  <r>
    <s v="OPP0201"/>
    <s v="Stonebridge Services Group - New Business"/>
    <s v="ACC0300"/>
    <s v="USR006"/>
    <m/>
    <x v="4"/>
    <n v="11148"/>
    <d v="2026-11-21T00:00:00"/>
    <d v="2026-09-23T00:00:00"/>
    <s v="Schedule discovery follow-up"/>
    <n v="0"/>
    <n v="5"/>
    <x v="1"/>
    <s v="Missing Source"/>
  </r>
  <r>
    <s v="OPP0202"/>
    <s v="Brookstone Solutions Inc. - New Business"/>
    <s v="ACC0307"/>
    <s v="USR006"/>
    <s v="Inbound Demo Request"/>
    <x v="2"/>
    <n v="21472"/>
    <d v="2025-11-23T07:52:07"/>
    <d v="2025-10-22T07:52:07"/>
    <m/>
    <s v=""/>
    <s v=""/>
    <x v="0"/>
    <s v=""/>
  </r>
  <r>
    <s v="OPP0203"/>
    <s v="Cobalt Precision Works - New Business"/>
    <s v="ACC0166"/>
    <s v="USR007"/>
    <s v="Partner Referral"/>
    <x v="3"/>
    <n v="9144"/>
    <d v="2026-11-14T00:00:00"/>
    <d v="2026-06-27T00:00:00"/>
    <s v="Validate budget and timing"/>
    <n v="0"/>
    <n v="93"/>
    <x v="2"/>
    <s v="No Gap"/>
  </r>
  <r>
    <s v="OPP0204"/>
    <s v="Maplewood Consulting - New Business"/>
    <s v="ACC0219"/>
    <s v="USR012"/>
    <s v="Content Download"/>
    <x v="0"/>
    <n v="74240"/>
    <d v="2024-10-06T16:44:36"/>
    <d v="2024-09-24T16:44:36"/>
    <m/>
    <s v=""/>
    <s v=""/>
    <x v="0"/>
    <s v=""/>
  </r>
  <r>
    <s v="OPP0205"/>
    <s v="Redwood Manufacturing Inc. - New Business"/>
    <s v="ACC0262"/>
    <s v="USR005"/>
    <s v="Webinar / Event"/>
    <x v="1"/>
    <n v="15840"/>
    <d v="2026-10-13T00:00:00"/>
    <d v="2026-09-12T00:00:00"/>
    <s v="Confirm commercial feedback"/>
    <n v="0"/>
    <n v="16"/>
    <x v="1"/>
    <s v="No Gap"/>
  </r>
  <r>
    <s v="OPP0206"/>
    <s v="Summit Ridge Builders Group - New Business"/>
    <s v="ACC0102"/>
    <s v="USR009"/>
    <s v="Content Download"/>
    <x v="2"/>
    <n v="84968"/>
    <d v="2025-03-29T10:09:43"/>
    <d v="2025-03-23T10:09:43"/>
    <m/>
    <s v=""/>
    <s v=""/>
    <x v="0"/>
    <s v=""/>
  </r>
  <r>
    <s v="OPP0207"/>
    <s v="Redstone Manufacturing - New Business"/>
    <s v="ACC0112"/>
    <s v="USR010"/>
    <s v="Content Download"/>
    <x v="4"/>
    <n v="59700"/>
    <d v="2026-08-15T00:00:00"/>
    <d v="2026-07-13T00:00:00"/>
    <s v="Identify additional stakeholders"/>
    <n v="44"/>
    <n v="77"/>
    <x v="4"/>
    <s v="No Gap"/>
  </r>
  <r>
    <s v="OPP0208"/>
    <s v="BluePeak Care Network - New Business"/>
    <s v="ACC0187"/>
    <s v="USR009"/>
    <s v="Partner Referral"/>
    <x v="0"/>
    <n v="65620"/>
    <d v="2026-08-18T11:48:53"/>
    <d v="2026-07-15T11:48:53"/>
    <m/>
    <s v=""/>
    <s v=""/>
    <x v="0"/>
    <s v=""/>
  </r>
  <r>
    <s v="OPP0209"/>
    <s v="Highpoint Health Partners - New Business"/>
    <s v="ACC0249"/>
    <s v="USR010"/>
    <s v="Webinar / Event"/>
    <x v="2"/>
    <n v="35596"/>
    <d v="2025-11-01T05:31:53"/>
    <d v="2025-10-31T05:31:53"/>
    <m/>
    <s v=""/>
    <s v=""/>
    <x v="0"/>
    <s v=""/>
  </r>
  <r>
    <s v="OPP0210"/>
    <s v="Suncrest Care Network - New Business"/>
    <s v="ACC0314"/>
    <s v="USR009"/>
    <s v="Inbound Demo Request"/>
    <x v="0"/>
    <n v="53700"/>
    <d v="2022-12-31T18:09:08"/>
    <d v="2023-01-12T18:09:08"/>
    <m/>
    <s v=""/>
    <s v=""/>
    <x v="0"/>
    <s v=""/>
  </r>
  <r>
    <s v="OPP0211"/>
    <s v="TrueNorth Health Services - New Business"/>
    <s v="ACC0105"/>
    <s v="USR008"/>
    <s v="Webinar / Event"/>
    <x v="0"/>
    <n v="18440"/>
    <d v="2024-11-04T15:34:07"/>
    <d v="2024-10-22T15:34:07"/>
    <m/>
    <s v=""/>
    <s v=""/>
    <x v="0"/>
    <s v=""/>
  </r>
  <r>
    <s v="OPP0212"/>
    <s v="Keystone Labs LLC - New Business"/>
    <s v="ACC0121"/>
    <s v="USR012"/>
    <s v="Inbound Demo Request"/>
    <x v="3"/>
    <n v="18400"/>
    <d v="2026-11-28T00:00:00"/>
    <d v="2026-09-13T00:00:00"/>
    <s v="Confirm decision process"/>
    <n v="0"/>
    <n v="15"/>
    <x v="1"/>
    <s v="No Gap"/>
  </r>
  <r>
    <s v="OPP0213"/>
    <s v="Foxbridge Financial Group - New Business"/>
    <s v="ACC0099"/>
    <s v="USR008"/>
    <s v="Inbound Demo Request"/>
    <x v="0"/>
    <n v="17712"/>
    <d v="2024-07-28T04:52:20"/>
    <d v="2024-08-02T04:52:20"/>
    <m/>
    <s v=""/>
    <s v=""/>
    <x v="0"/>
    <s v=""/>
  </r>
  <r>
    <s v="OPP0214"/>
    <s v="Bridgeway Learning Systems Group - New Business"/>
    <s v="ACC0098"/>
    <s v="USR009"/>
    <s v="Content Download"/>
    <x v="0"/>
    <n v="74240"/>
    <d v="2025-04-04T08:54:21"/>
    <d v="2025-04-12T08:54:21"/>
    <m/>
    <s v=""/>
    <s v=""/>
    <x v="0"/>
    <s v=""/>
  </r>
  <r>
    <s v="OPP0215"/>
    <s v="Clearwater Consulting - Expansion"/>
    <s v="ACC0162"/>
    <s v="USR006"/>
    <s v="Outbound SDR"/>
    <x v="0"/>
    <n v="11112"/>
    <d v="2026-02-09T00:00:00"/>
    <d v="2026-02-03T00:00:00"/>
    <m/>
    <s v=""/>
    <s v=""/>
    <x v="0"/>
    <s v=""/>
  </r>
  <r>
    <s v="OPP0216"/>
    <s v="BluePeak Care Network - Expansion"/>
    <s v="ACC0187"/>
    <s v="USR009"/>
    <s v="Partner Referral"/>
    <x v="0"/>
    <n v="10308"/>
    <d v="2026-07-25T11:48:53"/>
    <d v="2026-07-19T11:48:53"/>
    <m/>
    <s v=""/>
    <s v=""/>
    <x v="0"/>
    <s v=""/>
  </r>
  <r>
    <s v="OPP0217"/>
    <s v="Keystone Labs - New Business"/>
    <s v="ACC0221"/>
    <s v="USR009"/>
    <m/>
    <x v="3"/>
    <n v="48050"/>
    <d v="2026-08-10T00:00:00"/>
    <d v="2026-09-18T00:00:00"/>
    <s v="Validate budget and timing"/>
    <n v="49"/>
    <n v="10"/>
    <x v="3"/>
    <s v="Missing Source"/>
  </r>
  <r>
    <s v="OPP0218"/>
    <s v="Cobalt Clinical Services LLC - New Business"/>
    <s v="ACC0120"/>
    <s v="USR012"/>
    <s v="Paid Search"/>
    <x v="0"/>
    <n v="54300"/>
    <d v="2024-09-19T14:55:53"/>
    <d v="2024-08-20T14:55:53"/>
    <m/>
    <s v=""/>
    <s v=""/>
    <x v="0"/>
    <s v=""/>
  </r>
  <r>
    <s v="OPP0219"/>
    <s v="Clearwater Precision Works LLC - New Business"/>
    <s v="ACC0176"/>
    <s v="USR006"/>
    <s v="Webinar / Event"/>
    <x v="0"/>
    <n v="43780"/>
    <d v="2023-07-28T19:37:05"/>
    <d v="2023-07-24T19:37:05"/>
    <m/>
    <s v=""/>
    <s v=""/>
    <x v="0"/>
    <s v=""/>
  </r>
  <r>
    <s v="OPP0220"/>
    <s v="Apex Precision Works LLC - New Business"/>
    <s v="ACC0005"/>
    <m/>
    <s v="Content Download"/>
    <x v="7"/>
    <n v="15264"/>
    <d v="2026-10-22T00:00:00"/>
    <d v="2026-09-03T00:00:00"/>
    <s v="Resolve contract comments"/>
    <n v="0"/>
    <n v="25"/>
    <x v="1"/>
    <s v="Missing Owner"/>
  </r>
  <r>
    <s v="OPP0221"/>
    <s v="Granite Peak Business Services Inc. - New Business"/>
    <s v="ACC0158"/>
    <s v="USR008"/>
    <m/>
    <x v="1"/>
    <n v="24288"/>
    <d v="2026-10-25T00:00:00"/>
    <d v="2026-09-09T00:00:00"/>
    <s v="Confirm commercial feedback"/>
    <n v="0"/>
    <n v="19"/>
    <x v="1"/>
    <s v="Missing Source"/>
  </r>
  <r>
    <s v="OPP0222"/>
    <s v="Rivermark Capital Group - New Business"/>
    <s v="ACC0066"/>
    <s v="USR011"/>
    <s v="Webinar / Event"/>
    <x v="2"/>
    <n v="22500"/>
    <d v="2025-02-26T15:19:38"/>
    <d v="2025-02-23T15:19:38"/>
    <m/>
    <s v=""/>
    <s v=""/>
    <x v="0"/>
    <s v=""/>
  </r>
  <r>
    <s v="OPP0223"/>
    <s v="Vertex Retail Inc. - New Business"/>
    <s v="ACC0308"/>
    <s v="USR006"/>
    <m/>
    <x v="2"/>
    <n v="25948"/>
    <d v="2025-04-29T14:48:47"/>
    <d v="2025-04-19T14:48:47"/>
    <m/>
    <s v=""/>
    <s v=""/>
    <x v="0"/>
    <s v=""/>
  </r>
  <r>
    <s v="OPP0224"/>
    <s v="Cedarstone Health Services LLC - New Business"/>
    <s v="ACC0267"/>
    <s v="USR005"/>
    <s v="Paid Search"/>
    <x v="3"/>
    <n v="19500"/>
    <d v="2026-11-02T00:00:00"/>
    <d v="2026-09-10T00:00:00"/>
    <s v="Confirm decision process"/>
    <n v="0"/>
    <n v="18"/>
    <x v="1"/>
    <s v="No Gap"/>
  </r>
  <r>
    <s v="OPP0225"/>
    <s v="Lakeshore Infrastructure - New Business"/>
    <s v="ACC0275"/>
    <s v="USR006"/>
    <s v="Outbound SDR"/>
    <x v="6"/>
    <n v="19900"/>
    <d v="2026-10-14T00:00:00"/>
    <d v="2026-08-30T00:00:00"/>
    <s v="Confirm signature timeline"/>
    <n v="0"/>
    <n v="29"/>
    <x v="1"/>
    <s v="No Gap"/>
  </r>
  <r>
    <s v="OPP0226"/>
    <s v="Granite Peak Advisory Partners - New Business"/>
    <s v="ACC0063"/>
    <s v="USR010"/>
    <s v="Organic Search"/>
    <x v="0"/>
    <n v="40248"/>
    <d v="2026-02-13T00:00:00"/>
    <d v="2026-02-07T00:00:00"/>
    <m/>
    <s v=""/>
    <s v=""/>
    <x v="0"/>
    <s v=""/>
  </r>
  <r>
    <s v="OPP0227"/>
    <s v="Redstone Manufacturing - New Business"/>
    <s v="ACC0112"/>
    <s v="USR010"/>
    <s v="Content Download"/>
    <x v="0"/>
    <n v="48360"/>
    <d v="2025-07-22T15:00:49"/>
    <d v="2025-08-04T15:00:49"/>
    <m/>
    <s v=""/>
    <s v=""/>
    <x v="0"/>
    <s v=""/>
  </r>
  <r>
    <s v="OPP0228"/>
    <s v="Cedarstone Operations - New Business"/>
    <s v="ACC0004"/>
    <s v="USR012"/>
    <s v="Organic Search"/>
    <x v="6"/>
    <n v="29260"/>
    <d v="2026-10-12T00:00:00"/>
    <d v="2026-08-16T00:00:00"/>
    <s v="Send final agreement for signature"/>
    <n v="0"/>
    <n v="43"/>
    <x v="2"/>
    <s v="No Gap"/>
  </r>
  <r>
    <s v="OPP0229"/>
    <s v="Foxbridge Capital - Expansion"/>
    <s v="ACC0226"/>
    <s v="USR005"/>
    <s v="Outbound SDR"/>
    <x v="0"/>
    <n v="11604"/>
    <d v="2026-03-29T04:11:28"/>
    <d v="2026-03-22T04:11:28"/>
    <m/>
    <s v=""/>
    <s v=""/>
    <x v="0"/>
    <s v=""/>
  </r>
  <r>
    <s v="OPP0230"/>
    <s v="Goldcrest Distribution Inc. - New Business"/>
    <s v="ACC0001"/>
    <s v="USR009"/>
    <s v="Partner Referral"/>
    <x v="2"/>
    <n v="77520"/>
    <d v="2023-12-21T15:55:25"/>
    <d v="2023-12-18T15:55:25"/>
    <m/>
    <s v=""/>
    <s v=""/>
    <x v="0"/>
    <s v=""/>
  </r>
  <r>
    <s v="OPP0231"/>
    <s v="Maplewood Systems - New Business"/>
    <s v="ACC0053"/>
    <s v="USR006"/>
    <s v="Partner Referral"/>
    <x v="0"/>
    <n v="24908"/>
    <d v="2025-04-13T00:00:00"/>
    <d v="2025-04-03T00:00:00"/>
    <m/>
    <s v=""/>
    <s v=""/>
    <x v="0"/>
    <s v=""/>
  </r>
  <r>
    <s v="OPP0232"/>
    <s v="ClearPath Advisory - New Business"/>
    <s v="ACC0068"/>
    <s v="USR010"/>
    <s v="Inbound Demo Request"/>
    <x v="2"/>
    <n v="69636"/>
    <d v="2026-10-16T00:00:00"/>
    <d v="2026-09-14T00:00:00"/>
    <m/>
    <s v=""/>
    <s v=""/>
    <x v="0"/>
    <s v=""/>
  </r>
  <r>
    <s v="OPP0233"/>
    <s v="Horizon Operations Group - New Business"/>
    <s v="ACC0293"/>
    <s v="USR012"/>
    <s v="Outbound SDR"/>
    <x v="2"/>
    <n v="53730"/>
    <d v="2024-03-06T01:25:54"/>
    <d v="2024-03-19T01:25:54"/>
    <m/>
    <s v=""/>
    <s v=""/>
    <x v="0"/>
    <s v=""/>
  </r>
  <r>
    <s v="OPP0234"/>
    <s v="Cobalt Health Services - New Business"/>
    <s v="ACC0115"/>
    <s v="USR011"/>
    <s v="Organic Search"/>
    <x v="0"/>
    <n v="57868"/>
    <d v="2024-12-24T00:00:00"/>
    <d v="2025-01-20T00:00:00"/>
    <m/>
    <s v=""/>
    <s v=""/>
    <x v="0"/>
    <s v=""/>
  </r>
  <r>
    <s v="OPP0235"/>
    <s v="Beacon Freight - New Business"/>
    <s v="ACC0225"/>
    <s v="USR012"/>
    <s v="Content Download"/>
    <x v="0"/>
    <n v="45850"/>
    <d v="2024-01-08T03:50:11"/>
    <d v="2023-12-19T03:50:11"/>
    <m/>
    <s v=""/>
    <s v=""/>
    <x v="0"/>
    <s v=""/>
  </r>
  <r>
    <s v="OPP0236"/>
    <s v="TrueNorth Fabrication - New Business"/>
    <s v="ACC0022"/>
    <s v="USR006"/>
    <s v="Webinar / Event"/>
    <x v="0"/>
    <n v="11820"/>
    <d v="2022-04-30T23:38:07"/>
    <d v="2022-04-13T23:38:07"/>
    <m/>
    <s v=""/>
    <s v=""/>
    <x v="0"/>
    <s v=""/>
  </r>
  <r>
    <s v="OPP0237"/>
    <s v="Catalyst Supply Chain LLC - New Business"/>
    <s v="ACC0238"/>
    <s v="USR006"/>
    <s v="Outbound SDR"/>
    <x v="4"/>
    <n v="25922"/>
    <d v="2026-11-16T00:00:00"/>
    <d v="2026-09-12T00:00:00"/>
    <m/>
    <n v="0"/>
    <n v="16"/>
    <x v="1"/>
    <s v="Missing Next Step"/>
  </r>
  <r>
    <s v="OPP0238"/>
    <s v="Suncrest Care Network - Expansion"/>
    <s v="ACC0314"/>
    <s v="USR010"/>
    <s v="Webinar / Event"/>
    <x v="0"/>
    <n v="13678"/>
    <d v="2024-05-27T00:00:00"/>
    <d v="2024-05-21T00:00:00"/>
    <m/>
    <s v=""/>
    <s v=""/>
    <x v="0"/>
    <s v=""/>
  </r>
  <r>
    <s v="OPP0239"/>
    <s v="Oakridge Distribution - New Business"/>
    <s v="ACC0137"/>
    <s v="USR011"/>
    <s v="Organic Search"/>
    <x v="2"/>
    <n v="32844"/>
    <d v="2026-04-24T15:53:44"/>
    <d v="2026-03-21T15:53:44"/>
    <m/>
    <s v=""/>
    <s v=""/>
    <x v="0"/>
    <s v=""/>
  </r>
  <r>
    <s v="OPP0240"/>
    <s v="Ridgeview Marketplace - New Business"/>
    <s v="ACC0144"/>
    <s v="USR006"/>
    <m/>
    <x v="0"/>
    <n v="17490"/>
    <d v="2024-12-17T00:00:00"/>
    <d v="2024-12-15T00:00:00"/>
    <m/>
    <s v=""/>
    <s v=""/>
    <x v="0"/>
    <s v=""/>
  </r>
  <r>
    <s v="OPP0241"/>
    <s v="Stonebridge Solutions - Expansion"/>
    <s v="ACC0088"/>
    <s v="USR005"/>
    <s v="Webinar / Event"/>
    <x v="0"/>
    <n v="12194"/>
    <d v="2024-12-22T18:36:25"/>
    <d v="2025-01-20T18:36:25"/>
    <m/>
    <s v=""/>
    <s v=""/>
    <x v="0"/>
    <s v=""/>
  </r>
  <r>
    <s v="OPP0242"/>
    <s v="Silverline Transportation - New Business"/>
    <s v="ACC0149"/>
    <s v="USR006"/>
    <s v="Inbound Demo Request"/>
    <x v="2"/>
    <n v="11316"/>
    <d v="2023-10-24T18:22:09"/>
    <d v="2023-11-22T18:22:09"/>
    <m/>
    <s v=""/>
    <s v=""/>
    <x v="0"/>
    <s v=""/>
  </r>
  <r>
    <s v="OPP0243"/>
    <s v="Cobalt Builders Inc. - New Business"/>
    <s v="ACC0020"/>
    <s v="USR007"/>
    <s v="Content Download"/>
    <x v="2"/>
    <n v="11160"/>
    <d v="2026-02-20T18:09:00"/>
    <d v="2026-02-08T18:09:00"/>
    <m/>
    <s v=""/>
    <s v=""/>
    <x v="0"/>
    <s v=""/>
  </r>
  <r>
    <s v="OPP0244"/>
    <s v="Ridgeview Marketplace - New Business"/>
    <s v="ACC0144"/>
    <s v="USR006"/>
    <s v="Paid Search"/>
    <x v="0"/>
    <n v="24808"/>
    <d v="2024-12-09T08:08:41"/>
    <d v="2024-11-25T08:08:41"/>
    <m/>
    <s v=""/>
    <s v=""/>
    <x v="0"/>
    <s v=""/>
  </r>
  <r>
    <s v="OPP0245"/>
    <s v="Granite Peak Care Network LLC - New Business"/>
    <s v="ACC0153"/>
    <s v="USR006"/>
    <s v="Partner Referral"/>
    <x v="0"/>
    <n v="11928"/>
    <d v="2025-01-09T22:32:53"/>
    <d v="2025-02-03T22:32:53"/>
    <m/>
    <s v=""/>
    <s v=""/>
    <x v="0"/>
    <s v=""/>
  </r>
  <r>
    <s v="OPP0246"/>
    <s v="Frontier Builders - New Business"/>
    <s v="ACC0322"/>
    <s v="USR009"/>
    <s v="Content Download"/>
    <x v="0"/>
    <n v="73656"/>
    <d v="2025-11-07T00:00:00"/>
    <d v="2025-11-15T00:00:00"/>
    <m/>
    <s v=""/>
    <s v=""/>
    <x v="0"/>
    <s v=""/>
  </r>
  <r>
    <s v="OPP0247"/>
    <s v="Brookstone Labs Inc. - New Business"/>
    <s v="ACC0185"/>
    <s v="USR005"/>
    <s v="Webinar / Event"/>
    <x v="2"/>
    <n v="20020"/>
    <d v="2025-08-06T10:31:34"/>
    <d v="2025-08-31T10:31:34"/>
    <m/>
    <s v=""/>
    <s v=""/>
    <x v="0"/>
    <s v=""/>
  </r>
  <r>
    <s v="OPP0248"/>
    <s v="Skyline Clinical Services - New Business"/>
    <s v="ACC0046"/>
    <s v="USR008"/>
    <m/>
    <x v="0"/>
    <n v="11076"/>
    <d v="2026-03-09T01:44:12"/>
    <d v="2026-03-08T01:44:12"/>
    <m/>
    <s v=""/>
    <s v=""/>
    <x v="0"/>
    <s v=""/>
  </r>
  <r>
    <s v="OPP0249"/>
    <s v="Westlake Services Group - New Business"/>
    <s v="ACC0151"/>
    <s v="USR008"/>
    <s v="Organic Search"/>
    <x v="5"/>
    <n v="15780"/>
    <d v="2026-10-28T00:00:00"/>
    <d v="2026-09-19T00:00:00"/>
    <s v="Complete technical evaluation"/>
    <n v="0"/>
    <n v="9"/>
    <x v="1"/>
    <s v="No Gap"/>
  </r>
  <r>
    <s v="OPP0250"/>
    <s v="Frontier Academy Group - New Business"/>
    <s v="ACC0324"/>
    <s v="USR012"/>
    <m/>
    <x v="5"/>
    <n v="74400"/>
    <d v="2026-10-15T00:00:00"/>
    <d v="2026-09-23T00:00:00"/>
    <s v="Complete technical evaluation"/>
    <n v="0"/>
    <n v="5"/>
    <x v="1"/>
    <s v="Missing Source"/>
  </r>
  <r>
    <s v="OPP0251"/>
    <s v="Harborview Clinical Services Group - New Business"/>
    <s v="ACC0156"/>
    <s v="USR009"/>
    <s v="Paid Search"/>
    <x v="2"/>
    <n v="58740"/>
    <d v="2024-03-20T12:36:35"/>
    <d v="2024-03-29T12:36:35"/>
    <m/>
    <s v=""/>
    <s v=""/>
    <x v="0"/>
    <s v=""/>
  </r>
  <r>
    <s v="OPP0252"/>
    <s v="Maplewood Systems - New Business"/>
    <s v="ACC0053"/>
    <s v="USR006"/>
    <s v="Partner Referral"/>
    <x v="0"/>
    <n v="24928"/>
    <d v="2023-01-30T00:11:14"/>
    <d v="2023-02-12T00:11:14"/>
    <m/>
    <s v=""/>
    <s v=""/>
    <x v="0"/>
    <s v=""/>
  </r>
  <r>
    <s v="OPP0253"/>
    <s v="Clearwater Precision Works LLC - New Business"/>
    <s v="ACC0176"/>
    <s v="USR006"/>
    <s v="Inbound Demo Request"/>
    <x v="0"/>
    <n v="34092"/>
    <d v="2024-11-04T00:00:00"/>
    <d v="2024-11-02T00:00:00"/>
    <m/>
    <s v=""/>
    <s v=""/>
    <x v="0"/>
    <s v=""/>
  </r>
  <r>
    <s v="OPP0254"/>
    <s v="Blue Harbor Precision Works LLC - New Business"/>
    <s v="ACC0203"/>
    <s v="USR011"/>
    <s v="Organic Search"/>
    <x v="0"/>
    <n v="72734"/>
    <d v="2024-11-12T08:00:55"/>
    <d v="2024-10-25T08:00:55"/>
    <m/>
    <s v=""/>
    <s v=""/>
    <x v="0"/>
    <s v=""/>
  </r>
  <r>
    <s v="OPP0255"/>
    <s v="Northstar Technologies Inc. - New Business"/>
    <s v="ACC0078"/>
    <s v="USR012"/>
    <s v="Content Download"/>
    <x v="3"/>
    <n v="48150"/>
    <d v="2026-10-26T00:00:00"/>
    <d v="2026-09-23T00:00:00"/>
    <s v="Validate budget and timing"/>
    <n v="0"/>
    <n v="5"/>
    <x v="1"/>
    <s v="No Gap"/>
  </r>
  <r>
    <s v="OPP0256"/>
    <s v="Lakeview Support Services - New Business"/>
    <s v="ACC0276"/>
    <s v="USR011"/>
    <s v="Organic Search"/>
    <x v="1"/>
    <n v="41446"/>
    <d v="2026-10-17T00:00:00"/>
    <d v="2026-09-19T00:00:00"/>
    <s v="Schedule pricing review"/>
    <n v="0"/>
    <n v="9"/>
    <x v="1"/>
    <s v="No Gap"/>
  </r>
  <r>
    <s v="OPP0257"/>
    <s v="Crescent Solutions - New Business"/>
    <s v="ACC0258"/>
    <s v="USR012"/>
    <s v="Outbound SDR"/>
    <x v="6"/>
    <n v="70512"/>
    <d v="2026-10-06T00:00:00"/>
    <d v="2026-09-06T00:00:00"/>
    <s v="Send final agreement for signature"/>
    <n v="0"/>
    <n v="22"/>
    <x v="1"/>
    <s v="No Gap"/>
  </r>
  <r>
    <s v="OPP0258"/>
    <s v="Crownstone Financial Services Group - New Business"/>
    <s v="ACC0021"/>
    <s v="USR009"/>
    <s v="Content Download"/>
    <x v="4"/>
    <n v="29850"/>
    <d v="2026-08-11T00:00:00"/>
    <d v="2026-09-07T00:00:00"/>
    <m/>
    <n v="48"/>
    <n v="21"/>
    <x v="3"/>
    <s v="Missing Next Step"/>
  </r>
  <r>
    <s v="OPP0259"/>
    <s v="BluePeak Distribution Group - New Business"/>
    <s v="ACC0002"/>
    <s v="USR006"/>
    <s v="Outbound SDR"/>
    <x v="2"/>
    <n v="14448"/>
    <d v="2023-11-24T06:31:06"/>
    <d v="2023-11-18T06:31:06"/>
    <m/>
    <s v=""/>
    <s v=""/>
    <x v="0"/>
    <s v=""/>
  </r>
  <r>
    <s v="OPP0260"/>
    <s v="Cobalt Labs - New Business"/>
    <s v="ACC0245"/>
    <s v="USR012"/>
    <s v="Inbound Demo Request"/>
    <x v="7"/>
    <n v="62720"/>
    <d v="2026-10-03T00:00:00"/>
    <d v="2026-09-10T00:00:00"/>
    <s v="Review procurement terms"/>
    <n v="0"/>
    <n v="18"/>
    <x v="1"/>
    <s v="No Gap"/>
  </r>
  <r>
    <s v="OPP0261"/>
    <s v="Northwind Learning Systems Group - New Business"/>
    <s v="ACC0085"/>
    <s v="USR005"/>
    <m/>
    <x v="2"/>
    <n v="21672"/>
    <d v="2024-11-20T06:53:18"/>
    <d v="2024-11-16T06:53:18"/>
    <m/>
    <s v=""/>
    <s v=""/>
    <x v="0"/>
    <s v=""/>
  </r>
  <r>
    <s v="OPP0262"/>
    <s v="Pinecrest Fabrication Group - New Business"/>
    <s v="ACC0316"/>
    <s v="USR010"/>
    <s v="Organic Search"/>
    <x v="0"/>
    <n v="70416"/>
    <d v="2026-07-12T00:00:00"/>
    <d v="2026-07-09T00:00:00"/>
    <m/>
    <s v=""/>
    <s v=""/>
    <x v="0"/>
    <s v=""/>
  </r>
  <r>
    <s v="OPP0263"/>
    <s v="Rivermark Digital - New Business"/>
    <s v="ACC0100"/>
    <s v="USR009"/>
    <s v="Organic Search"/>
    <x v="2"/>
    <n v="86240"/>
    <d v="2025-05-02T00:02:03"/>
    <d v="2025-03-28T00:02:03"/>
    <m/>
    <s v=""/>
    <s v=""/>
    <x v="0"/>
    <s v=""/>
  </r>
  <r>
    <s v="OPP0264"/>
    <s v="Eastgate Supply Chain - New Business"/>
    <s v="ACC0161"/>
    <s v="USR005"/>
    <s v="Content Download"/>
    <x v="2"/>
    <n v="32868"/>
    <d v="2026-08-26T14:14:15"/>
    <d v="2026-08-26T14:14:15"/>
    <m/>
    <s v=""/>
    <s v=""/>
    <x v="0"/>
    <s v=""/>
  </r>
  <r>
    <s v="OPP0265"/>
    <s v="Highland Clinical Services - New Business"/>
    <s v="ACC0235"/>
    <s v="USR006"/>
    <s v="Paid Search"/>
    <x v="2"/>
    <n v="10836"/>
    <d v="2024-01-24T23:55:34"/>
    <d v="2024-01-11T23:55:34"/>
    <m/>
    <s v=""/>
    <s v=""/>
    <x v="0"/>
    <s v=""/>
  </r>
  <r>
    <s v="OPP0266"/>
    <s v="Arbor Learning Systems Group - New Business"/>
    <s v="ACC0043"/>
    <s v="USR006"/>
    <s v="Organic Search"/>
    <x v="1"/>
    <n v="14640"/>
    <d v="2026-10-20T00:00:00"/>
    <d v="2026-07-28T00:00:00"/>
    <s v="Confirm commercial feedback"/>
    <n v="0"/>
    <n v="62"/>
    <x v="2"/>
    <s v="No Gap"/>
  </r>
  <r>
    <s v="OPP0267"/>
    <s v="Riverbend Learning Systems - Expansion"/>
    <s v="ACC0254"/>
    <s v="USR009"/>
    <s v="Customer Referral"/>
    <x v="0"/>
    <n v="7544"/>
    <d v="2026-06-07T15:17:25"/>
    <d v="2026-05-31T15:17:25"/>
    <m/>
    <s v=""/>
    <s v=""/>
    <x v="0"/>
    <s v=""/>
  </r>
  <r>
    <s v="OPP0268"/>
    <s v="Clearwater Financial Group - New Business"/>
    <s v="ACC0045"/>
    <s v="USR005"/>
    <s v="Partner Referral"/>
    <x v="2"/>
    <n v="14420"/>
    <d v="2026-04-17T13:13:45"/>
    <d v="2026-04-24T13:13:45"/>
    <m/>
    <s v=""/>
    <s v=""/>
    <x v="0"/>
    <s v=""/>
  </r>
  <r>
    <s v="OPP0269"/>
    <s v="Granite Peak Manufacturing LLC - New Business"/>
    <s v="ACC0114"/>
    <s v="USR007"/>
    <s v="Customer Referral"/>
    <x v="0"/>
    <n v="17420"/>
    <d v="2026-06-10T07:49:19"/>
    <d v="2026-06-04T07:49:19"/>
    <m/>
    <s v=""/>
    <s v=""/>
    <x v="0"/>
    <s v=""/>
  </r>
  <r>
    <s v="OPP0270"/>
    <s v="Fairview Manufacturing - New Business"/>
    <s v="ACC0282"/>
    <s v="USR010"/>
    <s v="Partner Referral"/>
    <x v="6"/>
    <n v="78862"/>
    <d v="2026-08-04T00:00:00"/>
    <d v="2026-09-01T00:00:00"/>
    <s v="Confirm signature timeline"/>
    <n v="55"/>
    <n v="27"/>
    <x v="3"/>
    <s v="No Gap"/>
  </r>
  <r>
    <s v="OPP0271"/>
    <s v="Elmwood Wealth Partners - New Business"/>
    <s v="ACC0229"/>
    <s v="USR006"/>
    <s v="Paid Search"/>
    <x v="4"/>
    <n v="15248"/>
    <d v="2026-11-21T00:00:00"/>
    <d v="2026-09-23T00:00:00"/>
    <s v="Schedule discovery follow-up"/>
    <n v="0"/>
    <n v="5"/>
    <x v="1"/>
    <s v="No Gap"/>
  </r>
  <r>
    <s v="OPP0272"/>
    <s v="Redstone Marketplace Inc. - New Business"/>
    <s v="ACC0123"/>
    <s v="USR011"/>
    <s v="Customer Referral"/>
    <x v="5"/>
    <n v="25770"/>
    <d v="2026-10-16T00:00:00"/>
    <d v="2026-09-08T00:00:00"/>
    <s v="Review integration requirements"/>
    <n v="0"/>
    <n v="20"/>
    <x v="1"/>
    <s v="No Gap"/>
  </r>
  <r>
    <s v="OPP0273"/>
    <s v="Bluewater Industrial - New Business"/>
    <s v="ACC0190"/>
    <s v="USR010"/>
    <m/>
    <x v="3"/>
    <n v="29602"/>
    <d v="2026-11-12T00:00:00"/>
    <d v="2026-09-08T00:00:00"/>
    <s v="Review technical requirements"/>
    <n v="0"/>
    <n v="20"/>
    <x v="1"/>
    <s v="Missing Source"/>
  </r>
  <r>
    <s v="OPP0274"/>
    <s v="Vertex Support Services - New Business"/>
    <s v="ACC0146"/>
    <s v="USR011"/>
    <s v="Customer Referral"/>
    <x v="2"/>
    <n v="58200"/>
    <d v="2026-09-03T00:00:00"/>
    <d v="2026-09-04T00:00:00"/>
    <m/>
    <s v=""/>
    <s v=""/>
    <x v="0"/>
    <s v=""/>
  </r>
  <r>
    <s v="OPP0275"/>
    <s v="Frontier Learning - New Business"/>
    <s v="ACC0111"/>
    <s v="USR012"/>
    <s v="Organic Search"/>
    <x v="2"/>
    <n v="49500"/>
    <d v="2023-07-16T12:18:03"/>
    <d v="2023-06-26T12:18:03"/>
    <m/>
    <s v=""/>
    <s v=""/>
    <x v="0"/>
    <s v=""/>
  </r>
  <r>
    <s v="OPP0276"/>
    <s v="Goldcrest Distribution Inc. - New Business"/>
    <s v="ACC0001"/>
    <s v="USR009"/>
    <m/>
    <x v="2"/>
    <n v="58960"/>
    <d v="2024-05-27T21:44:13"/>
    <d v="2024-05-27T21:44:13"/>
    <m/>
    <s v=""/>
    <s v=""/>
    <x v="0"/>
    <s v=""/>
  </r>
  <r>
    <s v="OPP0277"/>
    <s v="Beacon Health Partners - New Business"/>
    <s v="ACC0325"/>
    <s v="USR006"/>
    <s v="Organic Search"/>
    <x v="2"/>
    <n v="41034"/>
    <d v="2025-02-01T01:03:22"/>
    <d v="2025-01-28T01:03:22"/>
    <m/>
    <s v=""/>
    <s v=""/>
    <x v="0"/>
    <s v=""/>
  </r>
  <r>
    <s v="OPP0278"/>
    <s v="Sterling Distribution - New Business"/>
    <s v="ACC0060"/>
    <s v="USR011"/>
    <s v="Organic Search"/>
    <x v="0"/>
    <n v="19400"/>
    <d v="2025-09-11T00:00:00"/>
    <d v="2025-09-07T00:00:00"/>
    <m/>
    <s v=""/>
    <s v=""/>
    <x v="0"/>
    <s v=""/>
  </r>
  <r>
    <s v="OPP0279"/>
    <s v="Crestpoint Medical Group - New Business"/>
    <s v="ACC0016"/>
    <s v="USR005"/>
    <m/>
    <x v="5"/>
    <n v="23070"/>
    <d v="2026-11-23T00:00:00"/>
    <d v="2026-07-12T00:00:00"/>
    <s v="Complete technical evaluation"/>
    <n v="0"/>
    <n v="78"/>
    <x v="2"/>
    <s v="Missing Source"/>
  </r>
  <r>
    <s v="OPP0280"/>
    <s v="Apex Technologies Group - New Business"/>
    <s v="ACC0039"/>
    <s v="USR005"/>
    <s v="Content Download"/>
    <x v="2"/>
    <n v="24448"/>
    <d v="2024-02-07T12:55:23"/>
    <d v="2024-02-19T12:55:23"/>
    <m/>
    <s v=""/>
    <s v=""/>
    <x v="0"/>
    <s v=""/>
  </r>
  <r>
    <s v="OPP0281"/>
    <s v="Frontier Financial Services Inc. - New Business"/>
    <s v="ACC0175"/>
    <s v="USR008"/>
    <s v="Customer Referral"/>
    <x v="0"/>
    <n v="11388"/>
    <d v="2025-05-14T10:08:51"/>
    <d v="2025-05-09T10:08:51"/>
    <m/>
    <s v=""/>
    <s v=""/>
    <x v="0"/>
    <s v=""/>
  </r>
  <r>
    <s v="OPP0282"/>
    <s v="Skyline Fabrication - New Business"/>
    <s v="ACC0178"/>
    <s v="USR006"/>
    <m/>
    <x v="0"/>
    <n v="27030"/>
    <d v="2025-01-27T00:00:00"/>
    <d v="2025-02-21T00:00:00"/>
    <m/>
    <s v=""/>
    <s v=""/>
    <x v="0"/>
    <s v=""/>
  </r>
  <r>
    <s v="OPP0283"/>
    <s v="Lakeshore Training - New Business"/>
    <s v="ACC0027"/>
    <s v="USR011"/>
    <s v="Content Download"/>
    <x v="7"/>
    <n v="44390"/>
    <d v="2026-09-30T00:00:00"/>
    <d v="2026-09-17T00:00:00"/>
    <s v="Review procurement terms"/>
    <n v="0"/>
    <n v="11"/>
    <x v="1"/>
    <s v="No Gap"/>
  </r>
  <r>
    <s v="OPP0284"/>
    <s v="Rivermark Labs Inc. - New Business"/>
    <s v="ACC0256"/>
    <s v="USR006"/>
    <s v="Organic Search"/>
    <x v="0"/>
    <n v="28896"/>
    <d v="2026-08-14T05:44:59"/>
    <d v="2026-08-13T05:44:59"/>
    <m/>
    <s v=""/>
    <s v=""/>
    <x v="0"/>
    <s v=""/>
  </r>
  <r>
    <s v="OPP0285"/>
    <s v="Vertex Logistics - New Business"/>
    <s v="ACC0147"/>
    <s v="USR008"/>
    <s v="Inbound Demo Request"/>
    <x v="2"/>
    <n v="23376"/>
    <d v="2023-10-27T06:12:45"/>
    <d v="2023-10-20T06:12:45"/>
    <m/>
    <s v=""/>
    <s v=""/>
    <x v="0"/>
    <s v=""/>
  </r>
  <r>
    <s v="OPP0286"/>
    <s v="Foxbridge Capital - New Business"/>
    <s v="ACC0226"/>
    <s v="USR005"/>
    <s v="Webinar / Event"/>
    <x v="0"/>
    <n v="16660"/>
    <d v="2025-10-02T07:45:41"/>
    <d v="2025-09-26T07:45:41"/>
    <m/>
    <s v=""/>
    <s v=""/>
    <x v="0"/>
    <s v=""/>
  </r>
  <r>
    <s v="OPP0287"/>
    <s v="Cedarstone Financial Group - New Business"/>
    <s v="ACC0284"/>
    <s v="USR009"/>
    <m/>
    <x v="0"/>
    <n v="51016"/>
    <d v="2025-01-04T00:00:00"/>
    <d v="2024-12-28T00:00:00"/>
    <m/>
    <s v=""/>
    <s v=""/>
    <x v="0"/>
    <s v=""/>
  </r>
  <r>
    <s v="OPP0288"/>
    <s v="Skyline Clinical Services - New Business"/>
    <s v="ACC0046"/>
    <s v="USR006"/>
    <s v="Content Download"/>
    <x v="2"/>
    <n v="21960"/>
    <d v="2025-07-25T13:08:13"/>
    <d v="2025-07-21T13:08:13"/>
    <m/>
    <s v=""/>
    <s v=""/>
    <x v="0"/>
    <s v=""/>
  </r>
  <r>
    <s v="OPP0289"/>
    <s v="BrightPath Health Partners LLC - New Business"/>
    <s v="ACC0207"/>
    <s v="USR010"/>
    <s v="Paid Search"/>
    <x v="0"/>
    <n v="43920"/>
    <d v="2025-04-08T00:00:00"/>
    <d v="2025-05-02T00:00:00"/>
    <m/>
    <s v=""/>
    <s v=""/>
    <x v="0"/>
    <s v=""/>
  </r>
  <r>
    <s v="OPP0290"/>
    <s v="Highland Digital - New Business"/>
    <s v="ACC0086"/>
    <s v="USR010"/>
    <s v="Partner Referral"/>
    <x v="4"/>
    <n v="36680"/>
    <d v="2026-08-21T00:00:00"/>
    <d v="2026-07-31T00:00:00"/>
    <s v="Identify additional stakeholders"/>
    <n v="38"/>
    <n v="59"/>
    <x v="4"/>
    <s v="No Gap"/>
  </r>
  <r>
    <s v="OPP0291"/>
    <s v="Greenfield Software - New Business"/>
    <s v="ACC0075"/>
    <s v="USR007"/>
    <s v="Content Download"/>
    <x v="0"/>
    <n v="40026"/>
    <d v="2024-10-31T08:47:43"/>
    <d v="2024-10-30T08:47:43"/>
    <m/>
    <s v=""/>
    <s v=""/>
    <x v="0"/>
    <s v=""/>
  </r>
  <r>
    <s v="OPP0292"/>
    <s v="Crescent Solutions - New Business"/>
    <s v="ACC0258"/>
    <s v="USR011"/>
    <s v="Inbound Demo Request"/>
    <x v="0"/>
    <n v="34812"/>
    <d v="2026-01-09T17:46:07"/>
    <d v="2025-12-27T17:46:07"/>
    <m/>
    <s v=""/>
    <s v=""/>
    <x v="0"/>
    <s v=""/>
  </r>
  <r>
    <s v="OPP0293"/>
    <s v="Riverbend Learning Systems - New Business"/>
    <s v="ACC0254"/>
    <s v="USR009"/>
    <s v="Webinar / Event"/>
    <x v="2"/>
    <n v="74400"/>
    <d v="2025-08-27T21:51:10"/>
    <d v="2025-08-22T21:51:10"/>
    <m/>
    <s v=""/>
    <s v=""/>
    <x v="0"/>
    <s v=""/>
  </r>
  <r>
    <s v="OPP0294"/>
    <s v="Horizon Fabrication - New Business"/>
    <s v="ACC0182"/>
    <s v="USR009"/>
    <s v="Webinar / Event"/>
    <x v="2"/>
    <n v="85888"/>
    <d v="2025-02-07T12:25:40"/>
    <d v="2025-01-28T12:25:40"/>
    <m/>
    <s v=""/>
    <s v=""/>
    <x v="0"/>
    <s v=""/>
  </r>
  <r>
    <s v="OPP0295"/>
    <s v="Clearwater Precision Works LLC - New Business"/>
    <s v="ACC0176"/>
    <s v="USR006"/>
    <s v="Inbound Demo Request"/>
    <x v="0"/>
    <n v="18810"/>
    <d v="2023-10-02T13:00:04"/>
    <d v="2023-10-04T13:00:04"/>
    <m/>
    <s v=""/>
    <s v=""/>
    <x v="0"/>
    <s v=""/>
  </r>
  <r>
    <s v="OPP0296"/>
    <s v="Blue Harbor Digital Inc. - New Business"/>
    <s v="ACC0198"/>
    <s v="USR006"/>
    <s v="Paid Search"/>
    <x v="2"/>
    <n v="25194"/>
    <d v="2023-07-23T11:36:28"/>
    <d v="2023-07-20T11:36:28"/>
    <m/>
    <s v=""/>
    <s v=""/>
    <x v="0"/>
    <s v=""/>
  </r>
  <r>
    <s v="OPP0297"/>
    <s v="Bridgeway Learning Systems Group - New Business"/>
    <s v="ACC0098"/>
    <s v="USR009"/>
    <s v="Inbound Demo Request"/>
    <x v="2"/>
    <n v="73186"/>
    <d v="2025-05-30T06:20:06"/>
    <d v="2025-05-30T06:20:06"/>
    <m/>
    <s v=""/>
    <s v=""/>
    <x v="0"/>
    <s v=""/>
  </r>
  <r>
    <s v="OPP0298"/>
    <s v="Skyline Precision Works Group - New Business"/>
    <s v="ACC0136"/>
    <s v="USR010"/>
    <s v="Outbound SDR"/>
    <x v="0"/>
    <n v="63000"/>
    <d v="2026-07-23T10:12:22"/>
    <d v="2026-08-19T10:12:22"/>
    <m/>
    <s v=""/>
    <s v=""/>
    <x v="0"/>
    <s v=""/>
  </r>
  <r>
    <s v="OPP0299"/>
    <s v="Northwind Brands - New Business"/>
    <s v="ACC0320"/>
    <s v="USR006"/>
    <s v="Organic Search"/>
    <x v="5"/>
    <n v="33800"/>
    <d v="2026-11-21T00:00:00"/>
    <d v="2026-08-31T00:00:00"/>
    <s v="Schedule product demo"/>
    <n v="0"/>
    <n v="28"/>
    <x v="1"/>
    <s v="No Gap"/>
  </r>
  <r>
    <s v="OPP0300"/>
    <s v="Fairview Manufacturing - New Business"/>
    <s v="ACC0282"/>
    <s v="USR010"/>
    <s v="Content Download"/>
    <x v="2"/>
    <n v="76640"/>
    <d v="2024-10-26T21:47:14"/>
    <d v="2024-11-06T21:47:14"/>
    <m/>
    <s v=""/>
    <s v=""/>
    <x v="0"/>
    <s v=""/>
  </r>
  <r>
    <s v="OPP0301"/>
    <s v="Lakeshore Manufacturing - New Business"/>
    <s v="ACC0266"/>
    <s v="USR011"/>
    <s v="Webinar / Event"/>
    <x v="0"/>
    <n v="71760"/>
    <d v="2024-08-15T00:00:00"/>
    <d v="2024-08-03T00:00:00"/>
    <m/>
    <s v=""/>
    <s v=""/>
    <x v="0"/>
    <s v=""/>
  </r>
  <r>
    <s v="OPP0302"/>
    <s v="Lakeview Support Services - New Business"/>
    <s v="ACC0276"/>
    <s v="USR011"/>
    <s v="Organic Search"/>
    <x v="3"/>
    <n v="56840"/>
    <d v="2026-08-03T00:00:00"/>
    <d v="2026-08-08T00:00:00"/>
    <s v="Review technical requirements"/>
    <n v="56"/>
    <n v="51"/>
    <x v="4"/>
    <s v="No Gap"/>
  </r>
  <r>
    <s v="OPP0303"/>
    <s v="Blue Harbor Precision Works LLC - New Business"/>
    <s v="ACC0203"/>
    <s v="USR011"/>
    <s v="Organic Search"/>
    <x v="0"/>
    <n v="27690"/>
    <d v="2025-11-04T13:00:52"/>
    <d v="2025-12-03T13:00:52"/>
    <m/>
    <s v=""/>
    <s v=""/>
    <x v="0"/>
    <s v=""/>
  </r>
  <r>
    <s v="OPP0304"/>
    <s v="Frontier Builders - New Business"/>
    <s v="ACC0322"/>
    <s v="USR009"/>
    <s v="Partner Referral"/>
    <x v="0"/>
    <n v="76506"/>
    <d v="2025-02-16T00:00:00"/>
    <d v="2025-02-12T00:00:00"/>
    <m/>
    <s v=""/>
    <s v=""/>
    <x v="0"/>
    <s v=""/>
  </r>
  <r>
    <s v="OPP0305"/>
    <s v="Greenfield Industries LLC - New Business"/>
    <s v="ACC0071"/>
    <s v="USR011"/>
    <s v="Webinar / Event"/>
    <x v="0"/>
    <n v="49050"/>
    <d v="2026-01-25T22:42:02"/>
    <d v="2026-02-24T22:42:02"/>
    <m/>
    <s v=""/>
    <s v=""/>
    <x v="0"/>
    <s v=""/>
  </r>
  <r>
    <s v="OPP0306"/>
    <s v="Bluewater Contracting - Expansion"/>
    <s v="ACC0173"/>
    <s v="USR008"/>
    <s v="Content Download"/>
    <x v="1"/>
    <n v="18240"/>
    <d v="2026-10-27T00:00:00"/>
    <d v="2026-09-22T00:00:00"/>
    <s v="Review proposal with buyer"/>
    <n v="0"/>
    <n v="6"/>
    <x v="1"/>
    <s v="No Gap"/>
  </r>
  <r>
    <s v="OPP0307"/>
    <s v="Ridgeview Retail Group - New Business"/>
    <s v="ACC0084"/>
    <s v="USR010"/>
    <s v="Inbound Demo Request"/>
    <x v="0"/>
    <n v="35658"/>
    <d v="2024-10-10T20:17:56"/>
    <d v="2024-09-06T20:17:56"/>
    <m/>
    <s v=""/>
    <s v=""/>
    <x v="0"/>
    <s v=""/>
  </r>
  <r>
    <s v="OPP0308"/>
    <s v="Westfield Labs - Expansion"/>
    <s v="ACC0208"/>
    <s v="USR006"/>
    <s v="Partner Referral"/>
    <x v="0"/>
    <n v="14130"/>
    <d v="2025-06-06T00:00:00"/>
    <d v="2025-05-28T00:00:00"/>
    <m/>
    <s v=""/>
    <s v=""/>
    <x v="0"/>
    <s v=""/>
  </r>
  <r>
    <s v="OPP0309"/>
    <s v="Highland Fabrication - New Business"/>
    <s v="ACC0072"/>
    <s v="USR011"/>
    <s v="Paid Search"/>
    <x v="5"/>
    <n v="28170"/>
    <d v="2026-11-06T00:00:00"/>
    <d v="2026-09-15T00:00:00"/>
    <s v="Schedule product demo"/>
    <n v="0"/>
    <n v="13"/>
    <x v="1"/>
    <s v="No Gap"/>
  </r>
  <r>
    <s v="OPP0310"/>
    <s v="Pinecrest Labs - New Business"/>
    <s v="ACC0232"/>
    <s v="USR011"/>
    <s v="Partner Referral"/>
    <x v="2"/>
    <n v="31246"/>
    <d v="2024-02-09T11:58:45"/>
    <d v="2024-02-11T11:58:45"/>
    <m/>
    <s v=""/>
    <s v=""/>
    <x v="0"/>
    <s v=""/>
  </r>
  <r>
    <s v="OPP0311"/>
    <s v="Riverbend Consulting Group - New Business"/>
    <s v="ACC0026"/>
    <s v="USR006"/>
    <s v="Webinar / Event"/>
    <x v="2"/>
    <n v="22656"/>
    <d v="2024-01-22T21:58:23"/>
    <d v="2024-01-16T21:58:23"/>
    <m/>
    <s v=""/>
    <s v=""/>
    <x v="0"/>
    <s v=""/>
  </r>
  <r>
    <s v="OPP0312"/>
    <s v="Northstar Commerce - New Business"/>
    <s v="ACC0152"/>
    <s v="USR012"/>
    <s v="Organic Search"/>
    <x v="2"/>
    <n v="56760"/>
    <d v="2026-01-01T22:07:38"/>
    <d v="2026-01-12T22:07:38"/>
    <m/>
    <s v=""/>
    <s v=""/>
    <x v="0"/>
    <s v=""/>
  </r>
  <r>
    <s v="OPP0313"/>
    <s v="Evergreen Services Group Inc. - New Business"/>
    <s v="ACC0049"/>
    <s v="USR008"/>
    <s v="Inbound Demo Request"/>
    <x v="2"/>
    <n v="27810"/>
    <d v="2024-11-29T08:33:20"/>
    <d v="2024-11-24T08:33:20"/>
    <m/>
    <s v=""/>
    <s v=""/>
    <x v="0"/>
    <s v=""/>
  </r>
  <r>
    <s v="OPP0314"/>
    <s v="Parkline Manufacturing - New Business"/>
    <s v="ACC0216"/>
    <s v="USR011"/>
    <s v="Content Download"/>
    <x v="2"/>
    <n v="63294"/>
    <d v="2024-01-10T12:59:14"/>
    <d v="2023-12-10T12:59:14"/>
    <m/>
    <s v=""/>
    <s v=""/>
    <x v="0"/>
    <s v=""/>
  </r>
  <r>
    <s v="OPP0315"/>
    <s v="Rivermark Retail - New Business"/>
    <s v="ACC0210"/>
    <s v="USR010"/>
    <s v="Organic Search"/>
    <x v="6"/>
    <n v="81442"/>
    <d v="2026-10-07T00:00:00"/>
    <d v="2026-09-19T00:00:00"/>
    <s v="Confirm signature timeline"/>
    <n v="0"/>
    <n v="9"/>
    <x v="1"/>
    <s v="No Gap"/>
  </r>
  <r>
    <s v="OPP0316"/>
    <s v="Greenfield Services Group LLC - New Business"/>
    <s v="ACC0313"/>
    <s v="USR009"/>
    <s v="Webinar / Event"/>
    <x v="0"/>
    <n v="37886"/>
    <d v="2026-09-03T03:20:15"/>
    <d v="2026-08-27T03:20:15"/>
    <m/>
    <s v=""/>
    <s v=""/>
    <x v="0"/>
    <s v=""/>
  </r>
  <r>
    <s v="OPP0317"/>
    <s v="Elmwood Transportation - Expansion"/>
    <s v="ACC0297"/>
    <s v="USR008"/>
    <s v="Organic Search"/>
    <x v="0"/>
    <n v="22992"/>
    <d v="2025-11-11T13:48:11"/>
    <d v="2025-11-11T13:48:11"/>
    <m/>
    <s v=""/>
    <s v=""/>
    <x v="0"/>
    <s v=""/>
  </r>
  <r>
    <s v="OPP0318"/>
    <s v="Maplewood Distribution Inc. - New Business"/>
    <s v="ACC0139"/>
    <s v="USR011"/>
    <s v="Content Download"/>
    <x v="0"/>
    <n v="54320"/>
    <d v="2026-05-14T16:34:37"/>
    <d v="2026-05-14T16:34:37"/>
    <m/>
    <s v=""/>
    <s v=""/>
    <x v="0"/>
    <s v=""/>
  </r>
  <r>
    <s v="OPP0319"/>
    <s v="Skyline Fabrication - New Business"/>
    <s v="ACC0178"/>
    <s v="USR006"/>
    <m/>
    <x v="1"/>
    <n v="20496"/>
    <d v="2026-10-27T00:00:00"/>
    <d v="2026-09-23T00:00:00"/>
    <s v="Schedule pricing review"/>
    <n v="0"/>
    <n v="5"/>
    <x v="1"/>
    <s v="Missing Source"/>
  </r>
  <r>
    <s v="OPP0320"/>
    <s v="Oakridge Professional Services - New Business"/>
    <s v="ACC0199"/>
    <s v="USR007"/>
    <s v="Webinar / Event"/>
    <x v="2"/>
    <n v="24206"/>
    <d v="2023-12-18T00:38:00"/>
    <d v="2023-12-18T00:38:00"/>
    <m/>
    <s v=""/>
    <s v=""/>
    <x v="0"/>
    <s v=""/>
  </r>
  <r>
    <s v="OPP0321"/>
    <s v="Northstar Business Solutions Inc. - New Business"/>
    <s v="ACC0142"/>
    <s v="USR012"/>
    <s v="Outbound SDR"/>
    <x v="5"/>
    <n v="69116"/>
    <d v="2026-11-02T00:00:00"/>
    <d v="2026-08-01T00:00:00"/>
    <s v="Complete technical evaluation"/>
    <n v="0"/>
    <n v="58"/>
    <x v="2"/>
    <s v="No Gap"/>
  </r>
  <r>
    <s v="OPP0322"/>
    <s v="Highland Fabrication - New Business"/>
    <s v="ACC0072"/>
    <s v="USR011"/>
    <s v="Paid Search"/>
    <x v="0"/>
    <n v="31280"/>
    <d v="2026-03-16T03:03:59"/>
    <d v="2026-03-19T03:03:59"/>
    <m/>
    <s v=""/>
    <s v=""/>
    <x v="0"/>
    <s v=""/>
  </r>
  <r>
    <s v="OPP0323"/>
    <s v="Northstar Technologies Inc. - New Business"/>
    <s v="ACC0078"/>
    <s v="USR012"/>
    <s v="Inbound Demo Request"/>
    <x v="5"/>
    <n v="28980"/>
    <d v="2026-10-14T00:00:00"/>
    <d v="2026-09-18T00:00:00"/>
    <s v="Complete technical evaluation"/>
    <n v="0"/>
    <n v="10"/>
    <x v="1"/>
    <s v="No Gap"/>
  </r>
  <r>
    <s v="OPP0324"/>
    <s v="Brookstone Software - New Business"/>
    <s v="ACC0217"/>
    <s v="USR010"/>
    <s v="Inbound Demo Request"/>
    <x v="5"/>
    <n v="68544"/>
    <d v="2026-11-16T00:00:00"/>
    <d v="2026-07-07T00:00:00"/>
    <s v="Complete technical evaluation"/>
    <n v="0"/>
    <n v="83"/>
    <x v="2"/>
    <s v="No Gap"/>
  </r>
  <r>
    <s v="OPP0325"/>
    <s v="Keystone Builders - New Business"/>
    <s v="ACC0310"/>
    <s v="USR005"/>
    <s v="Content Download"/>
    <x v="4"/>
    <n v="18260"/>
    <d v="2026-11-15T00:00:00"/>
    <d v="2026-08-08T00:00:00"/>
    <s v="Confirm business requirements"/>
    <n v="0"/>
    <n v="51"/>
    <x v="2"/>
    <s v="No Gap"/>
  </r>
  <r>
    <s v="OPP0326"/>
    <s v="Granite Peak Clinical Services - New Business"/>
    <s v="ACC0155"/>
    <s v="USR009"/>
    <s v="Customer Referral"/>
    <x v="5"/>
    <n v="33300"/>
    <d v="2026-11-22T00:00:00"/>
    <d v="2026-06-26T00:00:00"/>
    <s v="Complete technical evaluation"/>
    <n v="0"/>
    <n v="94"/>
    <x v="2"/>
    <s v="No Gap"/>
  </r>
  <r>
    <s v="OPP0327"/>
    <s v="Lakeshore Manufacturing - New Business"/>
    <s v="ACC0266"/>
    <s v="USR011"/>
    <s v="Organic Search"/>
    <x v="2"/>
    <n v="76080"/>
    <d v="2024-03-12T06:38:52"/>
    <d v="2024-03-05T06:38:52"/>
    <m/>
    <s v=""/>
    <s v=""/>
    <x v="0"/>
    <s v=""/>
  </r>
  <r>
    <s v="OPP0328"/>
    <s v="Silver Oak Systems Group - New Business"/>
    <s v="ACC0283"/>
    <s v="USR006"/>
    <s v="Inbound Demo Request"/>
    <x v="1"/>
    <n v="45300"/>
    <d v="2026-10-27T00:00:00"/>
    <d v="2026-09-16T00:00:00"/>
    <s v="Confirm commercial feedback"/>
    <n v="0"/>
    <n v="12"/>
    <x v="1"/>
    <s v="No Gap"/>
  </r>
  <r>
    <s v="OPP0329"/>
    <s v="Fairview Digital - New Business"/>
    <s v="ACC0218"/>
    <s v="USR007"/>
    <s v="Inbound Demo Request"/>
    <x v="2"/>
    <n v="37772"/>
    <d v="2022-05-07T14:41:02"/>
    <d v="2022-05-19T14:41:02"/>
    <m/>
    <s v=""/>
    <s v=""/>
    <x v="0"/>
    <s v=""/>
  </r>
  <r>
    <s v="OPP0330"/>
    <s v="OpenGate Advisory Partners Inc. - New Business"/>
    <s v="ACC0230"/>
    <s v="USR011"/>
    <s v="Webinar / Event"/>
    <x v="4"/>
    <n v="83168"/>
    <d v="2026-11-03T00:00:00"/>
    <d v="2026-09-05T00:00:00"/>
    <m/>
    <n v="0"/>
    <n v="23"/>
    <x v="1"/>
    <s v="Missing Next Step"/>
  </r>
  <r>
    <s v="OPP0331"/>
    <s v="Cobalt Health Services - Expansion"/>
    <s v="ACC0115"/>
    <s v="USR011"/>
    <s v="Organic Search"/>
    <x v="0"/>
    <n v="11292"/>
    <d v="2024-03-05T00:00:00"/>
    <d v="2024-02-21T00:00:00"/>
    <m/>
    <s v=""/>
    <s v=""/>
    <x v="0"/>
    <s v=""/>
  </r>
  <r>
    <s v="OPP0332"/>
    <s v="Suncrest Freight Inc. - New Business"/>
    <s v="ACC0134"/>
    <s v="USR005"/>
    <m/>
    <x v="3"/>
    <n v="19160"/>
    <d v="2026-10-31T00:00:00"/>
    <d v="2026-09-05T00:00:00"/>
    <s v="Review technical requirements"/>
    <n v="0"/>
    <n v="23"/>
    <x v="1"/>
    <s v="Missing Source"/>
  </r>
  <r>
    <s v="OPP0333"/>
    <s v="BrightPath Health Partners LLC - New Business"/>
    <s v="ACC0207"/>
    <s v="USR010"/>
    <s v="Inbound Demo Request"/>
    <x v="2"/>
    <n v="45770"/>
    <d v="2023-08-04T13:44:51"/>
    <d v="2023-08-11T13:44:51"/>
    <m/>
    <s v=""/>
    <s v=""/>
    <x v="0"/>
    <s v=""/>
  </r>
  <r>
    <s v="OPP0334"/>
    <s v="Vantage Training - New Business"/>
    <s v="ACC0292"/>
    <s v="USR012"/>
    <s v="Webinar / Event"/>
    <x v="3"/>
    <n v="37440"/>
    <d v="2026-11-10T00:00:00"/>
    <d v="2026-09-16T00:00:00"/>
    <m/>
    <n v="0"/>
    <n v="12"/>
    <x v="1"/>
    <s v="Missing Next Step"/>
  </r>
  <r>
    <s v="OPP0335"/>
    <s v="Frontier Academy Group - New Business"/>
    <s v="ACC0324"/>
    <s v="USR012"/>
    <s v="Inbound Demo Request"/>
    <x v="7"/>
    <n v="56700"/>
    <d v="2026-09-06T00:00:00"/>
    <d v="2026-08-30T00:00:00"/>
    <s v="Resolve contract comments"/>
    <n v="22"/>
    <n v="29"/>
    <x v="3"/>
    <s v="No Gap"/>
  </r>
  <r>
    <s v="OPP0336"/>
    <s v="Summit Ridge Builders Group - New Business"/>
    <s v="ACC0102"/>
    <s v="USR009"/>
    <m/>
    <x v="2"/>
    <n v="46110"/>
    <d v="2025-08-12T20:47:07"/>
    <d v="2025-09-11T20:47:07"/>
    <m/>
    <s v=""/>
    <s v=""/>
    <x v="0"/>
    <s v=""/>
  </r>
  <r>
    <s v="OPP0337"/>
    <s v="Granite Peak Advisory Partners - New Business"/>
    <s v="ACC0063"/>
    <s v="USR010"/>
    <s v="Partner Referral"/>
    <x v="0"/>
    <n v="25590"/>
    <d v="2022-11-14T22:38:43"/>
    <d v="2022-11-25T22:38:43"/>
    <m/>
    <s v=""/>
    <s v=""/>
    <x v="0"/>
    <s v=""/>
  </r>
  <r>
    <s v="OPP0338"/>
    <s v="Westfield Labs - New Business"/>
    <s v="ACC0208"/>
    <s v="USR006"/>
    <s v="Partner Referral"/>
    <x v="2"/>
    <n v="23348"/>
    <d v="2023-10-12T13:42:07"/>
    <d v="2023-10-24T13:42:07"/>
    <m/>
    <s v=""/>
    <s v=""/>
    <x v="0"/>
    <s v=""/>
  </r>
  <r>
    <s v="OPP0339"/>
    <s v="Bluewater Contracting - Expansion"/>
    <s v="ACC0173"/>
    <s v="USR008"/>
    <s v="Content Download"/>
    <x v="0"/>
    <n v="11652"/>
    <d v="2025-09-08T01:21:52"/>
    <d v="2025-08-03T01:21:52"/>
    <m/>
    <s v=""/>
    <s v=""/>
    <x v="0"/>
    <s v=""/>
  </r>
  <r>
    <s v="OPP0340"/>
    <s v="Brookstone Business Solutions - New Business"/>
    <s v="ACC0159"/>
    <s v="USR007"/>
    <s v="Organic Search"/>
    <x v="1"/>
    <n v="22074"/>
    <d v="2026-10-26T00:00:00"/>
    <d v="2026-09-03T00:00:00"/>
    <s v="Confirm commercial feedback"/>
    <n v="0"/>
    <n v="25"/>
    <x v="1"/>
    <s v="No Gap"/>
  </r>
  <r>
    <s v="OPP0341"/>
    <s v="Bluewater Builders - New Business"/>
    <s v="ACC0055"/>
    <s v="USR011"/>
    <s v="Organic Search"/>
    <x v="4"/>
    <n v="60918"/>
    <d v="2026-12-15T00:00:00"/>
    <d v="2026-09-13T00:00:00"/>
    <s v="Schedule discovery follow-up"/>
    <n v="0"/>
    <n v="15"/>
    <x v="1"/>
    <s v="No Gap"/>
  </r>
  <r>
    <s v="OPP0342"/>
    <s v="Oakridge Support Services - New Business"/>
    <s v="ACC0091"/>
    <s v="USR007"/>
    <s v="Content Download"/>
    <x v="2"/>
    <n v="13072"/>
    <d v="2025-01-23T06:17:45"/>
    <d v="2025-01-20T06:17:45"/>
    <m/>
    <s v=""/>
    <s v=""/>
    <x v="0"/>
    <s v=""/>
  </r>
  <r>
    <s v="OPP0343"/>
    <s v="Fairview Consulting Group - New Business"/>
    <s v="ACC0171"/>
    <s v="USR012"/>
    <s v="Organic Search"/>
    <x v="0"/>
    <n v="62968"/>
    <d v="2024-12-22T00:00:00"/>
    <d v="2024-12-29T00:00:00"/>
    <m/>
    <s v=""/>
    <s v=""/>
    <x v="0"/>
    <s v=""/>
  </r>
  <r>
    <s v="OPP0344"/>
    <s v="Suncrest Clinical Services - New Business"/>
    <s v="ACC0065"/>
    <s v="USR006"/>
    <s v="Partner Referral"/>
    <x v="6"/>
    <n v="28440"/>
    <d v="2026-10-06T00:00:00"/>
    <d v="2026-06-22T00:00:00"/>
    <s v="Send final agreement for signature"/>
    <n v="0"/>
    <n v="98"/>
    <x v="2"/>
    <s v="No Gap"/>
  </r>
  <r>
    <s v="OPP0345"/>
    <s v="Catalyst Support Services - Expansion"/>
    <s v="ACC0113"/>
    <s v="USR011"/>
    <s v="Outbound SDR"/>
    <x v="0"/>
    <n v="18060"/>
    <d v="2025-11-23T01:13:35"/>
    <d v="2025-11-29T01:13:35"/>
    <m/>
    <s v=""/>
    <s v=""/>
    <x v="0"/>
    <s v=""/>
  </r>
  <r>
    <s v="OPP0346"/>
    <s v="Highland Digital - New Business"/>
    <s v="ACC0086"/>
    <s v="USR010"/>
    <s v="Paid Search"/>
    <x v="6"/>
    <n v="40404"/>
    <d v="2026-10-14T00:00:00"/>
    <d v="2026-09-22T00:00:00"/>
    <s v="Confirm signature timeline"/>
    <n v="0"/>
    <n v="6"/>
    <x v="1"/>
    <s v="No Gap"/>
  </r>
  <r>
    <s v="OPP0347"/>
    <s v="Silver Oak Manufacturing - Expansion"/>
    <s v="ACC0145"/>
    <s v="USR006"/>
    <s v="Organic Search"/>
    <x v="0"/>
    <n v="29850"/>
    <d v="2025-01-17T20:38:08"/>
    <d v="2025-01-12T20:38:08"/>
    <m/>
    <s v=""/>
    <s v=""/>
    <x v="0"/>
    <s v=""/>
  </r>
  <r>
    <s v="OPP0348"/>
    <s v="Lakeshore Training - New Business"/>
    <s v="ACC0027"/>
    <s v="USR011"/>
    <s v="Inbound Demo Request"/>
    <x v="2"/>
    <n v="29340"/>
    <d v="2026-09-26T00:00:00"/>
    <d v="2026-09-09T00:00:00"/>
    <m/>
    <s v=""/>
    <s v=""/>
    <x v="0"/>
    <s v=""/>
  </r>
  <r>
    <s v="OPP0349"/>
    <s v="PrimePoint Software - New Business"/>
    <s v="ACC0122"/>
    <s v="USR010"/>
    <s v="Organic Search"/>
    <x v="7"/>
    <n v="80256"/>
    <d v="2026-10-23T00:00:00"/>
    <d v="2026-09-09T00:00:00"/>
    <s v="Resolve contract comments"/>
    <n v="0"/>
    <n v="19"/>
    <x v="1"/>
    <s v="No Gap"/>
  </r>
  <r>
    <s v="OPP0350"/>
    <s v="Meridian Financial Services - Expansion"/>
    <s v="ACC0127"/>
    <s v="USR011"/>
    <s v="Content Download"/>
    <x v="0"/>
    <n v="12276"/>
    <d v="2024-04-09T00:00:00"/>
    <d v="2024-03-07T00:00:00"/>
    <m/>
    <s v=""/>
    <s v=""/>
    <x v="0"/>
    <s v=""/>
  </r>
  <r>
    <s v="OPP0351"/>
    <s v="Lakeview Support Services - New Business"/>
    <s v="ACC0276"/>
    <s v="USR011"/>
    <s v="Organic Search"/>
    <x v="4"/>
    <n v="11424"/>
    <d v="2026-10-29T00:00:00"/>
    <d v="2026-09-23T00:00:00"/>
    <s v="Schedule discovery follow-up"/>
    <n v="0"/>
    <n v="5"/>
    <x v="1"/>
    <s v="No Gap"/>
  </r>
  <r>
    <s v="OPP0352"/>
    <s v="ClearPath Industrial - New Business"/>
    <s v="ACC0029"/>
    <s v="USR006"/>
    <s v="Inbound Demo Request"/>
    <x v="4"/>
    <n v="23736"/>
    <d v="2026-11-13T00:00:00"/>
    <d v="2026-09-11T00:00:00"/>
    <s v="Confirm business requirements"/>
    <n v="0"/>
    <n v="17"/>
    <x v="1"/>
    <s v="No Gap"/>
  </r>
  <r>
    <s v="OPP0353"/>
    <s v="Vertex Digital LLC - New Business"/>
    <s v="ACC0014"/>
    <s v="USR010"/>
    <s v="Outbound SDR"/>
    <x v="4"/>
    <n v="76480"/>
    <d v="2026-11-18T00:00:00"/>
    <d v="2026-08-30T00:00:00"/>
    <s v="Confirm business requirements"/>
    <n v="0"/>
    <n v="29"/>
    <x v="1"/>
    <s v="No Gap"/>
  </r>
  <r>
    <s v="OPP0354"/>
    <s v="Suncrest Freight Inc. - New Business"/>
    <s v="ACC0134"/>
    <s v="USR005"/>
    <s v="Customer Referral"/>
    <x v="2"/>
    <n v="11784"/>
    <d v="2025-03-06T09:51:00"/>
    <d v="2025-02-20T09:51:00"/>
    <m/>
    <s v=""/>
    <s v=""/>
    <x v="0"/>
    <s v=""/>
  </r>
  <r>
    <s v="OPP0355"/>
    <s v="Northwind Brands - New Business"/>
    <s v="ACC0320"/>
    <s v="USR006"/>
    <s v="Organic Search"/>
    <x v="4"/>
    <n v="45312"/>
    <d v="2026-11-21T00:00:00"/>
    <d v="2026-06-29T00:00:00"/>
    <s v="Identify additional stakeholders"/>
    <n v="0"/>
    <n v="91"/>
    <x v="2"/>
    <s v="No Gap"/>
  </r>
  <r>
    <s v="OPP0356"/>
    <s v="Riverbend Contracting Group - New Business"/>
    <s v="ACC0032"/>
    <s v="USR008"/>
    <s v="Content Download"/>
    <x v="2"/>
    <n v="22992"/>
    <d v="2024-12-13T07:09:03"/>
    <d v="2024-12-17T07:09:03"/>
    <m/>
    <s v=""/>
    <s v=""/>
    <x v="0"/>
    <s v=""/>
  </r>
  <r>
    <s v="OPP0357"/>
    <s v="Bluewater Health Partners - New Business"/>
    <s v="ACC0003"/>
    <s v="USR009"/>
    <s v="Paid Search"/>
    <x v="4"/>
    <n v="44804"/>
    <d v="2026-08-19T00:00:00"/>
    <d v="2026-06-24T00:00:00"/>
    <s v="Identify additional stakeholders"/>
    <n v="40"/>
    <n v="96"/>
    <x v="4"/>
    <s v="No Gap"/>
  </r>
  <r>
    <s v="OPP0358"/>
    <s v="OpenGate Advisory Partners Inc. - New Business"/>
    <s v="ACC0230"/>
    <s v="USR011"/>
    <s v="Content Download"/>
    <x v="2"/>
    <n v="61920"/>
    <d v="2025-12-17T23:54:09"/>
    <d v="2026-01-11T23:54:09"/>
    <m/>
    <s v=""/>
    <s v=""/>
    <x v="0"/>
    <s v=""/>
  </r>
  <r>
    <s v="OPP0359"/>
    <s v="Harborview Retail Group - New Business"/>
    <s v="ACC0167"/>
    <s v="USR005"/>
    <s v="Webinar / Event"/>
    <x v="2"/>
    <n v="21864"/>
    <d v="2026-04-15T03:07:59"/>
    <d v="2026-05-09T03:07:59"/>
    <m/>
    <s v=""/>
    <s v=""/>
    <x v="0"/>
    <s v=""/>
  </r>
  <r>
    <s v="OPP0360"/>
    <s v="Brookstone Technologies - New Business"/>
    <s v="ACC0220"/>
    <s v="USR012"/>
    <s v="Partner Referral"/>
    <x v="4"/>
    <n v="47160"/>
    <d v="2026-08-28T00:00:00"/>
    <d v="2026-09-16T00:00:00"/>
    <s v="Identify additional stakeholders"/>
    <n v="31"/>
    <n v="12"/>
    <x v="3"/>
    <s v="No Gap"/>
  </r>
  <r>
    <s v="OPP0361"/>
    <s v="PrimePoint Software - New Business"/>
    <s v="ACC0122"/>
    <s v="USR010"/>
    <s v="Partner Referral"/>
    <x v="4"/>
    <n v="64124"/>
    <d v="2026-12-11T00:00:00"/>
    <d v="2026-09-11T00:00:00"/>
    <s v="Schedule discovery follow-up"/>
    <n v="0"/>
    <n v="17"/>
    <x v="1"/>
    <s v="No Gap"/>
  </r>
  <r>
    <s v="OPP0362"/>
    <s v="Maplewood Brands - New Business"/>
    <s v="ACC0255"/>
    <s v="USR012"/>
    <s v="Content Download"/>
    <x v="3"/>
    <n v="39688"/>
    <d v="2026-10-25T00:00:00"/>
    <d v="2026-09-04T00:00:00"/>
    <s v="Review technical requirements"/>
    <n v="0"/>
    <n v="24"/>
    <x v="1"/>
    <s v="No Gap"/>
  </r>
  <r>
    <s v="OPP0363"/>
    <s v="Blue Harbor Digital Inc. - New Business"/>
    <s v="ACC0198"/>
    <s v="USR006"/>
    <s v="Content Download"/>
    <x v="2"/>
    <n v="16272"/>
    <d v="2023-04-09T00:36:16"/>
    <d v="2023-05-09T00:36:16"/>
    <m/>
    <s v=""/>
    <s v=""/>
    <x v="0"/>
    <s v=""/>
  </r>
  <r>
    <s v="OPP0364"/>
    <s v="Ironwood Precision Works - New Business"/>
    <s v="ACC0054"/>
    <s v="USR009"/>
    <s v="Webinar / Event"/>
    <x v="0"/>
    <n v="40026"/>
    <d v="2022-10-12T02:11:13"/>
    <d v="2022-09-27T02:11:13"/>
    <m/>
    <s v=""/>
    <s v=""/>
    <x v="0"/>
    <s v=""/>
  </r>
  <r>
    <s v="OPP0365"/>
    <s v="Mosaic Precision Works - New Business"/>
    <s v="ACC0318"/>
    <s v="USR006"/>
    <s v="Inbound Demo Request"/>
    <x v="5"/>
    <n v="10992"/>
    <d v="2026-09-22T00:00:00"/>
    <d v="2026-08-31T00:00:00"/>
    <s v="Review integration requirements"/>
    <n v="6"/>
    <n v="28"/>
    <x v="3"/>
    <s v="No Gap"/>
  </r>
  <r>
    <s v="OPP0366"/>
    <s v="Riverbend Medical Group Inc. - New Business"/>
    <s v="ACC0246"/>
    <s v="USR012"/>
    <s v="Partner Referral"/>
    <x v="0"/>
    <n v="40868"/>
    <d v="2025-02-11T00:00:00"/>
    <d v="2025-02-05T00:00:00"/>
    <m/>
    <s v=""/>
    <s v=""/>
    <x v="0"/>
    <s v=""/>
  </r>
  <r>
    <s v="OPP0367"/>
    <s v="Sterling Digital Inc. - New Business"/>
    <s v="ACC0227"/>
    <s v="USR005"/>
    <s v="Outbound SDR"/>
    <x v="2"/>
    <n v="16524"/>
    <d v="2026-05-19T22:17:36"/>
    <d v="2026-05-07T22:17:36"/>
    <m/>
    <s v=""/>
    <s v=""/>
    <x v="0"/>
    <s v=""/>
  </r>
  <r>
    <s v="OPP0368"/>
    <s v="Evergreen Support Services - New Business"/>
    <s v="ACC0131"/>
    <s v="USR006"/>
    <s v="Inbound Demo Request"/>
    <x v="4"/>
    <n v="11340"/>
    <d v="2026-11-10T00:00:00"/>
    <d v="2026-09-19T00:00:00"/>
    <s v="Schedule discovery follow-up"/>
    <n v="0"/>
    <n v="9"/>
    <x v="1"/>
    <s v="No Gap"/>
  </r>
  <r>
    <s v="OPP0369"/>
    <s v="Northstar Professional Services - New Business"/>
    <s v="ACC0009"/>
    <s v="USR008"/>
    <s v="Partner Referral"/>
    <x v="5"/>
    <n v="20834"/>
    <d v="2026-11-14T00:00:00"/>
    <d v="2026-08-18T00:00:00"/>
    <s v="Review integration requirements"/>
    <n v="0"/>
    <n v="41"/>
    <x v="2"/>
    <s v="No Gap"/>
  </r>
  <r>
    <s v="OPP0370"/>
    <s v="BluePeak Construction - Expansion"/>
    <s v="ACC0181"/>
    <s v="USR010"/>
    <m/>
    <x v="5"/>
    <n v="20592"/>
    <d v="2026-11-03T00:00:00"/>
    <d v="2026-07-16T00:00:00"/>
    <s v="Schedule product demo"/>
    <n v="0"/>
    <n v="74"/>
    <x v="2"/>
    <s v="Missing Source"/>
  </r>
  <r>
    <s v="OPP0371"/>
    <s v="ClearPath Manufacturing LLC - New Business"/>
    <s v="ACC0109"/>
    <s v="USR010"/>
    <s v="Webinar / Event"/>
    <x v="1"/>
    <n v="76712"/>
    <d v="2026-10-20T00:00:00"/>
    <d v="2026-08-24T00:00:00"/>
    <s v="Schedule pricing review"/>
    <n v="0"/>
    <n v="35"/>
    <x v="2"/>
    <s v="No Gap"/>
  </r>
  <r>
    <s v="OPP0372"/>
    <s v="Keystone Labs - New Business"/>
    <s v="ACC0221"/>
    <s v="USR009"/>
    <s v="Content Download"/>
    <x v="3"/>
    <n v="35604"/>
    <d v="2026-11-02T00:00:00"/>
    <d v="2026-09-13T00:00:00"/>
    <s v="Review technical requirements"/>
    <n v="0"/>
    <n v="15"/>
    <x v="1"/>
    <s v="No Gap"/>
  </r>
  <r>
    <s v="OPP0373"/>
    <s v="Highpoint Financial Services Group - New Business"/>
    <s v="ACC0280"/>
    <s v="USR007"/>
    <s v="Content Download"/>
    <x v="2"/>
    <n v="28560"/>
    <d v="2023-12-02T12:18:34"/>
    <d v="2023-11-29T12:18:34"/>
    <m/>
    <s v=""/>
    <s v=""/>
    <x v="0"/>
    <s v=""/>
  </r>
  <r>
    <s v="OPP0374"/>
    <s v="ClearPath Manufacturing LLC - New Business"/>
    <s v="ACC0109"/>
    <s v="USR010"/>
    <s v="Webinar / Event"/>
    <x v="1"/>
    <n v="65108"/>
    <d v="2026-11-08T00:00:00"/>
    <d v="2026-09-24T00:00:00"/>
    <s v="Review proposal with buyer"/>
    <n v="0"/>
    <n v="4"/>
    <x v="1"/>
    <s v="No Gap"/>
  </r>
  <r>
    <s v="OPP0375"/>
    <s v="Highland Logistics - New Business"/>
    <s v="ACC0079"/>
    <s v="USR005"/>
    <s v="Outbound SDR"/>
    <x v="0"/>
    <n v="11436"/>
    <d v="2025-04-25T08:27:55"/>
    <d v="2025-04-13T08:27:55"/>
    <m/>
    <s v=""/>
    <s v=""/>
    <x v="0"/>
    <s v=""/>
  </r>
  <r>
    <s v="OPP0376"/>
    <s v="Redstone Manufacturing - New Business"/>
    <s v="ACC0112"/>
    <s v="USR010"/>
    <s v="Content Download"/>
    <x v="0"/>
    <n v="83764"/>
    <d v="2025-07-11T04:16:26"/>
    <d v="2025-07-11T04:16:26"/>
    <m/>
    <s v=""/>
    <s v=""/>
    <x v="0"/>
    <s v=""/>
  </r>
  <r>
    <s v="OPP0377"/>
    <s v="Vantage Training - New Business"/>
    <s v="ACC0292"/>
    <s v="USR012"/>
    <s v="Content Download"/>
    <x v="2"/>
    <n v="10860"/>
    <d v="2025-09-27T21:36:06"/>
    <d v="2025-09-20T21:36:06"/>
    <m/>
    <s v=""/>
    <s v=""/>
    <x v="0"/>
    <s v=""/>
  </r>
  <r>
    <s v="OPP0378"/>
    <s v="Beacon Capital - Expansion"/>
    <s v="ACC0141"/>
    <s v="USR009"/>
    <s v="Outbound SDR"/>
    <x v="5"/>
    <n v="15104"/>
    <d v="2026-10-18T00:00:00"/>
    <d v="2026-09-21T00:00:00"/>
    <s v="Review integration requirements"/>
    <n v="0"/>
    <n v="7"/>
    <x v="1"/>
    <s v="No Gap"/>
  </r>
  <r>
    <s v="OPP0379"/>
    <s v="BluePeak Fabrication - New Business"/>
    <s v="ACC0188"/>
    <s v="USR008"/>
    <s v="Organic Search"/>
    <x v="2"/>
    <n v="14800"/>
    <d v="2025-05-01T19:47:58"/>
    <d v="2025-05-09T19:47:58"/>
    <m/>
    <s v=""/>
    <s v=""/>
    <x v="0"/>
    <s v=""/>
  </r>
  <r>
    <s v="OPP0380"/>
    <s v="Fairview Digital - New Business"/>
    <s v="ACC0218"/>
    <s v="USR007"/>
    <s v="Inbound Demo Request"/>
    <x v="5"/>
    <n v="15184"/>
    <d v="2026-10-14T00:00:00"/>
    <d v="2026-09-18T00:00:00"/>
    <s v="Complete technical evaluation"/>
    <n v="0"/>
    <n v="10"/>
    <x v="1"/>
    <s v="No Gap"/>
  </r>
  <r>
    <s v="OPP0381"/>
    <s v="Parkline Professional Services - New Business"/>
    <s v="ACC0260"/>
    <s v="USR005"/>
    <s v="Webinar / Event"/>
    <x v="2"/>
    <n v="14176"/>
    <d v="2024-10-13T16:47:42"/>
    <d v="2024-10-13T16:47:42"/>
    <m/>
    <s v=""/>
    <s v=""/>
    <x v="0"/>
    <s v=""/>
  </r>
  <r>
    <s v="OPP0382"/>
    <s v="Catalyst Supply Chain LLC - New Business"/>
    <s v="ACC0238"/>
    <s v="USR006"/>
    <s v="Inbound Demo Request"/>
    <x v="2"/>
    <n v="28230"/>
    <d v="2026-01-30T13:22:42"/>
    <d v="2026-01-25T13:22:42"/>
    <m/>
    <s v=""/>
    <s v=""/>
    <x v="0"/>
    <s v=""/>
  </r>
  <r>
    <s v="OPP0383"/>
    <s v="Cobalt Precision Works - New Business"/>
    <s v="ACC0166"/>
    <s v="USR007"/>
    <s v="Partner Referral"/>
    <x v="4"/>
    <n v="15020"/>
    <d v="2026-11-27T00:00:00"/>
    <d v="2026-09-02T00:00:00"/>
    <s v="Confirm business requirements"/>
    <n v="0"/>
    <n v="26"/>
    <x v="1"/>
    <s v="No Gap"/>
  </r>
  <r>
    <s v="OPP0384"/>
    <s v="Skyline Precision Works Group - New Business"/>
    <s v="ACC0136"/>
    <s v="USR010"/>
    <s v="Outbound SDR"/>
    <x v="0"/>
    <n v="45000"/>
    <d v="2026-08-28T00:00:00"/>
    <d v="2026-09-05T00:00:00"/>
    <m/>
    <s v=""/>
    <s v=""/>
    <x v="0"/>
    <s v=""/>
  </r>
  <r>
    <s v="OPP0385"/>
    <s v="Horizon Support Services - Expansion"/>
    <s v="ACC0274"/>
    <s v="USR009"/>
    <s v="Partner Referral"/>
    <x v="0"/>
    <n v="18840"/>
    <d v="2026-03-02T18:16:02"/>
    <d v="2026-03-09T18:16:02"/>
    <m/>
    <s v=""/>
    <s v=""/>
    <x v="0"/>
    <s v=""/>
  </r>
  <r>
    <s v="OPP0386"/>
    <s v="Granite Peak Manufacturing LLC - New Business"/>
    <s v="ACC0114"/>
    <m/>
    <s v="Customer Referral"/>
    <x v="6"/>
    <n v="16566"/>
    <d v="2026-10-11T00:00:00"/>
    <d v="2026-07-30T00:00:00"/>
    <s v="Confirm signature timeline"/>
    <n v="0"/>
    <n v="60"/>
    <x v="2"/>
    <s v="Missing Owner"/>
  </r>
  <r>
    <s v="OPP0387"/>
    <s v="Cobalt Clinical Services LLC - Expansion"/>
    <s v="ACC0120"/>
    <s v="USR012"/>
    <s v="Paid Search"/>
    <x v="0"/>
    <n v="16596"/>
    <d v="2024-06-12T20:03:00"/>
    <d v="2024-07-09T20:03:00"/>
    <m/>
    <s v=""/>
    <s v=""/>
    <x v="0"/>
    <s v=""/>
  </r>
  <r>
    <s v="OPP0388"/>
    <s v="Clearwater Financial Group - New Business"/>
    <s v="ACC0045"/>
    <s v="USR009"/>
    <s v="Partner Referral"/>
    <x v="7"/>
    <n v="11208"/>
    <d v="2026-10-13T00:00:00"/>
    <d v="2026-09-02T00:00:00"/>
    <s v="Resolve contract comments"/>
    <n v="0"/>
    <n v="26"/>
    <x v="1"/>
    <s v="No Gap"/>
  </r>
  <r>
    <s v="OPP0389"/>
    <s v="Riverbend Support Services Inc. - New Business"/>
    <s v="ACC0138"/>
    <s v="USR008"/>
    <s v="Webinar / Event"/>
    <x v="2"/>
    <n v="39900"/>
    <d v="2024-11-30T02:59:16"/>
    <d v="2024-11-15T02:59:16"/>
    <m/>
    <s v=""/>
    <s v=""/>
    <x v="0"/>
    <s v=""/>
  </r>
  <r>
    <s v="OPP0390"/>
    <s v="Skyline Clinical Services - Expansion"/>
    <s v="ACC0046"/>
    <s v="USR006"/>
    <m/>
    <x v="0"/>
    <n v="7424"/>
    <d v="2025-12-09T01:44:12"/>
    <d v="2025-11-21T01:44:12"/>
    <m/>
    <s v=""/>
    <s v=""/>
    <x v="0"/>
    <s v=""/>
  </r>
  <r>
    <s v="OPP0391"/>
    <s v="Foxbridge Training Inc. - New Business"/>
    <s v="ACC0040"/>
    <s v="USR010"/>
    <m/>
    <x v="3"/>
    <n v="37850"/>
    <d v="2026-10-23T00:00:00"/>
    <d v="2026-09-04T00:00:00"/>
    <s v="Validate budget and timing"/>
    <n v="0"/>
    <n v="24"/>
    <x v="1"/>
    <s v="Missing Source"/>
  </r>
  <r>
    <s v="OPP0392"/>
    <s v="Frontier Precision Works LLC - New Business"/>
    <s v="ACC0110"/>
    <s v="USR006"/>
    <s v="Paid Search"/>
    <x v="6"/>
    <n v="23400"/>
    <d v="2026-10-08T00:00:00"/>
    <d v="2026-09-18T00:00:00"/>
    <s v="Send final agreement for signature"/>
    <n v="0"/>
    <n v="10"/>
    <x v="1"/>
    <s v="No Gap"/>
  </r>
  <r>
    <s v="OPP0393"/>
    <s v="Northstar Commerce - New Business"/>
    <s v="ACC0152"/>
    <s v="USR012"/>
    <s v="Outbound SDR"/>
    <x v="0"/>
    <n v="71682"/>
    <d v="2026-05-13T06:28:55"/>
    <d v="2026-05-12T06:28:55"/>
    <m/>
    <s v=""/>
    <s v=""/>
    <x v="0"/>
    <s v=""/>
  </r>
  <r>
    <s v="OPP0394"/>
    <s v="Crownstone Fabrication - New Business"/>
    <s v="ACC0234"/>
    <s v="USR005"/>
    <s v="Partner Referral"/>
    <x v="7"/>
    <n v="15072"/>
    <d v="2026-10-23T00:00:00"/>
    <d v="2026-09-01T00:00:00"/>
    <s v="Review procurement terms"/>
    <n v="0"/>
    <n v="27"/>
    <x v="1"/>
    <s v="No Gap"/>
  </r>
  <r>
    <s v="OPP0395"/>
    <s v="Ironwood Financial Group - New Business"/>
    <s v="ACC0191"/>
    <s v="USR006"/>
    <s v="Organic Search"/>
    <x v="4"/>
    <n v="28650"/>
    <d v="2026-09-22T00:00:00"/>
    <d v="2026-09-12T00:00:00"/>
    <s v="Confirm business requirements"/>
    <n v="6"/>
    <n v="16"/>
    <x v="3"/>
    <s v="No Gap"/>
  </r>
  <r>
    <s v="OPP0396"/>
    <s v="Northwind Contracting LLC - New Business"/>
    <s v="ACC0130"/>
    <s v="USR006"/>
    <s v="Inbound Demo Request"/>
    <x v="4"/>
    <n v="28380"/>
    <d v="2026-11-28T00:00:00"/>
    <d v="2026-08-20T00:00:00"/>
    <s v="Identify additional stakeholders"/>
    <n v="0"/>
    <n v="39"/>
    <x v="2"/>
    <s v="No Gap"/>
  </r>
  <r>
    <s v="OPP0397"/>
    <s v="BrightPath Health Partners LLC - New Business"/>
    <s v="ACC0207"/>
    <s v="USR010"/>
    <s v="Content Download"/>
    <x v="2"/>
    <n v="54240"/>
    <d v="2023-11-18T02:32:32"/>
    <d v="2023-11-17T02:32:32"/>
    <m/>
    <s v=""/>
    <s v=""/>
    <x v="0"/>
    <s v=""/>
  </r>
  <r>
    <s v="OPP0398"/>
    <s v="Bluewater Precision Works - New Business"/>
    <s v="ACC0036"/>
    <s v="USR008"/>
    <s v="Inbound Demo Request"/>
    <x v="3"/>
    <n v="47040"/>
    <d v="2026-12-06T00:00:00"/>
    <d v="2026-09-08T00:00:00"/>
    <s v="Confirm decision process"/>
    <n v="0"/>
    <n v="20"/>
    <x v="1"/>
    <s v="No Gap"/>
  </r>
  <r>
    <s v="OPP0399"/>
    <s v="Clearwater Transportation - New Business"/>
    <s v="ACC0061"/>
    <s v="USR006"/>
    <s v="Webinar / Event"/>
    <x v="3"/>
    <n v="13986"/>
    <d v="2026-08-11T00:00:00"/>
    <d v="2026-09-03T00:00:00"/>
    <s v="Review technical requirements"/>
    <n v="48"/>
    <n v="25"/>
    <x v="3"/>
    <s v="No Gap"/>
  </r>
  <r>
    <s v="OPP0400"/>
    <s v="Vantage Transportation Group - New Business"/>
    <s v="ACC0028"/>
    <s v="USR010"/>
    <s v="Webinar / Event"/>
    <x v="5"/>
    <n v="39840"/>
    <d v="2026-11-18T00:00:00"/>
    <d v="2026-07-23T00:00:00"/>
    <s v="Review integration requirements"/>
    <n v="0"/>
    <n v="67"/>
    <x v="2"/>
    <s v="No Gap"/>
  </r>
  <r>
    <s v="OPP0401"/>
    <s v="Horizon Support Services - New Business"/>
    <s v="ACC0274"/>
    <s v="USR009"/>
    <m/>
    <x v="2"/>
    <n v="75840"/>
    <d v="2025-03-09T20:18:49"/>
    <d v="2025-04-01T20:18:49"/>
    <m/>
    <s v=""/>
    <s v=""/>
    <x v="0"/>
    <s v=""/>
  </r>
  <r>
    <s v="OPP0402"/>
    <s v="Clearwater Financial Group - Expansion"/>
    <s v="ACC0045"/>
    <m/>
    <s v="Partner Referral"/>
    <x v="0"/>
    <n v="16848"/>
    <d v="2026-03-07T21:54:33"/>
    <d v="2026-03-11T21:54:33"/>
    <m/>
    <s v=""/>
    <s v=""/>
    <x v="0"/>
    <s v=""/>
  </r>
  <r>
    <s v="OPP0403"/>
    <s v="Ironwood Financial Group - New Business"/>
    <s v="ACC0191"/>
    <s v="USR006"/>
    <s v="Organic Search"/>
    <x v="1"/>
    <n v="10884"/>
    <d v="2026-10-07T00:00:00"/>
    <d v="2026-08-30T00:00:00"/>
    <s v="Review proposal with buyer"/>
    <n v="0"/>
    <n v="29"/>
    <x v="1"/>
    <s v="No Gap"/>
  </r>
  <r>
    <s v="OPP0404"/>
    <s v="Skyline Systems - New Business"/>
    <s v="ACC0017"/>
    <s v="USR005"/>
    <s v="Organic Search"/>
    <x v="2"/>
    <n v="10896"/>
    <d v="2023-11-24T15:58:21"/>
    <d v="2023-10-23T15:58:21"/>
    <m/>
    <s v=""/>
    <s v=""/>
    <x v="0"/>
    <s v=""/>
  </r>
  <r>
    <s v="OPP0405"/>
    <s v="Beacon Software - Expansion"/>
    <s v="ACC0189"/>
    <s v="USR011"/>
    <s v="Outbound SDR"/>
    <x v="0"/>
    <n v="23634"/>
    <d v="2024-10-25T00:00:00"/>
    <d v="2024-10-24T00:00:00"/>
    <m/>
    <s v=""/>
    <s v=""/>
    <x v="0"/>
    <s v=""/>
  </r>
  <r>
    <s v="OPP0406"/>
    <s v="Brookstone Labs Inc. - New Business"/>
    <s v="ACC0185"/>
    <s v="USR005"/>
    <s v="Webinar / Event"/>
    <x v="0"/>
    <n v="11004"/>
    <d v="2026-01-16T16:17:37"/>
    <d v="2026-01-08T16:17:37"/>
    <m/>
    <s v=""/>
    <s v=""/>
    <x v="0"/>
    <s v=""/>
  </r>
  <r>
    <s v="OPP0407"/>
    <s v="OpenGate Advisory Partners Inc. - New Business"/>
    <s v="ACC0230"/>
    <s v="USR011"/>
    <s v="Webinar / Event"/>
    <x v="3"/>
    <n v="46500"/>
    <d v="2026-11-28T00:00:00"/>
    <d v="2026-08-11T00:00:00"/>
    <s v="Validate budget and timing"/>
    <n v="0"/>
    <n v="48"/>
    <x v="2"/>
    <s v="No Gap"/>
  </r>
  <r>
    <s v="OPP0408"/>
    <s v="Bluewater Manufacturing - New Business"/>
    <s v="ACC0082"/>
    <s v="USR005"/>
    <s v="Inbound Demo Request"/>
    <x v="1"/>
    <n v="23490"/>
    <d v="2026-11-07T00:00:00"/>
    <d v="2026-09-01T00:00:00"/>
    <s v="Schedule pricing review"/>
    <n v="0"/>
    <n v="27"/>
    <x v="1"/>
    <s v="No Gap"/>
  </r>
  <r>
    <s v="OPP0409"/>
    <s v="Cornerstone Industries Inc. - New Business"/>
    <s v="ACC0128"/>
    <s v="USR008"/>
    <s v="Organic Search"/>
    <x v="2"/>
    <n v="11508"/>
    <d v="2025-11-30T19:36:28"/>
    <d v="2025-11-21T19:36:28"/>
    <m/>
    <s v=""/>
    <s v=""/>
    <x v="0"/>
    <s v=""/>
  </r>
  <r>
    <s v="OPP0410"/>
    <s v="Keystone Labs - New Business"/>
    <s v="ACC0221"/>
    <s v="USR009"/>
    <s v="Paid Search"/>
    <x v="2"/>
    <n v="28830"/>
    <d v="2025-08-27T04:14:51"/>
    <d v="2025-08-29T04:14:51"/>
    <m/>
    <s v=""/>
    <s v=""/>
    <x v="0"/>
    <s v=""/>
  </r>
  <r>
    <s v="OPP0411"/>
    <s v="Arbor Care Network - New Business"/>
    <s v="ACC0277"/>
    <s v="USR010"/>
    <m/>
    <x v="4"/>
    <n v="62592"/>
    <d v="2026-12-05T00:00:00"/>
    <d v="2026-09-07T00:00:00"/>
    <s v="Confirm business requirements"/>
    <n v="0"/>
    <n v="21"/>
    <x v="1"/>
    <s v="Missing Source"/>
  </r>
  <r>
    <s v="OPP0412"/>
    <s v="Frontier Academy Group - New Business"/>
    <s v="ACC0324"/>
    <s v="USR012"/>
    <s v="Outbound SDR"/>
    <x v="3"/>
    <n v="80168"/>
    <d v="2026-09-21T00:00:00"/>
    <d v="2026-09-12T00:00:00"/>
    <s v="Validate budget and timing"/>
    <n v="7"/>
    <n v="16"/>
    <x v="3"/>
    <s v="No Gap"/>
  </r>
  <r>
    <s v="OPP0413"/>
    <s v="Oakridge Industries - Expansion"/>
    <s v="ACC0062"/>
    <s v="USR012"/>
    <s v="Outbound SDR"/>
    <x v="0"/>
    <n v="21600"/>
    <d v="2026-08-12T20:01:00"/>
    <d v="2026-08-07T20:01:00"/>
    <m/>
    <s v=""/>
    <s v=""/>
    <x v="0"/>
    <s v=""/>
  </r>
  <r>
    <s v="OPP0414"/>
    <s v="Maplewood Consulting - New Business"/>
    <s v="ACC0219"/>
    <s v="USR012"/>
    <s v="Organic Search"/>
    <x v="0"/>
    <n v="50280"/>
    <d v="2026-08-04T13:54:05"/>
    <d v="2026-08-27T13:54:05"/>
    <m/>
    <s v=""/>
    <s v=""/>
    <x v="0"/>
    <s v=""/>
  </r>
  <r>
    <s v="OPP0415"/>
    <s v="Brightwell Operations Group - Expansion"/>
    <s v="ACC0186"/>
    <s v="USR009"/>
    <s v="Partner Referral"/>
    <x v="0"/>
    <n v="13426"/>
    <d v="2024-07-17T00:00:00"/>
    <d v="2024-06-17T00:00:00"/>
    <m/>
    <s v=""/>
    <s v=""/>
    <x v="0"/>
    <s v=""/>
  </r>
  <r>
    <s v="OPP0416"/>
    <s v="Cedarstone Retail Group Inc. - New Business"/>
    <s v="ACC0048"/>
    <s v="USR005"/>
    <s v="Outbound SDR"/>
    <x v="0"/>
    <n v="46080"/>
    <d v="2025-09-22T02:17:33"/>
    <d v="2025-09-12T02:17:33"/>
    <m/>
    <s v=""/>
    <s v=""/>
    <x v="0"/>
    <s v=""/>
  </r>
  <r>
    <s v="OPP0417"/>
    <s v="ClearPath Manufacturing LLC - Expansion"/>
    <s v="ACC0109"/>
    <s v="USR011"/>
    <s v="Content Download"/>
    <x v="0"/>
    <n v="4644"/>
    <d v="2026-05-31T20:46:39"/>
    <d v="2026-06-14T20:46:39"/>
    <m/>
    <s v=""/>
    <s v=""/>
    <x v="0"/>
    <s v=""/>
  </r>
  <r>
    <s v="OPP0418"/>
    <s v="Horizon Operations Group - New Business"/>
    <s v="ACC0293"/>
    <s v="USR012"/>
    <s v="Content Download"/>
    <x v="1"/>
    <n v="65808"/>
    <d v="2026-10-20T00:00:00"/>
    <d v="2026-07-18T00:00:00"/>
    <s v="Review proposal with buyer"/>
    <n v="0"/>
    <n v="72"/>
    <x v="2"/>
    <s v="No Gap"/>
  </r>
  <r>
    <s v="OPP0419"/>
    <s v="Beacon Capital - New Business"/>
    <s v="ACC0141"/>
    <s v="USR009"/>
    <s v="Outbound SDR"/>
    <x v="0"/>
    <n v="81972"/>
    <d v="2026-05-13T02:21:28"/>
    <d v="2026-05-06T02:21:28"/>
    <m/>
    <s v=""/>
    <s v=""/>
    <x v="0"/>
    <s v=""/>
  </r>
  <r>
    <s v="OPP0420"/>
    <s v="Cedarstone Software - Expansion"/>
    <s v="ACC0197"/>
    <s v="USR007"/>
    <s v="Organic Search"/>
    <x v="0"/>
    <n v="7456"/>
    <d v="2025-03-04T00:00:00"/>
    <d v="2025-03-02T00:00:00"/>
    <m/>
    <s v=""/>
    <s v=""/>
    <x v="0"/>
    <s v=""/>
  </r>
  <r>
    <s v="OPP0421"/>
    <s v="Silver Oak Professional Services LLC - New Business"/>
    <s v="ACC0237"/>
    <s v="USR009"/>
    <s v="Outbound SDR"/>
    <x v="1"/>
    <n v="32616"/>
    <d v="2026-10-29T00:00:00"/>
    <d v="2026-09-02T00:00:00"/>
    <s v="Confirm commercial feedback"/>
    <n v="0"/>
    <n v="26"/>
    <x v="1"/>
    <s v="No Gap"/>
  </r>
  <r>
    <s v="OPP0422"/>
    <s v="ClearPath Manufacturing LLC - New Business"/>
    <s v="ACC0109"/>
    <s v="USR010"/>
    <s v="Organic Search"/>
    <x v="2"/>
    <n v="61540"/>
    <d v="2025-11-25T06:35:21"/>
    <d v="2025-11-27T06:35:21"/>
    <m/>
    <s v=""/>
    <s v=""/>
    <x v="0"/>
    <s v=""/>
  </r>
  <r>
    <s v="OPP0423"/>
    <s v="Blue Harbor Health Services - New Business"/>
    <s v="ACC0119"/>
    <s v="USR005"/>
    <s v="Outbound SDR"/>
    <x v="0"/>
    <n v="18600"/>
    <d v="2024-03-10T04:02:38"/>
    <d v="2024-03-04T04:02:38"/>
    <m/>
    <s v=""/>
    <s v=""/>
    <x v="0"/>
    <s v=""/>
  </r>
  <r>
    <s v="OPP0424"/>
    <s v="Maplewood Distribution Inc. - New Business"/>
    <s v="ACC0139"/>
    <s v="USR011"/>
    <s v="Partner Referral"/>
    <x v="6"/>
    <n v="27870"/>
    <d v="2026-09-29T00:00:00"/>
    <d v="2026-09-18T00:00:00"/>
    <s v="Send final agreement for signature"/>
    <n v="0"/>
    <n v="10"/>
    <x v="1"/>
    <s v="No Gap"/>
  </r>
  <r>
    <s v="OPP0425"/>
    <s v="Bluewater Freight - New Business"/>
    <s v="ACC0241"/>
    <s v="USR007"/>
    <s v="Outbound SDR"/>
    <x v="2"/>
    <n v="28050"/>
    <d v="2025-11-20T11:48:37"/>
    <d v="2025-11-10T11:48:37"/>
    <m/>
    <s v=""/>
    <s v=""/>
    <x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0">
  <r>
    <s v="LEAD0001"/>
    <s v="Westfield Construction Group"/>
    <s v="Mid-Market"/>
    <s v="MI"/>
    <s v="USR011"/>
    <s v="MM"/>
    <n v="3"/>
    <s v="Mid-Market Account Executive"/>
    <s v="MM"/>
    <n v="3"/>
    <x v="0"/>
  </r>
  <r>
    <s v="LEAD0002"/>
    <s v="Bridgeway Learning Systems Group"/>
    <s v="Upper Mid-Market"/>
    <s v="NY"/>
    <s v="USR009"/>
    <s v="MM"/>
    <n v="1"/>
    <s v="Mid-Market Account Executive"/>
    <s v="MM"/>
    <n v="1"/>
    <x v="0"/>
  </r>
  <r>
    <s v="LEAD0003"/>
    <s v="Northstar Software"/>
    <s v="SMB"/>
    <s v="CA"/>
    <s v="USR008"/>
    <s v="SMB"/>
    <n v="4"/>
    <s v="SMB Account Executive"/>
    <s v="SMB"/>
    <n v="4"/>
    <x v="0"/>
  </r>
  <r>
    <s v="LEAD0004"/>
    <s v="Fairview Digital"/>
    <s v="SMB"/>
    <s v="IN"/>
    <s v="USR007"/>
    <s v="SMB"/>
    <n v="3"/>
    <s v="SMB Account Executive"/>
    <s v="SMB"/>
    <n v="3"/>
    <x v="0"/>
  </r>
  <r>
    <s v="LEAD0005"/>
    <s v="ClearPath Advisory"/>
    <s v="Mid-Market"/>
    <s v="GA"/>
    <s v="USR010"/>
    <s v="MM"/>
    <n v="2"/>
    <s v="Mid-Market Account Executive"/>
    <s v="MM"/>
    <n v="2"/>
    <x v="0"/>
  </r>
  <r>
    <s v="LEAD0006"/>
    <s v="Silver Oak Academy"/>
    <s v="SMB"/>
    <s v="LA"/>
    <s v="USR006"/>
    <s v="SMB"/>
    <n v="2"/>
    <s v="SMB Account Executive"/>
    <s v="SMB"/>
    <n v="2"/>
    <x v="0"/>
  </r>
  <r>
    <s v="LEAD0007"/>
    <s v="Suncrest Care Network"/>
    <s v="Mid-Market"/>
    <s v="NJ"/>
    <s v="USR009"/>
    <s v="MM"/>
    <n v="1"/>
    <s v="Mid-Market Account Executive"/>
    <s v="MM"/>
    <n v="1"/>
    <x v="0"/>
  </r>
  <r>
    <s v="LEAD0008"/>
    <s v="Brookstone Health Services"/>
    <s v="SMB"/>
    <s v="GA"/>
    <s v="USR006"/>
    <s v="SMB"/>
    <n v="2"/>
    <s v="SMB Account Executive"/>
    <s v="SMB"/>
    <n v="2"/>
    <x v="0"/>
  </r>
  <r>
    <s v="LEAD0009"/>
    <s v="Meridian Financial Services"/>
    <s v="Mid-Market"/>
    <s v="IL"/>
    <s v="USR011"/>
    <s v="MM"/>
    <n v="3"/>
    <s v="Mid-Market Account Executive"/>
    <s v="MM"/>
    <n v="3"/>
    <x v="0"/>
  </r>
  <r>
    <s v="LEAD0010"/>
    <s v="Oakridge Industries"/>
    <s v="Upper Mid-Market"/>
    <s v="CO"/>
    <s v="USR012"/>
    <s v="MM"/>
    <n v="4"/>
    <s v="Mid-Market Account Executive"/>
    <s v="MM"/>
    <n v="4"/>
    <x v="0"/>
  </r>
  <r>
    <s v="LEAD0011"/>
    <s v="Cornerstone Training"/>
    <s v="SMB"/>
    <s v="NY"/>
    <s v="USR005"/>
    <s v="SMB"/>
    <n v="1"/>
    <s v="SMB Account Executive"/>
    <s v="SMB"/>
    <n v="1"/>
    <x v="0"/>
  </r>
  <r>
    <s v="LEAD0012"/>
    <s v="Evergreen Wealth Partners LLC"/>
    <s v="Mid-Market"/>
    <s v="ID"/>
    <s v="USR012"/>
    <s v="MM"/>
    <n v="4"/>
    <s v="Mid-Market Account Executive"/>
    <s v="MM"/>
    <n v="4"/>
    <x v="0"/>
  </r>
  <r>
    <s v="LEAD0013"/>
    <s v="Skyline Fabrication LLC"/>
    <s v="SMB"/>
    <s v="FL"/>
    <s v="USR006"/>
    <s v="SMB"/>
    <n v="2"/>
    <s v="SMB Account Executive"/>
    <s v="SMB"/>
    <n v="2"/>
    <x v="0"/>
  </r>
  <r>
    <s v="LEAD0014"/>
    <s v="Eastwood Consulting"/>
    <s v="Mid-Market"/>
    <s v="MA"/>
    <s v="USR009"/>
    <s v="MM"/>
    <n v="1"/>
    <s v="Mid-Market Account Executive"/>
    <s v="MM"/>
    <n v="1"/>
    <x v="0"/>
  </r>
  <r>
    <s v="LEAD0015"/>
    <s v="Horizon Fabrication"/>
    <s v="Upper Mid-Market"/>
    <s v="NY"/>
    <s v="USR009"/>
    <s v="MM"/>
    <n v="1"/>
    <s v="Mid-Market Account Executive"/>
    <s v="MM"/>
    <n v="1"/>
    <x v="0"/>
  </r>
  <r>
    <s v="LEAD0016"/>
    <s v="Blue Harbor Brands"/>
    <s v="SMB"/>
    <s v="WA"/>
    <s v="USR008"/>
    <s v="SMB"/>
    <n v="4"/>
    <s v="SMB Account Executive"/>
    <s v="SMB"/>
    <n v="4"/>
    <x v="0"/>
  </r>
  <r>
    <s v="LEAD0017"/>
    <s v="Rivermark Digital"/>
    <s v="Upper Mid-Market"/>
    <s v="PA"/>
    <s v="USR009"/>
    <s v="MM"/>
    <n v="1"/>
    <s v="Mid-Market Account Executive"/>
    <s v="MM"/>
    <n v="1"/>
    <x v="0"/>
  </r>
  <r>
    <s v="LEAD0018"/>
    <s v="Skyline Care Network"/>
    <s v="SMB"/>
    <s v="NJ"/>
    <s v="USR005"/>
    <s v="SMB"/>
    <n v="1"/>
    <s v="SMB Account Executive"/>
    <s v="SMB"/>
    <n v="1"/>
    <x v="0"/>
  </r>
  <r>
    <s v="LEAD0019"/>
    <s v="Riverbend Support Services Inc."/>
    <s v="SMB"/>
    <s v="WA"/>
    <s v="USR008"/>
    <s v="SMB"/>
    <n v="4"/>
    <s v="SMB Account Executive"/>
    <s v="SMB"/>
    <n v="4"/>
    <x v="0"/>
  </r>
  <r>
    <s v="LEAD0020"/>
    <s v="Northstar Business Solutions Inc."/>
    <s v="Mid-Market"/>
    <s v="CA"/>
    <s v="USR012"/>
    <s v="MM"/>
    <n v="4"/>
    <s v="Mid-Market Account Executive"/>
    <s v="MM"/>
    <n v="4"/>
    <x v="0"/>
  </r>
  <r>
    <s v="LEAD0021"/>
    <s v="Bridgeway Learning Systems Group"/>
    <s v="Upper Mid-Market"/>
    <s v="NY"/>
    <s v="USR009"/>
    <s v="MM"/>
    <n v="1"/>
    <s v="Mid-Market Account Executive"/>
    <s v="MM"/>
    <n v="1"/>
    <x v="0"/>
  </r>
  <r>
    <s v="LEAD0022"/>
    <s v="Harborview Digital"/>
    <s v="Upper Mid-Market"/>
    <s v="TX"/>
    <s v="USR010"/>
    <s v="MM"/>
    <n v="2"/>
    <s v="Mid-Market Account Executive"/>
    <s v="MM"/>
    <n v="2"/>
    <x v="0"/>
  </r>
  <r>
    <s v="LEAD0023"/>
    <s v="Rivermark Medical Group"/>
    <s v="SMB"/>
    <s v="NH"/>
    <s v="USR005"/>
    <s v="SMB"/>
    <n v="1"/>
    <s v="SMB Account Executive"/>
    <s v="SMB"/>
    <n v="1"/>
    <x v="0"/>
  </r>
  <r>
    <s v="LEAD0024"/>
    <s v="Rivermark Retail"/>
    <m/>
    <s v="OK"/>
    <s v="USR010"/>
    <s v="Needs Review - Segment"/>
    <n v="2"/>
    <s v="Mid-Market Account Executive"/>
    <s v="MM"/>
    <n v="2"/>
    <x v="1"/>
  </r>
  <r>
    <s v="LEAD0025"/>
    <s v="Sterling Medical Group"/>
    <s v="Upper Mid-Market"/>
    <s v="MA"/>
    <s v="USR009"/>
    <s v="MM"/>
    <n v="1"/>
    <s v="Mid-Market Account Executive"/>
    <s v="MM"/>
    <n v="1"/>
    <x v="0"/>
  </r>
  <r>
    <s v="LEAD0026"/>
    <s v="Beacon Capital"/>
    <s v="Upper Mid-Market"/>
    <s v="NY"/>
    <s v="USR009"/>
    <s v="MM"/>
    <n v="1"/>
    <s v="Mid-Market Account Executive"/>
    <s v="MM"/>
    <n v="1"/>
    <x v="0"/>
  </r>
  <r>
    <s v="LEAD0027"/>
    <s v="Foxbridge Capital"/>
    <s v="SMB"/>
    <s v="NY"/>
    <s v="USR005"/>
    <s v="SMB"/>
    <n v="1"/>
    <s v="SMB Account Executive"/>
    <s v="SMB"/>
    <n v="1"/>
    <x v="0"/>
  </r>
  <r>
    <s v="LEAD0028"/>
    <s v="Oakridge Support Services"/>
    <s v="SMB"/>
    <s v="IA"/>
    <s v="USR007"/>
    <s v="SMB"/>
    <n v="3"/>
    <s v="SMB Account Executive"/>
    <s v="SMB"/>
    <n v="3"/>
    <x v="0"/>
  </r>
  <r>
    <s v="LEAD0029"/>
    <s v="Clearwater Financial Group"/>
    <m/>
    <s v="CT"/>
    <s v="USR005"/>
    <s v="Needs Review - Segment"/>
    <n v="1"/>
    <s v="SMB Account Executive"/>
    <s v="SMB"/>
    <n v="1"/>
    <x v="1"/>
  </r>
  <r>
    <s v="LEAD0030"/>
    <s v="Cedarstone Health Partners Group"/>
    <s v="Mid-Market"/>
    <s v="NY"/>
    <s v="USR009"/>
    <s v="MM"/>
    <n v="1"/>
    <s v="Mid-Market Account Executive"/>
    <s v="MM"/>
    <n v="1"/>
    <x v="0"/>
  </r>
  <r>
    <s v="LEAD0031"/>
    <s v="Granite Peak Advisory Partners"/>
    <s v="Mid-Market"/>
    <s v="NC"/>
    <s v="USR010"/>
    <s v="MM"/>
    <n v="2"/>
    <s v="Mid-Market Account Executive"/>
    <s v="MM"/>
    <n v="2"/>
    <x v="0"/>
  </r>
  <r>
    <s v="LEAD0032"/>
    <s v="Maplewood Consulting"/>
    <s v="Upper Mid-Market"/>
    <s v="WA"/>
    <s v="USR012"/>
    <s v="MM"/>
    <n v="4"/>
    <s v="Mid-Market Account Executive"/>
    <s v="MM"/>
    <n v="4"/>
    <x v="0"/>
  </r>
  <r>
    <s v="LEAD0033"/>
    <s v="Crownstone Financial Services Group"/>
    <s v="Mid-Market"/>
    <s v="NJ"/>
    <s v="USR009"/>
    <s v="MM"/>
    <n v="1"/>
    <s v="Mid-Market Account Executive"/>
    <s v="MM"/>
    <n v="1"/>
    <x v="0"/>
  </r>
  <r>
    <s v="LEAD0034"/>
    <s v="Ironwood Precision Works"/>
    <s v="Mid-Market"/>
    <s v="RI"/>
    <s v="USR009"/>
    <s v="MM"/>
    <n v="1"/>
    <s v="Mid-Market Account Executive"/>
    <s v="MM"/>
    <n v="1"/>
    <x v="0"/>
  </r>
  <r>
    <s v="LEAD0035"/>
    <s v="Vantage Retail"/>
    <s v="SMB"/>
    <s v="WV"/>
    <s v="USR007"/>
    <s v="SMB"/>
    <n v="1"/>
    <s v="SMB Account Executive"/>
    <s v="SMB"/>
    <n v="3"/>
    <x v="2"/>
  </r>
  <r>
    <s v="LEAD0036"/>
    <s v="Vertex Digital Group"/>
    <s v="Mid-Market"/>
    <s v="TN"/>
    <s v="USR010"/>
    <s v="MM"/>
    <n v="2"/>
    <s v="Mid-Market Account Executive"/>
    <s v="MM"/>
    <n v="2"/>
    <x v="0"/>
  </r>
  <r>
    <s v="LEAD0037"/>
    <s v="Blue Harbor Labs"/>
    <s v="Mid-Market"/>
    <s v="FL"/>
    <s v="USR010"/>
    <s v="MM"/>
    <n v="2"/>
    <s v="Mid-Market Account Executive"/>
    <s v="MM"/>
    <n v="2"/>
    <x v="0"/>
  </r>
  <r>
    <s v="LEAD0038"/>
    <s v="BrightPath Advisory Partners LLC"/>
    <s v="SMB"/>
    <s v="CA"/>
    <s v="USR008"/>
    <s v="SMB"/>
    <n v="4"/>
    <s v="SMB Account Executive"/>
    <s v="SMB"/>
    <n v="4"/>
    <x v="0"/>
  </r>
  <r>
    <s v="LEAD0039"/>
    <s v="Catalyst Health Partners Inc."/>
    <s v="Mid-Market"/>
    <s v="CA"/>
    <s v="USR012"/>
    <s v="MM"/>
    <n v="4"/>
    <s v="Mid-Market Account Executive"/>
    <s v="MM"/>
    <n v="4"/>
    <x v="0"/>
  </r>
  <r>
    <s v="LEAD0040"/>
    <s v="Vantage Systems"/>
    <s v="Mid-Market"/>
    <s v="MA"/>
    <s v="USR009"/>
    <s v="MM"/>
    <n v="1"/>
    <s v="Mid-Market Account Executive"/>
    <s v="MM"/>
    <n v="1"/>
    <x v="0"/>
  </r>
  <r>
    <s v="LEAD0041"/>
    <s v="Bluewater Freight"/>
    <s v="SMB"/>
    <s v="OH"/>
    <s v="USR007"/>
    <s v="SMB"/>
    <n v="3"/>
    <s v="SMB Account Executive"/>
    <s v="SMB"/>
    <n v="3"/>
    <x v="0"/>
  </r>
  <r>
    <s v="LEAD0042"/>
    <s v="Silverline Transportation"/>
    <s v="SMB"/>
    <s v="FL"/>
    <s v="USR006"/>
    <s v="SMB"/>
    <n v="2"/>
    <s v="SMB Account Executive"/>
    <s v="SMB"/>
    <n v="2"/>
    <x v="0"/>
  </r>
  <r>
    <s v="LEAD0043"/>
    <s v="Riverbend Contracting Group"/>
    <s v="SMB"/>
    <s v="CA"/>
    <s v="USR008"/>
    <s v="SMB"/>
    <n v="4"/>
    <s v="SMB Account Executive"/>
    <s v="SMB"/>
    <n v="4"/>
    <x v="0"/>
  </r>
  <r>
    <s v="LEAD0044"/>
    <s v="Bluewater Health Partners"/>
    <s v="Mid-Market"/>
    <s v="NY"/>
    <s v="USR009"/>
    <s v="MM"/>
    <n v="1"/>
    <s v="Mid-Market Account Executive"/>
    <s v="MM"/>
    <n v="1"/>
    <x v="0"/>
  </r>
  <r>
    <s v="LEAD0045"/>
    <s v="TrueNorth Solutions Inc."/>
    <s v="Mid-Market"/>
    <s v="NY"/>
    <s v="USR009"/>
    <s v="MM"/>
    <n v="1"/>
    <s v="Mid-Market Account Executive"/>
    <s v="MM"/>
    <n v="1"/>
    <x v="0"/>
  </r>
  <r>
    <s v="LEAD0046"/>
    <s v="Brightwell Fabrication Inc."/>
    <s v="SMB"/>
    <s v="WV"/>
    <s v="USR005"/>
    <s v="SMB"/>
    <n v="1"/>
    <s v="SMB Account Executive"/>
    <s v="SMB"/>
    <n v="1"/>
    <x v="0"/>
  </r>
  <r>
    <s v="LEAD0047"/>
    <s v="BrightPath Retail"/>
    <s v="Upper Mid-Market"/>
    <s v="NC"/>
    <s v="USR010"/>
    <s v="MM"/>
    <n v="2"/>
    <s v="Mid-Market Account Executive"/>
    <s v="MM"/>
    <n v="2"/>
    <x v="0"/>
  </r>
  <r>
    <s v="LEAD0048"/>
    <s v="Cobalt Supply Chain LLC"/>
    <s v="Upper Mid-Market"/>
    <s v="CA"/>
    <s v="USR012"/>
    <s v="MM"/>
    <n v="4"/>
    <s v="Mid-Market Account Executive"/>
    <s v="MM"/>
    <n v="4"/>
    <x v="0"/>
  </r>
  <r>
    <s v="LEAD0049"/>
    <s v="Highland Fabrication"/>
    <s v="Mid-Market"/>
    <s v="IL"/>
    <s v="USR011"/>
    <s v="MM"/>
    <n v="3"/>
    <s v="Mid-Market Account Executive"/>
    <s v="MM"/>
    <n v="3"/>
    <x v="0"/>
  </r>
  <r>
    <s v="LEAD0050"/>
    <s v="Vantage Freight LLC"/>
    <s v="Mid-Market"/>
    <s v="MI"/>
    <s v="USR011"/>
    <s v="MM"/>
    <n v="3"/>
    <s v="Mid-Market Account Executive"/>
    <s v="MM"/>
    <n v="3"/>
    <x v="0"/>
  </r>
  <r>
    <s v="LEAD0051"/>
    <s v="Sterling Advisory"/>
    <s v="Mid-Market"/>
    <s v="DE"/>
    <s v="USR009"/>
    <s v="MM"/>
    <n v="1"/>
    <s v="Mid-Market Account Executive"/>
    <s v="MM"/>
    <n v="1"/>
    <x v="0"/>
  </r>
  <r>
    <s v="LEAD0052"/>
    <s v="Foxbridge Labs LLC"/>
    <s v="Upper Mid-Market"/>
    <s v="CA"/>
    <s v="USR012"/>
    <s v="MM"/>
    <n v="4"/>
    <s v="Mid-Market Account Executive"/>
    <s v="MM"/>
    <n v="4"/>
    <x v="0"/>
  </r>
  <r>
    <s v="LEAD0053"/>
    <s v="Elmwood Freight"/>
    <s v="Upper Mid-Market"/>
    <s v="MT"/>
    <s v="USR012"/>
    <s v="MM"/>
    <n v="4"/>
    <s v="Mid-Market Account Executive"/>
    <s v="MM"/>
    <n v="4"/>
    <x v="0"/>
  </r>
  <r>
    <s v="LEAD0054"/>
    <s v="Stonebridge Professional Services Group"/>
    <s v="Mid-Market"/>
    <s v="MN"/>
    <s v="USR011"/>
    <s v="MM"/>
    <n v="3"/>
    <s v="Mid-Market Account Executive"/>
    <s v="MM"/>
    <n v="3"/>
    <x v="0"/>
  </r>
  <r>
    <s v="LEAD0055"/>
    <s v="Lakeshore Training"/>
    <s v="Mid-Market"/>
    <s v="KS"/>
    <s v="USR011"/>
    <s v="MM"/>
    <n v="3"/>
    <s v="Mid-Market Account Executive"/>
    <s v="MM"/>
    <n v="3"/>
    <x v="0"/>
  </r>
  <r>
    <s v="LEAD0056"/>
    <s v="Skyline Industries"/>
    <s v="Mid-Market"/>
    <s v="OK"/>
    <s v="USR010"/>
    <s v="MM"/>
    <n v="2"/>
    <s v="Mid-Market Account Executive"/>
    <s v="MM"/>
    <n v="2"/>
    <x v="0"/>
  </r>
  <r>
    <s v="LEAD0057"/>
    <s v="Rivermark Capital Group"/>
    <s v="Mid-Market"/>
    <s v="FL"/>
    <s v="USR011"/>
    <s v="MM"/>
    <n v="2"/>
    <s v="Mid-Market Account Executive"/>
    <s v="MM"/>
    <n v="3"/>
    <x v="2"/>
  </r>
  <r>
    <s v="LEAD0058"/>
    <s v="BrightPath Retail"/>
    <s v="Upper Mid-Market"/>
    <s v="NC"/>
    <s v="USR010"/>
    <s v="MM"/>
    <n v="2"/>
    <s v="Mid-Market Account Executive"/>
    <s v="MM"/>
    <n v="2"/>
    <x v="0"/>
  </r>
  <r>
    <s v="LEAD0059"/>
    <s v="Oakridge Industries"/>
    <s v="Upper Mid-Market"/>
    <s v="CO"/>
    <s v="USR012"/>
    <s v="MM"/>
    <n v="4"/>
    <s v="Mid-Market Account Executive"/>
    <s v="MM"/>
    <n v="4"/>
    <x v="0"/>
  </r>
  <r>
    <s v="LEAD0060"/>
    <s v="Ridgeview Marketplace"/>
    <s v="SMB"/>
    <s v="FL"/>
    <s v="USR006"/>
    <s v="SMB"/>
    <n v="2"/>
    <s v="SMB Account Executive"/>
    <s v="SMB"/>
    <n v="2"/>
    <x v="0"/>
  </r>
  <r>
    <s v="LEAD0061"/>
    <s v="Fairview Consulting Group"/>
    <s v="Mid-Market"/>
    <s v="CO"/>
    <s v="USR012"/>
    <s v="MM"/>
    <n v="4"/>
    <s v="Mid-Market Account Executive"/>
    <s v="MM"/>
    <n v="4"/>
    <x v="0"/>
  </r>
  <r>
    <s v="LEAD0062"/>
    <s v="Greenfield Software"/>
    <s v="SMB"/>
    <s v="IL"/>
    <s v="USR007"/>
    <s v="SMB"/>
    <n v="3"/>
    <s v="SMB Account Executive"/>
    <s v="SMB"/>
    <n v="3"/>
    <x v="0"/>
  </r>
  <r>
    <s v="LEAD0063"/>
    <s v="Brookstone Business Solutions"/>
    <s v="SMB"/>
    <s v="MN"/>
    <s v="USR007"/>
    <s v="SMB"/>
    <n v="3"/>
    <s v="SMB Account Executive"/>
    <s v="SMB"/>
    <n v="3"/>
    <x v="0"/>
  </r>
  <r>
    <s v="LEAD0064"/>
    <s v="Stonebridge Learning"/>
    <s v="Mid-Market"/>
    <s v="MO"/>
    <s v="USR011"/>
    <s v="MM"/>
    <n v="3"/>
    <s v="Mid-Market Account Executive"/>
    <s v="MM"/>
    <n v="3"/>
    <x v="0"/>
  </r>
  <r>
    <s v="LEAD0065"/>
    <s v="Arbor Care Network"/>
    <s v="Mid-Market"/>
    <s v="FL"/>
    <s v="USR010"/>
    <s v="MM"/>
    <n v="2"/>
    <s v="Mid-Market Account Executive"/>
    <s v="MM"/>
    <n v="2"/>
    <x v="0"/>
  </r>
  <r>
    <s v="LEAD0066"/>
    <s v="Sterling Professional Services"/>
    <s v="Mid-Market"/>
    <s v="VA"/>
    <s v="USR010"/>
    <s v="MM"/>
    <n v="2"/>
    <s v="Mid-Market Account Executive"/>
    <s v="MM"/>
    <n v="2"/>
    <x v="0"/>
  </r>
  <r>
    <s v="LEAD0067"/>
    <s v="Vertex Support Services"/>
    <s v="Mid-Market"/>
    <s v="OH"/>
    <s v="USR011"/>
    <s v="MM"/>
    <n v="3"/>
    <s v="Mid-Market Account Executive"/>
    <s v="MM"/>
    <n v="3"/>
    <x v="0"/>
  </r>
  <r>
    <s v="LEAD0068"/>
    <s v="Keystone Labs LLC"/>
    <s v="Mid-Market"/>
    <s v="WA"/>
    <s v="USR012"/>
    <s v="MM"/>
    <n v="4"/>
    <s v="Mid-Market Account Executive"/>
    <s v="MM"/>
    <n v="4"/>
    <x v="0"/>
  </r>
  <r>
    <s v="LEAD0069"/>
    <s v="Granite Peak Manufacturing LLC"/>
    <s v="SMB"/>
    <s v="IL"/>
    <s v="USR007"/>
    <s v="SMB"/>
    <n v="3"/>
    <s v="SMB Account Executive"/>
    <s v="SMB"/>
    <n v="3"/>
    <x v="0"/>
  </r>
  <r>
    <s v="LEAD0070"/>
    <s v="Brightwell Digital Group"/>
    <s v="Mid-Market"/>
    <s v="OH"/>
    <s v="USR011"/>
    <s v="MM"/>
    <n v="3"/>
    <s v="Mid-Market Account Executive"/>
    <s v="MM"/>
    <n v="3"/>
    <x v="0"/>
  </r>
  <r>
    <s v="LEAD0071"/>
    <s v="Cobalt Labs"/>
    <s v="Upper Mid-Market"/>
    <s v="OR"/>
    <s v="USR012"/>
    <s v="MM"/>
    <n v="4"/>
    <s v="Mid-Market Account Executive"/>
    <s v="MM"/>
    <n v="4"/>
    <x v="0"/>
  </r>
  <r>
    <s v="LEAD0072"/>
    <s v="PrimePoint Software"/>
    <s v="Upper Mid-Market"/>
    <s v="LA"/>
    <s v="USR010"/>
    <s v="MM"/>
    <n v="2"/>
    <s v="Mid-Market Account Executive"/>
    <s v="MM"/>
    <n v="2"/>
    <x v="0"/>
  </r>
  <r>
    <s v="LEAD0073"/>
    <s v="Vertex Consulting"/>
    <s v="Upper Mid-Market"/>
    <s v="GA"/>
    <s v="USR010"/>
    <s v="MM"/>
    <n v="2"/>
    <s v="Mid-Market Account Executive"/>
    <s v="MM"/>
    <n v="2"/>
    <x v="0"/>
  </r>
  <r>
    <s v="LEAD0074"/>
    <s v="Vertex Retail Inc."/>
    <s v="SMB"/>
    <s v="TX"/>
    <s v="USR006"/>
    <s v="SMB"/>
    <n v="2"/>
    <s v="SMB Account Executive"/>
    <s v="SMB"/>
    <n v="2"/>
    <x v="0"/>
  </r>
  <r>
    <s v="LEAD0075"/>
    <s v="Pioneer Care Network Inc."/>
    <s v="SMB"/>
    <s v="NY"/>
    <s v="USR005"/>
    <s v="SMB"/>
    <n v="1"/>
    <s v="SMB Account Executive"/>
    <s v="SMB"/>
    <n v="1"/>
    <x v="0"/>
  </r>
  <r>
    <s v="LEAD0076"/>
    <s v="ClearPath Manufacturing LLC"/>
    <s v="Upper Mid-Market"/>
    <s v="KY"/>
    <s v="USR010"/>
    <s v="MM"/>
    <n v="2"/>
    <s v="Mid-Market Account Executive"/>
    <s v="MM"/>
    <n v="2"/>
    <x v="0"/>
  </r>
  <r>
    <s v="LEAD0077"/>
    <s v="Frontier Academy Group"/>
    <s v="Upper Mid-Market"/>
    <s v="NM"/>
    <s v="USR012"/>
    <s v="MM"/>
    <n v="4"/>
    <s v="Mid-Market Account Executive"/>
    <s v="MM"/>
    <n v="4"/>
    <x v="0"/>
  </r>
  <r>
    <s v="LEAD0078"/>
    <s v="TrueNorth Health Services"/>
    <s v="SMB"/>
    <s v="CA"/>
    <s v="USR008"/>
    <s v="SMB"/>
    <n v="4"/>
    <s v="SMB Account Executive"/>
    <s v="SMB"/>
    <n v="4"/>
    <x v="0"/>
  </r>
  <r>
    <s v="LEAD0079"/>
    <s v="Ridgeview Retail Group"/>
    <s v="Mid-Market"/>
    <s v="FL"/>
    <s v="USR010"/>
    <s v="MM"/>
    <n v="2"/>
    <s v="Mid-Market Account Executive"/>
    <s v="MM"/>
    <n v="2"/>
    <x v="0"/>
  </r>
  <r>
    <s v="LEAD0080"/>
    <s v="Bridgeway Learning Systems Group"/>
    <s v="Upper Mid-Market"/>
    <s v="NY"/>
    <s v="USR009"/>
    <s v="MM"/>
    <n v="1"/>
    <s v="Mid-Market Account Executive"/>
    <s v="MM"/>
    <n v="1"/>
    <x v="0"/>
  </r>
  <r>
    <s v="LEAD0081"/>
    <s v="Catalyst Support Services"/>
    <s v="Upper Mid-Market"/>
    <s v="MO"/>
    <s v="USR011"/>
    <s v="MM"/>
    <n v="3"/>
    <s v="Mid-Market Account Executive"/>
    <s v="MM"/>
    <n v="3"/>
    <x v="0"/>
  </r>
  <r>
    <s v="LEAD0082"/>
    <s v="Redwood Fabrication"/>
    <s v="SMB"/>
    <s v="GA"/>
    <s v="USR006"/>
    <s v="SMB"/>
    <n v="2"/>
    <s v="SMB Account Executive"/>
    <s v="SMB"/>
    <n v="2"/>
    <x v="0"/>
  </r>
  <r>
    <s v="LEAD0083"/>
    <s v="PrimePoint Commerce Inc."/>
    <s v="SMB"/>
    <s v="NJ"/>
    <s v="USR007"/>
    <s v="SMB"/>
    <n v="1"/>
    <s v="SMB Account Executive"/>
    <s v="SMB"/>
    <n v="3"/>
    <x v="2"/>
  </r>
  <r>
    <s v="LEAD0084"/>
    <s v="Vertex Logistics"/>
    <s v="SMB"/>
    <s v="CA"/>
    <s v="USR008"/>
    <s v="SMB"/>
    <n v="4"/>
    <s v="SMB Account Executive"/>
    <s v="SMB"/>
    <n v="4"/>
    <x v="0"/>
  </r>
  <r>
    <s v="LEAD0085"/>
    <s v="Elmwood Freight"/>
    <s v="Upper Mid-Market"/>
    <s v="MT"/>
    <s v="USR012"/>
    <s v="MM"/>
    <n v="4"/>
    <s v="Mid-Market Account Executive"/>
    <s v="MM"/>
    <n v="4"/>
    <x v="0"/>
  </r>
  <r>
    <s v="LEAD0086"/>
    <s v="Cedarstone Operations"/>
    <s v="Mid-Market"/>
    <s v="OR"/>
    <s v="USR012"/>
    <s v="MM"/>
    <n v="4"/>
    <s v="Mid-Market Account Executive"/>
    <s v="MM"/>
    <n v="4"/>
    <x v="0"/>
  </r>
  <r>
    <s v="LEAD0087"/>
    <s v="Harborview Clinical Services Group"/>
    <s v="Mid-Market"/>
    <s v="NJ"/>
    <s v="USR009"/>
    <s v="MM"/>
    <n v="1"/>
    <s v="Mid-Market Account Executive"/>
    <s v="MM"/>
    <n v="1"/>
    <x v="0"/>
  </r>
  <r>
    <s v="LEAD0088"/>
    <s v="Goldcrest Distribution Inc."/>
    <s v="Upper Mid-Market"/>
    <s v="NY"/>
    <s v="USR009"/>
    <s v="MM"/>
    <n v="1"/>
    <s v="Mid-Market Account Executive"/>
    <s v="MM"/>
    <n v="1"/>
    <x v="0"/>
  </r>
  <r>
    <s v="LEAD0089"/>
    <s v="ClearPath Advisory"/>
    <s v="Mid-Market"/>
    <s v="GA"/>
    <s v="USR010"/>
    <s v="MM"/>
    <n v="2"/>
    <s v="Mid-Market Account Executive"/>
    <s v="MM"/>
    <n v="2"/>
    <x v="0"/>
  </r>
  <r>
    <s v="LEAD0090"/>
    <s v="TrueNorth Supply Chain"/>
    <s v="Mid-Market"/>
    <s v="CT"/>
    <s v="USR009"/>
    <s v="MM"/>
    <n v="1"/>
    <s v="Mid-Market Account Executive"/>
    <s v="MM"/>
    <n v="1"/>
    <x v="0"/>
  </r>
  <r>
    <s v="LEAD0091"/>
    <s v="Eastwood Financial Services Group"/>
    <s v="Mid-Market"/>
    <s v="GA"/>
    <s v="USR010"/>
    <s v="MM"/>
    <n v="2"/>
    <s v="Mid-Market Account Executive"/>
    <s v="MM"/>
    <n v="2"/>
    <x v="0"/>
  </r>
  <r>
    <s v="LEAD0092"/>
    <s v="Frontier Labs LLC"/>
    <s v="SMB"/>
    <s v="VA"/>
    <s v="USR006"/>
    <s v="SMB"/>
    <n v="2"/>
    <s v="SMB Account Executive"/>
    <s v="SMB"/>
    <n v="2"/>
    <x v="0"/>
  </r>
  <r>
    <s v="LEAD0093"/>
    <s v="Northwind Support Services Inc."/>
    <s v="Mid-Market"/>
    <s v="IL"/>
    <s v="USR011"/>
    <s v="MM"/>
    <n v="3"/>
    <s v="Mid-Market Account Executive"/>
    <s v="MM"/>
    <n v="3"/>
    <x v="0"/>
  </r>
  <r>
    <s v="LEAD0094"/>
    <s v="Westfield Labs"/>
    <s v="SMB"/>
    <s v="TX"/>
    <s v="USR006"/>
    <s v="SMB"/>
    <n v="2"/>
    <s v="SMB Account Executive"/>
    <s v="SMB"/>
    <n v="2"/>
    <x v="0"/>
  </r>
  <r>
    <s v="LEAD0095"/>
    <s v="Cedarstone Health Services LLC"/>
    <s v="SMB"/>
    <s v="NY"/>
    <s v="USR005"/>
    <s v="SMB"/>
    <n v="1"/>
    <s v="SMB Account Executive"/>
    <s v="SMB"/>
    <n v="1"/>
    <x v="0"/>
  </r>
  <r>
    <s v="LEAD0096"/>
    <s v="Clearwater Support Services Group"/>
    <s v="Mid-Market"/>
    <s v="TN"/>
    <s v="USR010"/>
    <s v="MM"/>
    <n v="2"/>
    <s v="Mid-Market Account Executive"/>
    <s v="MM"/>
    <n v="2"/>
    <x v="0"/>
  </r>
  <r>
    <s v="LEAD0097"/>
    <s v="BluePeak Distribution Group"/>
    <s v="SMB"/>
    <s v="GA"/>
    <s v="USR006"/>
    <s v="SMB"/>
    <n v="2"/>
    <s v="SMB Account Executive"/>
    <s v="SMB"/>
    <n v="2"/>
    <x v="0"/>
  </r>
  <r>
    <s v="LEAD0098"/>
    <s v="Granite Peak Care Network LLC"/>
    <s v="SMB"/>
    <s v="OK"/>
    <s v="USR006"/>
    <s v="SMB"/>
    <n v="2"/>
    <s v="SMB Account Executive"/>
    <s v="SMB"/>
    <n v="2"/>
    <x v="0"/>
  </r>
  <r>
    <s v="LEAD0099"/>
    <s v="PrimePoint Software"/>
    <s v="Upper Mid-Market"/>
    <s v="LA"/>
    <s v="USR010"/>
    <s v="MM"/>
    <n v="2"/>
    <s v="Mid-Market Account Executive"/>
    <s v="MM"/>
    <n v="2"/>
    <x v="0"/>
  </r>
  <r>
    <s v="LEAD0100"/>
    <s v="Suncrest Freight Inc."/>
    <s v="SMB"/>
    <m/>
    <s v="USR005"/>
    <s v="SMB"/>
    <s v="Needs Review - Territory"/>
    <s v="SMB Account Executive"/>
    <s v="SMB"/>
    <n v="1"/>
    <x v="3"/>
  </r>
  <r>
    <s v="LEAD0101"/>
    <s v="Maplewood Systems"/>
    <s v="SMB"/>
    <s v="VA"/>
    <s v="USR006"/>
    <s v="SMB"/>
    <n v="2"/>
    <s v="SMB Account Executive"/>
    <s v="SMB"/>
    <n v="2"/>
    <x v="0"/>
  </r>
  <r>
    <s v="LEAD0102"/>
    <s v="Fairview Manufacturing"/>
    <s v="Upper Mid-Market"/>
    <s v="NC"/>
    <s v="USR010"/>
    <s v="MM"/>
    <n v="2"/>
    <s v="Mid-Market Account Executive"/>
    <s v="MM"/>
    <n v="2"/>
    <x v="0"/>
  </r>
  <r>
    <s v="LEAD0103"/>
    <s v="Suncrest Freight Inc."/>
    <s v="SMB"/>
    <m/>
    <s v="USR005"/>
    <s v="SMB"/>
    <s v="Needs Review - Territory"/>
    <s v="SMB Account Executive"/>
    <s v="SMB"/>
    <n v="1"/>
    <x v="3"/>
  </r>
  <r>
    <s v="LEAD0104"/>
    <s v="Skyline Industries"/>
    <s v="Mid-Market"/>
    <s v="OK"/>
    <s v="USR010"/>
    <s v="MM"/>
    <n v="2"/>
    <s v="Mid-Market Account Executive"/>
    <s v="MM"/>
    <n v="2"/>
    <x v="0"/>
  </r>
  <r>
    <s v="LEAD0105"/>
    <s v="Oakridge Professional Services"/>
    <s v="SMB"/>
    <s v="OH"/>
    <s v="USR007"/>
    <s v="SMB"/>
    <n v="3"/>
    <s v="SMB Account Executive"/>
    <s v="SMB"/>
    <n v="3"/>
    <x v="0"/>
  </r>
  <r>
    <s v="LEAD0106"/>
    <s v="Northstar Professional Services"/>
    <s v="SMB"/>
    <s v="CA"/>
    <s v="USR008"/>
    <s v="SMB"/>
    <n v="4"/>
    <s v="SMB Account Executive"/>
    <s v="SMB"/>
    <n v="4"/>
    <x v="0"/>
  </r>
  <r>
    <s v="LEAD0107"/>
    <s v="Cedarstone Health Services LLC"/>
    <s v="SMB"/>
    <s v="NY"/>
    <s v="USR005"/>
    <s v="SMB"/>
    <n v="1"/>
    <s v="SMB Account Executive"/>
    <s v="SMB"/>
    <n v="1"/>
    <x v="0"/>
  </r>
  <r>
    <s v="LEAD0108"/>
    <s v="Westlake Services Group"/>
    <s v="SMB"/>
    <s v="AZ"/>
    <s v="USR008"/>
    <s v="SMB"/>
    <n v="4"/>
    <s v="SMB Account Executive"/>
    <s v="SMB"/>
    <n v="4"/>
    <x v="0"/>
  </r>
  <r>
    <s v="LEAD0109"/>
    <s v="Lakeshore Training"/>
    <s v="Mid-Market"/>
    <s v="KS"/>
    <s v="USR011"/>
    <s v="MM"/>
    <n v="3"/>
    <s v="Mid-Market Account Executive"/>
    <s v="MM"/>
    <n v="3"/>
    <x v="0"/>
  </r>
  <r>
    <s v="LEAD0110"/>
    <s v="Frontier Builders"/>
    <s v="Upper Mid-Market"/>
    <s v="NJ"/>
    <s v="USR009"/>
    <s v="MM"/>
    <n v="1"/>
    <s v="Mid-Market Account Executive"/>
    <s v="MM"/>
    <n v="1"/>
    <x v="0"/>
  </r>
  <r>
    <s v="LEAD0111"/>
    <s v="Crescent Solutions"/>
    <s v="Mid-Market"/>
    <s v="NY"/>
    <s v="USR012"/>
    <s v="MM"/>
    <n v="1"/>
    <s v="Mid-Market Account Executive"/>
    <s v="MM"/>
    <n v="4"/>
    <x v="2"/>
  </r>
  <r>
    <s v="LEAD0112"/>
    <s v="Northstar Retail"/>
    <s v="Mid-Market"/>
    <s v="KS"/>
    <s v="USR011"/>
    <s v="MM"/>
    <n v="3"/>
    <s v="Mid-Market Account Executive"/>
    <s v="MM"/>
    <n v="3"/>
    <x v="0"/>
  </r>
  <r>
    <s v="LEAD0113"/>
    <s v="Skyline Precision Works Group"/>
    <s v="Mid-Market"/>
    <s v="TX"/>
    <s v="USR010"/>
    <s v="MM"/>
    <n v="2"/>
    <s v="Mid-Market Account Executive"/>
    <s v="MM"/>
    <n v="2"/>
    <x v="0"/>
  </r>
  <r>
    <s v="LEAD0114"/>
    <s v="Horizon Support Services"/>
    <s v="Upper Mid-Market"/>
    <s v="WV"/>
    <s v="USR009"/>
    <s v="MM"/>
    <n v="1"/>
    <s v="Mid-Market Account Executive"/>
    <s v="MM"/>
    <n v="1"/>
    <x v="0"/>
  </r>
  <r>
    <s v="LEAD0115"/>
    <s v="TrueNorth Fabrication"/>
    <s v="SMB"/>
    <s v="FL"/>
    <s v="USR006"/>
    <s v="SMB"/>
    <n v="2"/>
    <s v="SMB Account Executive"/>
    <s v="SMB"/>
    <n v="2"/>
    <x v="0"/>
  </r>
  <r>
    <s v="LEAD0116"/>
    <s v="Bluewater Precision Works"/>
    <s v="SMB"/>
    <s v="AK"/>
    <s v="USR008"/>
    <s v="SMB"/>
    <n v="4"/>
    <s v="SMB Account Executive"/>
    <s v="SMB"/>
    <n v="4"/>
    <x v="0"/>
  </r>
  <r>
    <s v="LEAD0117"/>
    <s v="Westfield Retail Group"/>
    <s v="SMB"/>
    <s v="CA"/>
    <s v="USR008"/>
    <s v="SMB"/>
    <n v="4"/>
    <s v="SMB Account Executive"/>
    <s v="SMB"/>
    <n v="4"/>
    <x v="0"/>
  </r>
  <r>
    <s v="LEAD0118"/>
    <s v="Fairview Manufacturing"/>
    <s v="Upper Mid-Market"/>
    <s v="NC"/>
    <s v="USR010"/>
    <s v="MM"/>
    <n v="2"/>
    <s v="Mid-Market Account Executive"/>
    <s v="MM"/>
    <n v="2"/>
    <x v="0"/>
  </r>
  <r>
    <s v="LEAD0119"/>
    <s v="Fairview Manufacturing"/>
    <s v="Upper Mid-Market"/>
    <s v="NC"/>
    <s v="USR010"/>
    <s v="MM"/>
    <n v="2"/>
    <s v="Mid-Market Account Executive"/>
    <s v="MM"/>
    <n v="2"/>
    <x v="0"/>
  </r>
  <r>
    <s v="LEAD0120"/>
    <s v="Skyline Clinical Services"/>
    <s v="SMB"/>
    <s v="GA"/>
    <s v="USR006"/>
    <s v="SMB"/>
    <n v="2"/>
    <s v="SMB Account Executive"/>
    <s v="SMB"/>
    <n v="2"/>
    <x v="0"/>
  </r>
  <r>
    <s v="LEAD0121"/>
    <s v="Stonebridge Learning"/>
    <s v="Mid-Market"/>
    <s v="MO"/>
    <s v="USR011"/>
    <s v="MM"/>
    <n v="3"/>
    <s v="Mid-Market Account Executive"/>
    <s v="MM"/>
    <n v="3"/>
    <x v="0"/>
  </r>
  <r>
    <s v="LEAD0122"/>
    <s v="Keystone Labs"/>
    <s v="Mid-Market"/>
    <s v="WV"/>
    <s v="USR009"/>
    <s v="MM"/>
    <n v="1"/>
    <s v="Mid-Market Account Executive"/>
    <s v="MM"/>
    <n v="1"/>
    <x v="0"/>
  </r>
  <r>
    <s v="LEAD0123"/>
    <s v="Mosaic Precision Works"/>
    <s v="SMB"/>
    <s v="TN"/>
    <s v="USR006"/>
    <s v="SMB"/>
    <n v="2"/>
    <s v="SMB Account Executive"/>
    <s v="SMB"/>
    <n v="2"/>
    <x v="0"/>
  </r>
  <r>
    <s v="LEAD0124"/>
    <s v="Riverbend Contracting Group"/>
    <s v="SMB"/>
    <s v="CA"/>
    <s v="USR008"/>
    <s v="SMB"/>
    <n v="4"/>
    <s v="SMB Account Executive"/>
    <s v="SMB"/>
    <n v="4"/>
    <x v="0"/>
  </r>
  <r>
    <s v="LEAD0125"/>
    <s v="Elmwood Freight"/>
    <s v="Upper Mid-Market"/>
    <s v="MT"/>
    <s v="USR012"/>
    <s v="MM"/>
    <n v="4"/>
    <s v="Mid-Market Account Executive"/>
    <s v="MM"/>
    <n v="4"/>
    <x v="0"/>
  </r>
  <r>
    <s v="LEAD0126"/>
    <s v="Evergreen Services Group Inc."/>
    <s v="SMB"/>
    <s v="WA"/>
    <s v="USR008"/>
    <s v="SMB"/>
    <n v="4"/>
    <s v="SMB Account Executive"/>
    <s v="SMB"/>
    <n v="4"/>
    <x v="0"/>
  </r>
  <r>
    <s v="LEAD0127"/>
    <s v="Highpoint Health Partners"/>
    <s v="Mid-Market"/>
    <s v="FL"/>
    <s v="USR010"/>
    <s v="MM"/>
    <n v="2"/>
    <s v="Mid-Market Account Executive"/>
    <s v="MM"/>
    <n v="2"/>
    <x v="0"/>
  </r>
  <r>
    <s v="LEAD0128"/>
    <s v="Cedarstone Freight LLC"/>
    <s v="SMB"/>
    <s v="CA"/>
    <s v="USR008"/>
    <s v="SMB"/>
    <n v="4"/>
    <s v="SMB Account Executive"/>
    <s v="SMB"/>
    <n v="4"/>
    <x v="0"/>
  </r>
  <r>
    <s v="LEAD0129"/>
    <s v="Vertex Digital LLC"/>
    <s v="Upper Mid-Market"/>
    <s v="FL"/>
    <s v="USR010"/>
    <s v="MM"/>
    <n v="2"/>
    <s v="Mid-Market Account Executive"/>
    <s v="MM"/>
    <n v="2"/>
    <x v="0"/>
  </r>
  <r>
    <s v="LEAD0130"/>
    <s v="Clearwater Manufacturing"/>
    <s v="SMB"/>
    <s v="MS"/>
    <s v="USR006"/>
    <s v="SMB"/>
    <n v="2"/>
    <s v="SMB Account Executive"/>
    <s v="SMB"/>
    <n v="2"/>
    <x v="0"/>
  </r>
  <r>
    <s v="LEAD0131"/>
    <s v="Eastgate Advisory Partners"/>
    <s v="Upper Mid-Market"/>
    <s v="OH"/>
    <s v="USR011"/>
    <s v="MM"/>
    <n v="3"/>
    <s v="Mid-Market Account Executive"/>
    <s v="MM"/>
    <n v="3"/>
    <x v="0"/>
  </r>
  <r>
    <s v="LEAD0132"/>
    <s v="Suncrest Systems"/>
    <s v="Mid-Market"/>
    <s v="IN"/>
    <s v="USR011"/>
    <s v="MM"/>
    <n v="3"/>
    <s v="Mid-Market Account Executive"/>
    <s v="MM"/>
    <n v="3"/>
    <x v="0"/>
  </r>
  <r>
    <s v="LEAD0133"/>
    <s v="Riverbend Medical Group Inc."/>
    <s v="Upper Mid-Market"/>
    <s v="CO"/>
    <s v="USR012"/>
    <s v="MM"/>
    <n v="4"/>
    <s v="Mid-Market Account Executive"/>
    <s v="MM"/>
    <n v="4"/>
    <x v="0"/>
  </r>
  <r>
    <s v="LEAD0134"/>
    <s v="BluePeak Fabrication"/>
    <s v="SMB"/>
    <s v="WY"/>
    <s v="USR008"/>
    <s v="SMB"/>
    <n v="4"/>
    <s v="SMB Account Executive"/>
    <s v="SMB"/>
    <n v="4"/>
    <x v="0"/>
  </r>
  <r>
    <s v="LEAD0135"/>
    <s v="Vantage Training"/>
    <s v="Mid-Market"/>
    <s v="WA"/>
    <s v="USR012"/>
    <s v="MM"/>
    <n v="4"/>
    <s v="Mid-Market Account Executive"/>
    <s v="MM"/>
    <n v="4"/>
    <x v="0"/>
  </r>
  <r>
    <s v="LEAD0136"/>
    <s v="ClearPath Manufacturing LLC"/>
    <s v="Upper Mid-Market"/>
    <s v="KY"/>
    <s v="USR010"/>
    <s v="MM"/>
    <n v="2"/>
    <s v="Mid-Market Account Executive"/>
    <s v="MM"/>
    <n v="2"/>
    <x v="0"/>
  </r>
  <r>
    <s v="LEAD0137"/>
    <s v="Riverbend Learning Systems"/>
    <s v="Upper Mid-Market"/>
    <s v="DC"/>
    <s v="USR009"/>
    <s v="MM"/>
    <n v="1"/>
    <s v="Mid-Market Account Executive"/>
    <s v="MM"/>
    <n v="1"/>
    <x v="0"/>
  </r>
  <r>
    <s v="LEAD0138"/>
    <s v="Crescent Solutions"/>
    <s v="Mid-Market"/>
    <s v="NY"/>
    <s v="USR012"/>
    <s v="MM"/>
    <n v="1"/>
    <s v="Mid-Market Account Executive"/>
    <s v="MM"/>
    <n v="4"/>
    <x v="2"/>
  </r>
  <r>
    <s v="LEAD0139"/>
    <s v="Northstar Technologies Inc."/>
    <s v="Mid-Market"/>
    <s v="AZ"/>
    <s v="USR012"/>
    <s v="MM"/>
    <n v="4"/>
    <s v="Mid-Market Account Executive"/>
    <s v="MM"/>
    <n v="4"/>
    <x v="0"/>
  </r>
  <r>
    <s v="LEAD0140"/>
    <s v="Cobalt Supply Chain LLC"/>
    <s v="Upper Mid-Market"/>
    <s v="CA"/>
    <s v="USR012"/>
    <s v="MM"/>
    <n v="4"/>
    <s v="Mid-Market Account Executive"/>
    <s v="MM"/>
    <n v="4"/>
    <x v="0"/>
  </r>
  <r>
    <s v="LEAD0141"/>
    <s v="Clearwater Precision Works LLC"/>
    <s v="SMB"/>
    <s v="FL"/>
    <s v="USR006"/>
    <s v="SMB"/>
    <n v="2"/>
    <s v="SMB Account Executive"/>
    <s v="SMB"/>
    <n v="2"/>
    <x v="0"/>
  </r>
  <r>
    <s v="LEAD0142"/>
    <s v="Horizon Operations Group"/>
    <s v="Mid-Market"/>
    <s v="WA"/>
    <s v="USR012"/>
    <s v="MM"/>
    <n v="4"/>
    <s v="Mid-Market Account Executive"/>
    <s v="MM"/>
    <n v="4"/>
    <x v="0"/>
  </r>
  <r>
    <s v="LEAD0143"/>
    <s v="Vertex Logistics"/>
    <s v="SMB"/>
    <s v="CA"/>
    <s v="USR008"/>
    <s v="SMB"/>
    <n v="4"/>
    <s v="SMB Account Executive"/>
    <s v="SMB"/>
    <n v="4"/>
    <x v="0"/>
  </r>
  <r>
    <s v="LEAD0144"/>
    <s v="Sterling Distribution"/>
    <s v="Mid-Market"/>
    <s v="MI"/>
    <s v="USR011"/>
    <s v="MM"/>
    <n v="3"/>
    <s v="Mid-Market Account Executive"/>
    <s v="MM"/>
    <n v="3"/>
    <x v="0"/>
  </r>
  <r>
    <s v="LEAD0145"/>
    <s v="Parkline Manufacturing"/>
    <s v="Mid-Market"/>
    <s v="WI"/>
    <s v="USR011"/>
    <s v="MM"/>
    <n v="3"/>
    <s v="Mid-Market Account Executive"/>
    <s v="MM"/>
    <n v="3"/>
    <x v="0"/>
  </r>
  <r>
    <s v="LEAD0146"/>
    <s v="Redstone Construction"/>
    <s v="Mid-Market"/>
    <s v="CO"/>
    <s v="USR012"/>
    <s v="MM"/>
    <n v="4"/>
    <s v="Mid-Market Account Executive"/>
    <s v="MM"/>
    <n v="4"/>
    <x v="0"/>
  </r>
  <r>
    <s v="LEAD0147"/>
    <s v="Greenfield Services Group LLC"/>
    <s v="Mid-Market"/>
    <s v="CT"/>
    <s v="USR009"/>
    <s v="MM"/>
    <n v="1"/>
    <s v="Mid-Market Account Executive"/>
    <s v="MM"/>
    <n v="1"/>
    <x v="0"/>
  </r>
  <r>
    <s v="LEAD0148"/>
    <s v="Sterling Distribution"/>
    <s v="Mid-Market"/>
    <s v="MI"/>
    <s v="USR011"/>
    <s v="MM"/>
    <n v="3"/>
    <s v="Mid-Market Account Executive"/>
    <s v="MM"/>
    <n v="3"/>
    <x v="0"/>
  </r>
  <r>
    <s v="LEAD0149"/>
    <s v="Apex Technologies Group"/>
    <s v="SMB"/>
    <s v="MD"/>
    <s v="USR005"/>
    <s v="SMB"/>
    <n v="1"/>
    <s v="SMB Account Executive"/>
    <s v="SMB"/>
    <n v="1"/>
    <x v="0"/>
  </r>
  <r>
    <s v="LEAD0150"/>
    <s v="Ironwood Financial Group"/>
    <s v="SMB"/>
    <s v="FL"/>
    <s v="USR006"/>
    <s v="SMB"/>
    <n v="2"/>
    <s v="SMB Account Executive"/>
    <s v="SMB"/>
    <n v="2"/>
    <x v="0"/>
  </r>
  <r>
    <s v="LEAD0151"/>
    <s v="Keystone Labs"/>
    <s v="Mid-Market"/>
    <s v="WV"/>
    <s v="USR009"/>
    <s v="MM"/>
    <n v="1"/>
    <s v="Mid-Market Account Executive"/>
    <s v="MM"/>
    <n v="1"/>
    <x v="0"/>
  </r>
  <r>
    <s v="LEAD0152"/>
    <s v="Bluewater Contracting"/>
    <s v="SMB"/>
    <s v="CA"/>
    <s v="USR008"/>
    <s v="SMB"/>
    <n v="4"/>
    <s v="SMB Account Executive"/>
    <s v="SMB"/>
    <n v="4"/>
    <x v="0"/>
  </r>
  <r>
    <s v="LEAD0153"/>
    <s v="Maplewood Consulting"/>
    <s v="Upper Mid-Market"/>
    <s v="WA"/>
    <s v="USR012"/>
    <s v="MM"/>
    <n v="4"/>
    <s v="Mid-Market Account Executive"/>
    <s v="MM"/>
    <n v="4"/>
    <x v="0"/>
  </r>
  <r>
    <s v="LEAD0154"/>
    <s v="Sterling Digital"/>
    <s v="Mid-Market"/>
    <s v="IL"/>
    <s v="USR011"/>
    <s v="MM"/>
    <n v="3"/>
    <s v="Mid-Market Account Executive"/>
    <s v="MM"/>
    <n v="3"/>
    <x v="0"/>
  </r>
  <r>
    <s v="LEAD0155"/>
    <s v="Apex Marketplace"/>
    <s v="Mid-Market"/>
    <s v="MD"/>
    <s v="USR009"/>
    <s v="MM"/>
    <n v="1"/>
    <s v="Mid-Market Account Executive"/>
    <s v="MM"/>
    <n v="1"/>
    <x v="0"/>
  </r>
  <r>
    <s v="LEAD0156"/>
    <s v="Lakeshore Manufacturing"/>
    <s v="Upper Mid-Market"/>
    <s v="IL"/>
    <s v="USR011"/>
    <s v="MM"/>
    <n v="3"/>
    <s v="Mid-Market Account Executive"/>
    <s v="MM"/>
    <n v="3"/>
    <x v="0"/>
  </r>
  <r>
    <s v="LEAD0157"/>
    <s v="Bluewater Industrial"/>
    <s v="Mid-Market"/>
    <m/>
    <s v="USR010"/>
    <s v="MM"/>
    <s v="Needs Review - Territory"/>
    <s v="Mid-Market Account Executive"/>
    <s v="MM"/>
    <n v="2"/>
    <x v="3"/>
  </r>
  <r>
    <s v="LEAD0158"/>
    <s v="OpenGate Advisory Partners Inc."/>
    <s v="Upper Mid-Market"/>
    <s v="MN"/>
    <s v="USR011"/>
    <s v="MM"/>
    <n v="3"/>
    <s v="Mid-Market Account Executive"/>
    <s v="MM"/>
    <n v="3"/>
    <x v="0"/>
  </r>
  <r>
    <s v="LEAD0159"/>
    <s v="Maplewood Distribution Inc."/>
    <s v="Mid-Market"/>
    <s v="MO"/>
    <s v="USR011"/>
    <s v="MM"/>
    <n v="3"/>
    <s v="Mid-Market Account Executive"/>
    <s v="MM"/>
    <n v="3"/>
    <x v="0"/>
  </r>
  <r>
    <s v="LEAD0160"/>
    <s v="Catalyst Support Services"/>
    <s v="Upper Mid-Market"/>
    <s v="MO"/>
    <s v="USR011"/>
    <s v="MM"/>
    <n v="3"/>
    <s v="Mid-Market Account Executive"/>
    <s v="MM"/>
    <n v="3"/>
    <x v="0"/>
  </r>
  <r>
    <s v="LEAD0161"/>
    <s v="Cobalt Supply Chain LLC"/>
    <s v="Upper Mid-Market"/>
    <s v="CA"/>
    <s v="USR012"/>
    <s v="MM"/>
    <n v="4"/>
    <s v="Mid-Market Account Executive"/>
    <s v="MM"/>
    <n v="4"/>
    <x v="0"/>
  </r>
  <r>
    <s v="LEAD0162"/>
    <s v="Arbor Learning Systems Group"/>
    <s v="SMB"/>
    <s v="FL"/>
    <s v="USR006"/>
    <s v="SMB"/>
    <n v="2"/>
    <s v="SMB Account Executive"/>
    <s v="SMB"/>
    <n v="2"/>
    <x v="0"/>
  </r>
  <r>
    <s v="LEAD0163"/>
    <s v="Silverline Services Group LLC"/>
    <m/>
    <s v="TX"/>
    <s v="USR010"/>
    <s v="Needs Review - Segment"/>
    <n v="2"/>
    <s v="Mid-Market Account Executive"/>
    <s v="MM"/>
    <n v="2"/>
    <x v="1"/>
  </r>
  <r>
    <s v="LEAD0164"/>
    <s v="Silver Oak Professional Services LLC"/>
    <s v="Mid-Market"/>
    <s v="PA"/>
    <s v="USR009"/>
    <s v="MM"/>
    <n v="1"/>
    <s v="Mid-Market Account Executive"/>
    <s v="MM"/>
    <n v="1"/>
    <x v="0"/>
  </r>
  <r>
    <s v="LEAD0165"/>
    <s v="BluePeak Construction"/>
    <s v="Mid-Market"/>
    <s v="TX"/>
    <s v="USR010"/>
    <s v="MM"/>
    <n v="2"/>
    <s v="Mid-Market Account Executive"/>
    <s v="MM"/>
    <n v="2"/>
    <x v="0"/>
  </r>
  <r>
    <s v="LEAD0166"/>
    <s v="Skyline Business Solutions"/>
    <s v="SMB"/>
    <s v="CT"/>
    <s v="USR005"/>
    <s v="SMB"/>
    <n v="1"/>
    <s v="SMB Account Executive"/>
    <s v="SMB"/>
    <n v="1"/>
    <x v="0"/>
  </r>
  <r>
    <s v="LEAD0167"/>
    <s v="Rivermark Digital"/>
    <s v="Upper Mid-Market"/>
    <s v="PA"/>
    <s v="USR009"/>
    <s v="MM"/>
    <n v="1"/>
    <s v="Mid-Market Account Executive"/>
    <s v="MM"/>
    <n v="1"/>
    <x v="0"/>
  </r>
  <r>
    <s v="LEAD0168"/>
    <s v="Lakeshore Training"/>
    <s v="Mid-Market"/>
    <s v="KS"/>
    <s v="USR011"/>
    <s v="MM"/>
    <n v="3"/>
    <s v="Mid-Market Account Executive"/>
    <s v="MM"/>
    <n v="3"/>
    <x v="0"/>
  </r>
  <r>
    <s v="LEAD0169"/>
    <s v="Brookstone Precision Works"/>
    <s v="Mid-Market"/>
    <s v="MA"/>
    <s v="USR009"/>
    <s v="MM"/>
    <n v="1"/>
    <s v="Mid-Market Account Executive"/>
    <s v="MM"/>
    <n v="1"/>
    <x v="0"/>
  </r>
  <r>
    <s v="LEAD0170"/>
    <s v="Blue Harbor Precision Works LLC"/>
    <s v="Upper Mid-Market"/>
    <s v="OH"/>
    <s v="USR011"/>
    <s v="MM"/>
    <n v="3"/>
    <s v="Mid-Market Account Executive"/>
    <s v="MM"/>
    <n v="3"/>
    <x v="0"/>
  </r>
  <r>
    <s v="LEAD0171"/>
    <s v="Northstar Business Solutions Inc."/>
    <s v="Mid-Market"/>
    <s v="CA"/>
    <s v="USR012"/>
    <s v="MM"/>
    <n v="4"/>
    <s v="Mid-Market Account Executive"/>
    <s v="MM"/>
    <n v="4"/>
    <x v="0"/>
  </r>
  <r>
    <s v="LEAD0172"/>
    <s v="Ridgeview Consulting Group"/>
    <s v="Mid-Market"/>
    <s v="CA"/>
    <s v="USR012"/>
    <s v="MM"/>
    <n v="4"/>
    <s v="Mid-Market Account Executive"/>
    <s v="MM"/>
    <n v="4"/>
    <x v="0"/>
  </r>
  <r>
    <s v="LEAD0173"/>
    <s v="Evergreen Support Services"/>
    <s v="SMB"/>
    <s v="AL"/>
    <s v="USR006"/>
    <s v="SMB"/>
    <n v="2"/>
    <s v="SMB Account Executive"/>
    <s v="SMB"/>
    <n v="2"/>
    <x v="0"/>
  </r>
  <r>
    <s v="LEAD0174"/>
    <s v="Vertex Services Group Group"/>
    <s v="SMB"/>
    <s v="NC"/>
    <s v="USR006"/>
    <s v="SMB"/>
    <n v="2"/>
    <s v="SMB Account Executive"/>
    <s v="SMB"/>
    <n v="2"/>
    <x v="0"/>
  </r>
  <r>
    <s v="LEAD0175"/>
    <s v="Foxbridge Labs LLC"/>
    <s v="Upper Mid-Market"/>
    <s v="CA"/>
    <s v="USR012"/>
    <s v="MM"/>
    <n v="4"/>
    <s v="Mid-Market Account Executive"/>
    <s v="MM"/>
    <n v="4"/>
    <x v="0"/>
  </r>
  <r>
    <s v="LEAD0176"/>
    <s v="Cobalt Precision Works"/>
    <s v="SMB"/>
    <s v="OH"/>
    <s v="USR007"/>
    <s v="SMB"/>
    <n v="3"/>
    <s v="SMB Account Executive"/>
    <s v="SMB"/>
    <n v="3"/>
    <x v="0"/>
  </r>
  <r>
    <s v="LEAD0177"/>
    <s v="Ironwood Software Group"/>
    <s v="SMB"/>
    <s v="NY"/>
    <s v="USR005"/>
    <s v="SMB"/>
    <n v="1"/>
    <s v="SMB Account Executive"/>
    <s v="SMB"/>
    <n v="1"/>
    <x v="0"/>
  </r>
  <r>
    <s v="LEAD0178"/>
    <s v="Crownstone Financial Services Group"/>
    <s v="Mid-Market"/>
    <s v="NJ"/>
    <s v="USR009"/>
    <s v="MM"/>
    <n v="1"/>
    <s v="Mid-Market Account Executive"/>
    <s v="MM"/>
    <n v="1"/>
    <x v="0"/>
  </r>
  <r>
    <s v="LEAD0179"/>
    <s v="Cornerstone Advisory Partners"/>
    <s v="SMB"/>
    <s v="NC"/>
    <s v="USR006"/>
    <s v="SMB"/>
    <n v="2"/>
    <s v="SMB Account Executive"/>
    <s v="SMB"/>
    <n v="2"/>
    <x v="0"/>
  </r>
  <r>
    <s v="LEAD0180"/>
    <s v="BrightPath Health Partners LLC"/>
    <s v="Mid-Market"/>
    <s v="TX"/>
    <s v="USR010"/>
    <s v="MM"/>
    <n v="2"/>
    <s v="Mid-Market Account Executive"/>
    <s v="MM"/>
    <n v="2"/>
    <x v="0"/>
  </r>
  <r>
    <s v="LEAD0181"/>
    <s v="PrimePoint Software"/>
    <s v="Upper Mid-Market"/>
    <s v="LA"/>
    <s v="USR010"/>
    <s v="MM"/>
    <n v="2"/>
    <s v="Mid-Market Account Executive"/>
    <s v="MM"/>
    <n v="2"/>
    <x v="0"/>
  </r>
  <r>
    <s v="LEAD0182"/>
    <s v="Skyline Systems"/>
    <s v="SMB"/>
    <s v="NJ"/>
    <s v="USR005"/>
    <s v="SMB"/>
    <n v="1"/>
    <s v="SMB Account Executive"/>
    <s v="SMB"/>
    <n v="1"/>
    <x v="0"/>
  </r>
  <r>
    <s v="LEAD0183"/>
    <s v="Meridian Contracting Group"/>
    <s v="SMB"/>
    <m/>
    <s v="USR006"/>
    <s v="SMB"/>
    <s v="Needs Review - Territory"/>
    <s v="SMB Account Executive"/>
    <s v="SMB"/>
    <n v="2"/>
    <x v="3"/>
  </r>
  <r>
    <s v="LEAD0184"/>
    <s v="Brookstone Business Solutions"/>
    <s v="SMB"/>
    <s v="MN"/>
    <s v="USR007"/>
    <s v="SMB"/>
    <n v="3"/>
    <s v="SMB Account Executive"/>
    <s v="SMB"/>
    <n v="3"/>
    <x v="0"/>
  </r>
  <r>
    <s v="LEAD0185"/>
    <s v="Highpoint Financial Services Group"/>
    <s v="SMB"/>
    <s v="IL"/>
    <s v="USR007"/>
    <s v="SMB"/>
    <n v="3"/>
    <s v="SMB Account Executive"/>
    <s v="SMB"/>
    <n v="3"/>
    <x v="0"/>
  </r>
  <r>
    <s v="LEAD0186"/>
    <s v="Arbor Software Inc."/>
    <s v="SMB"/>
    <s v="AL"/>
    <s v="USR006"/>
    <s v="SMB"/>
    <n v="2"/>
    <s v="SMB Account Executive"/>
    <s v="SMB"/>
    <n v="2"/>
    <x v="0"/>
  </r>
  <r>
    <s v="LEAD0187"/>
    <s v="Rivermark Labs Inc."/>
    <s v="SMB"/>
    <s v="FL"/>
    <s v="USR006"/>
    <s v="SMB"/>
    <n v="2"/>
    <s v="SMB Account Executive"/>
    <s v="SMB"/>
    <n v="2"/>
    <x v="0"/>
  </r>
  <r>
    <s v="LEAD0188"/>
    <s v="Cobalt Clinical Services LLC"/>
    <s v="Mid-Market"/>
    <s v="ID"/>
    <s v="USR012"/>
    <s v="MM"/>
    <n v="4"/>
    <s v="Mid-Market Account Executive"/>
    <s v="MM"/>
    <n v="4"/>
    <x v="0"/>
  </r>
  <r>
    <s v="LEAD0189"/>
    <s v="Foxbridge Labs LLC"/>
    <s v="Upper Mid-Market"/>
    <s v="CA"/>
    <s v="USR012"/>
    <s v="MM"/>
    <n v="4"/>
    <s v="Mid-Market Account Executive"/>
    <s v="MM"/>
    <n v="4"/>
    <x v="0"/>
  </r>
  <r>
    <s v="LEAD0190"/>
    <s v="Evergreen Wealth Partners LLC"/>
    <s v="Mid-Market"/>
    <s v="ID"/>
    <s v="USR012"/>
    <s v="MM"/>
    <n v="4"/>
    <s v="Mid-Market Account Executive"/>
    <s v="MM"/>
    <n v="4"/>
    <x v="0"/>
  </r>
  <r>
    <s v="LEAD0191"/>
    <s v="Harborview Capital"/>
    <s v="Mid-Market"/>
    <s v="CT"/>
    <s v="USR011"/>
    <s v="MM"/>
    <n v="1"/>
    <s v="Mid-Market Account Executive"/>
    <s v="MM"/>
    <n v="3"/>
    <x v="2"/>
  </r>
  <r>
    <s v="LEAD0192"/>
    <s v="Cobalt Health Services"/>
    <s v="Upper Mid-Market"/>
    <s v="NE"/>
    <s v="USR011"/>
    <s v="MM"/>
    <n v="3"/>
    <s v="Mid-Market Account Executive"/>
    <s v="MM"/>
    <n v="3"/>
    <x v="0"/>
  </r>
  <r>
    <s v="LEAD0193"/>
    <s v="Blue Harbor Precision Works LLC"/>
    <s v="Upper Mid-Market"/>
    <s v="OH"/>
    <s v="USR011"/>
    <s v="MM"/>
    <n v="3"/>
    <s v="Mid-Market Account Executive"/>
    <s v="MM"/>
    <n v="3"/>
    <x v="0"/>
  </r>
  <r>
    <s v="LEAD0194"/>
    <s v="Parkline Professional Services"/>
    <s v="SMB"/>
    <s v="CT"/>
    <s v="USR005"/>
    <s v="SMB"/>
    <n v="1"/>
    <s v="SMB Account Executive"/>
    <s v="SMB"/>
    <n v="1"/>
    <x v="0"/>
  </r>
  <r>
    <s v="LEAD0195"/>
    <s v="Evergreen Consulting"/>
    <s v="Upper Mid-Market"/>
    <s v="CA"/>
    <s v="USR012"/>
    <s v="MM"/>
    <n v="4"/>
    <s v="Mid-Market Account Executive"/>
    <s v="MM"/>
    <n v="4"/>
    <x v="0"/>
  </r>
  <r>
    <s v="LEAD0196"/>
    <s v="Clearwater Transportation"/>
    <s v="SMB"/>
    <s v="NC"/>
    <s v="USR006"/>
    <s v="SMB"/>
    <n v="2"/>
    <s v="SMB Account Executive"/>
    <s v="SMB"/>
    <n v="2"/>
    <x v="0"/>
  </r>
  <r>
    <s v="LEAD0197"/>
    <s v="Cobalt Builders Inc."/>
    <s v="SMB"/>
    <s v="IL"/>
    <s v="USR007"/>
    <s v="SMB"/>
    <n v="3"/>
    <s v="SMB Account Executive"/>
    <s v="SMB"/>
    <n v="3"/>
    <x v="0"/>
  </r>
  <r>
    <s v="LEAD0198"/>
    <s v="Highland Clinical Services"/>
    <s v="SMB"/>
    <s v="NC"/>
    <s v="USR006"/>
    <s v="SMB"/>
    <n v="2"/>
    <s v="SMB Account Executive"/>
    <s v="SMB"/>
    <n v="2"/>
    <x v="0"/>
  </r>
  <r>
    <s v="LEAD0199"/>
    <s v="Elmwood Transportation"/>
    <s v="SMB"/>
    <s v="OR"/>
    <s v="USR008"/>
    <s v="SMB"/>
    <n v="4"/>
    <s v="SMB Account Executive"/>
    <s v="SMB"/>
    <n v="4"/>
    <x v="0"/>
  </r>
  <r>
    <s v="LEAD0200"/>
    <s v="OpenGate Advisory Partners Inc."/>
    <s v="Upper Mid-Market"/>
    <s v="MN"/>
    <s v="USR011"/>
    <s v="MM"/>
    <n v="3"/>
    <s v="Mid-Market Account Executive"/>
    <s v="MM"/>
    <n v="3"/>
    <x v="0"/>
  </r>
  <r>
    <s v="LEAD0201"/>
    <s v="Eastgate Supply Chain"/>
    <s v="SMB"/>
    <s v="NY"/>
    <s v="USR005"/>
    <s v="SMB"/>
    <n v="1"/>
    <s v="SMB Account Executive"/>
    <s v="SMB"/>
    <n v="1"/>
    <x v="0"/>
  </r>
  <r>
    <s v="LEAD0202"/>
    <s v="Frontier Financial Services Inc."/>
    <s v="SMB"/>
    <s v="GA"/>
    <s v="USR006"/>
    <s v="SMB"/>
    <n v="2"/>
    <s v="SMB Account Executive"/>
    <s v="SMB"/>
    <n v="2"/>
    <x v="0"/>
  </r>
  <r>
    <s v="LEAD0203"/>
    <s v="Cobalt Builders Inc."/>
    <s v="SMB"/>
    <s v="IL"/>
    <s v="USR007"/>
    <s v="SMB"/>
    <n v="3"/>
    <s v="SMB Account Executive"/>
    <s v="SMB"/>
    <n v="3"/>
    <x v="0"/>
  </r>
  <r>
    <s v="LEAD0204"/>
    <s v="Lakeshore Infrastructure"/>
    <s v="SMB"/>
    <s v="FL"/>
    <s v="USR006"/>
    <s v="SMB"/>
    <n v="2"/>
    <s v="SMB Account Executive"/>
    <s v="SMB"/>
    <n v="2"/>
    <x v="0"/>
  </r>
  <r>
    <s v="LEAD0205"/>
    <s v="Maplewood Brands"/>
    <s v="Mid-Market"/>
    <s v="CA"/>
    <s v="USR012"/>
    <s v="MM"/>
    <n v="4"/>
    <s v="Mid-Market Account Executive"/>
    <s v="MM"/>
    <n v="4"/>
    <x v="0"/>
  </r>
  <r>
    <s v="LEAD0206"/>
    <s v="Beacon Health Partners"/>
    <s v="SMB"/>
    <s v="FL"/>
    <s v="USR006"/>
    <s v="SMB"/>
    <n v="2"/>
    <s v="SMB Account Executive"/>
    <s v="SMB"/>
    <n v="2"/>
    <x v="0"/>
  </r>
  <r>
    <s v="LEAD0207"/>
    <s v="Riverbend Systems Group"/>
    <s v="SMB"/>
    <s v="CA"/>
    <s v="USR008"/>
    <s v="SMB"/>
    <n v="4"/>
    <s v="SMB Account Executive"/>
    <s v="SMB"/>
    <n v="4"/>
    <x v="0"/>
  </r>
  <r>
    <s v="LEAD0208"/>
    <s v="Ridgeview Consulting Group"/>
    <s v="Mid-Market"/>
    <s v="CA"/>
    <s v="USR012"/>
    <s v="MM"/>
    <n v="4"/>
    <s v="Mid-Market Account Executive"/>
    <s v="MM"/>
    <n v="4"/>
    <x v="0"/>
  </r>
  <r>
    <s v="LEAD0209"/>
    <s v="Granite Peak Manufacturing LLC"/>
    <s v="SMB"/>
    <s v="IL"/>
    <s v="USR007"/>
    <s v="SMB"/>
    <n v="3"/>
    <s v="SMB Account Executive"/>
    <s v="SMB"/>
    <n v="3"/>
    <x v="0"/>
  </r>
  <r>
    <s v="LEAD0210"/>
    <s v="Beacon Capital"/>
    <s v="Upper Mid-Market"/>
    <s v="NY"/>
    <s v="USR009"/>
    <s v="MM"/>
    <n v="1"/>
    <s v="Mid-Market Account Executive"/>
    <s v="MM"/>
    <n v="1"/>
    <x v="0"/>
  </r>
  <r>
    <s v="LEAD0211"/>
    <s v="Arbor Learning Systems Group"/>
    <s v="SMB"/>
    <s v="FL"/>
    <s v="USR006"/>
    <s v="SMB"/>
    <n v="2"/>
    <s v="SMB Account Executive"/>
    <s v="SMB"/>
    <n v="2"/>
    <x v="0"/>
  </r>
  <r>
    <s v="LEAD0212"/>
    <s v="Cornerstone Construction"/>
    <s v="Mid-Market"/>
    <s v="CA"/>
    <s v="USR012"/>
    <s v="MM"/>
    <n v="4"/>
    <s v="Mid-Market Account Executive"/>
    <s v="MM"/>
    <n v="4"/>
    <x v="0"/>
  </r>
  <r>
    <s v="LEAD0213"/>
    <s v="Frontier Software"/>
    <s v="SMB"/>
    <s v="CA"/>
    <s v="USR008"/>
    <s v="SMB"/>
    <n v="4"/>
    <s v="SMB Account Executive"/>
    <s v="SMB"/>
    <n v="4"/>
    <x v="0"/>
  </r>
  <r>
    <s v="LEAD0214"/>
    <s v="Northstar Business Solutions Inc."/>
    <s v="Mid-Market"/>
    <s v="CA"/>
    <s v="USR012"/>
    <s v="MM"/>
    <n v="4"/>
    <s v="Mid-Market Account Executive"/>
    <s v="MM"/>
    <n v="4"/>
    <x v="0"/>
  </r>
  <r>
    <s v="LEAD0215"/>
    <s v="Westlake Academy LLC"/>
    <s v="SMB"/>
    <s v="MA"/>
    <s v="USR005"/>
    <s v="SMB"/>
    <n v="1"/>
    <s v="SMB Account Executive"/>
    <s v="SMB"/>
    <n v="1"/>
    <x v="0"/>
  </r>
  <r>
    <s v="LEAD0216"/>
    <s v="Brookstone Precision Works"/>
    <s v="Mid-Market"/>
    <s v="MA"/>
    <s v="USR009"/>
    <s v="MM"/>
    <n v="1"/>
    <s v="Mid-Market Account Executive"/>
    <s v="MM"/>
    <n v="1"/>
    <x v="0"/>
  </r>
  <r>
    <s v="LEAD0217"/>
    <s v="Foxbridge Financial Group"/>
    <s v="SMB"/>
    <s v="AZ"/>
    <s v="USR008"/>
    <s v="SMB"/>
    <n v="4"/>
    <s v="SMB Account Executive"/>
    <s v="SMB"/>
    <n v="4"/>
    <x v="0"/>
  </r>
  <r>
    <s v="LEAD0218"/>
    <s v="Brookstone Solutions Inc."/>
    <s v="SMB"/>
    <s v="TX"/>
    <s v="USR006"/>
    <s v="SMB"/>
    <n v="2"/>
    <s v="SMB Account Executive"/>
    <s v="SMB"/>
    <n v="2"/>
    <x v="0"/>
  </r>
  <r>
    <s v="LEAD0219"/>
    <s v="Redwood Operations"/>
    <s v="SMB"/>
    <s v="SC"/>
    <s v="USR006"/>
    <s v="SMB"/>
    <n v="2"/>
    <s v="SMB Account Executive"/>
    <s v="SMB"/>
    <n v="2"/>
    <x v="0"/>
  </r>
  <r>
    <s v="LEAD0220"/>
    <s v="Horizon Support Services"/>
    <s v="Upper Mid-Market"/>
    <s v="WV"/>
    <s v="USR009"/>
    <s v="MM"/>
    <n v="1"/>
    <s v="Mid-Market Account Executive"/>
    <s v="MM"/>
    <n v="1"/>
    <x v="0"/>
  </r>
  <r>
    <s v="LEAD0221"/>
    <s v="ClearPath Professional Services"/>
    <s v="Mid-Market"/>
    <s v="CA"/>
    <s v="USR012"/>
    <s v="MM"/>
    <n v="4"/>
    <s v="Mid-Market Account Executive"/>
    <s v="MM"/>
    <n v="4"/>
    <x v="0"/>
  </r>
  <r>
    <s v="LEAD0222"/>
    <s v="Granite Peak Clinical Services"/>
    <s v="Mid-Market"/>
    <s v="WV"/>
    <s v="USR009"/>
    <s v="MM"/>
    <n v="1"/>
    <s v="Mid-Market Account Executive"/>
    <s v="MM"/>
    <n v="1"/>
    <x v="0"/>
  </r>
  <r>
    <s v="LEAD0223"/>
    <s v="OpenGate Advisory Partners Inc."/>
    <s v="Upper Mid-Market"/>
    <s v="MN"/>
    <s v="USR011"/>
    <s v="MM"/>
    <n v="3"/>
    <s v="Mid-Market Account Executive"/>
    <s v="MM"/>
    <n v="3"/>
    <x v="0"/>
  </r>
  <r>
    <s v="LEAD0224"/>
    <s v="Vertex Consulting"/>
    <s v="Upper Mid-Market"/>
    <s v="GA"/>
    <s v="USR010"/>
    <s v="MM"/>
    <n v="2"/>
    <s v="Mid-Market Account Executive"/>
    <s v="MM"/>
    <n v="2"/>
    <x v="0"/>
  </r>
  <r>
    <s v="LEAD0225"/>
    <s v="Pinecrest Labs"/>
    <s v="Mid-Market"/>
    <s v="NE"/>
    <s v="USR011"/>
    <s v="MM"/>
    <n v="3"/>
    <s v="Mid-Market Account Executive"/>
    <s v="MM"/>
    <n v="3"/>
    <x v="0"/>
  </r>
  <r>
    <s v="LEAD0226"/>
    <s v="Highpoint Freight"/>
    <s v="Upper Mid-Market"/>
    <s v="PA"/>
    <s v="USR009"/>
    <s v="MM"/>
    <n v="1"/>
    <s v="Mid-Market Account Executive"/>
    <s v="MM"/>
    <n v="1"/>
    <x v="0"/>
  </r>
  <r>
    <s v="LEAD0227"/>
    <s v="Silver Oak Retail Group"/>
    <m/>
    <s v="IN"/>
    <s v="USR011"/>
    <s v="Needs Review - Segment"/>
    <n v="3"/>
    <s v="Mid-Market Account Executive"/>
    <s v="MM"/>
    <n v="3"/>
    <x v="1"/>
  </r>
  <r>
    <s v="LEAD0228"/>
    <s v="Vertex Wealth Partners Inc."/>
    <s v="Mid-Market"/>
    <s v="FL"/>
    <s v="USR010"/>
    <s v="MM"/>
    <n v="2"/>
    <s v="Mid-Market Account Executive"/>
    <s v="MM"/>
    <n v="2"/>
    <x v="0"/>
  </r>
  <r>
    <s v="LEAD0229"/>
    <s v="Greenfield Industries LLC"/>
    <s v="Mid-Market"/>
    <s v="KS"/>
    <s v="USR011"/>
    <s v="MM"/>
    <n v="3"/>
    <s v="Mid-Market Account Executive"/>
    <s v="MM"/>
    <n v="3"/>
    <x v="0"/>
  </r>
  <r>
    <s v="LEAD0230"/>
    <s v="Clearwater Support Services Group"/>
    <s v="Mid-Market"/>
    <s v="TN"/>
    <s v="USR010"/>
    <s v="MM"/>
    <n v="2"/>
    <s v="Mid-Market Account Executive"/>
    <s v="MM"/>
    <n v="2"/>
    <x v="0"/>
  </r>
  <r>
    <s v="LEAD0231"/>
    <s v="Bluewater Health Partners"/>
    <s v="Mid-Market"/>
    <s v="NY"/>
    <s v="USR009"/>
    <s v="MM"/>
    <n v="1"/>
    <s v="Mid-Market Account Executive"/>
    <s v="MM"/>
    <n v="1"/>
    <x v="0"/>
  </r>
  <r>
    <s v="LEAD0232"/>
    <s v="Westfield Commerce Group"/>
    <s v="SMB"/>
    <s v="AZ"/>
    <s v="USR008"/>
    <s v="SMB"/>
    <n v="4"/>
    <s v="SMB Account Executive"/>
    <s v="SMB"/>
    <n v="4"/>
    <x v="0"/>
  </r>
  <r>
    <s v="LEAD0233"/>
    <s v="ClearPath Industrial"/>
    <m/>
    <s v="TN"/>
    <s v="USR006"/>
    <s v="Needs Review - Segment"/>
    <n v="2"/>
    <s v="SMB Account Executive"/>
    <s v="SMB"/>
    <n v="2"/>
    <x v="1"/>
  </r>
  <r>
    <s v="LEAD0234"/>
    <s v="Goldcrest Distribution Inc."/>
    <s v="Upper Mid-Market"/>
    <s v="NY"/>
    <s v="USR009"/>
    <s v="MM"/>
    <n v="1"/>
    <s v="Mid-Market Account Executive"/>
    <s v="MM"/>
    <n v="1"/>
    <x v="0"/>
  </r>
  <r>
    <s v="LEAD0235"/>
    <s v="Northwind Learning Systems Group"/>
    <s v="SMB"/>
    <s v="NJ"/>
    <s v="USR005"/>
    <s v="SMB"/>
    <n v="1"/>
    <s v="SMB Account Executive"/>
    <s v="SMB"/>
    <n v="1"/>
    <x v="0"/>
  </r>
  <r>
    <s v="LEAD0236"/>
    <s v="Meridian Construction Group"/>
    <s v="SMB"/>
    <s v="NV"/>
    <s v="USR008"/>
    <s v="SMB"/>
    <n v="4"/>
    <s v="SMB Account Executive"/>
    <s v="SMB"/>
    <n v="4"/>
    <x v="0"/>
  </r>
  <r>
    <s v="LEAD0237"/>
    <s v="Pinecrest Labs"/>
    <s v="Mid-Market"/>
    <s v="NE"/>
    <s v="USR011"/>
    <s v="MM"/>
    <n v="3"/>
    <s v="Mid-Market Account Executive"/>
    <s v="MM"/>
    <n v="3"/>
    <x v="0"/>
  </r>
  <r>
    <s v="LEAD0238"/>
    <s v="Brookstone Labs Inc."/>
    <s v="SMB"/>
    <s v="NY"/>
    <s v="USR005"/>
    <s v="SMB"/>
    <n v="1"/>
    <s v="SMB Account Executive"/>
    <s v="SMB"/>
    <n v="1"/>
    <x v="0"/>
  </r>
  <r>
    <s v="LEAD0239"/>
    <s v="Silver Oak Retail Group"/>
    <m/>
    <s v="IN"/>
    <s v="USR011"/>
    <s v="Needs Review - Segment"/>
    <n v="3"/>
    <s v="Mid-Market Account Executive"/>
    <s v="MM"/>
    <n v="3"/>
    <x v="1"/>
  </r>
  <r>
    <s v="LEAD0240"/>
    <s v="Frontier Builders"/>
    <s v="Upper Mid-Market"/>
    <s v="NJ"/>
    <s v="USR009"/>
    <s v="MM"/>
    <n v="1"/>
    <s v="Mid-Market Account Executive"/>
    <s v="MM"/>
    <n v="1"/>
    <x v="0"/>
  </r>
  <r>
    <s v="LEAD0241"/>
    <s v="Highland Logistics"/>
    <s v="SMB"/>
    <s v="NY"/>
    <s v="USR005"/>
    <s v="SMB"/>
    <n v="1"/>
    <s v="SMB Account Executive"/>
    <s v="SMB"/>
    <n v="1"/>
    <x v="0"/>
  </r>
  <r>
    <s v="LEAD0242"/>
    <s v="Westlake Support Services Group"/>
    <s v="Mid-Market"/>
    <s v="NV"/>
    <s v="USR012"/>
    <s v="MM"/>
    <n v="4"/>
    <s v="Mid-Market Account Executive"/>
    <s v="MM"/>
    <n v="4"/>
    <x v="0"/>
  </r>
  <r>
    <s v="LEAD0243"/>
    <s v="Parkline Manufacturing"/>
    <s v="Mid-Market"/>
    <s v="WI"/>
    <s v="USR011"/>
    <s v="MM"/>
    <n v="3"/>
    <s v="Mid-Market Account Executive"/>
    <s v="MM"/>
    <n v="3"/>
    <x v="0"/>
  </r>
  <r>
    <s v="LEAD0244"/>
    <s v="Foxbridge Financial Group"/>
    <s v="SMB"/>
    <s v="AZ"/>
    <s v="USR008"/>
    <s v="SMB"/>
    <n v="4"/>
    <s v="SMB Account Executive"/>
    <s v="SMB"/>
    <n v="4"/>
    <x v="0"/>
  </r>
  <r>
    <s v="LEAD0245"/>
    <s v="Eastwood Financial Services Group"/>
    <s v="Mid-Market"/>
    <s v="GA"/>
    <s v="USR010"/>
    <s v="MM"/>
    <n v="2"/>
    <s v="Mid-Market Account Executive"/>
    <s v="MM"/>
    <n v="2"/>
    <x v="0"/>
  </r>
  <r>
    <s v="LEAD0246"/>
    <s v="Clearwater Precision Works LLC"/>
    <s v="SMB"/>
    <s v="FL"/>
    <s v="USR006"/>
    <s v="SMB"/>
    <n v="2"/>
    <s v="SMB Account Executive"/>
    <s v="SMB"/>
    <n v="2"/>
    <x v="0"/>
  </r>
  <r>
    <s v="LEAD0247"/>
    <s v="Blue Harbor Health Services"/>
    <s v="SMB"/>
    <s v="NJ"/>
    <s v="USR005"/>
    <s v="SMB"/>
    <n v="1"/>
    <s v="SMB Account Executive"/>
    <s v="SMB"/>
    <n v="1"/>
    <x v="0"/>
  </r>
  <r>
    <s v="LEAD0248"/>
    <s v="Bluewater Builders"/>
    <s v="Mid-Market"/>
    <s v="OH"/>
    <s v="USR011"/>
    <s v="MM"/>
    <n v="3"/>
    <s v="Mid-Market Account Executive"/>
    <s v="MM"/>
    <n v="3"/>
    <x v="0"/>
  </r>
  <r>
    <s v="LEAD0249"/>
    <s v="ClearPath Manufacturing LLC"/>
    <s v="Upper Mid-Market"/>
    <s v="KY"/>
    <s v="USR010"/>
    <s v="MM"/>
    <n v="2"/>
    <s v="Mid-Market Account Executive"/>
    <s v="MM"/>
    <n v="2"/>
    <x v="0"/>
  </r>
  <r>
    <s v="LEAD0250"/>
    <s v="Cedarstone Retail Group Inc."/>
    <s v="SMB"/>
    <s v="CT"/>
    <s v="USR005"/>
    <s v="SMB"/>
    <n v="1"/>
    <s v="SMB Account Executive"/>
    <s v="SMB"/>
    <n v="1"/>
    <x v="0"/>
  </r>
  <r>
    <s v="LEAD0251"/>
    <s v="Granite Peak Advisory Partners"/>
    <s v="Mid-Market"/>
    <s v="NC"/>
    <s v="USR010"/>
    <s v="MM"/>
    <n v="2"/>
    <s v="Mid-Market Account Executive"/>
    <s v="MM"/>
    <n v="2"/>
    <x v="0"/>
  </r>
  <r>
    <s v="LEAD0252"/>
    <s v="Lakeshore Commerce"/>
    <s v="Mid-Market"/>
    <s v="NY"/>
    <s v="USR009"/>
    <s v="MM"/>
    <n v="1"/>
    <s v="Mid-Market Account Executive"/>
    <s v="MM"/>
    <n v="1"/>
    <x v="0"/>
  </r>
  <r>
    <s v="LEAD0253"/>
    <s v="Vantage Training"/>
    <s v="Mid-Market"/>
    <s v="WA"/>
    <s v="USR012"/>
    <s v="MM"/>
    <n v="4"/>
    <s v="Mid-Market Account Executive"/>
    <s v="MM"/>
    <n v="4"/>
    <x v="0"/>
  </r>
  <r>
    <s v="LEAD0254"/>
    <s v="Highland Clinical Services"/>
    <s v="SMB"/>
    <s v="NC"/>
    <s v="USR006"/>
    <s v="SMB"/>
    <n v="2"/>
    <s v="SMB Account Executive"/>
    <s v="SMB"/>
    <n v="2"/>
    <x v="0"/>
  </r>
  <r>
    <s v="LEAD0255"/>
    <s v="Cornerstone Industries Inc."/>
    <s v="SMB"/>
    <s v="WA"/>
    <s v="USR008"/>
    <s v="SMB"/>
    <n v="4"/>
    <s v="SMB Account Executive"/>
    <s v="SMB"/>
    <n v="4"/>
    <x v="0"/>
  </r>
  <r>
    <s v="LEAD0256"/>
    <s v="Vantage Systems"/>
    <s v="Mid-Market"/>
    <s v="MA"/>
    <s v="USR009"/>
    <s v="MM"/>
    <n v="1"/>
    <s v="Mid-Market Account Executive"/>
    <s v="MM"/>
    <n v="1"/>
    <x v="0"/>
  </r>
  <r>
    <s v="LEAD0257"/>
    <s v="Fairview Manufacturing"/>
    <s v="Upper Mid-Market"/>
    <s v="NC"/>
    <s v="USR010"/>
    <s v="MM"/>
    <n v="2"/>
    <s v="Mid-Market Account Executive"/>
    <s v="MM"/>
    <n v="2"/>
    <x v="0"/>
  </r>
  <r>
    <s v="LEAD0258"/>
    <s v="Sterling Digital Inc."/>
    <s v="SMB"/>
    <s v="PA"/>
    <s v="USR005"/>
    <s v="SMB"/>
    <n v="1"/>
    <s v="SMB Account Executive"/>
    <s v="SMB"/>
    <n v="1"/>
    <x v="0"/>
  </r>
  <r>
    <s v="LEAD0259"/>
    <s v="Highpoint Freight"/>
    <s v="Upper Mid-Market"/>
    <s v="PA"/>
    <s v="USR009"/>
    <s v="MM"/>
    <n v="1"/>
    <s v="Mid-Market Account Executive"/>
    <s v="MM"/>
    <n v="1"/>
    <x v="0"/>
  </r>
  <r>
    <s v="LEAD0260"/>
    <s v="Catalyst Supply Chain LLC"/>
    <s v="SMB"/>
    <s v="VA"/>
    <s v="USR006"/>
    <s v="SMB"/>
    <n v="2"/>
    <s v="SMB Account Executive"/>
    <s v="SMB"/>
    <n v="2"/>
    <x v="0"/>
  </r>
  <r>
    <s v="LEAD0261"/>
    <s v="Cedarstone Financial Group"/>
    <s v="Mid-Market"/>
    <s v="WV"/>
    <s v="USR009"/>
    <s v="MM"/>
    <n v="1"/>
    <s v="Mid-Market Account Executive"/>
    <s v="MM"/>
    <n v="1"/>
    <x v="0"/>
  </r>
  <r>
    <s v="LEAD0262"/>
    <s v="Goldcrest Distribution Inc."/>
    <s v="Upper Mid-Market"/>
    <s v="NY"/>
    <s v="USR009"/>
    <s v="MM"/>
    <n v="1"/>
    <s v="Mid-Market Account Executive"/>
    <s v="MM"/>
    <n v="1"/>
    <x v="0"/>
  </r>
  <r>
    <s v="LEAD0263"/>
    <s v="Oakridge Industries"/>
    <s v="Upper Mid-Market"/>
    <s v="CO"/>
    <s v="USR012"/>
    <s v="MM"/>
    <n v="4"/>
    <s v="Mid-Market Account Executive"/>
    <s v="MM"/>
    <n v="4"/>
    <x v="0"/>
  </r>
  <r>
    <s v="LEAD0264"/>
    <s v="Blue Harbor Digital Inc."/>
    <s v="SMB"/>
    <s v="KY"/>
    <s v="USR006"/>
    <s v="SMB"/>
    <n v="2"/>
    <s v="SMB Account Executive"/>
    <s v="SMB"/>
    <n v="2"/>
    <x v="0"/>
  </r>
  <r>
    <s v="LEAD0265"/>
    <s v="Sterling Distribution"/>
    <s v="Mid-Market"/>
    <s v="MI"/>
    <s v="USR011"/>
    <s v="MM"/>
    <n v="3"/>
    <s v="Mid-Market Account Executive"/>
    <s v="MM"/>
    <n v="3"/>
    <x v="0"/>
  </r>
  <r>
    <s v="LEAD0266"/>
    <s v="Beacon Freight"/>
    <s v="Upper Mid-Market"/>
    <s v="NV"/>
    <s v="USR012"/>
    <s v="MM"/>
    <n v="4"/>
    <s v="Mid-Market Account Executive"/>
    <s v="MM"/>
    <n v="4"/>
    <x v="0"/>
  </r>
  <r>
    <s v="LEAD0267"/>
    <s v="Crownstone Fabrication"/>
    <s v="SMB"/>
    <s v="NY"/>
    <s v="USR005"/>
    <s v="SMB"/>
    <n v="1"/>
    <s v="SMB Account Executive"/>
    <s v="SMB"/>
    <n v="1"/>
    <x v="0"/>
  </r>
  <r>
    <s v="LEAD0268"/>
    <s v="Blue Harbor Digital Inc."/>
    <s v="SMB"/>
    <s v="KY"/>
    <s v="USR006"/>
    <s v="SMB"/>
    <n v="2"/>
    <s v="SMB Account Executive"/>
    <s v="SMB"/>
    <n v="2"/>
    <x v="0"/>
  </r>
  <r>
    <s v="LEAD0269"/>
    <s v="Riverbend Consulting Group"/>
    <s v="SMB"/>
    <s v="KY"/>
    <s v="USR006"/>
    <s v="SMB"/>
    <n v="2"/>
    <s v="SMB Account Executive"/>
    <s v="SMB"/>
    <n v="2"/>
    <x v="0"/>
  </r>
  <r>
    <s v="LEAD0270"/>
    <s v="Oakridge Distribution"/>
    <s v="Mid-Market"/>
    <s v="MI"/>
    <s v="USR011"/>
    <s v="MM"/>
    <n v="3"/>
    <s v="Mid-Market Account Executive"/>
    <s v="MM"/>
    <n v="3"/>
    <x v="0"/>
  </r>
  <r>
    <s v="LEAD0271"/>
    <s v="Maplewood Distribution Inc."/>
    <s v="Mid-Market"/>
    <s v="MO"/>
    <s v="USR011"/>
    <s v="MM"/>
    <n v="3"/>
    <s v="Mid-Market Account Executive"/>
    <s v="MM"/>
    <n v="3"/>
    <x v="0"/>
  </r>
  <r>
    <s v="LEAD0272"/>
    <s v="Suncrest Clinical Services"/>
    <s v="SMB"/>
    <s v="VA"/>
    <s v="USR006"/>
    <s v="SMB"/>
    <n v="2"/>
    <s v="SMB Account Executive"/>
    <s v="SMB"/>
    <n v="2"/>
    <x v="0"/>
  </r>
  <r>
    <s v="LEAD0273"/>
    <s v="Cedarstone Operations"/>
    <s v="Mid-Market"/>
    <s v="OR"/>
    <s v="USR012"/>
    <s v="MM"/>
    <n v="4"/>
    <s v="Mid-Market Account Executive"/>
    <s v="MM"/>
    <n v="4"/>
    <x v="0"/>
  </r>
  <r>
    <s v="LEAD0274"/>
    <s v="Mosaic Fabrication Inc."/>
    <s v="SMB"/>
    <s v="MI"/>
    <s v="USR007"/>
    <s v="SMB"/>
    <n v="3"/>
    <s v="SMB Account Executive"/>
    <s v="SMB"/>
    <n v="3"/>
    <x v="0"/>
  </r>
  <r>
    <s v="LEAD0275"/>
    <s v="Granite Peak Freight"/>
    <s v="SMB"/>
    <s v="OR"/>
    <s v="USR008"/>
    <s v="SMB"/>
    <n v="4"/>
    <s v="SMB Account Executive"/>
    <s v="SMB"/>
    <n v="4"/>
    <x v="0"/>
  </r>
  <r>
    <s v="LEAD0276"/>
    <s v="Silver Oak Professional Services LLC"/>
    <s v="Mid-Market"/>
    <s v="PA"/>
    <s v="USR009"/>
    <s v="MM"/>
    <n v="1"/>
    <s v="Mid-Market Account Executive"/>
    <s v="MM"/>
    <n v="1"/>
    <x v="0"/>
  </r>
  <r>
    <s v="LEAD0277"/>
    <s v="Pioneer Software"/>
    <s v="SMB"/>
    <s v="IL"/>
    <s v="USR007"/>
    <s v="SMB"/>
    <n v="3"/>
    <s v="SMB Account Executive"/>
    <s v="SMB"/>
    <n v="3"/>
    <x v="0"/>
  </r>
  <r>
    <s v="LEAD0278"/>
    <s v="Silver Oak Professional Services LLC"/>
    <s v="Mid-Market"/>
    <s v="PA"/>
    <s v="USR009"/>
    <s v="MM"/>
    <n v="1"/>
    <s v="Mid-Market Account Executive"/>
    <s v="MM"/>
    <n v="1"/>
    <x v="0"/>
  </r>
  <r>
    <s v="LEAD0279"/>
    <s v="Rivermark Capital Group"/>
    <s v="Mid-Market"/>
    <s v="FL"/>
    <s v="USR011"/>
    <s v="MM"/>
    <n v="2"/>
    <s v="Mid-Market Account Executive"/>
    <s v="MM"/>
    <n v="3"/>
    <x v="2"/>
  </r>
  <r>
    <s v="LEAD0280"/>
    <s v="Northstar Commerce"/>
    <s v="Upper Mid-Market"/>
    <s v="CA"/>
    <s v="USR012"/>
    <s v="MM"/>
    <n v="4"/>
    <s v="Mid-Market Account Executive"/>
    <s v="MM"/>
    <n v="4"/>
    <x v="0"/>
  </r>
  <r>
    <s v="LEAD0281"/>
    <s v="BluePeak Construction"/>
    <s v="Mid-Market"/>
    <s v="TX"/>
    <s v="USR010"/>
    <s v="MM"/>
    <n v="2"/>
    <s v="Mid-Market Account Executive"/>
    <s v="MM"/>
    <n v="2"/>
    <x v="0"/>
  </r>
  <r>
    <s v="LEAD0282"/>
    <s v="Redstone Manufacturing"/>
    <m/>
    <s v="AR"/>
    <s v="USR010"/>
    <s v="Needs Review - Segment"/>
    <n v="2"/>
    <s v="Mid-Market Account Executive"/>
    <s v="MM"/>
    <n v="2"/>
    <x v="1"/>
  </r>
  <r>
    <s v="LEAD0283"/>
    <s v="Arbor Care Network"/>
    <s v="Mid-Market"/>
    <s v="FL"/>
    <s v="USR010"/>
    <s v="MM"/>
    <n v="2"/>
    <s v="Mid-Market Account Executive"/>
    <s v="MM"/>
    <n v="2"/>
    <x v="0"/>
  </r>
  <r>
    <s v="LEAD0284"/>
    <s v="Harborview Retail Group"/>
    <s v="SMB"/>
    <s v="NY"/>
    <s v="USR005"/>
    <s v="SMB"/>
    <n v="1"/>
    <s v="SMB Account Executive"/>
    <s v="SMB"/>
    <n v="1"/>
    <x v="0"/>
  </r>
  <r>
    <s v="LEAD0285"/>
    <s v="Suncrest Care Network"/>
    <s v="Mid-Market"/>
    <s v="NJ"/>
    <s v="USR009"/>
    <s v="MM"/>
    <n v="1"/>
    <s v="Mid-Market Account Executive"/>
    <s v="MM"/>
    <n v="1"/>
    <x v="0"/>
  </r>
  <r>
    <s v="LEAD0286"/>
    <s v="Cedarstone Labs"/>
    <s v="SMB"/>
    <s v="MI"/>
    <s v="USR007"/>
    <s v="SMB"/>
    <n v="3"/>
    <s v="SMB Account Executive"/>
    <s v="SMB"/>
    <n v="3"/>
    <x v="0"/>
  </r>
  <r>
    <s v="LEAD0287"/>
    <s v="Brookstone Learning Systems"/>
    <s v="SMB"/>
    <s v="WA"/>
    <s v="USR008"/>
    <s v="SMB"/>
    <n v="4"/>
    <s v="SMB Account Executive"/>
    <s v="SMB"/>
    <n v="4"/>
    <x v="0"/>
  </r>
  <r>
    <s v="LEAD0288"/>
    <s v="Riverbend Learning Systems"/>
    <s v="Upper Mid-Market"/>
    <s v="DC"/>
    <s v="USR009"/>
    <s v="MM"/>
    <n v="1"/>
    <s v="Mid-Market Account Executive"/>
    <s v="MM"/>
    <n v="1"/>
    <x v="0"/>
  </r>
  <r>
    <s v="LEAD0289"/>
    <s v="Summit Ridge Builders Group"/>
    <s v="Upper Mid-Market"/>
    <s v="PA"/>
    <s v="USR009"/>
    <s v="MM"/>
    <n v="1"/>
    <s v="Mid-Market Account Executive"/>
    <s v="MM"/>
    <n v="1"/>
    <x v="0"/>
  </r>
  <r>
    <s v="LEAD0290"/>
    <s v="Frontier Precision Works LLC"/>
    <s v="SMB"/>
    <s v="TX"/>
    <s v="USR006"/>
    <s v="SMB"/>
    <n v="2"/>
    <s v="SMB Account Executive"/>
    <s v="SMB"/>
    <n v="2"/>
    <x v="0"/>
  </r>
  <r>
    <s v="LEAD0291"/>
    <s v="Apex Retail"/>
    <s v="Mid-Market"/>
    <s v="OR"/>
    <s v="USR012"/>
    <s v="MM"/>
    <n v="4"/>
    <s v="Mid-Market Account Executive"/>
    <s v="MM"/>
    <n v="4"/>
    <x v="0"/>
  </r>
  <r>
    <s v="LEAD0292"/>
    <s v="BrightPath Health Partners LLC"/>
    <s v="Mid-Market"/>
    <s v="TX"/>
    <s v="USR010"/>
    <s v="MM"/>
    <n v="2"/>
    <s v="Mid-Market Account Executive"/>
    <s v="MM"/>
    <n v="2"/>
    <x v="0"/>
  </r>
  <r>
    <s v="LEAD0293"/>
    <s v="Pioneer Software"/>
    <s v="SMB"/>
    <s v="IL"/>
    <s v="USR007"/>
    <s v="SMB"/>
    <n v="3"/>
    <s v="SMB Account Executive"/>
    <s v="SMB"/>
    <n v="3"/>
    <x v="0"/>
  </r>
  <r>
    <s v="LEAD0294"/>
    <s v="Keystone Labs LLC"/>
    <s v="Mid-Market"/>
    <s v="WA"/>
    <s v="USR012"/>
    <s v="MM"/>
    <n v="4"/>
    <s v="Mid-Market Account Executive"/>
    <s v="MM"/>
    <n v="4"/>
    <x v="0"/>
  </r>
  <r>
    <s v="LEAD0295"/>
    <s v="Highpoint Health Partners"/>
    <s v="Mid-Market"/>
    <s v="FL"/>
    <s v="USR010"/>
    <s v="MM"/>
    <n v="2"/>
    <s v="Mid-Market Account Executive"/>
    <s v="MM"/>
    <n v="2"/>
    <x v="0"/>
  </r>
  <r>
    <s v="LEAD0296"/>
    <s v="Riverbend Medical Group Inc."/>
    <s v="Upper Mid-Market"/>
    <s v="CO"/>
    <s v="USR012"/>
    <s v="MM"/>
    <n v="4"/>
    <s v="Mid-Market Account Executive"/>
    <s v="MM"/>
    <n v="4"/>
    <x v="0"/>
  </r>
  <r>
    <s v="LEAD0297"/>
    <s v="Redstone Construction"/>
    <s v="Mid-Market"/>
    <s v="CO"/>
    <s v="USR012"/>
    <s v="MM"/>
    <n v="4"/>
    <s v="Mid-Market Account Executive"/>
    <s v="MM"/>
    <n v="4"/>
    <x v="0"/>
  </r>
  <r>
    <s v="LEAD0298"/>
    <s v="Frontier Learning"/>
    <s v="Mid-Market"/>
    <s v="CA"/>
    <s v="USR012"/>
    <s v="MM"/>
    <n v="4"/>
    <s v="Mid-Market Account Executive"/>
    <s v="MM"/>
    <n v="4"/>
    <x v="0"/>
  </r>
  <r>
    <s v="LEAD0299"/>
    <s v="PrimePoint Consulting"/>
    <s v="SMB"/>
    <s v="KY"/>
    <s v="USR006"/>
    <s v="SMB"/>
    <n v="2"/>
    <s v="SMB Account Executive"/>
    <s v="SMB"/>
    <n v="2"/>
    <x v="0"/>
  </r>
  <r>
    <s v="LEAD0300"/>
    <s v="Summit Ridge Builders Group"/>
    <s v="Upper Mid-Market"/>
    <s v="PA"/>
    <s v="USR009"/>
    <s v="MM"/>
    <n v="1"/>
    <s v="Mid-Market Account Executive"/>
    <s v="MM"/>
    <n v="1"/>
    <x v="0"/>
  </r>
  <r>
    <s v="LEAD0301"/>
    <s v="Goldcrest Technology Systems"/>
    <s v="SMB"/>
    <s v="WA"/>
    <s v="USR008"/>
    <s v="SMB"/>
    <n v="4"/>
    <s v="SMB Account Executive"/>
    <s v="SMB"/>
    <n v="4"/>
    <x v="0"/>
  </r>
  <r>
    <s v="LEAD0302"/>
    <s v="Ironwood Resources Co."/>
    <s v="SMB"/>
    <s v="SC"/>
    <s v="USR006"/>
    <s v="SMB"/>
    <n v="2"/>
    <s v="SMB Account Executive"/>
    <s v="SMB"/>
    <n v="2"/>
    <x v="0"/>
  </r>
  <r>
    <s v="LEAD0303"/>
    <s v="Riverton Labs Systems"/>
    <s v="Mid-Market"/>
    <s v="SD"/>
    <s v="USR011"/>
    <s v="MM"/>
    <n v="3"/>
    <s v="Mid-Market Account Executive"/>
    <s v="MM"/>
    <n v="3"/>
    <x v="0"/>
  </r>
  <r>
    <s v="LEAD0304"/>
    <s v="Westbrook Systems LLC"/>
    <s v="SMB"/>
    <s v="GA"/>
    <s v="USR006"/>
    <s v="SMB"/>
    <n v="2"/>
    <s v="SMB Account Executive"/>
    <s v="SMB"/>
    <n v="2"/>
    <x v="0"/>
  </r>
  <r>
    <s v="LEAD0305"/>
    <s v="Newbridge Partners Partners"/>
    <s v="SMB"/>
    <s v="UT"/>
    <s v="USR008"/>
    <s v="SMB"/>
    <n v="4"/>
    <s v="SMB Account Executive"/>
    <s v="SMB"/>
    <n v="4"/>
    <x v="0"/>
  </r>
  <r>
    <s v="LEAD0306"/>
    <s v="Falcon Solutions LLC"/>
    <s v="SMB"/>
    <s v="GA"/>
    <m/>
    <s v="SMB"/>
    <n v="2"/>
    <s v=""/>
    <s v=""/>
    <s v=""/>
    <x v="4"/>
  </r>
  <r>
    <s v="LEAD0307"/>
    <s v="Brightwell Distribution Group"/>
    <s v="SMB"/>
    <s v="NV"/>
    <s v="USR008"/>
    <s v="SMB"/>
    <n v="4"/>
    <s v="SMB Account Executive"/>
    <s v="SMB"/>
    <n v="4"/>
    <x v="0"/>
  </r>
  <r>
    <s v="LEAD0308"/>
    <s v="Northstar Industries Inc."/>
    <s v="SMB"/>
    <s v="SC"/>
    <s v="USR010"/>
    <s v="SMB"/>
    <n v="2"/>
    <s v="Mid-Market Account Executive"/>
    <s v="MM"/>
    <n v="2"/>
    <x v="5"/>
  </r>
  <r>
    <s v="LEAD0309"/>
    <s v="Copper Distribution Systems"/>
    <s v="SMB"/>
    <s v="WI"/>
    <m/>
    <s v="SMB"/>
    <n v="3"/>
    <s v=""/>
    <s v=""/>
    <s v=""/>
    <x v="4"/>
  </r>
  <r>
    <s v="LEAD0310"/>
    <s v="Maple Works Systems"/>
    <s v="Mid-Market"/>
    <s v="VA"/>
    <s v="USR010"/>
    <s v="MM"/>
    <n v="2"/>
    <s v="Mid-Market Account Executive"/>
    <s v="MM"/>
    <n v="2"/>
    <x v="0"/>
  </r>
  <r>
    <s v="LEAD0311"/>
    <s v="Parkside Commerce LLC"/>
    <s v="SMB"/>
    <s v="MA"/>
    <s v="USR005"/>
    <s v="SMB"/>
    <n v="1"/>
    <s v="SMB Account Executive"/>
    <s v="SMB"/>
    <n v="1"/>
    <x v="0"/>
  </r>
  <r>
    <s v="LEAD0312"/>
    <s v="Evergreen Operations Solutions"/>
    <s v="SMB"/>
    <s v="NY"/>
    <m/>
    <s v="SMB"/>
    <n v="1"/>
    <s v=""/>
    <s v=""/>
    <s v=""/>
    <x v="4"/>
  </r>
  <r>
    <s v="LEAD0313"/>
    <s v="Redwood Resources Inc."/>
    <s v="Mid-Market"/>
    <s v="NJ"/>
    <s v="USR009"/>
    <s v="MM"/>
    <n v="1"/>
    <s v="Mid-Market Account Executive"/>
    <s v="MM"/>
    <n v="1"/>
    <x v="0"/>
  </r>
  <r>
    <s v="LEAD0314"/>
    <s v="Bridgepoint Solutions Systems"/>
    <s v="SMB"/>
    <s v="FL"/>
    <s v="USR006"/>
    <s v="SMB"/>
    <n v="2"/>
    <s v="SMB Account Executive"/>
    <s v="SMB"/>
    <n v="2"/>
    <x v="0"/>
  </r>
  <r>
    <s v="LEAD0315"/>
    <s v="Pioneer Works Partners"/>
    <s v="Upper Mid-Market"/>
    <s v="IL"/>
    <s v="USR007"/>
    <s v="MM"/>
    <n v="3"/>
    <s v="SMB Account Executive"/>
    <s v="SMB"/>
    <n v="3"/>
    <x v="5"/>
  </r>
  <r>
    <s v="LEAD0316"/>
    <s v="Goldcrest Services Inc."/>
    <s v="SMB"/>
    <s v="IN"/>
    <s v="USR007"/>
    <s v="SMB"/>
    <n v="3"/>
    <s v="SMB Account Executive"/>
    <s v="SMB"/>
    <n v="3"/>
    <x v="0"/>
  </r>
  <r>
    <s v="LEAD0317"/>
    <s v="Parkside Solutions Inc."/>
    <s v="Mid-Market"/>
    <s v="PA"/>
    <s v="USR009"/>
    <s v="MM"/>
    <n v="1"/>
    <s v="Mid-Market Account Executive"/>
    <s v="MM"/>
    <n v="1"/>
    <x v="0"/>
  </r>
  <r>
    <s v="LEAD0318"/>
    <s v="Sterling Works Group"/>
    <s v="Mid-Market"/>
    <s v="NE"/>
    <s v="USR011"/>
    <s v="MM"/>
    <n v="3"/>
    <s v="Mid-Market Account Executive"/>
    <s v="MM"/>
    <n v="3"/>
    <x v="0"/>
  </r>
  <r>
    <s v="LEAD0319"/>
    <s v="Crescent Resources Co."/>
    <s v="SMB"/>
    <s v="WA"/>
    <s v="USR006"/>
    <s v="SMB"/>
    <n v="4"/>
    <s v="SMB Account Executive"/>
    <s v="SMB"/>
    <n v="2"/>
    <x v="2"/>
  </r>
  <r>
    <s v="LEAD0320"/>
    <s v="Lakeside Holdings Solutions"/>
    <s v="Mid-Market"/>
    <s v="VA"/>
    <s v="USR010"/>
    <s v="MM"/>
    <n v="2"/>
    <s v="Mid-Market Account Executive"/>
    <s v="MM"/>
    <n v="2"/>
    <x v="0"/>
  </r>
  <r>
    <s v="LEAD0321"/>
    <s v="ClearPath Group Systems"/>
    <s v="Mid-Market"/>
    <s v="WA"/>
    <s v="USR012"/>
    <s v="MM"/>
    <n v="4"/>
    <s v="Mid-Market Account Executive"/>
    <s v="MM"/>
    <n v="4"/>
    <x v="0"/>
  </r>
  <r>
    <s v="LEAD0322"/>
    <s v="Prime Partners Co."/>
    <s v="SMB"/>
    <s v="IN"/>
    <s v="USR007"/>
    <s v="SMB"/>
    <n v="3"/>
    <s v="SMB Account Executive"/>
    <s v="SMB"/>
    <n v="3"/>
    <x v="0"/>
  </r>
  <r>
    <s v="LEAD0323"/>
    <s v="Solstice Networks Group"/>
    <s v="Mid-Market"/>
    <s v="KS"/>
    <m/>
    <s v="MM"/>
    <n v="3"/>
    <s v=""/>
    <s v=""/>
    <s v=""/>
    <x v="4"/>
  </r>
  <r>
    <s v="LEAD0324"/>
    <s v="Redwood Solutions Solutions"/>
    <s v="SMB"/>
    <s v="MA"/>
    <s v="USR005"/>
    <s v="SMB"/>
    <n v="1"/>
    <s v="SMB Account Executive"/>
    <s v="SMB"/>
    <n v="1"/>
    <x v="0"/>
  </r>
  <r>
    <s v="LEAD0325"/>
    <s v="Riverbend Resources Solutions"/>
    <s v="Mid-Market"/>
    <s v="IL"/>
    <s v="USR011"/>
    <s v="MM"/>
    <n v="3"/>
    <s v="Mid-Market Account Executive"/>
    <s v="MM"/>
    <n v="3"/>
    <x v="0"/>
  </r>
  <r>
    <s v="LEAD0326"/>
    <s v="Oakridge Consulting Systems"/>
    <s v="SMB"/>
    <s v="WV"/>
    <s v="USR005"/>
    <s v="SMB"/>
    <n v="1"/>
    <s v="SMB Account Executive"/>
    <s v="SMB"/>
    <n v="1"/>
    <x v="0"/>
  </r>
  <r>
    <s v="LEAD0327"/>
    <s v="Summit Operations Systems"/>
    <s v="SMB"/>
    <s v="TX"/>
    <s v="USR006"/>
    <s v="SMB"/>
    <n v="2"/>
    <s v="SMB Account Executive"/>
    <s v="SMB"/>
    <n v="2"/>
    <x v="0"/>
  </r>
  <r>
    <s v="LEAD0328"/>
    <s v="Vertex Resources LLC"/>
    <s v="Mid-Market"/>
    <s v="NY"/>
    <s v="USR009"/>
    <s v="MM"/>
    <n v="1"/>
    <s v="Mid-Market Account Executive"/>
    <s v="MM"/>
    <n v="1"/>
    <x v="0"/>
  </r>
  <r>
    <s v="LEAD0329"/>
    <s v="Granite Partners Solutions"/>
    <s v="Mid-Market"/>
    <s v="FL"/>
    <s v="USR010"/>
    <s v="MM"/>
    <n v="2"/>
    <s v="Mid-Market Account Executive"/>
    <s v="MM"/>
    <n v="2"/>
    <x v="0"/>
  </r>
  <r>
    <s v="LEAD0330"/>
    <s v="Highland Solutions Inc."/>
    <s v="SMB"/>
    <s v="CA"/>
    <s v="USR008"/>
    <s v="SMB"/>
    <n v="4"/>
    <s v="SMB Account Executive"/>
    <s v="SMB"/>
    <n v="4"/>
    <x v="0"/>
  </r>
  <r>
    <s v="LEAD0331"/>
    <s v="Atlas Distribution LLC"/>
    <s v="SMB"/>
    <s v="DC"/>
    <s v="USR005"/>
    <s v="SMB"/>
    <n v="1"/>
    <s v="SMB Account Executive"/>
    <s v="SMB"/>
    <n v="1"/>
    <x v="0"/>
  </r>
  <r>
    <s v="LEAD0332"/>
    <s v="Evergreen Networks Inc."/>
    <s v="Mid-Market"/>
    <s v="MI"/>
    <s v="USR007"/>
    <s v="MM"/>
    <n v="3"/>
    <s v="SMB Account Executive"/>
    <s v="SMB"/>
    <n v="3"/>
    <x v="5"/>
  </r>
  <r>
    <s v="LEAD0333"/>
    <s v="Monarch Systems Partners"/>
    <s v="Mid-Market"/>
    <s v="NY"/>
    <s v="USR009"/>
    <s v="MM"/>
    <n v="1"/>
    <s v="Mid-Market Account Executive"/>
    <s v="MM"/>
    <n v="1"/>
    <x v="0"/>
  </r>
  <r>
    <s v="LEAD0334"/>
    <s v="Falcon Systems Solutions"/>
    <s v="SMB"/>
    <s v="NY"/>
    <s v="USR005"/>
    <s v="SMB"/>
    <n v="1"/>
    <s v="SMB Account Executive"/>
    <s v="SMB"/>
    <n v="1"/>
    <x v="0"/>
  </r>
  <r>
    <s v="LEAD0335"/>
    <s v="Eastgate Partners Systems"/>
    <s v="SMB"/>
    <s v="GA"/>
    <s v="USR006"/>
    <s v="SMB"/>
    <n v="2"/>
    <s v="SMB Account Executive"/>
    <s v="SMB"/>
    <n v="2"/>
    <x v="0"/>
  </r>
  <r>
    <s v="LEAD0336"/>
    <s v="Pioneer Labs Group"/>
    <s v="SMB"/>
    <s v="GA"/>
    <s v="USR006"/>
    <s v="SMB"/>
    <n v="2"/>
    <s v="SMB Account Executive"/>
    <s v="SMB"/>
    <n v="2"/>
    <x v="0"/>
  </r>
  <r>
    <s v="LEAD0337"/>
    <s v="Ironwood Manufacturing LLC"/>
    <s v="SMB"/>
    <s v="CO"/>
    <s v="USR006"/>
    <s v="SMB"/>
    <n v="4"/>
    <s v="SMB Account Executive"/>
    <s v="SMB"/>
    <n v="2"/>
    <x v="2"/>
  </r>
  <r>
    <s v="LEAD0338"/>
    <s v="Copper Group Systems"/>
    <s v="SMB"/>
    <s v="NY"/>
    <s v="USR005"/>
    <s v="SMB"/>
    <n v="1"/>
    <s v="SMB Account Executive"/>
    <s v="SMB"/>
    <n v="1"/>
    <x v="0"/>
  </r>
  <r>
    <s v="LEAD0339"/>
    <s v="Summit Dynamics LLC"/>
    <s v="Mid-Market"/>
    <s v="TX"/>
    <s v="USR010"/>
    <s v="MM"/>
    <n v="2"/>
    <s v="Mid-Market Account Executive"/>
    <s v="MM"/>
    <n v="2"/>
    <x v="0"/>
  </r>
  <r>
    <s v="LEAD0340"/>
    <s v="Stonebridge Holdings Group"/>
    <s v="SMB"/>
    <s v="DE"/>
    <s v="USR005"/>
    <s v="SMB"/>
    <n v="1"/>
    <s v="SMB Account Executive"/>
    <s v="SMB"/>
    <n v="1"/>
    <x v="0"/>
  </r>
  <r>
    <s v="LEAD0341"/>
    <s v="Lakeside Enterprises Co."/>
    <s v="Mid-Market"/>
    <s v="CO"/>
    <s v="USR012"/>
    <s v="MM"/>
    <n v="4"/>
    <s v="Mid-Market Account Executive"/>
    <s v="MM"/>
    <n v="4"/>
    <x v="0"/>
  </r>
  <r>
    <s v="LEAD0342"/>
    <s v="Harbor Group Inc."/>
    <s v="SMB"/>
    <s v="NC"/>
    <s v="USR006"/>
    <s v="SMB"/>
    <n v="2"/>
    <s v="SMB Account Executive"/>
    <s v="SMB"/>
    <n v="2"/>
    <x v="0"/>
  </r>
  <r>
    <s v="LEAD0343"/>
    <s v="Summit Supply Solutions"/>
    <s v="SMB"/>
    <s v="TX"/>
    <s v="USR006"/>
    <s v="SMB"/>
    <n v="2"/>
    <s v="SMB Account Executive"/>
    <s v="SMB"/>
    <n v="2"/>
    <x v="0"/>
  </r>
  <r>
    <s v="LEAD0344"/>
    <s v="Northstar Logistics Solutions"/>
    <s v="SMB"/>
    <s v="CO"/>
    <s v="USR008"/>
    <s v="SMB"/>
    <n v="4"/>
    <s v="SMB Account Executive"/>
    <s v="SMB"/>
    <n v="4"/>
    <x v="0"/>
  </r>
  <r>
    <s v="LEAD0345"/>
    <s v="Bridgepoint Resources Inc."/>
    <s v="Mid-Market"/>
    <s v="MA"/>
    <s v="USR009"/>
    <s v="MM"/>
    <n v="1"/>
    <s v="Mid-Market Account Executive"/>
    <s v="MM"/>
    <n v="1"/>
    <x v="0"/>
  </r>
  <r>
    <s v="LEAD0346"/>
    <s v="Brightwell Health Solutions"/>
    <m/>
    <s v="CO"/>
    <m/>
    <s v="Needs Review - Segment"/>
    <n v="4"/>
    <s v=""/>
    <s v=""/>
    <s v=""/>
    <x v="4"/>
  </r>
  <r>
    <s v="LEAD0347"/>
    <s v="Riverbend Networks Partners"/>
    <s v="Upper Mid-Market"/>
    <m/>
    <s v="USR010"/>
    <s v="MM"/>
    <s v="Needs Review - Territory"/>
    <s v="Mid-Market Account Executive"/>
    <s v="MM"/>
    <n v="2"/>
    <x v="3"/>
  </r>
  <r>
    <s v="LEAD0348"/>
    <s v="Falcon Manufacturing Solutions"/>
    <s v="Mid-Market"/>
    <s v="AK"/>
    <s v="USR012"/>
    <s v="MM"/>
    <n v="4"/>
    <s v="Mid-Market Account Executive"/>
    <s v="MM"/>
    <n v="4"/>
    <x v="0"/>
  </r>
  <r>
    <s v="LEAD0349"/>
    <s v="Northstar Group Solutions"/>
    <s v="Mid-Market"/>
    <s v="CA"/>
    <s v="USR012"/>
    <s v="MM"/>
    <n v="4"/>
    <s v="Mid-Market Account Executive"/>
    <s v="MM"/>
    <n v="4"/>
    <x v="0"/>
  </r>
  <r>
    <s v="LEAD0350"/>
    <s v="Newbridge Networks Solutions"/>
    <s v="Mid-Market"/>
    <s v="PA"/>
    <s v="USR009"/>
    <s v="MM"/>
    <n v="1"/>
    <s v="Mid-Market Account Executive"/>
    <s v="MM"/>
    <n v="1"/>
    <x v="0"/>
  </r>
  <r>
    <s v="LEAD0351"/>
    <s v="Cobalt Labs Partners"/>
    <s v="Upper Mid-Market"/>
    <s v="NJ"/>
    <s v="USR005"/>
    <s v="MM"/>
    <n v="1"/>
    <s v="SMB Account Executive"/>
    <s v="SMB"/>
    <n v="1"/>
    <x v="5"/>
  </r>
  <r>
    <s v="LEAD0352"/>
    <s v="Monarch Industries Co."/>
    <s v="Mid-Market"/>
    <s v="FL"/>
    <s v="USR010"/>
    <s v="MM"/>
    <n v="2"/>
    <s v="Mid-Market Account Executive"/>
    <s v="MM"/>
    <n v="2"/>
    <x v="0"/>
  </r>
  <r>
    <s v="LEAD0353"/>
    <s v="Keystone Resources Solutions"/>
    <s v="Mid-Market"/>
    <s v="CA"/>
    <s v="USR012"/>
    <s v="MM"/>
    <n v="4"/>
    <s v="Mid-Market Account Executive"/>
    <s v="MM"/>
    <n v="4"/>
    <x v="0"/>
  </r>
  <r>
    <s v="LEAD0354"/>
    <s v="Harbor Health Solutions"/>
    <s v="Mid-Market"/>
    <s v="IL"/>
    <s v="USR011"/>
    <s v="MM"/>
    <n v="3"/>
    <s v="Mid-Market Account Executive"/>
    <s v="MM"/>
    <n v="3"/>
    <x v="0"/>
  </r>
  <r>
    <s v="LEAD0355"/>
    <s v="Atlas Services Group"/>
    <s v="Mid-Market"/>
    <s v="GA"/>
    <s v="USR010"/>
    <s v="MM"/>
    <n v="2"/>
    <s v="Mid-Market Account Executive"/>
    <s v="MM"/>
    <n v="2"/>
    <x v="0"/>
  </r>
  <r>
    <s v="LEAD0356"/>
    <s v="Falcon Industries LLC"/>
    <s v="SMB"/>
    <s v="ND"/>
    <s v="USR007"/>
    <s v="SMB"/>
    <n v="3"/>
    <s v="SMB Account Executive"/>
    <s v="SMB"/>
    <n v="3"/>
    <x v="0"/>
  </r>
  <r>
    <s v="LEAD0357"/>
    <s v="Beacon Consulting LLC"/>
    <s v="Mid-Market"/>
    <s v="MD"/>
    <s v="USR011"/>
    <s v="MM"/>
    <n v="1"/>
    <s v="Mid-Market Account Executive"/>
    <s v="MM"/>
    <n v="3"/>
    <x v="2"/>
  </r>
  <r>
    <s v="LEAD0358"/>
    <s v="Summit Dynamics Systems"/>
    <s v="SMB"/>
    <s v="OH"/>
    <s v="USR007"/>
    <s v="SMB"/>
    <n v="3"/>
    <s v="SMB Account Executive"/>
    <s v="SMB"/>
    <n v="3"/>
    <x v="0"/>
  </r>
  <r>
    <s v="LEAD0359"/>
    <s v="Keystone Health Solutions"/>
    <s v="SMB"/>
    <s v="RI"/>
    <s v="USR005"/>
    <s v="SMB"/>
    <n v="1"/>
    <s v="SMB Account Executive"/>
    <s v="SMB"/>
    <n v="1"/>
    <x v="0"/>
  </r>
  <r>
    <s v="LEAD0360"/>
    <s v="Goldcrest Partners Inc."/>
    <s v="SMB"/>
    <s v="MN"/>
    <s v="USR007"/>
    <s v="SMB"/>
    <n v="3"/>
    <s v="SMB Account Executive"/>
    <s v="SMB"/>
    <n v="3"/>
    <x v="0"/>
  </r>
  <r>
    <s v="LEAD0361"/>
    <s v="Liberty Enterprises Inc."/>
    <s v="SMB"/>
    <s v="CA"/>
    <s v="USR008"/>
    <s v="SMB"/>
    <n v="4"/>
    <s v="SMB Account Executive"/>
    <s v="SMB"/>
    <n v="4"/>
    <x v="0"/>
  </r>
  <r>
    <s v="LEAD0362"/>
    <s v="Redwood Dynamics Co."/>
    <s v="Mid-Market"/>
    <s v="FL"/>
    <s v="USR010"/>
    <s v="MM"/>
    <n v="2"/>
    <s v="Mid-Market Account Executive"/>
    <s v="MM"/>
    <n v="2"/>
    <x v="0"/>
  </r>
  <r>
    <s v="LEAD0363"/>
    <s v="Redwood Health Group"/>
    <s v="Upper Mid-Market"/>
    <s v="OH"/>
    <s v="USR011"/>
    <s v="MM"/>
    <n v="3"/>
    <s v="Mid-Market Account Executive"/>
    <s v="MM"/>
    <n v="3"/>
    <x v="0"/>
  </r>
  <r>
    <s v="LEAD0364"/>
    <s v="Harbor Manufacturing Co."/>
    <s v="SMB"/>
    <s v="IL"/>
    <s v="USR007"/>
    <s v="SMB"/>
    <n v="3"/>
    <s v="SMB Account Executive"/>
    <s v="SMB"/>
    <n v="3"/>
    <x v="0"/>
  </r>
  <r>
    <s v="LEAD0365"/>
    <s v="Copper Holdings Solutions"/>
    <s v="Mid-Market"/>
    <s v="GA"/>
    <s v="USR010"/>
    <s v="MM"/>
    <n v="2"/>
    <s v="Mid-Market Account Executive"/>
    <s v="MM"/>
    <n v="2"/>
    <x v="0"/>
  </r>
  <r>
    <s v="LEAD0366"/>
    <s v="Crescent Technology Systems"/>
    <s v="SMB"/>
    <s v="ME"/>
    <s v="USR005"/>
    <s v="SMB"/>
    <n v="1"/>
    <s v="SMB Account Executive"/>
    <s v="SMB"/>
    <n v="1"/>
    <x v="0"/>
  </r>
  <r>
    <s v="LEAD0367"/>
    <s v="Atlas Health Group"/>
    <s v="SMB"/>
    <s v="NY"/>
    <s v="USR005"/>
    <s v="SMB"/>
    <n v="1"/>
    <s v="SMB Account Executive"/>
    <s v="SMB"/>
    <n v="1"/>
    <x v="0"/>
  </r>
  <r>
    <s v="LEAD0368"/>
    <s v="Parkside Solutions Partners"/>
    <s v="SMB"/>
    <s v="NJ"/>
    <s v="USR005"/>
    <s v="SMB"/>
    <n v="1"/>
    <s v="SMB Account Executive"/>
    <s v="SMB"/>
    <n v="1"/>
    <x v="0"/>
  </r>
  <r>
    <s v="LEAD0369"/>
    <s v="Prime Consulting Group"/>
    <s v="SMB"/>
    <s v="CO"/>
    <s v="USR008"/>
    <s v="SMB"/>
    <n v="4"/>
    <s v="SMB Account Executive"/>
    <s v="SMB"/>
    <n v="4"/>
    <x v="0"/>
  </r>
  <r>
    <s v="LEAD0370"/>
    <s v="ClearPath Logistics Systems"/>
    <s v="SMB"/>
    <s v="PA"/>
    <s v="USR005"/>
    <s v="SMB"/>
    <n v="1"/>
    <s v="SMB Account Executive"/>
    <s v="SMB"/>
    <n v="1"/>
    <x v="0"/>
  </r>
  <r>
    <s v="LEAD0371"/>
    <s v="Atlas Logistics Group"/>
    <s v="Mid-Market"/>
    <s v="CO"/>
    <s v="USR012"/>
    <s v="MM"/>
    <n v="4"/>
    <s v="Mid-Market Account Executive"/>
    <s v="MM"/>
    <n v="4"/>
    <x v="0"/>
  </r>
  <r>
    <s v="LEAD0372"/>
    <s v="Crescent Technology Partners"/>
    <s v="Upper Mid-Market"/>
    <s v="CA"/>
    <s v="USR012"/>
    <s v="MM"/>
    <n v="4"/>
    <s v="Mid-Market Account Executive"/>
    <s v="MM"/>
    <n v="4"/>
    <x v="0"/>
  </r>
  <r>
    <s v="LEAD0373"/>
    <s v="Liberty Technology Inc."/>
    <s v="SMB"/>
    <s v="DC"/>
    <s v="USR005"/>
    <s v="SMB"/>
    <n v="1"/>
    <s v="SMB Account Executive"/>
    <s v="SMB"/>
    <n v="1"/>
    <x v="0"/>
  </r>
  <r>
    <s v="LEAD0374"/>
    <s v="Bridgepoint Consulting Solutions"/>
    <m/>
    <s v="PA"/>
    <m/>
    <s v="Needs Review - Segment"/>
    <n v="1"/>
    <s v=""/>
    <s v=""/>
    <s v=""/>
    <x v="4"/>
  </r>
  <r>
    <s v="LEAD0375"/>
    <s v="Bridgepoint Labs Partners"/>
    <s v="Mid-Market"/>
    <s v="FL"/>
    <s v="USR010"/>
    <s v="MM"/>
    <n v="2"/>
    <s v="Mid-Market Account Executive"/>
    <s v="MM"/>
    <n v="2"/>
    <x v="0"/>
  </r>
  <r>
    <s v="LEAD0376"/>
    <s v="Silverline Enterprises LLC"/>
    <m/>
    <s v="IA"/>
    <m/>
    <s v="Needs Review - Segment"/>
    <n v="3"/>
    <s v=""/>
    <s v=""/>
    <s v=""/>
    <x v="4"/>
  </r>
  <r>
    <s v="LEAD0377"/>
    <s v="Solstice Analytics Inc."/>
    <s v="SMB"/>
    <s v="MA"/>
    <s v="USR005"/>
    <s v="SMB"/>
    <n v="1"/>
    <s v="SMB Account Executive"/>
    <s v="SMB"/>
    <n v="1"/>
    <x v="0"/>
  </r>
  <r>
    <s v="LEAD0378"/>
    <s v="Oakridge Partners Co."/>
    <s v="SMB"/>
    <s v="CO"/>
    <s v="USR008"/>
    <s v="SMB"/>
    <n v="4"/>
    <s v="SMB Account Executive"/>
    <s v="SMB"/>
    <n v="4"/>
    <x v="0"/>
  </r>
  <r>
    <s v="LEAD0379"/>
    <s v="Cobalt Solutions Group"/>
    <s v="SMB"/>
    <s v="DE"/>
    <s v="USR005"/>
    <s v="SMB"/>
    <n v="1"/>
    <s v="SMB Account Executive"/>
    <s v="SMB"/>
    <n v="1"/>
    <x v="0"/>
  </r>
  <r>
    <s v="LEAD0380"/>
    <s v="Riverton Industries LLC"/>
    <s v="Upper Mid-Market"/>
    <s v="FL"/>
    <s v="USR010"/>
    <s v="MM"/>
    <n v="2"/>
    <s v="Mid-Market Account Executive"/>
    <s v="MM"/>
    <n v="2"/>
    <x v="0"/>
  </r>
  <r>
    <s v="LEAD0381"/>
    <s v="Sterling Distribution Partners"/>
    <s v="SMB"/>
    <s v="TN"/>
    <s v="USR006"/>
    <s v="SMB"/>
    <n v="2"/>
    <s v="SMB Account Executive"/>
    <s v="SMB"/>
    <n v="2"/>
    <x v="0"/>
  </r>
  <r>
    <s v="LEAD0382"/>
    <s v="Parkside Distribution Systems"/>
    <s v="Mid-Market"/>
    <s v="AZ"/>
    <s v="USR012"/>
    <s v="MM"/>
    <n v="4"/>
    <s v="Mid-Market Account Executive"/>
    <s v="MM"/>
    <n v="4"/>
    <x v="0"/>
  </r>
  <r>
    <s v="LEAD0383"/>
    <s v="Highland Solutions Solutions"/>
    <s v="SMB"/>
    <s v="DC"/>
    <s v="USR005"/>
    <s v="SMB"/>
    <n v="1"/>
    <s v="SMB Account Executive"/>
    <s v="SMB"/>
    <n v="1"/>
    <x v="0"/>
  </r>
  <r>
    <s v="LEAD0384"/>
    <s v="Oakridge Consulting LLC"/>
    <s v="Mid-Market"/>
    <s v="MI"/>
    <s v="USR011"/>
    <s v="MM"/>
    <n v="3"/>
    <s v="Mid-Market Account Executive"/>
    <s v="MM"/>
    <n v="3"/>
    <x v="0"/>
  </r>
  <r>
    <s v="LEAD0385"/>
    <s v="Eastgate Resources Solutions"/>
    <s v="SMB"/>
    <s v="CO"/>
    <s v="USR008"/>
    <s v="SMB"/>
    <n v="4"/>
    <s v="SMB Account Executive"/>
    <s v="SMB"/>
    <n v="4"/>
    <x v="0"/>
  </r>
  <r>
    <s v="LEAD0386"/>
    <s v="Lakeside Commerce Systems"/>
    <s v="Mid-Market"/>
    <s v="UT"/>
    <s v="USR012"/>
    <s v="MM"/>
    <n v="4"/>
    <s v="Mid-Market Account Executive"/>
    <s v="MM"/>
    <n v="4"/>
    <x v="0"/>
  </r>
  <r>
    <s v="LEAD0387"/>
    <s v="Redwood Distribution Group"/>
    <s v="SMB"/>
    <s v="KS"/>
    <s v="USR007"/>
    <s v="SMB"/>
    <n v="3"/>
    <s v="SMB Account Executive"/>
    <s v="SMB"/>
    <n v="3"/>
    <x v="0"/>
  </r>
  <r>
    <s v="LEAD0388"/>
    <s v="Evergreen Distribution LLC"/>
    <s v="SMB"/>
    <s v="NY"/>
    <s v="USR005"/>
    <s v="SMB"/>
    <n v="1"/>
    <s v="SMB Account Executive"/>
    <s v="SMB"/>
    <n v="1"/>
    <x v="0"/>
  </r>
  <r>
    <s v="LEAD0389"/>
    <s v="Eastgate Manufacturing LLC"/>
    <s v="Mid-Market"/>
    <s v="NJ"/>
    <s v="USR009"/>
    <s v="MM"/>
    <n v="1"/>
    <s v="Mid-Market Account Executive"/>
    <s v="MM"/>
    <n v="1"/>
    <x v="0"/>
  </r>
  <r>
    <s v="LEAD0390"/>
    <s v="Riverton Solutions Systems"/>
    <s v="SMB"/>
    <s v="SD"/>
    <s v="USR007"/>
    <s v="SMB"/>
    <n v="3"/>
    <s v="SMB Account Executive"/>
    <s v="SMB"/>
    <n v="3"/>
    <x v="0"/>
  </r>
  <r>
    <s v="LEAD0391"/>
    <s v="Monarch Analytics Group"/>
    <s v="SMB"/>
    <s v="SC"/>
    <s v="USR006"/>
    <s v="SMB"/>
    <n v="2"/>
    <s v="SMB Account Executive"/>
    <s v="SMB"/>
    <n v="2"/>
    <x v="0"/>
  </r>
  <r>
    <s v="LEAD0392"/>
    <s v="Copper Health Inc."/>
    <s v="SMB"/>
    <s v="DE"/>
    <s v="USR005"/>
    <s v="SMB"/>
    <n v="1"/>
    <s v="SMB Account Executive"/>
    <s v="SMB"/>
    <n v="1"/>
    <x v="0"/>
  </r>
  <r>
    <s v="LEAD0393"/>
    <s v="Oakridge Group Solutions"/>
    <s v="SMB"/>
    <s v="ME"/>
    <s v="USR005"/>
    <s v="SMB"/>
    <n v="1"/>
    <s v="SMB Account Executive"/>
    <s v="SMB"/>
    <n v="1"/>
    <x v="0"/>
  </r>
  <r>
    <s v="LEAD0394"/>
    <s v="Horizon Systems Inc."/>
    <s v="SMB"/>
    <s v="OH"/>
    <s v="USR007"/>
    <s v="SMB"/>
    <n v="3"/>
    <s v="SMB Account Executive"/>
    <s v="SMB"/>
    <n v="3"/>
    <x v="0"/>
  </r>
  <r>
    <s v="LEAD0395"/>
    <s v="Maple Automation Inc."/>
    <s v="SMB"/>
    <s v="MA"/>
    <s v="USR005"/>
    <s v="SMB"/>
    <n v="1"/>
    <s v="SMB Account Executive"/>
    <s v="SMB"/>
    <n v="1"/>
    <x v="0"/>
  </r>
  <r>
    <s v="LEAD0396"/>
    <s v="Beacon Enterprises Partners"/>
    <s v="Mid-Market"/>
    <s v="NC"/>
    <s v="USR010"/>
    <s v="MM"/>
    <n v="2"/>
    <s v="Mid-Market Account Executive"/>
    <s v="MM"/>
    <n v="2"/>
    <x v="0"/>
  </r>
  <r>
    <s v="LEAD0397"/>
    <s v="Cobalt Industries Co."/>
    <s v="SMB"/>
    <s v="SC"/>
    <s v="USR006"/>
    <s v="SMB"/>
    <n v="2"/>
    <s v="SMB Account Executive"/>
    <s v="SMB"/>
    <n v="2"/>
    <x v="0"/>
  </r>
  <r>
    <s v="LEAD0398"/>
    <s v="Newbridge Consulting Solutions"/>
    <s v="Mid-Market"/>
    <s v="MA"/>
    <s v="USR009"/>
    <s v="MM"/>
    <n v="1"/>
    <s v="Mid-Market Account Executive"/>
    <s v="MM"/>
    <n v="1"/>
    <x v="0"/>
  </r>
  <r>
    <s v="LEAD0399"/>
    <s v="Stonebridge Solutions Partners"/>
    <m/>
    <s v="CA"/>
    <m/>
    <s v="Needs Review - Segment"/>
    <n v="4"/>
    <s v=""/>
    <s v=""/>
    <s v=""/>
    <x v="4"/>
  </r>
  <r>
    <s v="LEAD0400"/>
    <s v="Goldcrest Distribution Group"/>
    <s v="Mid-Market"/>
    <s v="TX"/>
    <s v="USR010"/>
    <s v="MM"/>
    <n v="2"/>
    <s v="Mid-Market Account Executive"/>
    <s v="MM"/>
    <n v="2"/>
    <x v="0"/>
  </r>
  <r>
    <s v="LEAD0401"/>
    <s v="Prime Technology Inc."/>
    <s v="Mid-Market"/>
    <s v="GA"/>
    <s v="USR010"/>
    <s v="MM"/>
    <n v="2"/>
    <s v="Mid-Market Account Executive"/>
    <s v="MM"/>
    <n v="2"/>
    <x v="0"/>
  </r>
  <r>
    <s v="LEAD0402"/>
    <s v="Pioneer Systems Solutions"/>
    <m/>
    <s v="MA"/>
    <m/>
    <s v="Needs Review - Segment"/>
    <n v="1"/>
    <s v=""/>
    <s v=""/>
    <s v=""/>
    <x v="4"/>
  </r>
  <r>
    <s v="LEAD0403"/>
    <s v="Pioneer Health Solutions"/>
    <s v="Mid-Market"/>
    <s v="NM"/>
    <s v="USR012"/>
    <s v="MM"/>
    <n v="4"/>
    <s v="Mid-Market Account Executive"/>
    <s v="MM"/>
    <n v="4"/>
    <x v="0"/>
  </r>
  <r>
    <s v="LEAD0404"/>
    <s v="Riverbend Analytics Partners"/>
    <s v="Mid-Market"/>
    <s v="GA"/>
    <s v="USR010"/>
    <s v="MM"/>
    <n v="2"/>
    <s v="Mid-Market Account Executive"/>
    <s v="MM"/>
    <n v="2"/>
    <x v="0"/>
  </r>
  <r>
    <s v="LEAD0405"/>
    <s v="Bridgepoint Dynamics Partners"/>
    <m/>
    <s v="NY"/>
    <m/>
    <s v="Needs Review - Segment"/>
    <n v="1"/>
    <s v=""/>
    <s v=""/>
    <s v=""/>
    <x v="4"/>
  </r>
  <r>
    <s v="LEAD0406"/>
    <s v="Newbridge Commerce Co."/>
    <s v="Mid-Market"/>
    <s v="AZ"/>
    <s v="USR012"/>
    <s v="MM"/>
    <n v="4"/>
    <s v="Mid-Market Account Executive"/>
    <s v="MM"/>
    <n v="4"/>
    <x v="0"/>
  </r>
  <r>
    <s v="LEAD0407"/>
    <s v="Monarch Industries Partners"/>
    <s v="Mid-Market"/>
    <s v="MA"/>
    <s v="USR009"/>
    <s v="MM"/>
    <n v="1"/>
    <s v="Mid-Market Account Executive"/>
    <s v="MM"/>
    <n v="1"/>
    <x v="0"/>
  </r>
  <r>
    <s v="LEAD0408"/>
    <s v="Oakridge Distribution Solutions"/>
    <s v="SMB"/>
    <s v="NC"/>
    <s v="USR006"/>
    <s v="SMB"/>
    <n v="2"/>
    <s v="SMB Account Executive"/>
    <s v="SMB"/>
    <n v="2"/>
    <x v="0"/>
  </r>
  <r>
    <s v="LEAD0409"/>
    <s v="Parkside Enterprises LLC"/>
    <s v="Mid-Market"/>
    <s v="FL"/>
    <s v="USR010"/>
    <s v="MM"/>
    <n v="2"/>
    <s v="Mid-Market Account Executive"/>
    <s v="MM"/>
    <n v="2"/>
    <x v="0"/>
  </r>
  <r>
    <s v="LEAD0410"/>
    <s v="Ironwood Networks Partners"/>
    <s v="SMB"/>
    <s v="KS"/>
    <m/>
    <s v="SMB"/>
    <n v="3"/>
    <s v=""/>
    <s v=""/>
    <s v=""/>
    <x v="4"/>
  </r>
  <r>
    <s v="LEAD0411"/>
    <s v="Vertex Resources Systems"/>
    <s v="SMB"/>
    <s v="DE"/>
    <s v="USR005"/>
    <s v="SMB"/>
    <n v="1"/>
    <s v="SMB Account Executive"/>
    <s v="SMB"/>
    <n v="1"/>
    <x v="0"/>
  </r>
  <r>
    <s v="LEAD0412"/>
    <s v="Riverton Partners Co."/>
    <s v="SMB"/>
    <s v="CA"/>
    <s v="USR008"/>
    <s v="SMB"/>
    <n v="4"/>
    <s v="SMB Account Executive"/>
    <s v="SMB"/>
    <n v="4"/>
    <x v="0"/>
  </r>
  <r>
    <s v="LEAD0413"/>
    <s v="Cedarstone Industries LLC"/>
    <s v="Mid-Market"/>
    <m/>
    <s v="USR012"/>
    <s v="MM"/>
    <s v="Needs Review - Territory"/>
    <s v="Mid-Market Account Executive"/>
    <s v="MM"/>
    <n v="4"/>
    <x v="3"/>
  </r>
  <r>
    <s v="LEAD0414"/>
    <s v="Crescent Holdings Group"/>
    <m/>
    <s v="NC"/>
    <m/>
    <s v="Needs Review - Segment"/>
    <n v="2"/>
    <s v=""/>
    <s v=""/>
    <s v=""/>
    <x v="4"/>
  </r>
  <r>
    <s v="LEAD0415"/>
    <s v="Maple Solutions LLC"/>
    <s v="Mid-Market"/>
    <s v="RI"/>
    <s v="USR009"/>
    <s v="MM"/>
    <n v="1"/>
    <s v="Mid-Market Account Executive"/>
    <s v="MM"/>
    <n v="1"/>
    <x v="0"/>
  </r>
  <r>
    <s v="LEAD0416"/>
    <s v="Stonebridge Logistics Solutions"/>
    <s v="SMB"/>
    <s v="NY"/>
    <s v="USR005"/>
    <s v="SMB"/>
    <n v="1"/>
    <s v="SMB Account Executive"/>
    <s v="SMB"/>
    <n v="1"/>
    <x v="0"/>
  </r>
  <r>
    <s v="LEAD0417"/>
    <s v="Solstice Dynamics Group"/>
    <s v="Mid-Market"/>
    <s v="CT"/>
    <s v="USR009"/>
    <s v="MM"/>
    <n v="1"/>
    <s v="Mid-Market Account Executive"/>
    <s v="MM"/>
    <n v="1"/>
    <x v="0"/>
  </r>
  <r>
    <s v="LEAD0418"/>
    <s v="Cedarstone Group Partners"/>
    <s v="SMB"/>
    <s v="CA"/>
    <s v="USR008"/>
    <s v="SMB"/>
    <n v="4"/>
    <s v="SMB Account Executive"/>
    <s v="SMB"/>
    <n v="4"/>
    <x v="0"/>
  </r>
  <r>
    <s v="LEAD0419"/>
    <s v="Silverline Resources Partners"/>
    <s v="Mid-Market"/>
    <s v="MA"/>
    <s v="USR009"/>
    <s v="MM"/>
    <n v="1"/>
    <s v="Mid-Market Account Executive"/>
    <s v="MM"/>
    <n v="1"/>
    <x v="0"/>
  </r>
  <r>
    <s v="LEAD0420"/>
    <s v="Stonebridge Distribution Partners"/>
    <s v="SMB"/>
    <s v="IL"/>
    <s v="USR007"/>
    <s v="SMB"/>
    <n v="3"/>
    <s v="SMB Account Executive"/>
    <s v="SMB"/>
    <n v="3"/>
    <x v="0"/>
  </r>
  <r>
    <s v="LEAD0421"/>
    <s v="Brightwell Solutions Solutions"/>
    <s v="SMB"/>
    <s v="GA"/>
    <s v="USR006"/>
    <s v="SMB"/>
    <n v="2"/>
    <s v="SMB Account Executive"/>
    <s v="SMB"/>
    <n v="2"/>
    <x v="0"/>
  </r>
  <r>
    <s v="LEAD0422"/>
    <s v="Northstar Holdings Group"/>
    <s v="SMB"/>
    <s v="TN"/>
    <s v="USR006"/>
    <s v="SMB"/>
    <n v="2"/>
    <s v="SMB Account Executive"/>
    <s v="SMB"/>
    <n v="2"/>
    <x v="0"/>
  </r>
  <r>
    <s v="LEAD0423"/>
    <s v="Oakridge Dynamics Systems"/>
    <s v="Upper Mid-Market"/>
    <s v="WA"/>
    <s v="USR012"/>
    <s v="MM"/>
    <n v="4"/>
    <s v="Mid-Market Account Executive"/>
    <s v="MM"/>
    <n v="4"/>
    <x v="0"/>
  </r>
  <r>
    <s v="LEAD0424"/>
    <s v="Riverton Commerce Systems"/>
    <s v="Mid-Market"/>
    <s v="OH"/>
    <s v="USR011"/>
    <s v="MM"/>
    <n v="3"/>
    <s v="Mid-Market Account Executive"/>
    <s v="MM"/>
    <n v="3"/>
    <x v="0"/>
  </r>
  <r>
    <s v="LEAD0425"/>
    <s v="Greenfield Dynamics Co."/>
    <s v="Mid-Market"/>
    <s v="TX"/>
    <s v="USR010"/>
    <s v="MM"/>
    <n v="2"/>
    <s v="Mid-Market Account Executive"/>
    <s v="MM"/>
    <n v="2"/>
    <x v="0"/>
  </r>
  <r>
    <s v="LEAD0426"/>
    <s v="Newbridge Systems Partners"/>
    <s v="Mid-Market"/>
    <s v="TX"/>
    <s v="USR010"/>
    <s v="MM"/>
    <n v="2"/>
    <s v="Mid-Market Account Executive"/>
    <s v="MM"/>
    <n v="2"/>
    <x v="0"/>
  </r>
  <r>
    <s v="LEAD0427"/>
    <s v="ClearPath Dynamics Partners"/>
    <s v="Mid-Market"/>
    <s v="RI"/>
    <s v="USR006"/>
    <s v="MM"/>
    <n v="1"/>
    <s v="SMB Account Executive"/>
    <s v="SMB"/>
    <n v="2"/>
    <x v="5"/>
  </r>
  <r>
    <s v="LEAD0428"/>
    <s v="Liberty Resources Group"/>
    <s v="Mid-Market"/>
    <s v="IL"/>
    <s v="USR011"/>
    <s v="MM"/>
    <n v="3"/>
    <s v="Mid-Market Account Executive"/>
    <s v="MM"/>
    <n v="3"/>
    <x v="0"/>
  </r>
  <r>
    <s v="LEAD0429"/>
    <s v="Evergreen Industries Group"/>
    <s v="SMB"/>
    <s v="NJ"/>
    <s v="USR005"/>
    <s v="SMB"/>
    <n v="1"/>
    <s v="SMB Account Executive"/>
    <s v="SMB"/>
    <n v="1"/>
    <x v="0"/>
  </r>
  <r>
    <s v="LEAD0430"/>
    <s v="Liberty Group Group"/>
    <s v="SMB"/>
    <s v="WA"/>
    <s v="USR008"/>
    <s v="SMB"/>
    <n v="4"/>
    <s v="SMB Account Executive"/>
    <s v="SMB"/>
    <n v="4"/>
    <x v="0"/>
  </r>
  <r>
    <s v="LEAD0431"/>
    <s v="BluePeak Consulting LLC"/>
    <s v="SMB"/>
    <s v="PA"/>
    <s v="USR005"/>
    <s v="SMB"/>
    <n v="1"/>
    <s v="SMB Account Executive"/>
    <s v="SMB"/>
    <n v="1"/>
    <x v="0"/>
  </r>
  <r>
    <s v="LEAD0432"/>
    <s v="Maple Analytics Inc."/>
    <s v="SMB"/>
    <s v="VA"/>
    <s v="USR006"/>
    <s v="SMB"/>
    <n v="2"/>
    <s v="SMB Account Executive"/>
    <s v="SMB"/>
    <n v="2"/>
    <x v="0"/>
  </r>
  <r>
    <s v="LEAD0433"/>
    <s v="Cedarstone Operations LLC"/>
    <s v="SMB"/>
    <s v="MS"/>
    <s v="USR006"/>
    <s v="SMB"/>
    <n v="2"/>
    <s v="SMB Account Executive"/>
    <s v="SMB"/>
    <n v="2"/>
    <x v="0"/>
  </r>
  <r>
    <s v="LEAD0434"/>
    <s v="Oakridge Automation Inc."/>
    <s v="SMB"/>
    <s v="GA"/>
    <s v="USR006"/>
    <s v="SMB"/>
    <n v="2"/>
    <s v="SMB Account Executive"/>
    <s v="SMB"/>
    <n v="2"/>
    <x v="0"/>
  </r>
  <r>
    <s v="LEAD0435"/>
    <s v="Prime Automation LLC"/>
    <s v="SMB"/>
    <s v="AR"/>
    <s v="USR006"/>
    <s v="SMB"/>
    <n v="2"/>
    <s v="SMB Account Executive"/>
    <s v="SMB"/>
    <n v="2"/>
    <x v="0"/>
  </r>
  <r>
    <s v="LEAD0436"/>
    <s v="Evergreen Health Inc."/>
    <s v="SMB"/>
    <s v="IN"/>
    <s v="USR007"/>
    <s v="SMB"/>
    <n v="3"/>
    <s v="SMB Account Executive"/>
    <s v="SMB"/>
    <n v="3"/>
    <x v="0"/>
  </r>
  <r>
    <s v="LEAD0437"/>
    <s v="Falcon Commerce Co."/>
    <s v="Mid-Market"/>
    <s v="GA"/>
    <s v="USR010"/>
    <s v="MM"/>
    <n v="2"/>
    <s v="Mid-Market Account Executive"/>
    <s v="MM"/>
    <n v="2"/>
    <x v="0"/>
  </r>
  <r>
    <s v="LEAD0438"/>
    <s v="Redwood Commerce Group"/>
    <s v="SMB"/>
    <s v="OH"/>
    <s v="USR007"/>
    <s v="SMB"/>
    <n v="3"/>
    <s v="SMB Account Executive"/>
    <s v="SMB"/>
    <n v="3"/>
    <x v="0"/>
  </r>
  <r>
    <s v="LEAD0439"/>
    <s v="Lakeside Networks Co."/>
    <s v="SMB"/>
    <s v="CO"/>
    <s v="USR008"/>
    <s v="SMB"/>
    <n v="4"/>
    <s v="SMB Account Executive"/>
    <s v="SMB"/>
    <n v="4"/>
    <x v="0"/>
  </r>
  <r>
    <s v="LEAD0440"/>
    <s v="Riverbend Health Co."/>
    <s v="SMB"/>
    <s v="ID"/>
    <s v="USR008"/>
    <s v="SMB"/>
    <n v="4"/>
    <s v="SMB Account Executive"/>
    <s v="SMB"/>
    <n v="4"/>
    <x v="0"/>
  </r>
  <r>
    <s v="LEAD0441"/>
    <s v="Falcon Holdings Systems"/>
    <s v="Mid-Market"/>
    <s v="VA"/>
    <m/>
    <s v="MM"/>
    <n v="2"/>
    <s v=""/>
    <s v=""/>
    <s v=""/>
    <x v="4"/>
  </r>
  <r>
    <s v="LEAD0442"/>
    <s v="Eastgate Operations Solutions"/>
    <s v="Mid-Market"/>
    <s v="PA"/>
    <s v="USR009"/>
    <s v="MM"/>
    <n v="1"/>
    <s v="Mid-Market Account Executive"/>
    <s v="MM"/>
    <n v="1"/>
    <x v="0"/>
  </r>
  <r>
    <s v="LEAD0443"/>
    <s v="Northstar Automation Co."/>
    <s v="Upper Mid-Market"/>
    <s v="TX"/>
    <s v="USR006"/>
    <s v="MM"/>
    <n v="2"/>
    <s v="SMB Account Executive"/>
    <s v="SMB"/>
    <n v="2"/>
    <x v="5"/>
  </r>
  <r>
    <s v="LEAD0444"/>
    <s v="ClearPath Distribution Solutions"/>
    <s v="SMB"/>
    <s v="DE"/>
    <s v="USR005"/>
    <s v="SMB"/>
    <n v="1"/>
    <s v="SMB Account Executive"/>
    <s v="SMB"/>
    <n v="1"/>
    <x v="0"/>
  </r>
  <r>
    <s v="LEAD0445"/>
    <s v="Riverton Automation LLC"/>
    <s v="SMB"/>
    <s v="KS"/>
    <s v="USR007"/>
    <s v="SMB"/>
    <n v="3"/>
    <s v="SMB Account Executive"/>
    <s v="SMB"/>
    <n v="3"/>
    <x v="0"/>
  </r>
  <r>
    <s v="LEAD0446"/>
    <s v="Brightwell Labs Solutions"/>
    <s v="Upper Mid-Market"/>
    <s v="NH"/>
    <s v="USR009"/>
    <s v="MM"/>
    <n v="1"/>
    <s v="Mid-Market Account Executive"/>
    <s v="MM"/>
    <n v="1"/>
    <x v="0"/>
  </r>
  <r>
    <s v="LEAD0447"/>
    <s v="Maple Logistics LLC"/>
    <s v="SMB"/>
    <s v="ME"/>
    <s v="USR005"/>
    <s v="SMB"/>
    <n v="1"/>
    <s v="SMB Account Executive"/>
    <s v="SMB"/>
    <n v="1"/>
    <x v="0"/>
  </r>
  <r>
    <s v="LEAD0448"/>
    <s v="Apex Manufacturing Partners"/>
    <s v="Mid-Market"/>
    <s v="TX"/>
    <s v="USR010"/>
    <s v="MM"/>
    <n v="2"/>
    <s v="Mid-Market Account Executive"/>
    <s v="MM"/>
    <n v="2"/>
    <x v="0"/>
  </r>
  <r>
    <s v="LEAD0449"/>
    <s v="Copper Labs Co."/>
    <s v="SMB"/>
    <s v="IA"/>
    <s v="USR007"/>
    <s v="SMB"/>
    <n v="3"/>
    <s v="SMB Account Executive"/>
    <s v="SMB"/>
    <n v="3"/>
    <x v="0"/>
  </r>
  <r>
    <s v="LEAD0450"/>
    <s v="Riverton Solutions Co."/>
    <s v="Mid-Market"/>
    <s v="OH"/>
    <s v="USR011"/>
    <s v="MM"/>
    <n v="3"/>
    <s v="Mid-Market Account Executive"/>
    <s v="MM"/>
    <n v="3"/>
    <x v="0"/>
  </r>
  <r>
    <s v="LEAD0451"/>
    <s v="Lakeside Solutions Inc."/>
    <s v="Upper Mid-Market"/>
    <s v="WA"/>
    <s v="USR008"/>
    <s v="MM"/>
    <n v="4"/>
    <s v="SMB Account Executive"/>
    <s v="SMB"/>
    <n v="4"/>
    <x v="5"/>
  </r>
  <r>
    <s v="LEAD0452"/>
    <s v="Ironwood Networks Inc."/>
    <s v="SMB"/>
    <s v="GA"/>
    <s v="USR006"/>
    <s v="SMB"/>
    <n v="2"/>
    <s v="SMB Account Executive"/>
    <s v="SMB"/>
    <n v="2"/>
    <x v="0"/>
  </r>
  <r>
    <s v="LEAD0453"/>
    <s v="Riverton Labs Group"/>
    <s v="Mid-Market"/>
    <s v="CO"/>
    <s v="USR012"/>
    <s v="MM"/>
    <n v="4"/>
    <s v="Mid-Market Account Executive"/>
    <s v="MM"/>
    <n v="4"/>
    <x v="0"/>
  </r>
  <r>
    <s v="LEAD0454"/>
    <s v="Bridgepoint Logistics Partners"/>
    <s v="Mid-Market"/>
    <s v="CO"/>
    <s v="USR011"/>
    <s v="MM"/>
    <n v="4"/>
    <s v="Mid-Market Account Executive"/>
    <s v="MM"/>
    <n v="3"/>
    <x v="2"/>
  </r>
  <r>
    <s v="LEAD0455"/>
    <s v="Ironwood Group Solutions"/>
    <s v="SMB"/>
    <s v="WA"/>
    <s v="USR008"/>
    <s v="SMB"/>
    <n v="4"/>
    <s v="SMB Account Executive"/>
    <s v="SMB"/>
    <n v="4"/>
    <x v="0"/>
  </r>
  <r>
    <s v="LEAD0456"/>
    <s v="Monarch Solutions LLC"/>
    <s v="Mid-Market"/>
    <s v="NC"/>
    <s v="USR010"/>
    <s v="MM"/>
    <n v="2"/>
    <s v="Mid-Market Account Executive"/>
    <s v="MM"/>
    <n v="2"/>
    <x v="0"/>
  </r>
  <r>
    <s v="LEAD0457"/>
    <s v="Oakridge Operations LLC"/>
    <s v="Mid-Market"/>
    <s v="TX"/>
    <s v="USR010"/>
    <s v="MM"/>
    <n v="2"/>
    <s v="Mid-Market Account Executive"/>
    <s v="MM"/>
    <n v="2"/>
    <x v="0"/>
  </r>
  <r>
    <s v="LEAD0458"/>
    <s v="BluePeak Health Co."/>
    <s v="SMB"/>
    <s v="CA"/>
    <s v="USR008"/>
    <s v="SMB"/>
    <n v="4"/>
    <s v="SMB Account Executive"/>
    <s v="SMB"/>
    <n v="4"/>
    <x v="0"/>
  </r>
  <r>
    <s v="LEAD0459"/>
    <s v="Northstar Commerce Solutions"/>
    <s v="Mid-Market"/>
    <s v="VT"/>
    <s v="USR009"/>
    <s v="MM"/>
    <n v="1"/>
    <s v="Mid-Market Account Executive"/>
    <s v="MM"/>
    <n v="1"/>
    <x v="0"/>
  </r>
  <r>
    <s v="LEAD0460"/>
    <s v="Summit Automation Group"/>
    <s v="SMB"/>
    <s v="NY"/>
    <s v="USR005"/>
    <s v="SMB"/>
    <n v="1"/>
    <s v="SMB Account Executive"/>
    <s v="SMB"/>
    <n v="1"/>
    <x v="0"/>
  </r>
  <r>
    <s v="LEAD0461"/>
    <s v="Silverline Consulting Solutions"/>
    <s v="SMB"/>
    <s v="TX"/>
    <s v="USR006"/>
    <s v="SMB"/>
    <n v="2"/>
    <s v="SMB Account Executive"/>
    <s v="SMB"/>
    <n v="2"/>
    <x v="0"/>
  </r>
  <r>
    <s v="LEAD0462"/>
    <s v="Brightwell Solutions LLC"/>
    <s v="Mid-Market"/>
    <s v="GA"/>
    <s v="USR010"/>
    <s v="MM"/>
    <n v="2"/>
    <s v="Mid-Market Account Executive"/>
    <s v="MM"/>
    <n v="2"/>
    <x v="0"/>
  </r>
  <r>
    <s v="LEAD0463"/>
    <s v="Westbrook Labs LLC"/>
    <s v="Mid-Market"/>
    <s v="CA"/>
    <s v="USR012"/>
    <s v="MM"/>
    <n v="4"/>
    <s v="Mid-Market Account Executive"/>
    <s v="MM"/>
    <n v="4"/>
    <x v="0"/>
  </r>
  <r>
    <s v="LEAD0464"/>
    <s v="Windward Logistics LLC"/>
    <s v="SMB"/>
    <s v="MA"/>
    <s v="USR012"/>
    <s v="SMB"/>
    <n v="1"/>
    <s v="Mid-Market Account Executive"/>
    <s v="MM"/>
    <n v="4"/>
    <x v="5"/>
  </r>
  <r>
    <s v="LEAD0465"/>
    <s v="Evergreen Dynamics Systems"/>
    <s v="SMB"/>
    <s v="FL"/>
    <s v="USR005"/>
    <s v="SMB"/>
    <n v="2"/>
    <s v="SMB Account Executive"/>
    <s v="SMB"/>
    <n v="1"/>
    <x v="2"/>
  </r>
  <r>
    <s v="LEAD0466"/>
    <s v="Silverline Systems LLC"/>
    <s v="SMB"/>
    <s v="NY"/>
    <s v="USR005"/>
    <s v="SMB"/>
    <n v="1"/>
    <s v="SMB Account Executive"/>
    <s v="SMB"/>
    <n v="1"/>
    <x v="0"/>
  </r>
  <r>
    <s v="LEAD0467"/>
    <s v="Riverbend Technology Partners"/>
    <s v="SMB"/>
    <s v="OK"/>
    <s v="USR006"/>
    <s v="SMB"/>
    <n v="2"/>
    <s v="SMB Account Executive"/>
    <s v="SMB"/>
    <n v="2"/>
    <x v="0"/>
  </r>
  <r>
    <s v="LEAD0468"/>
    <s v="Pioneer Distribution Solutions"/>
    <s v="Mid-Market"/>
    <s v="OR"/>
    <s v="USR012"/>
    <s v="MM"/>
    <n v="4"/>
    <s v="Mid-Market Account Executive"/>
    <s v="MM"/>
    <n v="4"/>
    <x v="0"/>
  </r>
  <r>
    <s v="LEAD0469"/>
    <s v="Windward Distribution Group"/>
    <s v="SMB"/>
    <s v="MN"/>
    <s v="USR007"/>
    <s v="SMB"/>
    <n v="3"/>
    <s v="SMB Account Executive"/>
    <s v="SMB"/>
    <n v="3"/>
    <x v="0"/>
  </r>
  <r>
    <s v="LEAD0470"/>
    <s v="Liberty Partners Inc."/>
    <s v="SMB"/>
    <s v="MS"/>
    <s v="USR006"/>
    <s v="SMB"/>
    <n v="2"/>
    <s v="SMB Account Executive"/>
    <s v="SMB"/>
    <n v="2"/>
    <x v="0"/>
  </r>
  <r>
    <s v="LEAD0471"/>
    <s v="Highland Commerce LLC"/>
    <s v="SMB"/>
    <s v="CA"/>
    <s v="USR008"/>
    <s v="SMB"/>
    <n v="4"/>
    <s v="SMB Account Executive"/>
    <s v="SMB"/>
    <n v="4"/>
    <x v="0"/>
  </r>
  <r>
    <s v="LEAD0472"/>
    <s v="Solstice Enterprises Co."/>
    <s v="Upper Mid-Market"/>
    <s v="IL"/>
    <s v="USR011"/>
    <s v="MM"/>
    <n v="3"/>
    <s v="Mid-Market Account Executive"/>
    <s v="MM"/>
    <n v="3"/>
    <x v="0"/>
  </r>
  <r>
    <s v="LEAD0473"/>
    <s v="Atlas Technology Solutions"/>
    <m/>
    <s v="CA"/>
    <m/>
    <s v="Needs Review - Segment"/>
    <n v="4"/>
    <s v=""/>
    <s v=""/>
    <s v=""/>
    <x v="4"/>
  </r>
  <r>
    <s v="LEAD0474"/>
    <s v="Copper Distribution Inc."/>
    <s v="Mid-Market"/>
    <s v="SC"/>
    <s v="USR010"/>
    <s v="MM"/>
    <n v="2"/>
    <s v="Mid-Market Account Executive"/>
    <s v="MM"/>
    <n v="2"/>
    <x v="0"/>
  </r>
  <r>
    <s v="LEAD0475"/>
    <s v="Riverbend Enterprises LLC"/>
    <s v="SMB"/>
    <s v="OH"/>
    <s v="USR007"/>
    <s v="SMB"/>
    <n v="3"/>
    <s v="SMB Account Executive"/>
    <s v="SMB"/>
    <n v="3"/>
    <x v="0"/>
  </r>
  <r>
    <s v="LEAD0476"/>
    <s v="Monarch Works LLC"/>
    <s v="SMB"/>
    <s v="KS"/>
    <s v="USR007"/>
    <s v="SMB"/>
    <n v="3"/>
    <s v="SMB Account Executive"/>
    <s v="SMB"/>
    <n v="3"/>
    <x v="0"/>
  </r>
  <r>
    <s v="LEAD0477"/>
    <s v="Greenfield Solutions Group"/>
    <s v="SMB"/>
    <s v="OK"/>
    <s v="USR006"/>
    <s v="SMB"/>
    <n v="2"/>
    <s v="SMB Account Executive"/>
    <s v="SMB"/>
    <n v="2"/>
    <x v="0"/>
  </r>
  <r>
    <s v="LEAD0478"/>
    <s v="Lakeside Systems Co."/>
    <s v="SMB"/>
    <s v="CA"/>
    <s v="USR008"/>
    <s v="SMB"/>
    <n v="4"/>
    <s v="SMB Account Executive"/>
    <s v="SMB"/>
    <n v="4"/>
    <x v="0"/>
  </r>
  <r>
    <s v="LEAD0479"/>
    <s v="Brightwell Operations Solutions"/>
    <s v="SMB"/>
    <s v="GA"/>
    <s v="USR006"/>
    <s v="SMB"/>
    <n v="2"/>
    <s v="SMB Account Executive"/>
    <s v="SMB"/>
    <n v="2"/>
    <x v="0"/>
  </r>
  <r>
    <s v="LEAD0480"/>
    <s v="Cobalt Operations LLC"/>
    <s v="Mid-Market"/>
    <s v="TX"/>
    <s v="USR010"/>
    <s v="MM"/>
    <n v="2"/>
    <s v="Mid-Market Account Executive"/>
    <s v="MM"/>
    <n v="2"/>
    <x v="0"/>
  </r>
  <r>
    <s v="LEAD0481"/>
    <s v="Pioneer Dynamics Group"/>
    <s v="SMB"/>
    <s v="GA"/>
    <s v="USR006"/>
    <s v="SMB"/>
    <n v="2"/>
    <s v="SMB Account Executive"/>
    <s v="SMB"/>
    <n v="2"/>
    <x v="0"/>
  </r>
  <r>
    <s v="LEAD0482"/>
    <s v="Newbridge Logistics Co."/>
    <s v="SMB"/>
    <s v="MO"/>
    <s v="USR007"/>
    <s v="SMB"/>
    <n v="3"/>
    <s v="SMB Account Executive"/>
    <s v="SMB"/>
    <n v="3"/>
    <x v="0"/>
  </r>
  <r>
    <s v="LEAD0483"/>
    <s v="Copper Partners LLC"/>
    <s v="Mid-Market"/>
    <s v="UT"/>
    <s v="USR012"/>
    <s v="MM"/>
    <n v="4"/>
    <s v="Mid-Market Account Executive"/>
    <s v="MM"/>
    <n v="4"/>
    <x v="0"/>
  </r>
  <r>
    <s v="LEAD0484"/>
    <s v="Granite Distribution Systems"/>
    <m/>
    <s v="WA"/>
    <m/>
    <s v="Needs Review - Segment"/>
    <n v="4"/>
    <s v=""/>
    <s v=""/>
    <s v=""/>
    <x v="4"/>
  </r>
  <r>
    <s v="LEAD0485"/>
    <s v="Lakeside Technology Solutions"/>
    <s v="SMB"/>
    <s v="TN"/>
    <s v="USR006"/>
    <s v="SMB"/>
    <n v="2"/>
    <s v="SMB Account Executive"/>
    <s v="SMB"/>
    <n v="2"/>
    <x v="0"/>
  </r>
  <r>
    <s v="LEAD0486"/>
    <s v="Granite Health Inc."/>
    <s v="SMB"/>
    <s v="NE"/>
    <s v="USR007"/>
    <s v="SMB"/>
    <n v="3"/>
    <s v="SMB Account Executive"/>
    <s v="SMB"/>
    <n v="3"/>
    <x v="0"/>
  </r>
  <r>
    <s v="LEAD0487"/>
    <s v="Eastgate Supply Partners"/>
    <s v="Mid-Market"/>
    <s v="GA"/>
    <s v="USR010"/>
    <s v="MM"/>
    <n v="2"/>
    <s v="Mid-Market Account Executive"/>
    <s v="MM"/>
    <n v="2"/>
    <x v="0"/>
  </r>
  <r>
    <s v="LEAD0488"/>
    <s v="Falcon Distribution Partners"/>
    <s v="SMB"/>
    <s v="WI"/>
    <s v="USR007"/>
    <s v="SMB"/>
    <n v="3"/>
    <s v="SMB Account Executive"/>
    <s v="SMB"/>
    <n v="3"/>
    <x v="0"/>
  </r>
  <r>
    <s v="LEAD0489"/>
    <s v="ClearPath Analytics LLC"/>
    <s v="Mid-Market"/>
    <s v="TX"/>
    <s v="USR010"/>
    <s v="MM"/>
    <n v="2"/>
    <s v="Mid-Market Account Executive"/>
    <s v="MM"/>
    <n v="2"/>
    <x v="0"/>
  </r>
  <r>
    <s v="LEAD0490"/>
    <s v="Stonebridge Resources LLC"/>
    <s v="Mid-Market"/>
    <s v="KS"/>
    <s v="USR011"/>
    <s v="MM"/>
    <n v="3"/>
    <s v="Mid-Market Account Executive"/>
    <s v="MM"/>
    <n v="3"/>
    <x v="0"/>
  </r>
  <r>
    <s v="LEAD0491"/>
    <s v="Silverline Manufacturing Co."/>
    <s v="Mid-Market"/>
    <s v="FL"/>
    <s v="USR010"/>
    <s v="MM"/>
    <n v="2"/>
    <s v="Mid-Market Account Executive"/>
    <s v="MM"/>
    <n v="2"/>
    <x v="0"/>
  </r>
  <r>
    <s v="LEAD0492"/>
    <s v="Beacon Commerce Solutions"/>
    <s v="Mid-Market"/>
    <s v="PA"/>
    <s v="USR009"/>
    <s v="MM"/>
    <n v="1"/>
    <s v="Mid-Market Account Executive"/>
    <s v="MM"/>
    <n v="1"/>
    <x v="0"/>
  </r>
  <r>
    <s v="LEAD0493"/>
    <s v="Newbridge Operations Inc."/>
    <s v="SMB"/>
    <s v="FL"/>
    <s v="USR006"/>
    <s v="SMB"/>
    <n v="2"/>
    <s v="SMB Account Executive"/>
    <s v="SMB"/>
    <n v="2"/>
    <x v="0"/>
  </r>
  <r>
    <s v="LEAD0494"/>
    <s v="Eastgate Automation LLC"/>
    <m/>
    <s v="NC"/>
    <m/>
    <s v="Needs Review - Segment"/>
    <n v="2"/>
    <s v=""/>
    <s v=""/>
    <s v=""/>
    <x v="4"/>
  </r>
  <r>
    <s v="LEAD0495"/>
    <s v="Cedarstone Industries Co."/>
    <s v="Upper Mid-Market"/>
    <s v="NJ"/>
    <s v="USR009"/>
    <s v="MM"/>
    <n v="1"/>
    <s v="Mid-Market Account Executive"/>
    <s v="MM"/>
    <n v="1"/>
    <x v="0"/>
  </r>
  <r>
    <s v="LEAD0496"/>
    <s v="Silverline Solutions Systems"/>
    <s v="SMB"/>
    <s v="TN"/>
    <s v="USR006"/>
    <s v="SMB"/>
    <n v="2"/>
    <s v="SMB Account Executive"/>
    <s v="SMB"/>
    <n v="2"/>
    <x v="0"/>
  </r>
  <r>
    <s v="LEAD0497"/>
    <s v="Northstar Consulting Inc."/>
    <s v="Mid-Market"/>
    <s v="MA"/>
    <s v="USR009"/>
    <s v="MM"/>
    <n v="1"/>
    <s v="Mid-Market Account Executive"/>
    <s v="MM"/>
    <n v="1"/>
    <x v="0"/>
  </r>
  <r>
    <s v="LEAD0498"/>
    <s v="Evergreen Networks Solutions"/>
    <s v="SMB"/>
    <s v="MA"/>
    <s v="USR005"/>
    <s v="SMB"/>
    <n v="1"/>
    <s v="SMB Account Executive"/>
    <s v="SMB"/>
    <n v="1"/>
    <x v="0"/>
  </r>
  <r>
    <s v="LEAD0499"/>
    <s v="Crescent Manufacturing LLC"/>
    <s v="SMB"/>
    <s v="NC"/>
    <s v="USR006"/>
    <s v="SMB"/>
    <n v="2"/>
    <s v="SMB Account Executive"/>
    <s v="SMB"/>
    <n v="2"/>
    <x v="0"/>
  </r>
  <r>
    <s v="LEAD0500"/>
    <s v="Cedarstone Labs Co."/>
    <s v="SMB"/>
    <m/>
    <s v="USR007"/>
    <s v="SMB"/>
    <s v="Needs Review - Territory"/>
    <s v="SMB Account Executive"/>
    <s v="SMB"/>
    <n v="3"/>
    <x v="3"/>
  </r>
  <r>
    <s v="LEAD0501"/>
    <s v="Cobalt Distribution LLC"/>
    <s v="SMB"/>
    <s v="WV"/>
    <s v="USR005"/>
    <s v="SMB"/>
    <n v="1"/>
    <s v="SMB Account Executive"/>
    <s v="SMB"/>
    <n v="1"/>
    <x v="0"/>
  </r>
  <r>
    <s v="LEAD0502"/>
    <s v="Keystone Dynamics Systems"/>
    <s v="SMB"/>
    <s v="WI"/>
    <s v="USR007"/>
    <s v="SMB"/>
    <n v="3"/>
    <s v="SMB Account Executive"/>
    <s v="SMB"/>
    <n v="3"/>
    <x v="0"/>
  </r>
  <r>
    <s v="LEAD0503"/>
    <s v="Beacon Dynamics Systems"/>
    <m/>
    <s v="TN"/>
    <m/>
    <s v="Needs Review - Segment"/>
    <n v="2"/>
    <s v=""/>
    <s v=""/>
    <s v=""/>
    <x v="4"/>
  </r>
  <r>
    <s v="LEAD0504"/>
    <s v="Sterling Manufacturing Solutions"/>
    <s v="Mid-Market"/>
    <s v="NJ"/>
    <s v="USR009"/>
    <s v="MM"/>
    <n v="1"/>
    <s v="Mid-Market Account Executive"/>
    <s v="MM"/>
    <n v="1"/>
    <x v="0"/>
  </r>
  <r>
    <s v="LEAD0505"/>
    <s v="Westbrook Solutions Solutions"/>
    <s v="Mid-Market"/>
    <s v="CO"/>
    <s v="USR012"/>
    <s v="MM"/>
    <n v="4"/>
    <s v="Mid-Market Account Executive"/>
    <s v="MM"/>
    <n v="4"/>
    <x v="0"/>
  </r>
  <r>
    <s v="LEAD0506"/>
    <s v="Greenfield Partners Co."/>
    <s v="SMB"/>
    <s v="NC"/>
    <s v="USR006"/>
    <s v="SMB"/>
    <n v="2"/>
    <s v="SMB Account Executive"/>
    <s v="SMB"/>
    <n v="2"/>
    <x v="0"/>
  </r>
  <r>
    <s v="LEAD0507"/>
    <s v="Greenfield Automation Inc."/>
    <s v="SMB"/>
    <s v="IL"/>
    <s v="USR006"/>
    <s v="SMB"/>
    <n v="3"/>
    <s v="SMB Account Executive"/>
    <s v="SMB"/>
    <n v="2"/>
    <x v="2"/>
  </r>
  <r>
    <s v="LEAD0508"/>
    <s v="Falcon Systems Systems"/>
    <s v="Mid-Market"/>
    <s v="FL"/>
    <s v="USR010"/>
    <s v="MM"/>
    <n v="2"/>
    <s v="Mid-Market Account Executive"/>
    <s v="MM"/>
    <n v="2"/>
    <x v="0"/>
  </r>
  <r>
    <s v="LEAD0509"/>
    <s v="Apex Works Co."/>
    <s v="SMB"/>
    <s v="NY"/>
    <s v="USR005"/>
    <s v="SMB"/>
    <n v="1"/>
    <s v="SMB Account Executive"/>
    <s v="SMB"/>
    <n v="1"/>
    <x v="0"/>
  </r>
  <r>
    <s v="LEAD0510"/>
    <s v="Windward Supply Co."/>
    <s v="Mid-Market"/>
    <s v="MD"/>
    <s v="USR009"/>
    <s v="MM"/>
    <n v="1"/>
    <s v="Mid-Market Account Executive"/>
    <s v="MM"/>
    <n v="1"/>
    <x v="0"/>
  </r>
  <r>
    <s v="LEAD0511"/>
    <s v="Atlas Solutions Co."/>
    <s v="SMB"/>
    <s v="MN"/>
    <s v="USR007"/>
    <s v="SMB"/>
    <n v="3"/>
    <s v="SMB Account Executive"/>
    <s v="SMB"/>
    <n v="3"/>
    <x v="0"/>
  </r>
  <r>
    <s v="LEAD0512"/>
    <s v="Sterling Resources Solutions"/>
    <s v="Mid-Market"/>
    <s v="TX"/>
    <s v="USR010"/>
    <s v="MM"/>
    <n v="2"/>
    <s v="Mid-Market Account Executive"/>
    <s v="MM"/>
    <n v="2"/>
    <x v="0"/>
  </r>
  <r>
    <s v="LEAD0513"/>
    <s v="Eastgate Manufacturing Co."/>
    <s v="SMB"/>
    <s v="NM"/>
    <s v="USR008"/>
    <s v="SMB"/>
    <n v="4"/>
    <s v="SMB Account Executive"/>
    <s v="SMB"/>
    <n v="4"/>
    <x v="0"/>
  </r>
  <r>
    <s v="LEAD0514"/>
    <s v="Parkside Supply Partners"/>
    <s v="Mid-Market"/>
    <s v="CA"/>
    <s v="USR012"/>
    <s v="MM"/>
    <n v="4"/>
    <s v="Mid-Market Account Executive"/>
    <s v="MM"/>
    <n v="4"/>
    <x v="0"/>
  </r>
  <r>
    <s v="LEAD0515"/>
    <s v="Parkside Networks Group"/>
    <s v="Mid-Market"/>
    <s v="AR"/>
    <s v="USR010"/>
    <s v="MM"/>
    <n v="2"/>
    <s v="Mid-Market Account Executive"/>
    <s v="MM"/>
    <n v="2"/>
    <x v="0"/>
  </r>
  <r>
    <s v="LEAD0516"/>
    <s v="Silverline Commerce Co."/>
    <s v="Mid-Market"/>
    <s v="MN"/>
    <m/>
    <s v="MM"/>
    <n v="3"/>
    <s v=""/>
    <s v=""/>
    <s v=""/>
    <x v="4"/>
  </r>
  <r>
    <s v="LEAD0517"/>
    <s v="Pioneer Operations Systems"/>
    <s v="SMB"/>
    <s v="MI"/>
    <s v="USR007"/>
    <s v="SMB"/>
    <n v="3"/>
    <s v="SMB Account Executive"/>
    <s v="SMB"/>
    <n v="3"/>
    <x v="0"/>
  </r>
  <r>
    <s v="LEAD0518"/>
    <s v="Monarch Dynamics Inc."/>
    <s v="SMB"/>
    <s v="TN"/>
    <s v="USR006"/>
    <s v="SMB"/>
    <n v="2"/>
    <s v="SMB Account Executive"/>
    <s v="SMB"/>
    <n v="2"/>
    <x v="0"/>
  </r>
  <r>
    <s v="LEAD0519"/>
    <s v="Northstar Services Co."/>
    <s v="Upper Mid-Market"/>
    <s v="DC"/>
    <s v="USR009"/>
    <s v="MM"/>
    <n v="1"/>
    <s v="Mid-Market Account Executive"/>
    <s v="MM"/>
    <n v="1"/>
    <x v="0"/>
  </r>
  <r>
    <s v="LEAD0520"/>
    <s v="Riverton Health Co."/>
    <s v="SMB"/>
    <s v="CO"/>
    <s v="USR008"/>
    <s v="SMB"/>
    <n v="4"/>
    <s v="SMB Account Executive"/>
    <s v="SMB"/>
    <n v="4"/>
    <x v="0"/>
  </r>
  <r>
    <s v="LEAD0521"/>
    <s v="Cobalt Holdings Solutions"/>
    <s v="Mid-Market"/>
    <s v="TX"/>
    <s v="USR010"/>
    <s v="MM"/>
    <n v="2"/>
    <s v="Mid-Market Account Executive"/>
    <s v="MM"/>
    <n v="2"/>
    <x v="0"/>
  </r>
  <r>
    <s v="LEAD0522"/>
    <s v="Keystone Health Systems"/>
    <s v="SMB"/>
    <s v="MI"/>
    <s v="USR011"/>
    <s v="SMB"/>
    <n v="3"/>
    <s v="Mid-Market Account Executive"/>
    <s v="MM"/>
    <n v="3"/>
    <x v="5"/>
  </r>
  <r>
    <s v="LEAD0523"/>
    <s v="Highland Works Solutions"/>
    <s v="Mid-Market"/>
    <s v="PA"/>
    <s v="USR009"/>
    <s v="MM"/>
    <n v="1"/>
    <s v="Mid-Market Account Executive"/>
    <s v="MM"/>
    <n v="1"/>
    <x v="0"/>
  </r>
  <r>
    <s v="LEAD0524"/>
    <s v="Bridgepoint Automation Solutions"/>
    <s v="Mid-Market"/>
    <s v="MN"/>
    <s v="USR011"/>
    <s v="MM"/>
    <n v="3"/>
    <s v="Mid-Market Account Executive"/>
    <s v="MM"/>
    <n v="3"/>
    <x v="0"/>
  </r>
  <r>
    <s v="LEAD0525"/>
    <s v="Brightwell Commerce Solutions"/>
    <s v="Mid-Market"/>
    <s v="DC"/>
    <s v="USR009"/>
    <s v="MM"/>
    <n v="1"/>
    <s v="Mid-Market Account Executive"/>
    <s v="MM"/>
    <n v="1"/>
    <x v="0"/>
  </r>
  <r>
    <s v="LEAD0526"/>
    <s v="Maple Commerce Co."/>
    <s v="SMB"/>
    <s v="GA"/>
    <s v="USR006"/>
    <s v="SMB"/>
    <n v="2"/>
    <s v="SMB Account Executive"/>
    <s v="SMB"/>
    <n v="2"/>
    <x v="0"/>
  </r>
  <r>
    <s v="LEAD0527"/>
    <s v="Falcon Supply LLC"/>
    <s v="Mid-Market"/>
    <s v="MA"/>
    <s v="USR009"/>
    <s v="MM"/>
    <n v="1"/>
    <s v="Mid-Market Account Executive"/>
    <s v="MM"/>
    <n v="1"/>
    <x v="0"/>
  </r>
  <r>
    <s v="LEAD0528"/>
    <s v="Redwood Solutions Systems"/>
    <m/>
    <s v="MN"/>
    <m/>
    <s v="Needs Review - Segment"/>
    <n v="3"/>
    <s v=""/>
    <s v=""/>
    <s v=""/>
    <x v="4"/>
  </r>
  <r>
    <s v="LEAD0529"/>
    <s v="Westbrook Consulting Solutions"/>
    <s v="SMB"/>
    <s v="IA"/>
    <s v="USR008"/>
    <s v="SMB"/>
    <n v="3"/>
    <s v="SMB Account Executive"/>
    <s v="SMB"/>
    <n v="4"/>
    <x v="2"/>
  </r>
  <r>
    <s v="LEAD0530"/>
    <s v="Maple Operations Partners"/>
    <s v="Mid-Market"/>
    <s v="VA"/>
    <s v="USR010"/>
    <s v="MM"/>
    <n v="2"/>
    <s v="Mid-Market Account Executive"/>
    <s v="MM"/>
    <n v="2"/>
    <x v="0"/>
  </r>
  <r>
    <s v="LEAD0531"/>
    <s v="Riverbend Technology LLC"/>
    <s v="Mid-Market"/>
    <s v="CA"/>
    <s v="USR012"/>
    <s v="MM"/>
    <n v="4"/>
    <s v="Mid-Market Account Executive"/>
    <s v="MM"/>
    <n v="4"/>
    <x v="0"/>
  </r>
  <r>
    <s v="LEAD0532"/>
    <s v="Horizon Enterprises Co."/>
    <s v="Upper Mid-Market"/>
    <s v="MN"/>
    <s v="USR011"/>
    <s v="MM"/>
    <n v="3"/>
    <s v="Mid-Market Account Executive"/>
    <s v="MM"/>
    <n v="3"/>
    <x v="0"/>
  </r>
  <r>
    <s v="LEAD0533"/>
    <s v="Lakeside Dynamics LLC"/>
    <s v="SMB"/>
    <s v="FL"/>
    <s v="USR006"/>
    <s v="SMB"/>
    <n v="2"/>
    <s v="SMB Account Executive"/>
    <s v="SMB"/>
    <n v="2"/>
    <x v="0"/>
  </r>
  <r>
    <s v="LEAD0534"/>
    <s v="Ironwood Solutions Group"/>
    <s v="SMB"/>
    <s v="CT"/>
    <s v="USR005"/>
    <s v="SMB"/>
    <n v="1"/>
    <s v="SMB Account Executive"/>
    <s v="SMB"/>
    <n v="1"/>
    <x v="0"/>
  </r>
  <r>
    <s v="LEAD0535"/>
    <s v="ClearPath Automation Group"/>
    <s v="SMB"/>
    <s v="AZ"/>
    <s v="USR008"/>
    <s v="SMB"/>
    <n v="4"/>
    <s v="SMB Account Executive"/>
    <s v="SMB"/>
    <n v="4"/>
    <x v="0"/>
  </r>
  <r>
    <s v="LEAD0536"/>
    <s v="Greenfield Industries Partners"/>
    <s v="Mid-Market"/>
    <s v="IL"/>
    <s v="USR011"/>
    <s v="MM"/>
    <n v="3"/>
    <s v="Mid-Market Account Executive"/>
    <s v="MM"/>
    <n v="3"/>
    <x v="0"/>
  </r>
  <r>
    <s v="LEAD0537"/>
    <s v="Cobalt Manufacturing Systems"/>
    <m/>
    <s v="GA"/>
    <m/>
    <s v="Needs Review - Segment"/>
    <n v="2"/>
    <s v=""/>
    <s v=""/>
    <s v=""/>
    <x v="4"/>
  </r>
  <r>
    <s v="LEAD0538"/>
    <s v="Falcon Solutions Solutions"/>
    <s v="SMB"/>
    <s v="CA"/>
    <s v="USR008"/>
    <s v="SMB"/>
    <n v="4"/>
    <s v="SMB Account Executive"/>
    <s v="SMB"/>
    <n v="4"/>
    <x v="0"/>
  </r>
  <r>
    <s v="LEAD0539"/>
    <s v="Pioneer Group LLC"/>
    <s v="Mid-Market"/>
    <s v="MO"/>
    <s v="USR011"/>
    <s v="MM"/>
    <n v="3"/>
    <s v="Mid-Market Account Executive"/>
    <s v="MM"/>
    <n v="3"/>
    <x v="0"/>
  </r>
  <r>
    <s v="LEAD0540"/>
    <s v="Horizon Holdings Co."/>
    <s v="Mid-Market"/>
    <s v="OH"/>
    <s v="USR011"/>
    <s v="MM"/>
    <n v="3"/>
    <s v="Mid-Market Account Executive"/>
    <s v="MM"/>
    <n v="3"/>
    <x v="0"/>
  </r>
  <r>
    <s v="LEAD0541"/>
    <s v="Windward Services Partners"/>
    <s v="SMB"/>
    <s v="KS"/>
    <s v="USR007"/>
    <s v="SMB"/>
    <n v="3"/>
    <s v="SMB Account Executive"/>
    <s v="SMB"/>
    <n v="3"/>
    <x v="0"/>
  </r>
  <r>
    <s v="LEAD0542"/>
    <s v="Apex Operations LLC"/>
    <s v="SMB"/>
    <s v="CO"/>
    <s v="USR008"/>
    <s v="SMB"/>
    <n v="4"/>
    <s v="SMB Account Executive"/>
    <s v="SMB"/>
    <n v="4"/>
    <x v="0"/>
  </r>
  <r>
    <s v="LEAD0543"/>
    <s v="Lakeside Manufacturing Systems"/>
    <s v="SMB"/>
    <s v="PA"/>
    <s v="USR007"/>
    <s v="SMB"/>
    <n v="1"/>
    <s v="SMB Account Executive"/>
    <s v="SMB"/>
    <n v="3"/>
    <x v="2"/>
  </r>
  <r>
    <s v="LEAD0544"/>
    <s v="Lakeside Services Inc."/>
    <s v="SMB"/>
    <s v="WV"/>
    <s v="USR005"/>
    <s v="SMB"/>
    <n v="1"/>
    <s v="SMB Account Executive"/>
    <s v="SMB"/>
    <n v="1"/>
    <x v="0"/>
  </r>
  <r>
    <s v="LEAD0545"/>
    <s v="Beacon Systems LLC"/>
    <s v="SMB"/>
    <s v="NM"/>
    <s v="USR008"/>
    <s v="SMB"/>
    <n v="4"/>
    <s v="SMB Account Executive"/>
    <s v="SMB"/>
    <n v="4"/>
    <x v="0"/>
  </r>
  <r>
    <s v="LEAD0546"/>
    <s v="ClearPath Resources Solutions"/>
    <s v="Upper Mid-Market"/>
    <s v="OH"/>
    <s v="USR007"/>
    <s v="MM"/>
    <n v="3"/>
    <s v="SMB Account Executive"/>
    <s v="SMB"/>
    <n v="3"/>
    <x v="5"/>
  </r>
  <r>
    <s v="LEAD0547"/>
    <s v="Beacon Partners LLC"/>
    <s v="SMB"/>
    <s v="CA"/>
    <s v="USR008"/>
    <s v="SMB"/>
    <n v="4"/>
    <s v="SMB Account Executive"/>
    <s v="SMB"/>
    <n v="4"/>
    <x v="0"/>
  </r>
  <r>
    <s v="LEAD0548"/>
    <s v="Crescent Partners Systems"/>
    <s v="SMB"/>
    <s v="AR"/>
    <s v="USR006"/>
    <s v="SMB"/>
    <n v="2"/>
    <s v="SMB Account Executive"/>
    <s v="SMB"/>
    <n v="2"/>
    <x v="0"/>
  </r>
  <r>
    <s v="LEAD0549"/>
    <s v="Bridgepoint Holdings Systems"/>
    <s v="Upper Mid-Market"/>
    <s v="MA"/>
    <s v="USR009"/>
    <s v="MM"/>
    <n v="1"/>
    <s v="Mid-Market Account Executive"/>
    <s v="MM"/>
    <n v="1"/>
    <x v="0"/>
  </r>
  <r>
    <s v="LEAD0550"/>
    <s v="Bridgepoint Labs Co."/>
    <s v="SMB"/>
    <s v="SC"/>
    <s v="USR006"/>
    <s v="SMB"/>
    <n v="2"/>
    <s v="SMB Account Executive"/>
    <s v="SMB"/>
    <n v="2"/>
    <x v="0"/>
  </r>
  <r>
    <s v="LEAD0551"/>
    <s v="Eastgate Analytics LLC"/>
    <s v="Mid-Market"/>
    <s v="FL"/>
    <s v="USR010"/>
    <s v="MM"/>
    <n v="2"/>
    <s v="Mid-Market Account Executive"/>
    <s v="MM"/>
    <n v="2"/>
    <x v="0"/>
  </r>
  <r>
    <s v="LEAD0552"/>
    <s v="BluePeak Solutions Group"/>
    <s v="SMB"/>
    <s v="NM"/>
    <s v="USR008"/>
    <s v="SMB"/>
    <n v="4"/>
    <s v="SMB Account Executive"/>
    <s v="SMB"/>
    <n v="4"/>
    <x v="0"/>
  </r>
  <r>
    <s v="LEAD0553"/>
    <s v="Goldcrest Labs Systems"/>
    <s v="SMB"/>
    <s v="CA"/>
    <s v="USR008"/>
    <s v="SMB"/>
    <n v="4"/>
    <s v="SMB Account Executive"/>
    <s v="SMB"/>
    <n v="4"/>
    <x v="0"/>
  </r>
  <r>
    <s v="LEAD0554"/>
    <s v="Highland Systems Partners"/>
    <s v="SMB"/>
    <s v="NC"/>
    <s v="USR006"/>
    <s v="SMB"/>
    <n v="2"/>
    <s v="SMB Account Executive"/>
    <s v="SMB"/>
    <n v="2"/>
    <x v="0"/>
  </r>
  <r>
    <s v="LEAD0555"/>
    <s v="Atlas Analytics LLC"/>
    <s v="Upper Mid-Market"/>
    <s v="MD"/>
    <s v="USR009"/>
    <s v="MM"/>
    <n v="1"/>
    <s v="Mid-Market Account Executive"/>
    <s v="MM"/>
    <n v="1"/>
    <x v="0"/>
  </r>
  <r>
    <s v="LEAD0556"/>
    <s v="Riverbend Supply Co."/>
    <s v="SMB"/>
    <s v="FL"/>
    <s v="USR006"/>
    <s v="SMB"/>
    <n v="2"/>
    <s v="SMB Account Executive"/>
    <s v="SMB"/>
    <n v="2"/>
    <x v="0"/>
  </r>
  <r>
    <s v="LEAD0557"/>
    <s v="Brightwell Labs Co."/>
    <s v="Mid-Market"/>
    <s v="AZ"/>
    <s v="USR012"/>
    <s v="MM"/>
    <n v="4"/>
    <s v="Mid-Market Account Executive"/>
    <s v="MM"/>
    <n v="4"/>
    <x v="0"/>
  </r>
  <r>
    <s v="LEAD0558"/>
    <s v="Greenfield Distribution Partners"/>
    <m/>
    <s v="TX"/>
    <m/>
    <s v="Needs Review - Segment"/>
    <n v="2"/>
    <s v=""/>
    <s v=""/>
    <s v=""/>
    <x v="4"/>
  </r>
  <r>
    <s v="LEAD0559"/>
    <s v="ClearPath Labs LLC"/>
    <s v="Mid-Market"/>
    <s v="GA"/>
    <s v="USR010"/>
    <s v="MM"/>
    <n v="2"/>
    <s v="Mid-Market Account Executive"/>
    <s v="MM"/>
    <n v="2"/>
    <x v="0"/>
  </r>
  <r>
    <s v="LEAD0560"/>
    <s v="Harbor Enterprises Co."/>
    <s v="Upper Mid-Market"/>
    <s v="MT"/>
    <s v="USR012"/>
    <s v="MM"/>
    <n v="4"/>
    <s v="Mid-Market Account Executive"/>
    <s v="MM"/>
    <n v="4"/>
    <x v="0"/>
  </r>
  <r>
    <s v="LEAD0561"/>
    <s v="Vertex Systems Group"/>
    <s v="SMB"/>
    <s v="GA"/>
    <s v="USR006"/>
    <s v="SMB"/>
    <n v="2"/>
    <s v="SMB Account Executive"/>
    <s v="SMB"/>
    <n v="2"/>
    <x v="0"/>
  </r>
  <r>
    <s v="LEAD0562"/>
    <s v="BluePeak Operations Inc."/>
    <s v="SMB"/>
    <s v="IA"/>
    <s v="USR007"/>
    <s v="SMB"/>
    <n v="3"/>
    <s v="SMB Account Executive"/>
    <s v="SMB"/>
    <n v="3"/>
    <x v="0"/>
  </r>
  <r>
    <s v="LEAD0563"/>
    <s v="Solstice Group LLC"/>
    <s v="Upper Mid-Market"/>
    <s v="MA"/>
    <s v="USR009"/>
    <s v="MM"/>
    <n v="1"/>
    <s v="Mid-Market Account Executive"/>
    <s v="MM"/>
    <n v="1"/>
    <x v="0"/>
  </r>
  <r>
    <s v="LEAD0564"/>
    <s v="Parkside Services Co."/>
    <s v="Mid-Market"/>
    <s v="NY"/>
    <s v="USR009"/>
    <s v="MM"/>
    <n v="1"/>
    <s v="Mid-Market Account Executive"/>
    <s v="MM"/>
    <n v="1"/>
    <x v="0"/>
  </r>
  <r>
    <s v="LEAD0565"/>
    <s v="Westbrook Networks Co."/>
    <s v="SMB"/>
    <s v="NM"/>
    <s v="USR008"/>
    <s v="SMB"/>
    <n v="4"/>
    <s v="SMB Account Executive"/>
    <s v="SMB"/>
    <n v="4"/>
    <x v="0"/>
  </r>
  <r>
    <s v="LEAD0566"/>
    <s v="Keystone Analytics Co."/>
    <s v="Mid-Market"/>
    <s v="TX"/>
    <s v="USR010"/>
    <s v="MM"/>
    <n v="2"/>
    <s v="Mid-Market Account Executive"/>
    <s v="MM"/>
    <n v="2"/>
    <x v="0"/>
  </r>
  <r>
    <s v="LEAD0567"/>
    <s v="Pioneer Partners Co."/>
    <s v="Mid-Market"/>
    <s v="VA"/>
    <s v="USR010"/>
    <s v="MM"/>
    <n v="2"/>
    <s v="Mid-Market Account Executive"/>
    <s v="MM"/>
    <n v="2"/>
    <x v="0"/>
  </r>
  <r>
    <s v="LEAD0568"/>
    <s v="Lakeside Labs LLC"/>
    <s v="SMB"/>
    <s v="PA"/>
    <s v="USR005"/>
    <s v="SMB"/>
    <n v="1"/>
    <s v="SMB Account Executive"/>
    <s v="SMB"/>
    <n v="1"/>
    <x v="0"/>
  </r>
  <r>
    <s v="LEAD0569"/>
    <s v="Silverline Consulting Group"/>
    <s v="SMB"/>
    <s v="PA"/>
    <s v="USR005"/>
    <s v="SMB"/>
    <n v="1"/>
    <s v="SMB Account Executive"/>
    <s v="SMB"/>
    <n v="1"/>
    <x v="0"/>
  </r>
  <r>
    <s v="LEAD0570"/>
    <s v="Riverton Distribution LLC"/>
    <s v="SMB"/>
    <s v="CA"/>
    <s v="USR008"/>
    <s v="SMB"/>
    <n v="4"/>
    <s v="SMB Account Executive"/>
    <s v="SMB"/>
    <n v="4"/>
    <x v="0"/>
  </r>
  <r>
    <s v="LEAD0571"/>
    <s v="Monarch Dynamics Systems"/>
    <s v="SMB"/>
    <s v="FL"/>
    <s v="USR006"/>
    <s v="SMB"/>
    <n v="2"/>
    <s v="SMB Account Executive"/>
    <s v="SMB"/>
    <n v="2"/>
    <x v="0"/>
  </r>
  <r>
    <s v="LEAD0572"/>
    <s v="Silverline Automation Solutions"/>
    <s v="SMB"/>
    <s v="TX"/>
    <s v="USR006"/>
    <s v="SMB"/>
    <n v="2"/>
    <s v="SMB Account Executive"/>
    <s v="SMB"/>
    <n v="2"/>
    <x v="0"/>
  </r>
  <r>
    <s v="LEAD0573"/>
    <s v="Highland Operations Partners"/>
    <s v="Mid-Market"/>
    <s v="IN"/>
    <s v="USR011"/>
    <s v="MM"/>
    <n v="3"/>
    <s v="Mid-Market Account Executive"/>
    <s v="MM"/>
    <n v="3"/>
    <x v="0"/>
  </r>
  <r>
    <s v="LEAD0574"/>
    <s v="Cedarstone Holdings LLC"/>
    <s v="SMB"/>
    <s v="NY"/>
    <s v="USR005"/>
    <s v="SMB"/>
    <n v="1"/>
    <s v="SMB Account Executive"/>
    <s v="SMB"/>
    <n v="1"/>
    <x v="0"/>
  </r>
  <r>
    <s v="LEAD0575"/>
    <s v="Evergreen Group LLC"/>
    <m/>
    <s v="WI"/>
    <m/>
    <s v="Needs Review - Segment"/>
    <n v="3"/>
    <s v=""/>
    <s v=""/>
    <s v=""/>
    <x v="4"/>
  </r>
  <r>
    <s v="LEAD0576"/>
    <s v="Stonebridge Consulting Systems"/>
    <s v="SMB"/>
    <s v="WI"/>
    <s v="USR007"/>
    <s v="SMB"/>
    <n v="3"/>
    <s v="SMB Account Executive"/>
    <s v="SMB"/>
    <n v="3"/>
    <x v="0"/>
  </r>
  <r>
    <s v="LEAD0577"/>
    <s v="Keystone Labs Group"/>
    <s v="Mid-Market"/>
    <s v="PA"/>
    <s v="USR009"/>
    <s v="MM"/>
    <n v="1"/>
    <s v="Mid-Market Account Executive"/>
    <s v="MM"/>
    <n v="1"/>
    <x v="0"/>
  </r>
  <r>
    <s v="LEAD0578"/>
    <s v="Cobalt Resources LLC"/>
    <s v="Mid-Market"/>
    <s v="IL"/>
    <s v="USR011"/>
    <s v="MM"/>
    <n v="3"/>
    <s v="Mid-Market Account Executive"/>
    <s v="MM"/>
    <n v="3"/>
    <x v="0"/>
  </r>
  <r>
    <s v="LEAD0579"/>
    <s v="Cobalt Consulting Co."/>
    <s v="Upper Mid-Market"/>
    <s v="NJ"/>
    <s v="USR009"/>
    <s v="MM"/>
    <n v="1"/>
    <s v="Mid-Market Account Executive"/>
    <s v="MM"/>
    <n v="1"/>
    <x v="0"/>
  </r>
  <r>
    <s v="LEAD0580"/>
    <s v="Monarch Group Systems"/>
    <s v="SMB"/>
    <s v="OH"/>
    <s v="USR007"/>
    <s v="SMB"/>
    <n v="3"/>
    <s v="SMB Account Executive"/>
    <s v="SMB"/>
    <n v="3"/>
    <x v="0"/>
  </r>
  <r>
    <s v="LEAD0581"/>
    <s v="Newbridge Holdings Systems"/>
    <s v="SMB"/>
    <s v="NY"/>
    <s v="USR005"/>
    <s v="SMB"/>
    <n v="1"/>
    <s v="SMB Account Executive"/>
    <s v="SMB"/>
    <n v="1"/>
    <x v="0"/>
  </r>
  <r>
    <s v="LEAD0582"/>
    <s v="Liberty Labs LLC"/>
    <s v="SMB"/>
    <s v="TX"/>
    <s v="USR006"/>
    <s v="SMB"/>
    <n v="2"/>
    <s v="SMB Account Executive"/>
    <s v="SMB"/>
    <n v="2"/>
    <x v="0"/>
  </r>
  <r>
    <s v="LEAD0583"/>
    <s v="Brightwell Consulting Solutions"/>
    <s v="SMB"/>
    <s v="MA"/>
    <s v="USR005"/>
    <s v="SMB"/>
    <n v="1"/>
    <s v="SMB Account Executive"/>
    <s v="SMB"/>
    <n v="1"/>
    <x v="0"/>
  </r>
  <r>
    <s v="LEAD0584"/>
    <s v="Beacon Supply Solutions"/>
    <s v="SMB"/>
    <s v="MI"/>
    <s v="USR007"/>
    <s v="SMB"/>
    <n v="3"/>
    <s v="SMB Account Executive"/>
    <s v="SMB"/>
    <n v="3"/>
    <x v="0"/>
  </r>
  <r>
    <s v="LEAD0585"/>
    <s v="Harbor Automation LLC"/>
    <s v="SMB"/>
    <s v="FL"/>
    <s v="USR006"/>
    <s v="SMB"/>
    <n v="2"/>
    <s v="SMB Account Executive"/>
    <s v="SMB"/>
    <n v="2"/>
    <x v="0"/>
  </r>
  <r>
    <s v="LEAD0586"/>
    <s v="Falcon Works Solutions"/>
    <s v="SMB"/>
    <s v="NC"/>
    <s v="USR006"/>
    <s v="SMB"/>
    <n v="2"/>
    <s v="SMB Account Executive"/>
    <s v="SMB"/>
    <n v="2"/>
    <x v="0"/>
  </r>
  <r>
    <s v="LEAD0587"/>
    <s v="Evergreen Dynamics Group"/>
    <s v="SMB"/>
    <s v="SD"/>
    <s v="USR007"/>
    <s v="SMB"/>
    <n v="3"/>
    <s v="SMB Account Executive"/>
    <s v="SMB"/>
    <n v="3"/>
    <x v="0"/>
  </r>
  <r>
    <s v="LEAD0588"/>
    <s v="Keystone Manufacturing Inc."/>
    <s v="SMB"/>
    <s v="NC"/>
    <s v="USR005"/>
    <s v="SMB"/>
    <n v="2"/>
    <s v="SMB Account Executive"/>
    <s v="SMB"/>
    <n v="1"/>
    <x v="2"/>
  </r>
  <r>
    <s v="LEAD0589"/>
    <s v="Beacon Automation Co."/>
    <s v="Upper Mid-Market"/>
    <s v="ND"/>
    <s v="USR011"/>
    <s v="MM"/>
    <n v="3"/>
    <s v="Mid-Market Account Executive"/>
    <s v="MM"/>
    <n v="3"/>
    <x v="0"/>
  </r>
  <r>
    <s v="LEAD0590"/>
    <s v="Copper Systems Partners"/>
    <s v="SMB"/>
    <s v="VA"/>
    <s v="USR006"/>
    <s v="SMB"/>
    <n v="2"/>
    <s v="SMB Account Executive"/>
    <s v="SMB"/>
    <n v="2"/>
    <x v="0"/>
  </r>
  <r>
    <s v="LEAD0591"/>
    <s v="Monarch Partners Partners"/>
    <s v="Mid-Market"/>
    <s v="IL"/>
    <s v="USR011"/>
    <s v="MM"/>
    <n v="3"/>
    <s v="Mid-Market Account Executive"/>
    <s v="MM"/>
    <n v="3"/>
    <x v="0"/>
  </r>
  <r>
    <s v="LEAD0592"/>
    <s v="Crescent Enterprises Solutions"/>
    <s v="SMB"/>
    <s v="NC"/>
    <s v="USR006"/>
    <s v="SMB"/>
    <n v="2"/>
    <s v="SMB Account Executive"/>
    <s v="SMB"/>
    <n v="2"/>
    <x v="0"/>
  </r>
  <r>
    <s v="LEAD0593"/>
    <s v="Harbor Group Partners"/>
    <s v="Mid-Market"/>
    <s v="NC"/>
    <s v="USR010"/>
    <s v="MM"/>
    <n v="2"/>
    <s v="Mid-Market Account Executive"/>
    <s v="MM"/>
    <n v="2"/>
    <x v="0"/>
  </r>
  <r>
    <s v="LEAD0594"/>
    <s v="Falcon Holdings LLC"/>
    <s v="Mid-Market"/>
    <s v="FL"/>
    <s v="USR010"/>
    <s v="MM"/>
    <n v="2"/>
    <s v="Mid-Market Account Executive"/>
    <s v="MM"/>
    <n v="2"/>
    <x v="0"/>
  </r>
  <r>
    <s v="LEAD0595"/>
    <s v="Windward Holdings Solutions"/>
    <s v="Mid-Market"/>
    <s v="CA"/>
    <s v="USR012"/>
    <s v="MM"/>
    <n v="4"/>
    <s v="Mid-Market Account Executive"/>
    <s v="MM"/>
    <n v="4"/>
    <x v="0"/>
  </r>
  <r>
    <s v="LEAD0596"/>
    <s v="BluePeak Logistics Group"/>
    <s v="SMB"/>
    <s v="CA"/>
    <s v="USR008"/>
    <s v="SMB"/>
    <n v="4"/>
    <s v="SMB Account Executive"/>
    <s v="SMB"/>
    <n v="4"/>
    <x v="0"/>
  </r>
  <r>
    <s v="LEAD0597"/>
    <s v="Northstar Enterprises Co."/>
    <s v="SMB"/>
    <s v="GA"/>
    <s v="USR006"/>
    <s v="SMB"/>
    <n v="2"/>
    <s v="SMB Account Executive"/>
    <s v="SMB"/>
    <n v="2"/>
    <x v="0"/>
  </r>
  <r>
    <s v="LEAD0598"/>
    <s v="Redwood Partners Partners"/>
    <s v="SMB"/>
    <s v="NY"/>
    <s v="USR005"/>
    <s v="SMB"/>
    <n v="1"/>
    <s v="SMB Account Executive"/>
    <s v="SMB"/>
    <n v="1"/>
    <x v="0"/>
  </r>
  <r>
    <s v="LEAD0599"/>
    <s v="Ironwood Holdings Partners"/>
    <s v="SMB"/>
    <s v="TN"/>
    <s v="USR006"/>
    <s v="SMB"/>
    <n v="2"/>
    <s v="SMB Account Executive"/>
    <s v="SMB"/>
    <n v="2"/>
    <x v="0"/>
  </r>
  <r>
    <s v="LEAD0600"/>
    <s v="Sterling Partners Co."/>
    <s v="SMB"/>
    <s v="NJ"/>
    <s v="USR005"/>
    <s v="SMB"/>
    <n v="1"/>
    <s v="SMB Account Executive"/>
    <s v="SMB"/>
    <n v="1"/>
    <x v="0"/>
  </r>
  <r>
    <s v="LEAD0601"/>
    <s v="Cobalt Enterprises Inc."/>
    <s v="Mid-Market"/>
    <s v="OR"/>
    <s v="USR012"/>
    <s v="MM"/>
    <n v="4"/>
    <s v="Mid-Market Account Executive"/>
    <s v="MM"/>
    <n v="4"/>
    <x v="0"/>
  </r>
  <r>
    <s v="LEAD0602"/>
    <s v="Riverton Enterprises Partners"/>
    <s v="SMB"/>
    <s v="HI"/>
    <s v="USR008"/>
    <s v="SMB"/>
    <n v="4"/>
    <s v="SMB Account Executive"/>
    <s v="SMB"/>
    <n v="4"/>
    <x v="0"/>
  </r>
  <r>
    <s v="LEAD0603"/>
    <s v="BluePeak Health Inc."/>
    <s v="SMB"/>
    <s v="TX"/>
    <s v="USR006"/>
    <s v="SMB"/>
    <n v="2"/>
    <s v="SMB Account Executive"/>
    <s v="SMB"/>
    <n v="2"/>
    <x v="0"/>
  </r>
  <r>
    <s v="LEAD0604"/>
    <s v="Parkside Solutions Solutions"/>
    <s v="Upper Mid-Market"/>
    <s v="FL"/>
    <s v="USR010"/>
    <s v="MM"/>
    <n v="2"/>
    <s v="Mid-Market Account Executive"/>
    <s v="MM"/>
    <n v="2"/>
    <x v="0"/>
  </r>
  <r>
    <s v="LEAD0605"/>
    <s v="Parkside Automation Inc."/>
    <s v="SMB"/>
    <s v="IL"/>
    <s v="USR007"/>
    <s v="SMB"/>
    <n v="3"/>
    <s v="SMB Account Executive"/>
    <s v="SMB"/>
    <n v="3"/>
    <x v="0"/>
  </r>
  <r>
    <s v="LEAD0606"/>
    <s v="Vertex Industries Partners"/>
    <s v="Upper Mid-Market"/>
    <s v="NJ"/>
    <s v="USR009"/>
    <s v="MM"/>
    <n v="1"/>
    <s v="Mid-Market Account Executive"/>
    <s v="MM"/>
    <n v="1"/>
    <x v="0"/>
  </r>
  <r>
    <s v="LEAD0607"/>
    <s v="Liberty Operations Group"/>
    <s v="Mid-Market"/>
    <s v="AR"/>
    <s v="USR010"/>
    <s v="MM"/>
    <n v="2"/>
    <s v="Mid-Market Account Executive"/>
    <s v="MM"/>
    <n v="2"/>
    <x v="0"/>
  </r>
  <r>
    <s v="LEAD0608"/>
    <s v="Prime Logistics Solutions"/>
    <s v="SMB"/>
    <s v="GA"/>
    <s v="USR006"/>
    <s v="SMB"/>
    <n v="2"/>
    <s v="SMB Account Executive"/>
    <s v="SMB"/>
    <n v="2"/>
    <x v="0"/>
  </r>
  <r>
    <s v="LEAD0609"/>
    <s v="Horizon Resources Systems"/>
    <s v="SMB"/>
    <s v="WY"/>
    <s v="USR008"/>
    <s v="SMB"/>
    <n v="4"/>
    <s v="SMB Account Executive"/>
    <s v="SMB"/>
    <n v="4"/>
    <x v="0"/>
  </r>
  <r>
    <s v="LEAD0610"/>
    <s v="Horizon Analytics Group"/>
    <s v="SMB"/>
    <s v="AZ"/>
    <s v="USR008"/>
    <s v="SMB"/>
    <n v="4"/>
    <s v="SMB Account Executive"/>
    <s v="SMB"/>
    <n v="4"/>
    <x v="0"/>
  </r>
  <r>
    <s v="LEAD0611"/>
    <s v="Vertex Partners Co."/>
    <s v="SMB"/>
    <s v="ME"/>
    <s v="USR005"/>
    <s v="SMB"/>
    <n v="1"/>
    <s v="SMB Account Executive"/>
    <s v="SMB"/>
    <n v="1"/>
    <x v="0"/>
  </r>
  <r>
    <s v="LEAD0612"/>
    <s v="Bridgepoint Group Systems"/>
    <s v="SMB"/>
    <s v="SC"/>
    <s v="USR006"/>
    <s v="SMB"/>
    <n v="2"/>
    <s v="SMB Account Executive"/>
    <s v="SMB"/>
    <n v="2"/>
    <x v="0"/>
  </r>
  <r>
    <s v="LEAD0613"/>
    <s v="Bridgepoint Dynamics Solutions"/>
    <s v="SMB"/>
    <s v="IL"/>
    <s v="USR007"/>
    <s v="SMB"/>
    <n v="3"/>
    <s v="SMB Account Executive"/>
    <s v="SMB"/>
    <n v="3"/>
    <x v="0"/>
  </r>
  <r>
    <s v="LEAD0614"/>
    <s v="Apex Commerce Group"/>
    <s v="SMB"/>
    <s v="CA"/>
    <s v="USR008"/>
    <s v="SMB"/>
    <n v="4"/>
    <s v="SMB Account Executive"/>
    <s v="SMB"/>
    <n v="4"/>
    <x v="0"/>
  </r>
  <r>
    <s v="LEAD0615"/>
    <s v="Redwood Operations LLC"/>
    <s v="Mid-Market"/>
    <s v="NY"/>
    <s v="USR009"/>
    <s v="MM"/>
    <n v="1"/>
    <s v="Mid-Market Account Executive"/>
    <s v="MM"/>
    <n v="1"/>
    <x v="0"/>
  </r>
  <r>
    <s v="LEAD0616"/>
    <s v="Cedarstone Holdings Systems"/>
    <s v="SMB"/>
    <s v="GA"/>
    <s v="USR006"/>
    <s v="SMB"/>
    <n v="2"/>
    <s v="SMB Account Executive"/>
    <s v="SMB"/>
    <n v="2"/>
    <x v="0"/>
  </r>
  <r>
    <s v="LEAD0617"/>
    <s v="Westbrook Dynamics Partners"/>
    <s v="SMB"/>
    <s v="MD"/>
    <s v="USR005"/>
    <s v="SMB"/>
    <n v="1"/>
    <s v="SMB Account Executive"/>
    <s v="SMB"/>
    <n v="1"/>
    <x v="0"/>
  </r>
  <r>
    <s v="LEAD0618"/>
    <s v="Evergreen Industries Systems"/>
    <s v="Mid-Market"/>
    <s v="IL"/>
    <s v="USR007"/>
    <s v="MM"/>
    <n v="3"/>
    <s v="SMB Account Executive"/>
    <s v="SMB"/>
    <n v="3"/>
    <x v="5"/>
  </r>
  <r>
    <s v="LEAD0619"/>
    <s v="Northstar Analytics Group"/>
    <s v="Mid-Market"/>
    <s v="FL"/>
    <s v="USR010"/>
    <s v="MM"/>
    <n v="2"/>
    <s v="Mid-Market Account Executive"/>
    <s v="MM"/>
    <n v="2"/>
    <x v="0"/>
  </r>
  <r>
    <s v="LEAD0620"/>
    <s v="Greenfield Services Group"/>
    <s v="Mid-Market"/>
    <s v="SD"/>
    <s v="USR011"/>
    <s v="MM"/>
    <n v="3"/>
    <s v="Mid-Market Account Executive"/>
    <s v="MM"/>
    <n v="3"/>
    <x v="0"/>
  </r>
  <r>
    <s v="LEAD0621"/>
    <s v="Brightwell Industries LLC"/>
    <s v="SMB"/>
    <s v="MN"/>
    <s v="USR007"/>
    <s v="SMB"/>
    <n v="3"/>
    <s v="SMB Account Executive"/>
    <s v="SMB"/>
    <n v="3"/>
    <x v="0"/>
  </r>
  <r>
    <s v="LEAD0622"/>
    <s v="Ironwood Labs Group"/>
    <s v="SMB"/>
    <s v="RI"/>
    <s v="USR005"/>
    <s v="SMB"/>
    <n v="1"/>
    <s v="SMB Account Executive"/>
    <s v="SMB"/>
    <n v="1"/>
    <x v="0"/>
  </r>
  <r>
    <s v="LEAD0623"/>
    <s v="Pioneer Health Systems"/>
    <s v="Mid-Market"/>
    <s v="WA"/>
    <s v="USR012"/>
    <s v="MM"/>
    <n v="4"/>
    <s v="Mid-Market Account Executive"/>
    <s v="MM"/>
    <n v="4"/>
    <x v="0"/>
  </r>
  <r>
    <s v="LEAD0624"/>
    <s v="ClearPath Group Solutions"/>
    <s v="SMB"/>
    <s v="CA"/>
    <s v="USR007"/>
    <s v="SMB"/>
    <n v="4"/>
    <s v="SMB Account Executive"/>
    <s v="SMB"/>
    <n v="3"/>
    <x v="2"/>
  </r>
  <r>
    <s v="LEAD0625"/>
    <s v="Westbrook Commerce Systems"/>
    <s v="Mid-Market"/>
    <s v="MO"/>
    <s v="USR011"/>
    <s v="MM"/>
    <n v="3"/>
    <s v="Mid-Market Account Executive"/>
    <s v="MM"/>
    <n v="3"/>
    <x v="0"/>
  </r>
  <r>
    <s v="LEAD0626"/>
    <s v="Bridgepoint Enterprises Systems"/>
    <s v="Mid-Market"/>
    <s v="NY"/>
    <s v="USR009"/>
    <s v="MM"/>
    <n v="1"/>
    <s v="Mid-Market Account Executive"/>
    <s v="MM"/>
    <n v="1"/>
    <x v="0"/>
  </r>
  <r>
    <s v="LEAD0627"/>
    <s v="Harbor Works Group"/>
    <s v="SMB"/>
    <s v="AZ"/>
    <s v="USR008"/>
    <s v="SMB"/>
    <n v="4"/>
    <s v="SMB Account Executive"/>
    <s v="SMB"/>
    <n v="4"/>
    <x v="0"/>
  </r>
  <r>
    <s v="LEAD0628"/>
    <s v="BluePeak Analytics Co."/>
    <s v="Mid-Market"/>
    <s v="WA"/>
    <s v="USR008"/>
    <s v="MM"/>
    <n v="4"/>
    <s v="SMB Account Executive"/>
    <s v="SMB"/>
    <n v="4"/>
    <x v="5"/>
  </r>
  <r>
    <s v="LEAD0629"/>
    <s v="Ironwood Operations Inc."/>
    <s v="SMB"/>
    <s v="TN"/>
    <s v="USR006"/>
    <s v="SMB"/>
    <n v="2"/>
    <s v="SMB Account Executive"/>
    <s v="SMB"/>
    <n v="2"/>
    <x v="0"/>
  </r>
  <r>
    <s v="LEAD0630"/>
    <s v="Silverline Services Solutions"/>
    <s v="SMB"/>
    <s v="PA"/>
    <s v="USR005"/>
    <s v="SMB"/>
    <n v="1"/>
    <s v="SMB Account Executive"/>
    <s v="SMB"/>
    <n v="1"/>
    <x v="0"/>
  </r>
  <r>
    <s v="LEAD0631"/>
    <s v="Westbrook Labs Solutions"/>
    <s v="Upper Mid-Market"/>
    <s v="NY"/>
    <s v="USR009"/>
    <s v="MM"/>
    <n v="1"/>
    <s v="Mid-Market Account Executive"/>
    <s v="MM"/>
    <n v="1"/>
    <x v="0"/>
  </r>
  <r>
    <s v="LEAD0632"/>
    <s v="Highland Operations Solutions"/>
    <s v="Mid-Market"/>
    <s v="TX"/>
    <s v="USR010"/>
    <s v="MM"/>
    <n v="2"/>
    <s v="Mid-Market Account Executive"/>
    <s v="MM"/>
    <n v="2"/>
    <x v="0"/>
  </r>
  <r>
    <s v="LEAD0633"/>
    <s v="Windward Labs Solutions"/>
    <s v="Upper Mid-Market"/>
    <s v="NY"/>
    <s v="USR009"/>
    <s v="MM"/>
    <n v="1"/>
    <s v="Mid-Market Account Executive"/>
    <s v="MM"/>
    <n v="1"/>
    <x v="0"/>
  </r>
  <r>
    <s v="LEAD0634"/>
    <s v="Horizon Commerce Systems"/>
    <s v="SMB"/>
    <s v="AK"/>
    <s v="USR008"/>
    <s v="SMB"/>
    <n v="4"/>
    <s v="SMB Account Executive"/>
    <s v="SMB"/>
    <n v="4"/>
    <x v="0"/>
  </r>
  <r>
    <s v="LEAD0635"/>
    <s v="Eastgate Group Group"/>
    <s v="Mid-Market"/>
    <s v="WA"/>
    <s v="USR012"/>
    <s v="MM"/>
    <n v="4"/>
    <s v="Mid-Market Account Executive"/>
    <s v="MM"/>
    <n v="4"/>
    <x v="0"/>
  </r>
  <r>
    <s v="LEAD0636"/>
    <s v="Horizon Logistics LLC"/>
    <s v="Mid-Market"/>
    <s v="CT"/>
    <s v="USR009"/>
    <s v="MM"/>
    <n v="1"/>
    <s v="Mid-Market Account Executive"/>
    <s v="MM"/>
    <n v="1"/>
    <x v="0"/>
  </r>
  <r>
    <s v="LEAD0637"/>
    <s v="Cedarstone Works Solutions"/>
    <m/>
    <s v="NM"/>
    <m/>
    <s v="Needs Review - Segment"/>
    <n v="4"/>
    <s v=""/>
    <s v=""/>
    <s v=""/>
    <x v="4"/>
  </r>
  <r>
    <s v="LEAD0638"/>
    <s v="Atlas Operations Co."/>
    <s v="SMB"/>
    <s v="GA"/>
    <s v="USR006"/>
    <s v="SMB"/>
    <n v="2"/>
    <s v="SMB Account Executive"/>
    <s v="SMB"/>
    <n v="2"/>
    <x v="0"/>
  </r>
  <r>
    <s v="LEAD0639"/>
    <s v="Beacon Health Group"/>
    <s v="Mid-Market"/>
    <s v="VA"/>
    <s v="USR010"/>
    <s v="MM"/>
    <n v="2"/>
    <s v="Mid-Market Account Executive"/>
    <s v="MM"/>
    <n v="2"/>
    <x v="0"/>
  </r>
  <r>
    <s v="LEAD0640"/>
    <s v="Ironwood Resources Inc."/>
    <s v="SMB"/>
    <s v="IL"/>
    <s v="USR007"/>
    <s v="SMB"/>
    <n v="3"/>
    <s v="SMB Account Executive"/>
    <s v="SMB"/>
    <n v="3"/>
    <x v="0"/>
  </r>
  <r>
    <s v="LEAD0641"/>
    <s v="Goldcrest Holdings Group"/>
    <s v="SMB"/>
    <s v="MN"/>
    <m/>
    <s v="SMB"/>
    <n v="3"/>
    <s v=""/>
    <s v=""/>
    <s v=""/>
    <x v="4"/>
  </r>
  <r>
    <s v="LEAD0642"/>
    <s v="Summit Distribution Co."/>
    <s v="Mid-Market"/>
    <s v="AK"/>
    <s v="USR012"/>
    <s v="MM"/>
    <n v="4"/>
    <s v="Mid-Market Account Executive"/>
    <s v="MM"/>
    <n v="4"/>
    <x v="0"/>
  </r>
  <r>
    <s v="LEAD0643"/>
    <s v="Highland Enterprises Partners"/>
    <s v="SMB"/>
    <s v="NV"/>
    <s v="USR008"/>
    <s v="SMB"/>
    <n v="4"/>
    <s v="SMB Account Executive"/>
    <s v="SMB"/>
    <n v="4"/>
    <x v="0"/>
  </r>
  <r>
    <s v="LEAD0644"/>
    <s v="Riverbend Logistics Group"/>
    <m/>
    <s v="CA"/>
    <m/>
    <s v="Needs Review - Segment"/>
    <n v="4"/>
    <s v=""/>
    <s v=""/>
    <s v=""/>
    <x v="4"/>
  </r>
  <r>
    <s v="LEAD0645"/>
    <s v="Northstar Networks Solutions"/>
    <s v="Upper Mid-Market"/>
    <s v="SC"/>
    <s v="USR010"/>
    <s v="MM"/>
    <n v="2"/>
    <s v="Mid-Market Account Executive"/>
    <s v="MM"/>
    <n v="2"/>
    <x v="0"/>
  </r>
  <r>
    <s v="LEAD0646"/>
    <s v="Liberty Automation Solutions"/>
    <s v="Mid-Market"/>
    <s v="OR"/>
    <s v="USR012"/>
    <s v="MM"/>
    <n v="4"/>
    <s v="Mid-Market Account Executive"/>
    <s v="MM"/>
    <n v="4"/>
    <x v="0"/>
  </r>
  <r>
    <s v="LEAD0647"/>
    <s v="Apex Logistics Inc."/>
    <s v="Upper Mid-Market"/>
    <s v="MD"/>
    <s v="USR005"/>
    <s v="MM"/>
    <n v="1"/>
    <s v="SMB Account Executive"/>
    <s v="SMB"/>
    <n v="1"/>
    <x v="5"/>
  </r>
  <r>
    <s v="LEAD0648"/>
    <s v="Bridgepoint Supply LLC"/>
    <s v="Mid-Market"/>
    <s v="MN"/>
    <s v="USR011"/>
    <s v="MM"/>
    <n v="3"/>
    <s v="Mid-Market Account Executive"/>
    <s v="MM"/>
    <n v="3"/>
    <x v="0"/>
  </r>
  <r>
    <s v="LEAD0649"/>
    <s v="ClearPath Works LLC"/>
    <s v="SMB"/>
    <s v="NY"/>
    <s v="USR005"/>
    <s v="SMB"/>
    <n v="1"/>
    <s v="SMB Account Executive"/>
    <s v="SMB"/>
    <n v="1"/>
    <x v="0"/>
  </r>
  <r>
    <s v="LEAD0650"/>
    <s v="Goldcrest Resources Systems"/>
    <s v="SMB"/>
    <s v="VT"/>
    <s v="USR005"/>
    <s v="SMB"/>
    <n v="1"/>
    <s v="SMB Account Executive"/>
    <s v="SMB"/>
    <n v="1"/>
    <x v="0"/>
  </r>
  <r>
    <s v="LEAD0651"/>
    <s v="Riverbend Industries Co."/>
    <s v="SMB"/>
    <s v="NC"/>
    <s v="USR006"/>
    <s v="SMB"/>
    <n v="2"/>
    <s v="SMB Account Executive"/>
    <s v="SMB"/>
    <n v="2"/>
    <x v="0"/>
  </r>
  <r>
    <s v="LEAD0652"/>
    <s v="Riverbend Dynamics Systems"/>
    <s v="SMB"/>
    <s v="MA"/>
    <s v="USR005"/>
    <s v="SMB"/>
    <n v="1"/>
    <s v="SMB Account Executive"/>
    <s v="SMB"/>
    <n v="1"/>
    <x v="0"/>
  </r>
  <r>
    <s v="LEAD0653"/>
    <s v="Harbor Manufacturing Solutions"/>
    <s v="Upper Mid-Market"/>
    <s v="LA"/>
    <s v="USR010"/>
    <s v="MM"/>
    <n v="2"/>
    <s v="Mid-Market Account Executive"/>
    <s v="MM"/>
    <n v="2"/>
    <x v="0"/>
  </r>
  <r>
    <s v="LEAD0654"/>
    <s v="Redwood Labs Partners"/>
    <s v="Upper Mid-Market"/>
    <s v="PA"/>
    <s v="USR009"/>
    <s v="MM"/>
    <n v="1"/>
    <s v="Mid-Market Account Executive"/>
    <s v="MM"/>
    <n v="1"/>
    <x v="0"/>
  </r>
  <r>
    <s v="LEAD0655"/>
    <s v="Silverline Automation Partners"/>
    <s v="Mid-Market"/>
    <s v="WA"/>
    <s v="USR012"/>
    <s v="MM"/>
    <n v="4"/>
    <s v="Mid-Market Account Executive"/>
    <s v="MM"/>
    <n v="4"/>
    <x v="0"/>
  </r>
  <r>
    <s v="LEAD0656"/>
    <s v="Falcon Consulting Co."/>
    <s v="SMB"/>
    <s v="CA"/>
    <s v="USR008"/>
    <s v="SMB"/>
    <n v="4"/>
    <s v="SMB Account Executive"/>
    <s v="SMB"/>
    <n v="4"/>
    <x v="0"/>
  </r>
  <r>
    <s v="LEAD0657"/>
    <s v="Parkside Industries Group"/>
    <s v="Mid-Market"/>
    <s v="IL"/>
    <s v="USR011"/>
    <s v="MM"/>
    <n v="3"/>
    <s v="Mid-Market Account Executive"/>
    <s v="MM"/>
    <n v="3"/>
    <x v="0"/>
  </r>
  <r>
    <s v="LEAD0658"/>
    <s v="Oakridge Group LLC"/>
    <s v="SMB"/>
    <s v="SD"/>
    <s v="USR007"/>
    <s v="SMB"/>
    <n v="3"/>
    <s v="SMB Account Executive"/>
    <s v="SMB"/>
    <n v="3"/>
    <x v="0"/>
  </r>
  <r>
    <s v="LEAD0659"/>
    <s v="Apex Labs Systems"/>
    <s v="SMB"/>
    <s v="NY"/>
    <s v="USR005"/>
    <s v="SMB"/>
    <n v="1"/>
    <s v="SMB Account Executive"/>
    <s v="SMB"/>
    <n v="1"/>
    <x v="0"/>
  </r>
  <r>
    <s v="LEAD0660"/>
    <s v="Parkside Group Group"/>
    <s v="Mid-Market"/>
    <s v="IL"/>
    <s v="USR011"/>
    <s v="MM"/>
    <n v="3"/>
    <s v="Mid-Market Account Executive"/>
    <s v="MM"/>
    <n v="3"/>
    <x v="0"/>
  </r>
  <r>
    <s v="LEAD0661"/>
    <s v="Granite Logistics Group"/>
    <s v="SMB"/>
    <s v="CA"/>
    <s v="USR008"/>
    <s v="SMB"/>
    <n v="4"/>
    <s v="SMB Account Executive"/>
    <s v="SMB"/>
    <n v="4"/>
    <x v="0"/>
  </r>
  <r>
    <s v="LEAD0662"/>
    <s v="Apex Group Inc."/>
    <s v="SMB"/>
    <s v="MO"/>
    <s v="USR007"/>
    <s v="SMB"/>
    <n v="3"/>
    <s v="SMB Account Executive"/>
    <s v="SMB"/>
    <n v="3"/>
    <x v="0"/>
  </r>
  <r>
    <s v="LEAD0663"/>
    <s v="Greenfield Dynamics Inc."/>
    <s v="Mid-Market"/>
    <s v="TX"/>
    <s v="USR010"/>
    <s v="MM"/>
    <n v="2"/>
    <s v="Mid-Market Account Executive"/>
    <s v="MM"/>
    <n v="2"/>
    <x v="0"/>
  </r>
  <r>
    <s v="LEAD0664"/>
    <s v="Summit Systems Systems"/>
    <s v="SMB"/>
    <s v="KS"/>
    <s v="USR007"/>
    <s v="SMB"/>
    <n v="3"/>
    <s v="SMB Account Executive"/>
    <s v="SMB"/>
    <n v="3"/>
    <x v="0"/>
  </r>
  <r>
    <s v="LEAD0665"/>
    <s v="Parkside Health LLC"/>
    <s v="Mid-Market"/>
    <s v="KY"/>
    <s v="USR010"/>
    <s v="MM"/>
    <n v="2"/>
    <s v="Mid-Market Account Executive"/>
    <s v="MM"/>
    <n v="2"/>
    <x v="0"/>
  </r>
  <r>
    <s v="LEAD0666"/>
    <s v="Ironwood Analytics Inc."/>
    <s v="Mid-Market"/>
    <s v="CA"/>
    <s v="USR012"/>
    <s v="MM"/>
    <n v="4"/>
    <s v="Mid-Market Account Executive"/>
    <s v="MM"/>
    <n v="4"/>
    <x v="0"/>
  </r>
  <r>
    <s v="LEAD0667"/>
    <s v="Redwood Consulting Co."/>
    <s v="Mid-Market"/>
    <s v="NC"/>
    <s v="USR010"/>
    <s v="MM"/>
    <n v="2"/>
    <s v="Mid-Market Account Executive"/>
    <s v="MM"/>
    <n v="2"/>
    <x v="0"/>
  </r>
  <r>
    <s v="LEAD0668"/>
    <s v="Horizon Enterprises Solutions"/>
    <s v="SMB"/>
    <s v="NY"/>
    <s v="USR005"/>
    <s v="SMB"/>
    <n v="1"/>
    <s v="SMB Account Executive"/>
    <s v="SMB"/>
    <n v="1"/>
    <x v="0"/>
  </r>
  <r>
    <s v="LEAD0669"/>
    <s v="Lakeside Partners Partners"/>
    <s v="SMB"/>
    <s v="VA"/>
    <s v="USR006"/>
    <s v="SMB"/>
    <n v="2"/>
    <s v="SMB Account Executive"/>
    <s v="SMB"/>
    <n v="2"/>
    <x v="0"/>
  </r>
  <r>
    <s v="LEAD0670"/>
    <s v="Bridgepoint Supply Co."/>
    <s v="Upper Mid-Market"/>
    <s v="SD"/>
    <s v="USR011"/>
    <s v="MM"/>
    <n v="3"/>
    <s v="Mid-Market Account Executive"/>
    <s v="MM"/>
    <n v="3"/>
    <x v="0"/>
  </r>
  <r>
    <s v="LEAD0671"/>
    <s v="ClearPath Enterprises LLC"/>
    <s v="Mid-Market"/>
    <s v="GA"/>
    <s v="USR010"/>
    <s v="MM"/>
    <n v="2"/>
    <s v="Mid-Market Account Executive"/>
    <s v="MM"/>
    <n v="2"/>
    <x v="0"/>
  </r>
  <r>
    <s v="LEAD0672"/>
    <s v="Lakeside Holdings Partners"/>
    <s v="SMB"/>
    <s v="CA"/>
    <s v="USR008"/>
    <s v="SMB"/>
    <n v="4"/>
    <s v="SMB Account Executive"/>
    <s v="SMB"/>
    <n v="4"/>
    <x v="0"/>
  </r>
  <r>
    <s v="LEAD0673"/>
    <s v="Silverline Manufacturing Group"/>
    <m/>
    <s v="MA"/>
    <m/>
    <s v="Needs Review - Segment"/>
    <n v="1"/>
    <s v=""/>
    <s v=""/>
    <s v=""/>
    <x v="4"/>
  </r>
  <r>
    <s v="LEAD0674"/>
    <s v="Monarch Partners Group"/>
    <s v="SMB"/>
    <s v="CA"/>
    <s v="USR008"/>
    <s v="SMB"/>
    <n v="4"/>
    <s v="SMB Account Executive"/>
    <s v="SMB"/>
    <n v="4"/>
    <x v="0"/>
  </r>
  <r>
    <s v="LEAD0675"/>
    <s v="Keystone Industries LLC"/>
    <s v="Mid-Market"/>
    <s v="PA"/>
    <s v="USR009"/>
    <s v="MM"/>
    <n v="1"/>
    <s v="Mid-Market Account Executive"/>
    <s v="MM"/>
    <n v="1"/>
    <x v="0"/>
  </r>
  <r>
    <s v="LEAD0676"/>
    <s v="Greenfield Technology Inc."/>
    <s v="SMB"/>
    <s v="NC"/>
    <s v="USR006"/>
    <s v="SMB"/>
    <n v="2"/>
    <s v="SMB Account Executive"/>
    <s v="SMB"/>
    <n v="2"/>
    <x v="0"/>
  </r>
  <r>
    <s v="LEAD0677"/>
    <s v="Lakeside Commerce Group"/>
    <s v="SMB"/>
    <s v="IL"/>
    <s v="USR007"/>
    <s v="SMB"/>
    <n v="3"/>
    <s v="SMB Account Executive"/>
    <s v="SMB"/>
    <n v="3"/>
    <x v="0"/>
  </r>
  <r>
    <s v="LEAD0678"/>
    <s v="Vertex Logistics Group"/>
    <s v="Mid-Market"/>
    <s v="AL"/>
    <s v="USR010"/>
    <s v="MM"/>
    <n v="2"/>
    <s v="Mid-Market Account Executive"/>
    <s v="MM"/>
    <n v="2"/>
    <x v="0"/>
  </r>
  <r>
    <s v="LEAD0679"/>
    <s v="Oakridge Solutions Partners"/>
    <s v="SMB"/>
    <s v="PA"/>
    <s v="USR005"/>
    <s v="SMB"/>
    <n v="1"/>
    <s v="SMB Account Executive"/>
    <s v="SMB"/>
    <n v="1"/>
    <x v="0"/>
  </r>
  <r>
    <s v="LEAD0680"/>
    <s v="Riverbend Dynamics Partners"/>
    <s v="Upper Mid-Market"/>
    <s v="PA"/>
    <s v="USR009"/>
    <s v="MM"/>
    <n v="1"/>
    <s v="Mid-Market Account Executive"/>
    <s v="MM"/>
    <n v="1"/>
    <x v="0"/>
  </r>
  <r>
    <s v="LEAD0681"/>
    <s v="Riverbend Group Inc."/>
    <s v="SMB"/>
    <s v="TX"/>
    <s v="USR006"/>
    <s v="SMB"/>
    <n v="2"/>
    <s v="SMB Account Executive"/>
    <s v="SMB"/>
    <n v="2"/>
    <x v="0"/>
  </r>
  <r>
    <s v="LEAD0682"/>
    <s v="Parkside Labs Co."/>
    <s v="Mid-Market"/>
    <s v="MN"/>
    <s v="USR011"/>
    <s v="MM"/>
    <n v="3"/>
    <s v="Mid-Market Account Executive"/>
    <s v="MM"/>
    <n v="3"/>
    <x v="0"/>
  </r>
  <r>
    <s v="LEAD0683"/>
    <s v="Goldcrest Industries Systems"/>
    <s v="SMB"/>
    <s v="WY"/>
    <s v="USR008"/>
    <s v="SMB"/>
    <n v="4"/>
    <s v="SMB Account Executive"/>
    <s v="SMB"/>
    <n v="4"/>
    <x v="0"/>
  </r>
  <r>
    <s v="LEAD0684"/>
    <s v="ClearPath Holdings Inc."/>
    <s v="SMB"/>
    <s v="NJ"/>
    <s v="USR005"/>
    <s v="SMB"/>
    <n v="1"/>
    <s v="SMB Account Executive"/>
    <s v="SMB"/>
    <n v="1"/>
    <x v="0"/>
  </r>
  <r>
    <s v="LEAD0685"/>
    <s v="Riverbend Enterprises Partners"/>
    <s v="Mid-Market"/>
    <s v="CA"/>
    <s v="USR012"/>
    <s v="MM"/>
    <n v="4"/>
    <s v="Mid-Market Account Executive"/>
    <s v="MM"/>
    <n v="4"/>
    <x v="0"/>
  </r>
  <r>
    <s v="LEAD0686"/>
    <s v="Silverline Distribution Partners"/>
    <s v="Mid-Market"/>
    <s v="NY"/>
    <s v="USR009"/>
    <s v="MM"/>
    <n v="1"/>
    <s v="Mid-Market Account Executive"/>
    <s v="MM"/>
    <n v="1"/>
    <x v="0"/>
  </r>
  <r>
    <s v="LEAD0687"/>
    <s v="Cedarstone Dynamics LLC"/>
    <s v="SMB"/>
    <s v="MA"/>
    <s v="USR005"/>
    <s v="SMB"/>
    <n v="1"/>
    <s v="SMB Account Executive"/>
    <s v="SMB"/>
    <n v="1"/>
    <x v="0"/>
  </r>
  <r>
    <s v="LEAD0688"/>
    <s v="Crescent Networks Partners"/>
    <s v="SMB"/>
    <s v="FL"/>
    <s v="USR006"/>
    <s v="SMB"/>
    <n v="2"/>
    <s v="SMB Account Executive"/>
    <s v="SMB"/>
    <n v="2"/>
    <x v="0"/>
  </r>
  <r>
    <s v="LEAD0689"/>
    <s v="Prime Dynamics Inc."/>
    <s v="Mid-Market"/>
    <s v="MS"/>
    <s v="USR010"/>
    <s v="MM"/>
    <n v="2"/>
    <s v="Mid-Market Account Executive"/>
    <s v="MM"/>
    <n v="2"/>
    <x v="0"/>
  </r>
  <r>
    <s v="LEAD0690"/>
    <s v="Newbridge Health LLC"/>
    <s v="SMB"/>
    <s v="VA"/>
    <s v="USR006"/>
    <s v="SMB"/>
    <n v="2"/>
    <s v="SMB Account Executive"/>
    <s v="SMB"/>
    <n v="2"/>
    <x v="0"/>
  </r>
  <r>
    <s v="LEAD0691"/>
    <s v="Falcon Health LLC"/>
    <s v="Mid-Market"/>
    <s v="GA"/>
    <s v="USR010"/>
    <s v="MM"/>
    <n v="2"/>
    <s v="Mid-Market Account Executive"/>
    <s v="MM"/>
    <n v="2"/>
    <x v="0"/>
  </r>
  <r>
    <s v="LEAD0692"/>
    <s v="Solstice Solutions Solutions"/>
    <s v="SMB"/>
    <s v="CA"/>
    <s v="USR008"/>
    <s v="SMB"/>
    <n v="4"/>
    <s v="SMB Account Executive"/>
    <s v="SMB"/>
    <n v="4"/>
    <x v="0"/>
  </r>
  <r>
    <s v="LEAD0693"/>
    <s v="Riverbend Industries Partners"/>
    <s v="Mid-Market"/>
    <s v="FL"/>
    <s v="USR010"/>
    <s v="MM"/>
    <n v="2"/>
    <s v="Mid-Market Account Executive"/>
    <s v="MM"/>
    <n v="2"/>
    <x v="0"/>
  </r>
  <r>
    <s v="LEAD0694"/>
    <s v="Crescent Partners Partners"/>
    <s v="SMB"/>
    <s v="FL"/>
    <s v="USR006"/>
    <s v="SMB"/>
    <n v="2"/>
    <s v="SMB Account Executive"/>
    <s v="SMB"/>
    <n v="2"/>
    <x v="0"/>
  </r>
  <r>
    <s v="LEAD0695"/>
    <s v="Ironwood Partners LLC"/>
    <s v="SMB"/>
    <s v="OH"/>
    <s v="USR007"/>
    <s v="SMB"/>
    <n v="3"/>
    <s v="SMB Account Executive"/>
    <s v="SMB"/>
    <n v="3"/>
    <x v="0"/>
  </r>
  <r>
    <s v="LEAD0696"/>
    <s v="Stonebridge Resources Partners"/>
    <s v="SMB"/>
    <s v="TX"/>
    <s v="USR006"/>
    <s v="SMB"/>
    <n v="2"/>
    <s v="SMB Account Executive"/>
    <s v="SMB"/>
    <n v="2"/>
    <x v="0"/>
  </r>
  <r>
    <s v="LEAD0697"/>
    <s v="Riverbend Automation Solutions"/>
    <s v="Mid-Market"/>
    <s v="IL"/>
    <s v="USR007"/>
    <s v="MM"/>
    <n v="3"/>
    <s v="SMB Account Executive"/>
    <s v="SMB"/>
    <n v="3"/>
    <x v="5"/>
  </r>
  <r>
    <s v="LEAD0698"/>
    <s v="Riverbend Distribution Co."/>
    <s v="Mid-Market"/>
    <s v="OH"/>
    <s v="USR011"/>
    <s v="MM"/>
    <n v="3"/>
    <s v="Mid-Market Account Executive"/>
    <s v="MM"/>
    <n v="3"/>
    <x v="0"/>
  </r>
  <r>
    <s v="LEAD0699"/>
    <s v="Vertex Resources Solutions"/>
    <s v="SMB"/>
    <s v="OH"/>
    <s v="USR007"/>
    <s v="SMB"/>
    <n v="3"/>
    <s v="SMB Account Executive"/>
    <s v="SMB"/>
    <n v="3"/>
    <x v="0"/>
  </r>
  <r>
    <s v="LEAD0700"/>
    <s v="Liberty Resources LLC"/>
    <s v="SMB"/>
    <s v="NY"/>
    <s v="USR005"/>
    <s v="SMB"/>
    <n v="1"/>
    <s v="SMB Account Executive"/>
    <s v="SMB"/>
    <n v="1"/>
    <x v="0"/>
  </r>
  <r>
    <s v="LEAD0701"/>
    <s v="Stonebridge Enterprises Solutions"/>
    <s v="Mid-Market"/>
    <s v="ME"/>
    <s v="USR009"/>
    <s v="MM"/>
    <n v="1"/>
    <s v="Mid-Market Account Executive"/>
    <s v="MM"/>
    <n v="1"/>
    <x v="0"/>
  </r>
  <r>
    <s v="LEAD0702"/>
    <s v="Lakeside Operations Inc."/>
    <s v="SMB"/>
    <s v="OH"/>
    <s v="USR007"/>
    <s v="SMB"/>
    <n v="3"/>
    <s v="SMB Account Executive"/>
    <s v="SMB"/>
    <n v="3"/>
    <x v="0"/>
  </r>
  <r>
    <s v="LEAD0703"/>
    <s v="Harbor Enterprises Systems"/>
    <s v="SMB"/>
    <s v="NY"/>
    <s v="USR005"/>
    <s v="SMB"/>
    <n v="1"/>
    <s v="SMB Account Executive"/>
    <s v="SMB"/>
    <n v="1"/>
    <x v="0"/>
  </r>
  <r>
    <s v="LEAD0704"/>
    <s v="Oakridge Works Group"/>
    <s v="SMB"/>
    <s v="HI"/>
    <s v="USR008"/>
    <s v="SMB"/>
    <n v="4"/>
    <s v="SMB Account Executive"/>
    <s v="SMB"/>
    <n v="4"/>
    <x v="0"/>
  </r>
  <r>
    <s v="LEAD0705"/>
    <s v="Falcon Operations LLC"/>
    <s v="SMB"/>
    <s v="WI"/>
    <s v="USR007"/>
    <s v="SMB"/>
    <n v="3"/>
    <s v="SMB Account Executive"/>
    <s v="SMB"/>
    <n v="3"/>
    <x v="0"/>
  </r>
  <r>
    <s v="LEAD0706"/>
    <s v="Maple Solutions Solutions"/>
    <s v="Mid-Market"/>
    <s v="OH"/>
    <s v="USR011"/>
    <s v="MM"/>
    <n v="3"/>
    <s v="Mid-Market Account Executive"/>
    <s v="MM"/>
    <n v="3"/>
    <x v="0"/>
  </r>
  <r>
    <s v="LEAD0707"/>
    <s v="Atlas Enterprises Solutions"/>
    <s v="SMB"/>
    <s v="FL"/>
    <s v="USR006"/>
    <s v="SMB"/>
    <n v="2"/>
    <s v="SMB Account Executive"/>
    <s v="SMB"/>
    <n v="2"/>
    <x v="0"/>
  </r>
  <r>
    <s v="LEAD0708"/>
    <s v="Atlas Labs LLC"/>
    <s v="SMB"/>
    <s v="WA"/>
    <s v="USR008"/>
    <s v="SMB"/>
    <n v="4"/>
    <s v="SMB Account Executive"/>
    <s v="SMB"/>
    <n v="4"/>
    <x v="0"/>
  </r>
  <r>
    <s v="LEAD0709"/>
    <s v="Northstar Commerce Partners"/>
    <s v="Mid-Market"/>
    <s v="ID"/>
    <s v="USR012"/>
    <s v="MM"/>
    <n v="4"/>
    <s v="Mid-Market Account Executive"/>
    <s v="MM"/>
    <n v="4"/>
    <x v="0"/>
  </r>
  <r>
    <s v="LEAD0710"/>
    <s v="Harbor Networks Solutions"/>
    <s v="Mid-Market"/>
    <s v="TN"/>
    <s v="USR010"/>
    <s v="MM"/>
    <n v="2"/>
    <s v="Mid-Market Account Executive"/>
    <s v="MM"/>
    <n v="2"/>
    <x v="0"/>
  </r>
  <r>
    <s v="LEAD0711"/>
    <s v="Goldcrest Automation Systems"/>
    <s v="Upper Mid-Market"/>
    <s v="OH"/>
    <s v="USR011"/>
    <s v="MM"/>
    <n v="3"/>
    <s v="Mid-Market Account Executive"/>
    <s v="MM"/>
    <n v="3"/>
    <x v="0"/>
  </r>
  <r>
    <s v="LEAD0712"/>
    <s v="Goldcrest Dynamics LLC"/>
    <s v="Mid-Market"/>
    <s v="NY"/>
    <s v="USR009"/>
    <s v="MM"/>
    <n v="1"/>
    <s v="Mid-Market Account Executive"/>
    <s v="MM"/>
    <n v="1"/>
    <x v="0"/>
  </r>
  <r>
    <s v="LEAD0713"/>
    <s v="Monarch Systems Co."/>
    <s v="SMB"/>
    <s v="OH"/>
    <s v="USR007"/>
    <s v="SMB"/>
    <n v="3"/>
    <s v="SMB Account Executive"/>
    <s v="SMB"/>
    <n v="3"/>
    <x v="0"/>
  </r>
  <r>
    <s v="LEAD0714"/>
    <s v="Ironwood Services Group"/>
    <s v="SMB"/>
    <s v="CA"/>
    <s v="USR008"/>
    <s v="SMB"/>
    <n v="4"/>
    <s v="SMB Account Executive"/>
    <s v="SMB"/>
    <n v="4"/>
    <x v="0"/>
  </r>
  <r>
    <s v="LEAD0715"/>
    <s v="Maple Networks Systems"/>
    <s v="SMB"/>
    <s v="AZ"/>
    <s v="USR008"/>
    <s v="SMB"/>
    <n v="4"/>
    <s v="SMB Account Executive"/>
    <s v="SMB"/>
    <n v="4"/>
    <x v="0"/>
  </r>
  <r>
    <s v="LEAD0716"/>
    <s v="Newbridge Partners Inc."/>
    <s v="SMB"/>
    <s v="MI"/>
    <s v="USR007"/>
    <s v="SMB"/>
    <n v="3"/>
    <s v="SMB Account Executive"/>
    <s v="SMB"/>
    <n v="3"/>
    <x v="0"/>
  </r>
  <r>
    <s v="LEAD0717"/>
    <s v="Eastgate Logistics Partners"/>
    <m/>
    <s v="NY"/>
    <m/>
    <s v="Needs Review - Segment"/>
    <n v="1"/>
    <s v=""/>
    <s v=""/>
    <s v=""/>
    <x v="4"/>
  </r>
  <r>
    <s v="LEAD0718"/>
    <s v="Monarch Automation Systems"/>
    <s v="Mid-Market"/>
    <s v="LA"/>
    <m/>
    <s v="MM"/>
    <n v="2"/>
    <s v=""/>
    <s v=""/>
    <s v=""/>
    <x v="4"/>
  </r>
  <r>
    <s v="LEAD0719"/>
    <s v="Windward Solutions LLC"/>
    <s v="Mid-Market"/>
    <s v="AZ"/>
    <s v="USR012"/>
    <s v="MM"/>
    <n v="4"/>
    <s v="Mid-Market Account Executive"/>
    <s v="MM"/>
    <n v="4"/>
    <x v="0"/>
  </r>
  <r>
    <s v="LEAD0720"/>
    <s v="Keystone Manufacturing Group"/>
    <m/>
    <s v="NY"/>
    <m/>
    <s v="Needs Review - Segment"/>
    <n v="1"/>
    <s v=""/>
    <s v=""/>
    <s v=""/>
    <x v="4"/>
  </r>
  <r>
    <s v="LEAD0721"/>
    <s v="Evergreen Resources Inc."/>
    <s v="Mid-Market"/>
    <s v="IN"/>
    <s v="USR011"/>
    <s v="MM"/>
    <n v="3"/>
    <s v="Mid-Market Account Executive"/>
    <s v="MM"/>
    <n v="3"/>
    <x v="0"/>
  </r>
  <r>
    <s v="LEAD0722"/>
    <s v="Atlas Labs Inc."/>
    <s v="SMB"/>
    <s v="PA"/>
    <s v="USR005"/>
    <s v="SMB"/>
    <n v="1"/>
    <s v="SMB Account Executive"/>
    <s v="SMB"/>
    <n v="1"/>
    <x v="0"/>
  </r>
  <r>
    <s v="LEAD0723"/>
    <s v="Crescent Partners Co."/>
    <s v="Mid-Market"/>
    <s v="GA"/>
    <s v="USR012"/>
    <s v="MM"/>
    <n v="2"/>
    <s v="Mid-Market Account Executive"/>
    <s v="MM"/>
    <n v="4"/>
    <x v="2"/>
  </r>
  <r>
    <s v="LEAD0724"/>
    <s v="Stonebridge Manufacturing Partners"/>
    <s v="Upper Mid-Market"/>
    <s v="TX"/>
    <s v="USR010"/>
    <s v="MM"/>
    <n v="2"/>
    <s v="Mid-Market Account Executive"/>
    <s v="MM"/>
    <n v="2"/>
    <x v="0"/>
  </r>
  <r>
    <s v="LEAD0725"/>
    <s v="Windward Networks Systems"/>
    <s v="SMB"/>
    <s v="TX"/>
    <s v="USR006"/>
    <s v="SMB"/>
    <n v="2"/>
    <s v="SMB Account Executive"/>
    <s v="SMB"/>
    <n v="2"/>
    <x v="0"/>
  </r>
  <r>
    <s v="LEAD0726"/>
    <s v="Beacon Supply LLC"/>
    <s v="Mid-Market"/>
    <s v="CO"/>
    <s v="USR012"/>
    <s v="MM"/>
    <n v="4"/>
    <s v="Mid-Market Account Executive"/>
    <s v="MM"/>
    <n v="4"/>
    <x v="0"/>
  </r>
  <r>
    <s v="LEAD0727"/>
    <s v="Windward Partners Partners"/>
    <s v="Upper Mid-Market"/>
    <s v="OH"/>
    <s v="USR011"/>
    <s v="MM"/>
    <n v="3"/>
    <s v="Mid-Market Account Executive"/>
    <s v="MM"/>
    <n v="3"/>
    <x v="0"/>
  </r>
  <r>
    <s v="LEAD0728"/>
    <s v="Cedarstone Solutions Inc."/>
    <s v="Upper Mid-Market"/>
    <s v="OH"/>
    <s v="USR011"/>
    <s v="MM"/>
    <n v="3"/>
    <s v="Mid-Market Account Executive"/>
    <s v="MM"/>
    <n v="3"/>
    <x v="0"/>
  </r>
  <r>
    <s v="LEAD0729"/>
    <s v="Highland Systems Inc."/>
    <s v="Mid-Market"/>
    <s v="TX"/>
    <s v="USR010"/>
    <s v="MM"/>
    <n v="2"/>
    <s v="Mid-Market Account Executive"/>
    <s v="MM"/>
    <n v="2"/>
    <x v="0"/>
  </r>
  <r>
    <s v="LEAD0730"/>
    <s v="Solstice Systems Systems"/>
    <s v="SMB"/>
    <s v="RI"/>
    <s v="USR005"/>
    <s v="SMB"/>
    <n v="1"/>
    <s v="SMB Account Executive"/>
    <s v="SMB"/>
    <n v="1"/>
    <x v="0"/>
  </r>
  <r>
    <s v="LEAD0731"/>
    <s v="Maple Systems Systems"/>
    <s v="SMB"/>
    <s v="TX"/>
    <s v="USR006"/>
    <s v="SMB"/>
    <n v="2"/>
    <s v="SMB Account Executive"/>
    <s v="SMB"/>
    <n v="2"/>
    <x v="0"/>
  </r>
  <r>
    <s v="LEAD0732"/>
    <s v="Pioneer Industries LLC"/>
    <s v="Upper Mid-Market"/>
    <s v="FL"/>
    <s v="USR010"/>
    <s v="MM"/>
    <n v="2"/>
    <s v="Mid-Market Account Executive"/>
    <s v="MM"/>
    <n v="2"/>
    <x v="0"/>
  </r>
  <r>
    <s v="LEAD0733"/>
    <s v="Horizon Holdings Solutions"/>
    <s v="Mid-Market"/>
    <s v="HI"/>
    <s v="USR012"/>
    <s v="MM"/>
    <n v="4"/>
    <s v="Mid-Market Account Executive"/>
    <s v="MM"/>
    <n v="4"/>
    <x v="0"/>
  </r>
  <r>
    <s v="LEAD0734"/>
    <s v="Stonebridge Distribution Solutions"/>
    <s v="Mid-Market"/>
    <s v="CA"/>
    <s v="USR012"/>
    <s v="MM"/>
    <n v="4"/>
    <s v="Mid-Market Account Executive"/>
    <s v="MM"/>
    <n v="4"/>
    <x v="0"/>
  </r>
  <r>
    <s v="LEAD0735"/>
    <s v="Windward Systems LLC"/>
    <s v="SMB"/>
    <s v="FL"/>
    <s v="USR010"/>
    <s v="SMB"/>
    <n v="2"/>
    <s v="Mid-Market Account Executive"/>
    <s v="MM"/>
    <n v="2"/>
    <x v="5"/>
  </r>
  <r>
    <s v="LEAD0736"/>
    <s v="Pioneer Industries Group"/>
    <s v="SMB"/>
    <s v="FL"/>
    <s v="USR006"/>
    <s v="SMB"/>
    <n v="2"/>
    <s v="SMB Account Executive"/>
    <s v="SMB"/>
    <n v="2"/>
    <x v="0"/>
  </r>
  <r>
    <s v="LEAD0737"/>
    <s v="Evergreen Technology Systems"/>
    <s v="SMB"/>
    <s v="VA"/>
    <s v="USR006"/>
    <s v="SMB"/>
    <n v="2"/>
    <s v="SMB Account Executive"/>
    <s v="SMB"/>
    <n v="2"/>
    <x v="0"/>
  </r>
  <r>
    <s v="LEAD0738"/>
    <s v="Beacon Automation Solutions"/>
    <s v="SMB"/>
    <s v="CT"/>
    <s v="USR005"/>
    <s v="SMB"/>
    <n v="1"/>
    <s v="SMB Account Executive"/>
    <s v="SMB"/>
    <n v="1"/>
    <x v="0"/>
  </r>
  <r>
    <s v="LEAD0739"/>
    <s v="Solstice Logistics Group"/>
    <s v="Mid-Market"/>
    <s v="WY"/>
    <s v="USR012"/>
    <s v="MM"/>
    <n v="4"/>
    <s v="Mid-Market Account Executive"/>
    <s v="MM"/>
    <n v="4"/>
    <x v="0"/>
  </r>
  <r>
    <s v="LEAD0740"/>
    <s v="Falcon Dynamics Group"/>
    <s v="SMB"/>
    <s v="MI"/>
    <s v="USR007"/>
    <s v="SMB"/>
    <n v="3"/>
    <s v="SMB Account Executive"/>
    <s v="SMB"/>
    <n v="3"/>
    <x v="0"/>
  </r>
  <r>
    <s v="LEAD0741"/>
    <s v="Eastgate Industries LLC"/>
    <s v="Mid-Market"/>
    <s v="MI"/>
    <s v="USR011"/>
    <s v="MM"/>
    <n v="3"/>
    <s v="Mid-Market Account Executive"/>
    <s v="MM"/>
    <n v="3"/>
    <x v="0"/>
  </r>
  <r>
    <s v="LEAD0742"/>
    <s v="Lakeside Operations Solutions"/>
    <s v="SMB"/>
    <s v="FL"/>
    <m/>
    <s v="SMB"/>
    <n v="2"/>
    <s v=""/>
    <s v=""/>
    <s v=""/>
    <x v="4"/>
  </r>
  <r>
    <s v="LEAD0743"/>
    <s v="Stonebridge Distribution Systems"/>
    <s v="Mid-Market"/>
    <s v="CA"/>
    <s v="USR012"/>
    <s v="MM"/>
    <n v="4"/>
    <s v="Mid-Market Account Executive"/>
    <s v="MM"/>
    <n v="4"/>
    <x v="0"/>
  </r>
  <r>
    <s v="LEAD0744"/>
    <s v="Ironwood Analytics LLC"/>
    <s v="Mid-Market"/>
    <s v="SC"/>
    <s v="USR010"/>
    <s v="MM"/>
    <n v="2"/>
    <s v="Mid-Market Account Executive"/>
    <s v="MM"/>
    <n v="2"/>
    <x v="0"/>
  </r>
  <r>
    <s v="LEAD0745"/>
    <s v="Redwood Systems Systems"/>
    <s v="Mid-Market"/>
    <s v="WA"/>
    <s v="USR012"/>
    <s v="MM"/>
    <n v="4"/>
    <s v="Mid-Market Account Executive"/>
    <s v="MM"/>
    <n v="4"/>
    <x v="0"/>
  </r>
  <r>
    <s v="LEAD0746"/>
    <s v="Crescent Services Group"/>
    <s v="Mid-Market"/>
    <s v="TN"/>
    <s v="USR010"/>
    <s v="MM"/>
    <n v="2"/>
    <s v="Mid-Market Account Executive"/>
    <s v="MM"/>
    <n v="2"/>
    <x v="0"/>
  </r>
  <r>
    <s v="LEAD0747"/>
    <s v="Beacon Enterprises LLC"/>
    <s v="Mid-Market"/>
    <s v="FL"/>
    <s v="USR010"/>
    <s v="MM"/>
    <n v="2"/>
    <s v="Mid-Market Account Executive"/>
    <s v="MM"/>
    <n v="2"/>
    <x v="0"/>
  </r>
  <r>
    <s v="LEAD0748"/>
    <s v="BluePeak Holdings Co."/>
    <s v="SMB"/>
    <s v="CA"/>
    <s v="USR008"/>
    <s v="SMB"/>
    <n v="4"/>
    <s v="SMB Account Executive"/>
    <s v="SMB"/>
    <n v="4"/>
    <x v="0"/>
  </r>
  <r>
    <s v="LEAD0749"/>
    <s v="Redwood Technology Group"/>
    <s v="Mid-Market"/>
    <s v="NJ"/>
    <m/>
    <s v="MM"/>
    <n v="1"/>
    <s v=""/>
    <s v=""/>
    <s v=""/>
    <x v="4"/>
  </r>
  <r>
    <s v="LEAD0750"/>
    <s v="Solstice Analytics Systems"/>
    <s v="Upper Mid-Market"/>
    <s v="NY"/>
    <s v="USR009"/>
    <s v="MM"/>
    <n v="1"/>
    <s v="Mid-Market Account Executive"/>
    <s v="MM"/>
    <n v="1"/>
    <x v="0"/>
  </r>
  <r>
    <s v="LEAD0751"/>
    <s v="Parkside Networks Systems"/>
    <s v="Mid-Market"/>
    <s v="KS"/>
    <s v="USR011"/>
    <s v="MM"/>
    <n v="3"/>
    <s v="Mid-Market Account Executive"/>
    <s v="MM"/>
    <n v="3"/>
    <x v="0"/>
  </r>
  <r>
    <s v="LEAD0752"/>
    <s v="Liberty Technology Co."/>
    <s v="SMB"/>
    <s v="IL"/>
    <s v="USR007"/>
    <s v="SMB"/>
    <n v="3"/>
    <s v="SMB Account Executive"/>
    <s v="SMB"/>
    <n v="3"/>
    <x v="0"/>
  </r>
  <r>
    <s v="LEAD0753"/>
    <s v="Westbrook Automation LLC"/>
    <s v="Mid-Market"/>
    <s v="NM"/>
    <s v="USR012"/>
    <s v="MM"/>
    <n v="4"/>
    <s v="Mid-Market Account Executive"/>
    <s v="MM"/>
    <n v="4"/>
    <x v="0"/>
  </r>
  <r>
    <s v="LEAD0754"/>
    <s v="Goldcrest Labs Solutions"/>
    <s v="Mid-Market"/>
    <s v="PA"/>
    <s v="USR009"/>
    <s v="MM"/>
    <n v="1"/>
    <s v="Mid-Market Account Executive"/>
    <s v="MM"/>
    <n v="1"/>
    <x v="0"/>
  </r>
  <r>
    <s v="LEAD0755"/>
    <s v="Newbridge Solutions LLC"/>
    <s v="SMB"/>
    <s v="TN"/>
    <s v="USR006"/>
    <s v="SMB"/>
    <n v="2"/>
    <s v="SMB Account Executive"/>
    <s v="SMB"/>
    <n v="2"/>
    <x v="0"/>
  </r>
  <r>
    <s v="LEAD0756"/>
    <s v="Crescent Distribution Group"/>
    <m/>
    <s v="NE"/>
    <m/>
    <s v="Needs Review - Segment"/>
    <n v="3"/>
    <s v=""/>
    <s v=""/>
    <s v=""/>
    <x v="4"/>
  </r>
  <r>
    <s v="LEAD0757"/>
    <s v="ClearPath Operations Inc."/>
    <s v="Mid-Market"/>
    <s v="OK"/>
    <s v="USR010"/>
    <s v="MM"/>
    <n v="2"/>
    <s v="Mid-Market Account Executive"/>
    <s v="MM"/>
    <n v="2"/>
    <x v="0"/>
  </r>
  <r>
    <s v="LEAD0758"/>
    <s v="Lakeside Automation Co."/>
    <s v="SMB"/>
    <s v="FL"/>
    <s v="USR006"/>
    <s v="SMB"/>
    <n v="2"/>
    <s v="SMB Account Executive"/>
    <s v="SMB"/>
    <n v="2"/>
    <x v="0"/>
  </r>
  <r>
    <s v="LEAD0759"/>
    <s v="Riverton Logistics Solutions"/>
    <s v="SMB"/>
    <s v="MI"/>
    <s v="USR007"/>
    <s v="SMB"/>
    <n v="3"/>
    <s v="SMB Account Executive"/>
    <s v="SMB"/>
    <n v="3"/>
    <x v="0"/>
  </r>
  <r>
    <s v="LEAD0760"/>
    <s v="Redwood Labs Co."/>
    <s v="Upper Mid-Market"/>
    <s v="OH"/>
    <s v="USR011"/>
    <s v="MM"/>
    <n v="3"/>
    <s v="Mid-Market Account Executive"/>
    <s v="MM"/>
    <n v="3"/>
    <x v="0"/>
  </r>
  <r>
    <s v="LEAD0761"/>
    <s v="Silverline Technology Solutions"/>
    <s v="SMB"/>
    <s v="CA"/>
    <s v="USR008"/>
    <s v="SMB"/>
    <n v="4"/>
    <s v="SMB Account Executive"/>
    <s v="SMB"/>
    <n v="4"/>
    <x v="0"/>
  </r>
  <r>
    <s v="LEAD0762"/>
    <s v="Silverline Networks Systems"/>
    <m/>
    <s v="MS"/>
    <m/>
    <s v="Needs Review - Segment"/>
    <n v="2"/>
    <s v=""/>
    <s v=""/>
    <s v=""/>
    <x v="4"/>
  </r>
  <r>
    <s v="LEAD0763"/>
    <s v="Liberty Group Co."/>
    <s v="Mid-Market"/>
    <s v="NC"/>
    <s v="USR010"/>
    <s v="MM"/>
    <n v="2"/>
    <s v="Mid-Market Account Executive"/>
    <s v="MM"/>
    <n v="2"/>
    <x v="0"/>
  </r>
  <r>
    <s v="LEAD0764"/>
    <s v="Copper Distribution Solutions"/>
    <s v="SMB"/>
    <s v="TX"/>
    <s v="USR006"/>
    <s v="SMB"/>
    <n v="2"/>
    <s v="SMB Account Executive"/>
    <s v="SMB"/>
    <n v="2"/>
    <x v="0"/>
  </r>
  <r>
    <s v="LEAD0765"/>
    <s v="Riverbend Services Systems"/>
    <s v="SMB"/>
    <m/>
    <s v="USR005"/>
    <s v="SMB"/>
    <s v="Needs Review - Territory"/>
    <s v="SMB Account Executive"/>
    <s v="SMB"/>
    <n v="1"/>
    <x v="3"/>
  </r>
  <r>
    <s v="LEAD0766"/>
    <s v="Silverline Group LLC"/>
    <s v="Mid-Market"/>
    <s v="NJ"/>
    <m/>
    <s v="MM"/>
    <n v="1"/>
    <s v=""/>
    <s v=""/>
    <s v=""/>
    <x v="4"/>
  </r>
  <r>
    <s v="LEAD0767"/>
    <s v="Crescent Holdings Partners"/>
    <m/>
    <s v="IA"/>
    <m/>
    <s v="Needs Review - Segment"/>
    <n v="3"/>
    <s v=""/>
    <s v=""/>
    <s v=""/>
    <x v="4"/>
  </r>
  <r>
    <s v="LEAD0768"/>
    <s v="Granite Commerce Co."/>
    <s v="SMB"/>
    <s v="NY"/>
    <s v="USR005"/>
    <s v="SMB"/>
    <n v="1"/>
    <s v="SMB Account Executive"/>
    <s v="SMB"/>
    <n v="1"/>
    <x v="0"/>
  </r>
  <r>
    <s v="LEAD0769"/>
    <s v="Cedarstone Solutions Systems"/>
    <s v="SMB"/>
    <s v="HI"/>
    <s v="USR008"/>
    <s v="SMB"/>
    <n v="4"/>
    <s v="SMB Account Executive"/>
    <s v="SMB"/>
    <n v="4"/>
    <x v="0"/>
  </r>
  <r>
    <s v="LEAD0770"/>
    <s v="Monarch Distribution Co."/>
    <s v="SMB"/>
    <s v="CO"/>
    <s v="USR008"/>
    <s v="SMB"/>
    <n v="4"/>
    <s v="SMB Account Executive"/>
    <s v="SMB"/>
    <n v="4"/>
    <x v="0"/>
  </r>
  <r>
    <s v="LEAD0771"/>
    <s v="Beacon Technology Partners"/>
    <s v="Mid-Market"/>
    <s v="WA"/>
    <s v="USR012"/>
    <s v="MM"/>
    <n v="4"/>
    <s v="Mid-Market Account Executive"/>
    <s v="MM"/>
    <n v="4"/>
    <x v="0"/>
  </r>
  <r>
    <s v="LEAD0772"/>
    <s v="Granite Solutions Solutions"/>
    <s v="SMB"/>
    <s v="TX"/>
    <s v="USR006"/>
    <s v="SMB"/>
    <n v="2"/>
    <s v="SMB Account Executive"/>
    <s v="SMB"/>
    <n v="2"/>
    <x v="0"/>
  </r>
  <r>
    <s v="LEAD0773"/>
    <s v="Apex Systems Partners"/>
    <s v="SMB"/>
    <s v="TX"/>
    <s v="USR006"/>
    <s v="SMB"/>
    <n v="2"/>
    <s v="SMB Account Executive"/>
    <s v="SMB"/>
    <n v="2"/>
    <x v="0"/>
  </r>
  <r>
    <s v="LEAD0774"/>
    <s v="Beacon Industries Co."/>
    <s v="Mid-Market"/>
    <s v="FL"/>
    <s v="USR010"/>
    <s v="MM"/>
    <n v="2"/>
    <s v="Mid-Market Account Executive"/>
    <s v="MM"/>
    <n v="2"/>
    <x v="0"/>
  </r>
  <r>
    <s v="LEAD0775"/>
    <s v="Evergreen Analytics Systems"/>
    <s v="SMB"/>
    <s v="NY"/>
    <s v="USR005"/>
    <s v="SMB"/>
    <n v="1"/>
    <s v="SMB Account Executive"/>
    <s v="SMB"/>
    <n v="1"/>
    <x v="0"/>
  </r>
  <r>
    <s v="LEAD0776"/>
    <s v="Lakeside Analytics Inc."/>
    <s v="SMB"/>
    <s v="IA"/>
    <s v="USR007"/>
    <s v="SMB"/>
    <n v="3"/>
    <s v="SMB Account Executive"/>
    <s v="SMB"/>
    <n v="3"/>
    <x v="0"/>
  </r>
  <r>
    <s v="LEAD0777"/>
    <s v="Maple Networks Solutions"/>
    <s v="Upper Mid-Market"/>
    <s v="AR"/>
    <m/>
    <s v="MM"/>
    <n v="2"/>
    <s v=""/>
    <s v=""/>
    <s v=""/>
    <x v="4"/>
  </r>
  <r>
    <s v="LEAD0778"/>
    <s v="Bridgepoint Networks Partners"/>
    <s v="SMB"/>
    <s v="VA"/>
    <s v="USR006"/>
    <s v="SMB"/>
    <n v="2"/>
    <s v="SMB Account Executive"/>
    <s v="SMB"/>
    <n v="2"/>
    <x v="0"/>
  </r>
  <r>
    <s v="LEAD0779"/>
    <s v="Evergreen Health Solutions"/>
    <s v="SMB"/>
    <s v="CA"/>
    <s v="USR008"/>
    <s v="SMB"/>
    <n v="4"/>
    <s v="SMB Account Executive"/>
    <s v="SMB"/>
    <n v="4"/>
    <x v="0"/>
  </r>
  <r>
    <s v="LEAD0780"/>
    <s v="Northstar Group Group"/>
    <s v="Upper Mid-Market"/>
    <s v="NE"/>
    <s v="USR011"/>
    <s v="MM"/>
    <n v="3"/>
    <s v="Mid-Market Account Executive"/>
    <s v="MM"/>
    <n v="3"/>
    <x v="0"/>
  </r>
  <r>
    <s v="LEAD0781"/>
    <s v="Eastgate Holdings Systems"/>
    <s v="SMB"/>
    <s v="WA"/>
    <s v="USR008"/>
    <s v="SMB"/>
    <n v="4"/>
    <s v="SMB Account Executive"/>
    <s v="SMB"/>
    <n v="4"/>
    <x v="0"/>
  </r>
  <r>
    <s v="LEAD0782"/>
    <s v="Riverbend Operations Systems"/>
    <s v="Mid-Market"/>
    <s v="TX"/>
    <s v="USR010"/>
    <s v="MM"/>
    <n v="2"/>
    <s v="Mid-Market Account Executive"/>
    <s v="MM"/>
    <n v="2"/>
    <x v="0"/>
  </r>
  <r>
    <s v="LEAD0783"/>
    <s v="BluePeak Health Partners"/>
    <s v="Upper Mid-Market"/>
    <s v="IL"/>
    <s v="USR011"/>
    <s v="MM"/>
    <n v="3"/>
    <s v="Mid-Market Account Executive"/>
    <s v="MM"/>
    <n v="3"/>
    <x v="0"/>
  </r>
  <r>
    <s v="LEAD0784"/>
    <s v="Crescent Analytics Inc."/>
    <s v="SMB"/>
    <s v="NJ"/>
    <s v="USR005"/>
    <s v="SMB"/>
    <n v="1"/>
    <s v="SMB Account Executive"/>
    <s v="SMB"/>
    <n v="1"/>
    <x v="0"/>
  </r>
  <r>
    <s v="LEAD0785"/>
    <s v="Windward Supply Partners"/>
    <s v="SMB"/>
    <s v="NC"/>
    <s v="USR006"/>
    <s v="SMB"/>
    <n v="2"/>
    <s v="SMB Account Executive"/>
    <s v="SMB"/>
    <n v="2"/>
    <x v="0"/>
  </r>
  <r>
    <s v="LEAD0786"/>
    <s v="Oakridge Enterprises Systems"/>
    <m/>
    <s v="MA"/>
    <m/>
    <s v="Needs Review - Segment"/>
    <n v="1"/>
    <s v=""/>
    <s v=""/>
    <s v=""/>
    <x v="4"/>
  </r>
  <r>
    <s v="LEAD0787"/>
    <s v="Ironwood Partners Co."/>
    <s v="Mid-Market"/>
    <s v="GA"/>
    <s v="USR010"/>
    <s v="MM"/>
    <n v="2"/>
    <s v="Mid-Market Account Executive"/>
    <s v="MM"/>
    <n v="2"/>
    <x v="0"/>
  </r>
  <r>
    <s v="LEAD0788"/>
    <s v="Redwood Analytics Solutions"/>
    <s v="SMB"/>
    <s v="AZ"/>
    <s v="USR008"/>
    <s v="SMB"/>
    <n v="4"/>
    <s v="SMB Account Executive"/>
    <s v="SMB"/>
    <n v="4"/>
    <x v="0"/>
  </r>
  <r>
    <s v="LEAD0789"/>
    <s v="BluePeak Enterprises LLC"/>
    <s v="Mid-Market"/>
    <s v="WV"/>
    <s v="USR009"/>
    <s v="MM"/>
    <n v="1"/>
    <s v="Mid-Market Account Executive"/>
    <s v="MM"/>
    <n v="1"/>
    <x v="0"/>
  </r>
  <r>
    <s v="LEAD0790"/>
    <s v="Newbridge Resources Solutions"/>
    <s v="Mid-Market"/>
    <s v="NY"/>
    <s v="USR009"/>
    <s v="MM"/>
    <n v="1"/>
    <s v="Mid-Market Account Executive"/>
    <s v="MM"/>
    <n v="1"/>
    <x v="0"/>
  </r>
  <r>
    <s v="LEAD0791"/>
    <s v="Parkside Partners Inc."/>
    <s v="SMB"/>
    <s v="CA"/>
    <s v="USR008"/>
    <s v="SMB"/>
    <n v="4"/>
    <s v="SMB Account Executive"/>
    <s v="SMB"/>
    <n v="4"/>
    <x v="0"/>
  </r>
  <r>
    <s v="LEAD0792"/>
    <s v="Windward Distribution Solutions"/>
    <s v="SMB"/>
    <s v="CA"/>
    <s v="USR008"/>
    <s v="SMB"/>
    <n v="4"/>
    <s v="SMB Account Executive"/>
    <s v="SMB"/>
    <n v="4"/>
    <x v="0"/>
  </r>
  <r>
    <s v="LEAD0793"/>
    <s v="Falcon Systems LLC"/>
    <s v="SMB"/>
    <s v="AL"/>
    <s v="USR006"/>
    <s v="SMB"/>
    <n v="2"/>
    <s v="SMB Account Executive"/>
    <s v="SMB"/>
    <n v="2"/>
    <x v="0"/>
  </r>
  <r>
    <s v="LEAD0794"/>
    <s v="Greenfield Analytics LLC"/>
    <s v="SMB"/>
    <s v="NC"/>
    <s v="USR006"/>
    <s v="SMB"/>
    <n v="2"/>
    <s v="SMB Account Executive"/>
    <s v="SMB"/>
    <n v="2"/>
    <x v="0"/>
  </r>
  <r>
    <s v="LEAD0795"/>
    <s v="Cobalt Resources Solutions"/>
    <s v="Upper Mid-Market"/>
    <s v="FL"/>
    <s v="USR010"/>
    <s v="MM"/>
    <n v="2"/>
    <s v="Mid-Market Account Executive"/>
    <s v="MM"/>
    <n v="2"/>
    <x v="0"/>
  </r>
  <r>
    <s v="LEAD0796"/>
    <s v="Harbor Dynamics Group"/>
    <s v="Mid-Market"/>
    <s v="MA"/>
    <s v="USR009"/>
    <s v="MM"/>
    <n v="1"/>
    <s v="Mid-Market Account Executive"/>
    <s v="MM"/>
    <n v="1"/>
    <x v="0"/>
  </r>
  <r>
    <s v="LEAD0797"/>
    <s v="Northstar Supply Systems"/>
    <s v="Mid-Market"/>
    <s v="ID"/>
    <s v="USR012"/>
    <s v="MM"/>
    <n v="4"/>
    <s v="Mid-Market Account Executive"/>
    <s v="MM"/>
    <n v="4"/>
    <x v="0"/>
  </r>
  <r>
    <s v="LEAD0798"/>
    <s v="Redwood Industries Partners"/>
    <s v="SMB"/>
    <s v="ND"/>
    <s v="USR007"/>
    <s v="SMB"/>
    <n v="3"/>
    <s v="SMB Account Executive"/>
    <s v="SMB"/>
    <n v="3"/>
    <x v="0"/>
  </r>
  <r>
    <s v="LEAD0799"/>
    <s v="Evergreen Supply Co."/>
    <s v="Mid-Market"/>
    <s v="OH"/>
    <s v="USR011"/>
    <s v="MM"/>
    <n v="3"/>
    <s v="Mid-Market Account Executive"/>
    <s v="MM"/>
    <n v="3"/>
    <x v="0"/>
  </r>
  <r>
    <s v="LEAD0800"/>
    <s v="Newbridge Holdings LLC"/>
    <s v="SMB"/>
    <s v="NY"/>
    <s v="USR005"/>
    <s v="SMB"/>
    <n v="1"/>
    <s v="SMB Account Executive"/>
    <s v="SMB"/>
    <n v="1"/>
    <x v="0"/>
  </r>
  <r>
    <s v="LEAD0801"/>
    <s v="Newbridge Technology Systems"/>
    <s v="SMB"/>
    <s v="OH"/>
    <s v="USR007"/>
    <s v="SMB"/>
    <n v="3"/>
    <s v="SMB Account Executive"/>
    <s v="SMB"/>
    <n v="3"/>
    <x v="0"/>
  </r>
  <r>
    <s v="LEAD0802"/>
    <s v="Silverline Networks LLC"/>
    <s v="SMB"/>
    <s v="CA"/>
    <s v="USR008"/>
    <s v="SMB"/>
    <n v="4"/>
    <s v="SMB Account Executive"/>
    <s v="SMB"/>
    <n v="4"/>
    <x v="0"/>
  </r>
  <r>
    <s v="LEAD0803"/>
    <s v="Monarch Manufacturing Co."/>
    <s v="SMB"/>
    <s v="WI"/>
    <s v="USR007"/>
    <s v="SMB"/>
    <n v="3"/>
    <s v="SMB Account Executive"/>
    <s v="SMB"/>
    <n v="3"/>
    <x v="0"/>
  </r>
  <r>
    <s v="LEAD0804"/>
    <s v="Sterling Distribution Inc."/>
    <s v="Mid-Market"/>
    <s v="IL"/>
    <s v="USR011"/>
    <s v="MM"/>
    <n v="3"/>
    <s v="Mid-Market Account Executive"/>
    <s v="MM"/>
    <n v="3"/>
    <x v="0"/>
  </r>
  <r>
    <s v="LEAD0805"/>
    <s v="Cobalt Labs LLC"/>
    <s v="SMB"/>
    <s v="OK"/>
    <s v="USR006"/>
    <s v="SMB"/>
    <n v="2"/>
    <s v="SMB Account Executive"/>
    <s v="SMB"/>
    <n v="2"/>
    <x v="0"/>
  </r>
  <r>
    <s v="LEAD0806"/>
    <s v="Eastgate Works Group"/>
    <s v="SMB"/>
    <s v="WA"/>
    <s v="USR008"/>
    <s v="SMB"/>
    <n v="4"/>
    <s v="SMB Account Executive"/>
    <s v="SMB"/>
    <n v="4"/>
    <x v="0"/>
  </r>
  <r>
    <s v="LEAD0807"/>
    <s v="Stonebridge Technology Partners"/>
    <s v="SMB"/>
    <s v="NM"/>
    <s v="USR007"/>
    <s v="SMB"/>
    <n v="4"/>
    <s v="SMB Account Executive"/>
    <s v="SMB"/>
    <n v="3"/>
    <x v="2"/>
  </r>
  <r>
    <s v="LEAD0808"/>
    <s v="Stonebridge Works Group"/>
    <s v="Mid-Market"/>
    <s v="GA"/>
    <s v="USR010"/>
    <s v="MM"/>
    <n v="2"/>
    <s v="Mid-Market Account Executive"/>
    <s v="MM"/>
    <n v="2"/>
    <x v="0"/>
  </r>
  <r>
    <s v="LEAD0809"/>
    <s v="Sterling Solutions Partners"/>
    <s v="SMB"/>
    <s v="AL"/>
    <s v="USR006"/>
    <s v="SMB"/>
    <n v="2"/>
    <s v="SMB Account Executive"/>
    <s v="SMB"/>
    <n v="2"/>
    <x v="0"/>
  </r>
  <r>
    <s v="LEAD0810"/>
    <s v="Ironwood Consulting Systems"/>
    <s v="SMB"/>
    <s v="OH"/>
    <s v="USR007"/>
    <s v="SMB"/>
    <n v="3"/>
    <s v="SMB Account Executive"/>
    <s v="SMB"/>
    <n v="3"/>
    <x v="0"/>
  </r>
  <r>
    <s v="LEAD0811"/>
    <s v="Sterling Consulting LLC"/>
    <s v="SMB"/>
    <s v="MI"/>
    <s v="USR007"/>
    <s v="SMB"/>
    <n v="3"/>
    <s v="SMB Account Executive"/>
    <s v="SMB"/>
    <n v="3"/>
    <x v="0"/>
  </r>
  <r>
    <s v="LEAD0812"/>
    <s v="Riverbend Distribution LLC"/>
    <s v="Mid-Market"/>
    <s v="NY"/>
    <s v="USR009"/>
    <s v="MM"/>
    <n v="1"/>
    <s v="Mid-Market Account Executive"/>
    <s v="MM"/>
    <n v="1"/>
    <x v="0"/>
  </r>
  <r>
    <s v="LEAD0813"/>
    <s v="Vertex Holdings Group"/>
    <s v="SMB"/>
    <s v="TX"/>
    <s v="USR006"/>
    <s v="SMB"/>
    <n v="2"/>
    <s v="SMB Account Executive"/>
    <s v="SMB"/>
    <n v="2"/>
    <x v="0"/>
  </r>
  <r>
    <s v="LEAD0814"/>
    <s v="Harbor Health Co."/>
    <s v="Mid-Market"/>
    <m/>
    <s v="USR010"/>
    <s v="MM"/>
    <s v="Needs Review - Territory"/>
    <s v="Mid-Market Account Executive"/>
    <s v="MM"/>
    <n v="2"/>
    <x v="3"/>
  </r>
  <r>
    <s v="LEAD0815"/>
    <s v="Stonebridge Services Systems"/>
    <s v="SMB"/>
    <s v="KS"/>
    <s v="USR007"/>
    <s v="SMB"/>
    <n v="3"/>
    <s v="SMB Account Executive"/>
    <s v="SMB"/>
    <n v="3"/>
    <x v="0"/>
  </r>
  <r>
    <s v="LEAD0816"/>
    <s v="Silverline Works Inc."/>
    <s v="Mid-Market"/>
    <s v="FL"/>
    <s v="USR010"/>
    <s v="MM"/>
    <n v="2"/>
    <s v="Mid-Market Account Executive"/>
    <s v="MM"/>
    <n v="2"/>
    <x v="0"/>
  </r>
  <r>
    <s v="LEAD0817"/>
    <s v="Summit Distribution Inc."/>
    <s v="SMB"/>
    <s v="MD"/>
    <s v="USR005"/>
    <s v="SMB"/>
    <n v="1"/>
    <s v="SMB Account Executive"/>
    <s v="SMB"/>
    <n v="1"/>
    <x v="0"/>
  </r>
  <r>
    <s v="LEAD0818"/>
    <s v="Riverbend Works Systems"/>
    <s v="Mid-Market"/>
    <s v="PA"/>
    <s v="USR009"/>
    <s v="MM"/>
    <n v="1"/>
    <s v="Mid-Market Account Executive"/>
    <s v="MM"/>
    <n v="1"/>
    <x v="0"/>
  </r>
  <r>
    <s v="LEAD0819"/>
    <s v="Cobalt Systems Partners"/>
    <s v="SMB"/>
    <s v="NY"/>
    <s v="USR009"/>
    <s v="SMB"/>
    <n v="1"/>
    <s v="Mid-Market Account Executive"/>
    <s v="MM"/>
    <n v="1"/>
    <x v="5"/>
  </r>
  <r>
    <s v="LEAD0820"/>
    <s v="Evergreen Dynamics Partners"/>
    <s v="SMB"/>
    <s v="GA"/>
    <s v="USR006"/>
    <s v="SMB"/>
    <n v="2"/>
    <s v="SMB Account Executive"/>
    <s v="SMB"/>
    <n v="2"/>
    <x v="0"/>
  </r>
  <r>
    <s v="LEAD0821"/>
    <s v="Granite Services Group"/>
    <s v="SMB"/>
    <s v="WI"/>
    <s v="USR007"/>
    <s v="SMB"/>
    <n v="3"/>
    <s v="SMB Account Executive"/>
    <s v="SMB"/>
    <n v="3"/>
    <x v="0"/>
  </r>
  <r>
    <s v="LEAD0822"/>
    <s v="Sterling Technology Co."/>
    <s v="Mid-Market"/>
    <s v="NC"/>
    <s v="USR010"/>
    <s v="MM"/>
    <n v="2"/>
    <s v="Mid-Market Account Executive"/>
    <s v="MM"/>
    <n v="2"/>
    <x v="0"/>
  </r>
  <r>
    <s v="LEAD0823"/>
    <s v="Oakridge Networks Group"/>
    <s v="SMB"/>
    <s v="CA"/>
    <s v="USR008"/>
    <s v="SMB"/>
    <n v="4"/>
    <s v="SMB Account Executive"/>
    <s v="SMB"/>
    <n v="4"/>
    <x v="0"/>
  </r>
  <r>
    <s v="LEAD0824"/>
    <s v="Vertex Manufacturing Partners"/>
    <s v="SMB"/>
    <s v="PA"/>
    <m/>
    <s v="SMB"/>
    <n v="1"/>
    <s v=""/>
    <s v=""/>
    <s v=""/>
    <x v="4"/>
  </r>
  <r>
    <s v="LEAD0825"/>
    <s v="Copper Services Inc."/>
    <s v="Upper Mid-Market"/>
    <s v="MN"/>
    <s v="USR011"/>
    <s v="MM"/>
    <n v="3"/>
    <s v="Mid-Market Account Executive"/>
    <s v="MM"/>
    <n v="3"/>
    <x v="0"/>
  </r>
  <r>
    <s v="LEAD0826"/>
    <s v="Riverbend Commerce Group"/>
    <s v="Mid-Market"/>
    <s v="TX"/>
    <s v="USR010"/>
    <s v="MM"/>
    <n v="2"/>
    <s v="Mid-Market Account Executive"/>
    <s v="MM"/>
    <n v="2"/>
    <x v="0"/>
  </r>
  <r>
    <s v="LEAD0827"/>
    <s v="Sterling Logistics Solutions"/>
    <s v="SMB"/>
    <s v="AL"/>
    <s v="USR006"/>
    <s v="SMB"/>
    <n v="2"/>
    <s v="SMB Account Executive"/>
    <s v="SMB"/>
    <n v="2"/>
    <x v="0"/>
  </r>
  <r>
    <s v="LEAD0828"/>
    <s v="Silverline Health Inc."/>
    <s v="SMB"/>
    <s v="NC"/>
    <s v="USR006"/>
    <s v="SMB"/>
    <n v="2"/>
    <s v="SMB Account Executive"/>
    <s v="SMB"/>
    <n v="2"/>
    <x v="0"/>
  </r>
  <r>
    <s v="LEAD0829"/>
    <s v="Ironwood Resources Partners"/>
    <s v="SMB"/>
    <s v="OH"/>
    <s v="USR007"/>
    <s v="SMB"/>
    <n v="3"/>
    <s v="SMB Account Executive"/>
    <s v="SMB"/>
    <n v="3"/>
    <x v="0"/>
  </r>
  <r>
    <s v="LEAD0830"/>
    <s v="Redwood Enterprises Group"/>
    <s v="Upper Mid-Market"/>
    <s v="AK"/>
    <s v="USR012"/>
    <s v="MM"/>
    <n v="4"/>
    <s v="Mid-Market Account Executive"/>
    <s v="MM"/>
    <n v="4"/>
    <x v="0"/>
  </r>
  <r>
    <s v="LEAD0831"/>
    <s v="Stonebridge Automation Solutions"/>
    <s v="Mid-Market"/>
    <s v="TX"/>
    <s v="USR010"/>
    <s v="MM"/>
    <n v="2"/>
    <s v="Mid-Market Account Executive"/>
    <s v="MM"/>
    <n v="2"/>
    <x v="0"/>
  </r>
  <r>
    <s v="LEAD0832"/>
    <s v="Cedarstone Partners Co."/>
    <s v="SMB"/>
    <s v="CA"/>
    <s v="USR008"/>
    <s v="SMB"/>
    <n v="4"/>
    <s v="SMB Account Executive"/>
    <s v="SMB"/>
    <n v="4"/>
    <x v="0"/>
  </r>
  <r>
    <s v="LEAD0833"/>
    <s v="Newbridge Distribution Group"/>
    <s v="Upper Mid-Market"/>
    <s v="FL"/>
    <s v="USR012"/>
    <s v="MM"/>
    <n v="2"/>
    <s v="Mid-Market Account Executive"/>
    <s v="MM"/>
    <n v="4"/>
    <x v="2"/>
  </r>
  <r>
    <s v="LEAD0834"/>
    <s v="Greenfield Operations Co."/>
    <m/>
    <s v="ID"/>
    <m/>
    <s v="Needs Review - Segment"/>
    <n v="4"/>
    <s v=""/>
    <s v=""/>
    <s v=""/>
    <x v="4"/>
  </r>
  <r>
    <s v="LEAD0835"/>
    <s v="Northstar Holdings Co."/>
    <s v="Mid-Market"/>
    <s v="MN"/>
    <s v="USR011"/>
    <s v="MM"/>
    <n v="3"/>
    <s v="Mid-Market Account Executive"/>
    <s v="MM"/>
    <n v="3"/>
    <x v="0"/>
  </r>
  <r>
    <s v="LEAD0836"/>
    <s v="Riverton Works Co."/>
    <s v="Mid-Market"/>
    <s v="NY"/>
    <s v="USR009"/>
    <s v="MM"/>
    <n v="1"/>
    <s v="Mid-Market Account Executive"/>
    <s v="MM"/>
    <n v="1"/>
    <x v="0"/>
  </r>
  <r>
    <s v="LEAD0837"/>
    <s v="Silverline Logistics Partners"/>
    <s v="Upper Mid-Market"/>
    <s v="NJ"/>
    <s v="USR009"/>
    <s v="MM"/>
    <n v="1"/>
    <s v="Mid-Market Account Executive"/>
    <s v="MM"/>
    <n v="1"/>
    <x v="0"/>
  </r>
  <r>
    <s v="LEAD0838"/>
    <s v="Stonebridge Group Solutions"/>
    <s v="Mid-Market"/>
    <s v="GA"/>
    <s v="USR010"/>
    <s v="MM"/>
    <n v="2"/>
    <s v="Mid-Market Account Executive"/>
    <s v="MM"/>
    <n v="2"/>
    <x v="0"/>
  </r>
  <r>
    <s v="LEAD0839"/>
    <s v="Apex Solutions Partners"/>
    <s v="Mid-Market"/>
    <s v="NJ"/>
    <s v="USR009"/>
    <s v="MM"/>
    <n v="1"/>
    <s v="Mid-Market Account Executive"/>
    <s v="MM"/>
    <n v="1"/>
    <x v="0"/>
  </r>
  <r>
    <s v="LEAD0840"/>
    <s v="Summit Solutions Group"/>
    <s v="Mid-Market"/>
    <s v="AZ"/>
    <s v="USR012"/>
    <s v="MM"/>
    <n v="4"/>
    <s v="Mid-Market Account Executive"/>
    <s v="MM"/>
    <n v="4"/>
    <x v="0"/>
  </r>
  <r>
    <s v="LEAD0841"/>
    <s v="Highland Analytics Co."/>
    <s v="SMB"/>
    <s v="CA"/>
    <s v="USR008"/>
    <s v="SMB"/>
    <n v="4"/>
    <s v="SMB Account Executive"/>
    <s v="SMB"/>
    <n v="4"/>
    <x v="0"/>
  </r>
  <r>
    <s v="LEAD0842"/>
    <s v="Bridgepoint Partners Group"/>
    <s v="Upper Mid-Market"/>
    <s v="NJ"/>
    <s v="USR009"/>
    <s v="MM"/>
    <n v="1"/>
    <s v="Mid-Market Account Executive"/>
    <s v="MM"/>
    <n v="1"/>
    <x v="0"/>
  </r>
  <r>
    <s v="LEAD0843"/>
    <s v="Copper Works Co."/>
    <s v="SMB"/>
    <s v="MO"/>
    <s v="USR007"/>
    <s v="SMB"/>
    <n v="3"/>
    <s v="SMB Account Executive"/>
    <s v="SMB"/>
    <n v="3"/>
    <x v="0"/>
  </r>
  <r>
    <s v="LEAD0844"/>
    <s v="Liberty Distribution Systems"/>
    <s v="SMB"/>
    <s v="NC"/>
    <s v="USR006"/>
    <s v="SMB"/>
    <n v="2"/>
    <s v="SMB Account Executive"/>
    <s v="SMB"/>
    <n v="2"/>
    <x v="0"/>
  </r>
  <r>
    <s v="LEAD0845"/>
    <s v="Cobalt Holdings Co."/>
    <s v="SMB"/>
    <s v="NH"/>
    <s v="USR005"/>
    <s v="SMB"/>
    <n v="1"/>
    <s v="SMB Account Executive"/>
    <s v="SMB"/>
    <n v="1"/>
    <x v="0"/>
  </r>
  <r>
    <s v="LEAD0846"/>
    <s v="Cedarstone Consulting LLC"/>
    <s v="Mid-Market"/>
    <s v="MA"/>
    <s v="USR009"/>
    <s v="MM"/>
    <n v="1"/>
    <s v="Mid-Market Account Executive"/>
    <s v="MM"/>
    <n v="1"/>
    <x v="0"/>
  </r>
  <r>
    <s v="LEAD0847"/>
    <s v="Northstar Manufacturing Partners"/>
    <s v="SMB"/>
    <s v="AR"/>
    <s v="USR006"/>
    <s v="SMB"/>
    <n v="2"/>
    <s v="SMB Account Executive"/>
    <s v="SMB"/>
    <n v="2"/>
    <x v="0"/>
  </r>
  <r>
    <s v="LEAD0848"/>
    <s v="Goldcrest Commerce Inc."/>
    <s v="SMB"/>
    <s v="WI"/>
    <s v="USR007"/>
    <s v="SMB"/>
    <n v="3"/>
    <s v="SMB Account Executive"/>
    <s v="SMB"/>
    <n v="3"/>
    <x v="0"/>
  </r>
  <r>
    <s v="LEAD0849"/>
    <s v="Liberty Partners Partners"/>
    <s v="Mid-Market"/>
    <s v="GA"/>
    <s v="USR010"/>
    <s v="MM"/>
    <n v="2"/>
    <s v="Mid-Market Account Executive"/>
    <s v="MM"/>
    <n v="2"/>
    <x v="0"/>
  </r>
  <r>
    <s v="LEAD0850"/>
    <s v="Atlas Partners Partners"/>
    <s v="Mid-Market"/>
    <s v="GA"/>
    <s v="USR010"/>
    <s v="MM"/>
    <n v="2"/>
    <s v="Mid-Market Account Executive"/>
    <s v="MM"/>
    <n v="2"/>
    <x v="0"/>
  </r>
  <r>
    <s v="LEAD0851"/>
    <s v="Evergreen Distribution Co."/>
    <s v="Mid-Market"/>
    <s v="MI"/>
    <s v="USR011"/>
    <s v="MM"/>
    <n v="3"/>
    <s v="Mid-Market Account Executive"/>
    <s v="MM"/>
    <n v="3"/>
    <x v="0"/>
  </r>
  <r>
    <s v="LEAD0852"/>
    <s v="Silverline Holdings Systems"/>
    <s v="Mid-Market"/>
    <s v="IL"/>
    <s v="USR011"/>
    <s v="MM"/>
    <n v="3"/>
    <s v="Mid-Market Account Executive"/>
    <s v="MM"/>
    <n v="3"/>
    <x v="0"/>
  </r>
  <r>
    <s v="LEAD0853"/>
    <s v="Bridgepoint Manufacturing Partners"/>
    <s v="Upper Mid-Market"/>
    <s v="MO"/>
    <s v="USR011"/>
    <s v="MM"/>
    <n v="3"/>
    <s v="Mid-Market Account Executive"/>
    <s v="MM"/>
    <n v="3"/>
    <x v="0"/>
  </r>
  <r>
    <s v="LEAD0854"/>
    <s v="Solstice Solutions Co."/>
    <s v="Mid-Market"/>
    <s v="KY"/>
    <s v="USR010"/>
    <s v="MM"/>
    <n v="2"/>
    <s v="Mid-Market Account Executive"/>
    <s v="MM"/>
    <n v="2"/>
    <x v="0"/>
  </r>
  <r>
    <s v="LEAD0855"/>
    <s v="Riverton Resources Solutions"/>
    <s v="SMB"/>
    <s v="TX"/>
    <s v="USR006"/>
    <s v="SMB"/>
    <n v="2"/>
    <s v="SMB Account Executive"/>
    <s v="SMB"/>
    <n v="2"/>
    <x v="0"/>
  </r>
  <r>
    <s v="LEAD0856"/>
    <s v="Maple Solutions Co."/>
    <s v="SMB"/>
    <s v="MI"/>
    <s v="USR007"/>
    <s v="SMB"/>
    <n v="3"/>
    <s v="SMB Account Executive"/>
    <s v="SMB"/>
    <n v="3"/>
    <x v="0"/>
  </r>
  <r>
    <s v="LEAD0857"/>
    <s v="Westbrook Dynamics Systems"/>
    <s v="SMB"/>
    <s v="MI"/>
    <s v="USR007"/>
    <s v="SMB"/>
    <n v="3"/>
    <s v="SMB Account Executive"/>
    <s v="SMB"/>
    <n v="3"/>
    <x v="0"/>
  </r>
  <r>
    <s v="LEAD0858"/>
    <s v="Solstice Partners Group"/>
    <s v="SMB"/>
    <s v="SD"/>
    <s v="USR007"/>
    <s v="SMB"/>
    <n v="3"/>
    <s v="SMB Account Executive"/>
    <s v="SMB"/>
    <n v="3"/>
    <x v="0"/>
  </r>
  <r>
    <s v="LEAD0859"/>
    <s v="Goldcrest Analytics LLC"/>
    <s v="SMB"/>
    <s v="CA"/>
    <s v="USR008"/>
    <s v="SMB"/>
    <n v="4"/>
    <s v="SMB Account Executive"/>
    <s v="SMB"/>
    <n v="4"/>
    <x v="0"/>
  </r>
  <r>
    <s v="LEAD0860"/>
    <s v="Greenfield Consulting Co."/>
    <s v="SMB"/>
    <m/>
    <s v="USR008"/>
    <s v="SMB"/>
    <s v="Needs Review - Territory"/>
    <s v="SMB Account Executive"/>
    <s v="SMB"/>
    <n v="4"/>
    <x v="3"/>
  </r>
  <r>
    <s v="LEAD0861"/>
    <s v="ClearPath Resources Inc."/>
    <s v="SMB"/>
    <s v="FL"/>
    <s v="USR006"/>
    <s v="SMB"/>
    <n v="2"/>
    <s v="SMB Account Executive"/>
    <s v="SMB"/>
    <n v="2"/>
    <x v="0"/>
  </r>
  <r>
    <s v="LEAD0862"/>
    <s v="Sterling Services Co."/>
    <s v="Mid-Market"/>
    <s v="CA"/>
    <s v="USR012"/>
    <s v="MM"/>
    <n v="4"/>
    <s v="Mid-Market Account Executive"/>
    <s v="MM"/>
    <n v="4"/>
    <x v="0"/>
  </r>
  <r>
    <s v="LEAD0863"/>
    <s v="Westbrook Health Partners"/>
    <s v="Upper Mid-Market"/>
    <s v="ND"/>
    <s v="USR011"/>
    <s v="MM"/>
    <n v="3"/>
    <s v="Mid-Market Account Executive"/>
    <s v="MM"/>
    <n v="3"/>
    <x v="0"/>
  </r>
  <r>
    <s v="LEAD0864"/>
    <s v="Westbrook Consulting Group"/>
    <s v="SMB"/>
    <s v="TN"/>
    <s v="USR006"/>
    <s v="SMB"/>
    <n v="2"/>
    <s v="SMB Account Executive"/>
    <s v="SMB"/>
    <n v="2"/>
    <x v="0"/>
  </r>
  <r>
    <s v="LEAD0865"/>
    <s v="Falcon Manufacturing Inc."/>
    <s v="Mid-Market"/>
    <s v="FL"/>
    <s v="USR010"/>
    <s v="MM"/>
    <n v="2"/>
    <s v="Mid-Market Account Executive"/>
    <s v="MM"/>
    <n v="2"/>
    <x v="0"/>
  </r>
  <r>
    <s v="LEAD0866"/>
    <s v="Falcon Labs Systems"/>
    <s v="Mid-Market"/>
    <s v="NC"/>
    <s v="USR010"/>
    <s v="MM"/>
    <n v="2"/>
    <s v="Mid-Market Account Executive"/>
    <s v="MM"/>
    <n v="2"/>
    <x v="0"/>
  </r>
  <r>
    <s v="LEAD0867"/>
    <s v="Pioneer Operations Group"/>
    <s v="Upper Mid-Market"/>
    <s v="FL"/>
    <s v="USR011"/>
    <s v="MM"/>
    <n v="2"/>
    <s v="Mid-Market Account Executive"/>
    <s v="MM"/>
    <n v="3"/>
    <x v="2"/>
  </r>
  <r>
    <s v="LEAD0868"/>
    <s v="Horizon Labs Partners"/>
    <s v="Mid-Market"/>
    <s v="AZ"/>
    <s v="USR012"/>
    <s v="MM"/>
    <n v="4"/>
    <s v="Mid-Market Account Executive"/>
    <s v="MM"/>
    <n v="4"/>
    <x v="0"/>
  </r>
  <r>
    <s v="LEAD0869"/>
    <s v="Crescent Partners Group"/>
    <s v="SMB"/>
    <s v="FL"/>
    <s v="USR006"/>
    <s v="SMB"/>
    <n v="2"/>
    <s v="SMB Account Executive"/>
    <s v="SMB"/>
    <n v="2"/>
    <x v="0"/>
  </r>
  <r>
    <s v="LEAD0870"/>
    <s v="Lakeside Enterprises Group"/>
    <s v="SMB"/>
    <s v="MA"/>
    <s v="USR005"/>
    <s v="SMB"/>
    <n v="1"/>
    <s v="SMB Account Executive"/>
    <s v="SMB"/>
    <n v="1"/>
    <x v="0"/>
  </r>
  <r>
    <s v="LEAD0871"/>
    <s v="Newbridge Partners Systems"/>
    <s v="Mid-Market"/>
    <s v="PA"/>
    <s v="USR009"/>
    <s v="MM"/>
    <n v="1"/>
    <s v="Mid-Market Account Executive"/>
    <s v="MM"/>
    <n v="1"/>
    <x v="0"/>
  </r>
  <r>
    <s v="LEAD0872"/>
    <s v="Cobalt Logistics Partners"/>
    <m/>
    <s v="ND"/>
    <m/>
    <s v="Needs Review - Segment"/>
    <n v="3"/>
    <s v=""/>
    <s v=""/>
    <s v=""/>
    <x v="4"/>
  </r>
  <r>
    <s v="LEAD0873"/>
    <s v="Granite Logistics LLC"/>
    <s v="SMB"/>
    <s v="MA"/>
    <s v="USR005"/>
    <s v="SMB"/>
    <n v="1"/>
    <s v="SMB Account Executive"/>
    <s v="SMB"/>
    <n v="1"/>
    <x v="0"/>
  </r>
  <r>
    <s v="LEAD0874"/>
    <s v="Liberty Partners Solutions"/>
    <s v="SMB"/>
    <s v="NC"/>
    <s v="USR006"/>
    <s v="SMB"/>
    <n v="2"/>
    <s v="SMB Account Executive"/>
    <s v="SMB"/>
    <n v="2"/>
    <x v="0"/>
  </r>
  <r>
    <s v="LEAD0875"/>
    <s v="Cobalt Holdings Partners"/>
    <s v="SMB"/>
    <s v="CO"/>
    <s v="USR008"/>
    <s v="SMB"/>
    <n v="4"/>
    <s v="SMB Account Executive"/>
    <s v="SMB"/>
    <n v="4"/>
    <x v="0"/>
  </r>
  <r>
    <s v="LEAD0876"/>
    <s v="Newbridge Logistics Solutions"/>
    <s v="SMB"/>
    <s v="TN"/>
    <s v="USR006"/>
    <s v="SMB"/>
    <n v="2"/>
    <s v="SMB Account Executive"/>
    <s v="SMB"/>
    <n v="2"/>
    <x v="0"/>
  </r>
  <r>
    <s v="LEAD0877"/>
    <s v="Pioneer Commerce Solutions"/>
    <s v="Upper Mid-Market"/>
    <s v="FL"/>
    <s v="USR006"/>
    <s v="MM"/>
    <n v="2"/>
    <s v="SMB Account Executive"/>
    <s v="SMB"/>
    <n v="2"/>
    <x v="5"/>
  </r>
  <r>
    <s v="LEAD0878"/>
    <s v="Cedarstone Networks LLC"/>
    <s v="SMB"/>
    <s v="MI"/>
    <s v="USR007"/>
    <s v="SMB"/>
    <n v="3"/>
    <s v="SMB Account Executive"/>
    <s v="SMB"/>
    <n v="3"/>
    <x v="0"/>
  </r>
  <r>
    <s v="LEAD0879"/>
    <s v="Highland Distribution Group"/>
    <s v="SMB"/>
    <s v="MA"/>
    <s v="USR005"/>
    <s v="SMB"/>
    <n v="1"/>
    <s v="SMB Account Executive"/>
    <s v="SMB"/>
    <n v="1"/>
    <x v="0"/>
  </r>
  <r>
    <s v="LEAD0880"/>
    <s v="ClearPath Systems Group"/>
    <s v="SMB"/>
    <s v="TX"/>
    <s v="USR006"/>
    <s v="SMB"/>
    <n v="2"/>
    <s v="SMB Account Executive"/>
    <s v="SMB"/>
    <n v="2"/>
    <x v="0"/>
  </r>
  <r>
    <s v="LEAD0881"/>
    <s v="Riverton Manufacturing Partners"/>
    <s v="Mid-Market"/>
    <s v="FL"/>
    <s v="USR010"/>
    <s v="MM"/>
    <n v="2"/>
    <s v="Mid-Market Account Executive"/>
    <s v="MM"/>
    <n v="2"/>
    <x v="0"/>
  </r>
  <r>
    <s v="LEAD0882"/>
    <s v="Evergreen Dynamics Solutions"/>
    <s v="Mid-Market"/>
    <s v="CT"/>
    <s v="USR009"/>
    <s v="MM"/>
    <n v="1"/>
    <s v="Mid-Market Account Executive"/>
    <s v="MM"/>
    <n v="1"/>
    <x v="0"/>
  </r>
  <r>
    <s v="LEAD0883"/>
    <s v="Lakeside Commerce Co."/>
    <s v="Mid-Market"/>
    <s v="MD"/>
    <s v="USR009"/>
    <s v="MM"/>
    <n v="1"/>
    <s v="Mid-Market Account Executive"/>
    <s v="MM"/>
    <n v="1"/>
    <x v="0"/>
  </r>
  <r>
    <s v="LEAD0884"/>
    <s v="Stonebridge Enterprises LLC"/>
    <s v="Mid-Market"/>
    <s v="IA"/>
    <s v="USR011"/>
    <s v="MM"/>
    <n v="3"/>
    <s v="Mid-Market Account Executive"/>
    <s v="MM"/>
    <n v="3"/>
    <x v="0"/>
  </r>
  <r>
    <s v="LEAD0885"/>
    <s v="Eastgate Group Inc."/>
    <s v="Mid-Market"/>
    <s v="NJ"/>
    <s v="USR009"/>
    <s v="MM"/>
    <n v="1"/>
    <s v="Mid-Market Account Executive"/>
    <s v="MM"/>
    <n v="1"/>
    <x v="0"/>
  </r>
  <r>
    <s v="LEAD0886"/>
    <s v="Solstice Group Solutions"/>
    <s v="SMB"/>
    <s v="WA"/>
    <s v="USR008"/>
    <s v="SMB"/>
    <n v="4"/>
    <s v="SMB Account Executive"/>
    <s v="SMB"/>
    <n v="4"/>
    <x v="0"/>
  </r>
  <r>
    <s v="LEAD0887"/>
    <s v="Cobalt Works Inc."/>
    <s v="SMB"/>
    <s v="IL"/>
    <s v="USR007"/>
    <s v="SMB"/>
    <n v="3"/>
    <s v="SMB Account Executive"/>
    <s v="SMB"/>
    <n v="3"/>
    <x v="0"/>
  </r>
  <r>
    <s v="LEAD0888"/>
    <s v="Atlas Works Co."/>
    <s v="SMB"/>
    <s v="TX"/>
    <s v="USR006"/>
    <s v="SMB"/>
    <n v="2"/>
    <s v="SMB Account Executive"/>
    <s v="SMB"/>
    <n v="2"/>
    <x v="0"/>
  </r>
  <r>
    <s v="LEAD0889"/>
    <s v="Harbor Automation Partners"/>
    <s v="Mid-Market"/>
    <s v="CA"/>
    <s v="USR010"/>
    <s v="MM"/>
    <n v="4"/>
    <s v="Mid-Market Account Executive"/>
    <s v="MM"/>
    <n v="2"/>
    <x v="2"/>
  </r>
  <r>
    <s v="LEAD0890"/>
    <s v="Prime Resources Systems"/>
    <s v="Mid-Market"/>
    <s v="CA"/>
    <s v="USR009"/>
    <s v="MM"/>
    <n v="4"/>
    <s v="Mid-Market Account Executive"/>
    <s v="MM"/>
    <n v="1"/>
    <x v="2"/>
  </r>
  <r>
    <s v="LEAD0891"/>
    <s v="Lakeside Supply Inc."/>
    <s v="SMB"/>
    <s v="FL"/>
    <s v="USR006"/>
    <s v="SMB"/>
    <n v="2"/>
    <s v="SMB Account Executive"/>
    <s v="SMB"/>
    <n v="2"/>
    <x v="0"/>
  </r>
  <r>
    <s v="LEAD0892"/>
    <s v="Goldcrest Labs Partners"/>
    <s v="SMB"/>
    <s v="GA"/>
    <s v="USR006"/>
    <s v="SMB"/>
    <n v="2"/>
    <s v="SMB Account Executive"/>
    <s v="SMB"/>
    <n v="2"/>
    <x v="0"/>
  </r>
  <r>
    <s v="LEAD0893"/>
    <s v="Solstice Networks LLC"/>
    <m/>
    <s v="FL"/>
    <m/>
    <s v="Needs Review - Segment"/>
    <n v="2"/>
    <s v=""/>
    <s v=""/>
    <s v=""/>
    <x v="4"/>
  </r>
  <r>
    <s v="LEAD0894"/>
    <s v="Riverbend Analytics Solutions"/>
    <s v="Mid-Market"/>
    <s v="TX"/>
    <s v="USR010"/>
    <s v="MM"/>
    <n v="2"/>
    <s v="Mid-Market Account Executive"/>
    <s v="MM"/>
    <n v="2"/>
    <x v="0"/>
  </r>
  <r>
    <s v="LEAD0895"/>
    <s v="Liberty Works Inc."/>
    <s v="SMB"/>
    <s v="FL"/>
    <s v="USR006"/>
    <s v="SMB"/>
    <n v="2"/>
    <s v="SMB Account Executive"/>
    <s v="SMB"/>
    <n v="2"/>
    <x v="0"/>
  </r>
  <r>
    <s v="LEAD0896"/>
    <s v="Granite Holdings Partners"/>
    <s v="Mid-Market"/>
    <m/>
    <s v="USR009"/>
    <s v="MM"/>
    <s v="Needs Review - Territory"/>
    <s v="Mid-Market Account Executive"/>
    <s v="MM"/>
    <n v="1"/>
    <x v="3"/>
  </r>
  <r>
    <s v="LEAD0897"/>
    <s v="Beacon Resources Systems"/>
    <s v="SMB"/>
    <s v="VA"/>
    <s v="USR006"/>
    <s v="SMB"/>
    <n v="2"/>
    <s v="SMB Account Executive"/>
    <s v="SMB"/>
    <n v="2"/>
    <x v="0"/>
  </r>
  <r>
    <s v="LEAD0898"/>
    <s v="Crescent Works Inc."/>
    <s v="SMB"/>
    <s v="TX"/>
    <s v="USR008"/>
    <s v="SMB"/>
    <n v="2"/>
    <s v="SMB Account Executive"/>
    <s v="SMB"/>
    <n v="4"/>
    <x v="2"/>
  </r>
  <r>
    <s v="LEAD0899"/>
    <s v="Summit Systems Group"/>
    <s v="Mid-Market"/>
    <s v="GA"/>
    <s v="USR010"/>
    <s v="MM"/>
    <n v="2"/>
    <s v="Mid-Market Account Executive"/>
    <s v="MM"/>
    <n v="2"/>
    <x v="0"/>
  </r>
  <r>
    <s v="LEAD0900"/>
    <s v="Cobalt Partners Solutions"/>
    <s v="SMB"/>
    <s v="NV"/>
    <s v="USR008"/>
    <s v="SMB"/>
    <n v="4"/>
    <s v="SMB Account Executive"/>
    <s v="SMB"/>
    <n v="4"/>
    <x v="0"/>
  </r>
  <r>
    <s v="LEAD0901"/>
    <s v="Copper Commerce Group"/>
    <s v="SMB"/>
    <s v="AZ"/>
    <s v="USR008"/>
    <s v="SMB"/>
    <n v="4"/>
    <s v="SMB Account Executive"/>
    <s v="SMB"/>
    <n v="4"/>
    <x v="0"/>
  </r>
  <r>
    <s v="LEAD0902"/>
    <s v="Lakeside Health Solutions"/>
    <s v="SMB"/>
    <s v="IL"/>
    <s v="USR008"/>
    <s v="SMB"/>
    <n v="3"/>
    <s v="SMB Account Executive"/>
    <s v="SMB"/>
    <n v="4"/>
    <x v="2"/>
  </r>
  <r>
    <s v="LEAD0903"/>
    <s v="Apex Systems Co."/>
    <s v="SMB"/>
    <s v="CO"/>
    <s v="USR008"/>
    <s v="SMB"/>
    <n v="4"/>
    <s v="SMB Account Executive"/>
    <s v="SMB"/>
    <n v="4"/>
    <x v="0"/>
  </r>
  <r>
    <s v="LEAD0904"/>
    <s v="Vertex Works Systems"/>
    <s v="SMB"/>
    <s v="CA"/>
    <s v="USR008"/>
    <s v="SMB"/>
    <n v="4"/>
    <s v="SMB Account Executive"/>
    <s v="SMB"/>
    <n v="4"/>
    <x v="0"/>
  </r>
  <r>
    <s v="LEAD0905"/>
    <s v="Apex Works Systems"/>
    <s v="Upper Mid-Market"/>
    <s v="PA"/>
    <s v="USR009"/>
    <s v="MM"/>
    <n v="1"/>
    <s v="Mid-Market Account Executive"/>
    <s v="MM"/>
    <n v="1"/>
    <x v="0"/>
  </r>
  <r>
    <s v="LEAD0906"/>
    <s v="Prime Industries Systems"/>
    <s v="SMB"/>
    <s v="NJ"/>
    <s v="USR005"/>
    <s v="SMB"/>
    <n v="1"/>
    <s v="SMB Account Executive"/>
    <s v="SMB"/>
    <n v="1"/>
    <x v="0"/>
  </r>
  <r>
    <s v="LEAD0907"/>
    <s v="Horizon Manufacturing Partners"/>
    <s v="SMB"/>
    <s v="VA"/>
    <s v="USR006"/>
    <s v="SMB"/>
    <n v="2"/>
    <s v="SMB Account Executive"/>
    <s v="SMB"/>
    <n v="2"/>
    <x v="0"/>
  </r>
  <r>
    <s v="LEAD0908"/>
    <s v="Solstice Distribution Group"/>
    <s v="SMB"/>
    <s v="ME"/>
    <s v="USR005"/>
    <s v="SMB"/>
    <n v="1"/>
    <s v="SMB Account Executive"/>
    <s v="SMB"/>
    <n v="1"/>
    <x v="0"/>
  </r>
  <r>
    <s v="LEAD0909"/>
    <s v="Riverbend Health Partners"/>
    <s v="Mid-Market"/>
    <s v="CA"/>
    <s v="USR012"/>
    <s v="MM"/>
    <n v="4"/>
    <s v="Mid-Market Account Executive"/>
    <s v="MM"/>
    <n v="4"/>
    <x v="0"/>
  </r>
  <r>
    <s v="LEAD0910"/>
    <s v="Cobalt Group Co."/>
    <s v="Mid-Market"/>
    <s v="PA"/>
    <s v="USR009"/>
    <s v="MM"/>
    <n v="1"/>
    <s v="Mid-Market Account Executive"/>
    <s v="MM"/>
    <n v="1"/>
    <x v="0"/>
  </r>
  <r>
    <s v="LEAD0911"/>
    <s v="Goldcrest Enterprises LLC"/>
    <s v="Mid-Market"/>
    <s v="MA"/>
    <s v="USR009"/>
    <s v="MM"/>
    <n v="1"/>
    <s v="Mid-Market Account Executive"/>
    <s v="MM"/>
    <n v="1"/>
    <x v="0"/>
  </r>
  <r>
    <s v="LEAD0912"/>
    <s v="Prime Systems Systems"/>
    <s v="Mid-Market"/>
    <s v="UT"/>
    <s v="USR012"/>
    <s v="MM"/>
    <n v="4"/>
    <s v="Mid-Market Account Executive"/>
    <s v="MM"/>
    <n v="4"/>
    <x v="0"/>
  </r>
  <r>
    <s v="LEAD0913"/>
    <s v="Solstice Automation Group"/>
    <s v="SMB"/>
    <s v="TX"/>
    <s v="USR006"/>
    <s v="SMB"/>
    <n v="2"/>
    <s v="SMB Account Executive"/>
    <s v="SMB"/>
    <n v="2"/>
    <x v="0"/>
  </r>
  <r>
    <s v="LEAD0914"/>
    <s v="BluePeak Health Group"/>
    <s v="SMB"/>
    <s v="NC"/>
    <s v="USR008"/>
    <s v="SMB"/>
    <n v="2"/>
    <s v="SMB Account Executive"/>
    <s v="SMB"/>
    <n v="4"/>
    <x v="2"/>
  </r>
  <r>
    <s v="LEAD0915"/>
    <s v="Atlas Industries Inc."/>
    <s v="SMB"/>
    <s v="NY"/>
    <s v="USR005"/>
    <s v="SMB"/>
    <n v="1"/>
    <s v="SMB Account Executive"/>
    <s v="SMB"/>
    <n v="1"/>
    <x v="0"/>
  </r>
  <r>
    <s v="LEAD0916"/>
    <s v="Pioneer Works Inc."/>
    <s v="Mid-Market"/>
    <s v="IA"/>
    <s v="USR011"/>
    <s v="MM"/>
    <n v="3"/>
    <s v="Mid-Market Account Executive"/>
    <s v="MM"/>
    <n v="3"/>
    <x v="0"/>
  </r>
  <r>
    <s v="LEAD0917"/>
    <s v="Oakridge Systems Solutions"/>
    <s v="SMB"/>
    <s v="TX"/>
    <s v="USR006"/>
    <s v="SMB"/>
    <n v="2"/>
    <s v="SMB Account Executive"/>
    <s v="SMB"/>
    <n v="2"/>
    <x v="0"/>
  </r>
  <r>
    <s v="LEAD0918"/>
    <s v="Goldcrest Automation Group"/>
    <s v="SMB"/>
    <s v="IL"/>
    <s v="USR007"/>
    <s v="SMB"/>
    <n v="3"/>
    <s v="SMB Account Executive"/>
    <s v="SMB"/>
    <n v="3"/>
    <x v="0"/>
  </r>
  <r>
    <s v="LEAD0919"/>
    <s v="Parkside Logistics Systems"/>
    <s v="SMB"/>
    <s v="NJ"/>
    <s v="USR005"/>
    <s v="SMB"/>
    <n v="1"/>
    <s v="SMB Account Executive"/>
    <s v="SMB"/>
    <n v="1"/>
    <x v="0"/>
  </r>
  <r>
    <s v="LEAD0920"/>
    <s v="Ironwood Supply Co."/>
    <s v="Mid-Market"/>
    <s v="TX"/>
    <s v="USR010"/>
    <s v="MM"/>
    <n v="2"/>
    <s v="Mid-Market Account Executive"/>
    <s v="MM"/>
    <n v="2"/>
    <x v="0"/>
  </r>
  <r>
    <s v="LEAD0921"/>
    <s v="Riverton Resources Inc."/>
    <s v="Mid-Market"/>
    <s v="FL"/>
    <s v="USR010"/>
    <s v="MM"/>
    <n v="2"/>
    <s v="Mid-Market Account Executive"/>
    <s v="MM"/>
    <n v="2"/>
    <x v="0"/>
  </r>
  <r>
    <s v="LEAD0922"/>
    <s v="Maple Resources LLC"/>
    <s v="SMB"/>
    <s v="NC"/>
    <s v="USR006"/>
    <s v="SMB"/>
    <n v="2"/>
    <s v="SMB Account Executive"/>
    <s v="SMB"/>
    <n v="2"/>
    <x v="0"/>
  </r>
  <r>
    <s v="LEAD0923"/>
    <s v="Liberty Systems Systems"/>
    <s v="Mid-Market"/>
    <s v="MD"/>
    <s v="USR009"/>
    <s v="MM"/>
    <n v="1"/>
    <s v="Mid-Market Account Executive"/>
    <s v="MM"/>
    <n v="1"/>
    <x v="0"/>
  </r>
  <r>
    <s v="LEAD0924"/>
    <s v="Brightwell Operations LLC"/>
    <s v="Mid-Market"/>
    <s v="MD"/>
    <m/>
    <s v="MM"/>
    <n v="1"/>
    <s v=""/>
    <s v=""/>
    <s v=""/>
    <x v="4"/>
  </r>
  <r>
    <s v="LEAD0925"/>
    <s v="Oakridge Automation Group"/>
    <m/>
    <s v="UT"/>
    <m/>
    <s v="Needs Review - Segment"/>
    <n v="4"/>
    <s v=""/>
    <s v=""/>
    <s v=""/>
    <x v="4"/>
  </r>
  <r>
    <s v="LEAD0926"/>
    <s v="Falcon Services LLC"/>
    <s v="SMB"/>
    <s v="TN"/>
    <s v="USR006"/>
    <s v="SMB"/>
    <n v="2"/>
    <s v="SMB Account Executive"/>
    <s v="SMB"/>
    <n v="2"/>
    <x v="0"/>
  </r>
  <r>
    <s v="LEAD0927"/>
    <s v="Highland Holdings Systems"/>
    <s v="SMB"/>
    <s v="TX"/>
    <s v="USR006"/>
    <s v="SMB"/>
    <n v="2"/>
    <s v="SMB Account Executive"/>
    <s v="SMB"/>
    <n v="2"/>
    <x v="0"/>
  </r>
  <r>
    <s v="LEAD0928"/>
    <s v="Falcon Analytics Partners"/>
    <s v="SMB"/>
    <s v="IL"/>
    <s v="USR007"/>
    <s v="SMB"/>
    <n v="3"/>
    <s v="SMB Account Executive"/>
    <s v="SMB"/>
    <n v="3"/>
    <x v="0"/>
  </r>
  <r>
    <s v="LEAD0929"/>
    <s v="Atlas Enterprises Systems"/>
    <s v="Upper Mid-Market"/>
    <s v="VA"/>
    <s v="USR010"/>
    <s v="MM"/>
    <n v="2"/>
    <s v="Mid-Market Account Executive"/>
    <s v="MM"/>
    <n v="2"/>
    <x v="0"/>
  </r>
  <r>
    <s v="LEAD0930"/>
    <s v="Cobalt Technology Solutions"/>
    <s v="SMB"/>
    <s v="TX"/>
    <s v="USR006"/>
    <s v="SMB"/>
    <n v="2"/>
    <s v="SMB Account Executive"/>
    <s v="SMB"/>
    <n v="2"/>
    <x v="0"/>
  </r>
  <r>
    <s v="LEAD0931"/>
    <s v="Bridgepoint Dynamics Inc."/>
    <s v="SMB"/>
    <s v="CA"/>
    <s v="USR008"/>
    <s v="SMB"/>
    <n v="4"/>
    <s v="SMB Account Executive"/>
    <s v="SMB"/>
    <n v="4"/>
    <x v="0"/>
  </r>
  <r>
    <s v="LEAD0932"/>
    <s v="Falcon Services Inc."/>
    <s v="SMB"/>
    <s v="VA"/>
    <m/>
    <s v="SMB"/>
    <n v="2"/>
    <s v=""/>
    <s v=""/>
    <s v=""/>
    <x v="4"/>
  </r>
  <r>
    <s v="LEAD0933"/>
    <s v="Granite Solutions Systems"/>
    <s v="SMB"/>
    <s v="WA"/>
    <s v="USR006"/>
    <s v="SMB"/>
    <n v="4"/>
    <s v="SMB Account Executive"/>
    <s v="SMB"/>
    <n v="2"/>
    <x v="2"/>
  </r>
  <r>
    <s v="LEAD0934"/>
    <s v="Stonebridge Industries Solutions"/>
    <s v="SMB"/>
    <s v="SC"/>
    <s v="USR006"/>
    <s v="SMB"/>
    <n v="2"/>
    <s v="SMB Account Executive"/>
    <s v="SMB"/>
    <n v="2"/>
    <x v="0"/>
  </r>
  <r>
    <s v="LEAD0935"/>
    <s v="BluePeak Partners Partners"/>
    <s v="Mid-Market"/>
    <s v="TN"/>
    <s v="USR009"/>
    <s v="MM"/>
    <n v="2"/>
    <s v="Mid-Market Account Executive"/>
    <s v="MM"/>
    <n v="1"/>
    <x v="2"/>
  </r>
  <r>
    <s v="LEAD0936"/>
    <s v="Riverton Consulting LLC"/>
    <s v="Mid-Market"/>
    <s v="CA"/>
    <s v="USR012"/>
    <s v="MM"/>
    <n v="4"/>
    <s v="Mid-Market Account Executive"/>
    <s v="MM"/>
    <n v="4"/>
    <x v="0"/>
  </r>
  <r>
    <s v="LEAD0937"/>
    <s v="Parkside Industries LLC"/>
    <s v="Mid-Market"/>
    <s v="AZ"/>
    <s v="USR012"/>
    <s v="MM"/>
    <n v="4"/>
    <s v="Mid-Market Account Executive"/>
    <s v="MM"/>
    <n v="4"/>
    <x v="0"/>
  </r>
  <r>
    <s v="LEAD0938"/>
    <s v="Harbor Systems LLC"/>
    <s v="SMB"/>
    <s v="AL"/>
    <s v="USR006"/>
    <s v="SMB"/>
    <n v="2"/>
    <s v="SMB Account Executive"/>
    <s v="SMB"/>
    <n v="2"/>
    <x v="0"/>
  </r>
  <r>
    <s v="LEAD0939"/>
    <s v="Copper Holdings Inc."/>
    <s v="Upper Mid-Market"/>
    <s v="IA"/>
    <s v="USR011"/>
    <s v="MM"/>
    <n v="3"/>
    <s v="Mid-Market Account Executive"/>
    <s v="MM"/>
    <n v="3"/>
    <x v="0"/>
  </r>
  <r>
    <s v="LEAD0940"/>
    <s v="Parkside Industries Systems"/>
    <s v="Mid-Market"/>
    <s v="OK"/>
    <s v="USR010"/>
    <s v="MM"/>
    <n v="2"/>
    <s v="Mid-Market Account Executive"/>
    <s v="MM"/>
    <n v="2"/>
    <x v="0"/>
  </r>
  <r>
    <s v="LEAD0941"/>
    <s v="Maple Holdings Solutions"/>
    <m/>
    <s v="AZ"/>
    <m/>
    <s v="Needs Review - Segment"/>
    <n v="4"/>
    <s v=""/>
    <s v=""/>
    <s v=""/>
    <x v="4"/>
  </r>
  <r>
    <s v="LEAD0942"/>
    <s v="Lakeside Consulting LLC"/>
    <s v="SMB"/>
    <s v="TX"/>
    <s v="USR006"/>
    <s v="SMB"/>
    <n v="2"/>
    <s v="SMB Account Executive"/>
    <s v="SMB"/>
    <n v="2"/>
    <x v="0"/>
  </r>
  <r>
    <s v="LEAD0943"/>
    <s v="Newbridge Enterprises Inc."/>
    <s v="SMB"/>
    <s v="LA"/>
    <s v="USR006"/>
    <s v="SMB"/>
    <n v="2"/>
    <s v="SMB Account Executive"/>
    <s v="SMB"/>
    <n v="2"/>
    <x v="0"/>
  </r>
  <r>
    <s v="LEAD0944"/>
    <s v="Goldcrest Health Systems"/>
    <s v="Mid-Market"/>
    <s v="TX"/>
    <s v="USR010"/>
    <s v="MM"/>
    <n v="2"/>
    <s v="Mid-Market Account Executive"/>
    <s v="MM"/>
    <n v="2"/>
    <x v="0"/>
  </r>
  <r>
    <s v="LEAD0945"/>
    <s v="Maple Services LLC"/>
    <s v="Mid-Market"/>
    <s v="AL"/>
    <s v="USR010"/>
    <s v="MM"/>
    <n v="2"/>
    <s v="Mid-Market Account Executive"/>
    <s v="MM"/>
    <n v="2"/>
    <x v="0"/>
  </r>
  <r>
    <s v="LEAD0946"/>
    <s v="Brightwell Supply Group"/>
    <s v="Mid-Market"/>
    <s v="CA"/>
    <s v="USR012"/>
    <s v="MM"/>
    <n v="4"/>
    <s v="Mid-Market Account Executive"/>
    <s v="MM"/>
    <n v="4"/>
    <x v="0"/>
  </r>
  <r>
    <s v="LEAD0947"/>
    <s v="Sterling Analytics LLC"/>
    <s v="Mid-Market"/>
    <s v="IN"/>
    <s v="USR011"/>
    <s v="MM"/>
    <n v="3"/>
    <s v="Mid-Market Account Executive"/>
    <s v="MM"/>
    <n v="3"/>
    <x v="0"/>
  </r>
  <r>
    <s v="LEAD0948"/>
    <s v="Oakridge Works Partners"/>
    <s v="SMB"/>
    <s v="IL"/>
    <s v="USR007"/>
    <s v="SMB"/>
    <n v="3"/>
    <s v="SMB Account Executive"/>
    <s v="SMB"/>
    <n v="3"/>
    <x v="0"/>
  </r>
  <r>
    <s v="LEAD0949"/>
    <s v="Crescent Services Systems"/>
    <s v="Mid-Market"/>
    <s v="MS"/>
    <s v="USR010"/>
    <s v="MM"/>
    <n v="2"/>
    <s v="Mid-Market Account Executive"/>
    <s v="MM"/>
    <n v="2"/>
    <x v="0"/>
  </r>
  <r>
    <s v="LEAD0950"/>
    <s v="Granite Supply Group"/>
    <s v="Mid-Market"/>
    <s v="KY"/>
    <s v="USR010"/>
    <s v="MM"/>
    <n v="2"/>
    <s v="Mid-Market Account Executive"/>
    <s v="MM"/>
    <n v="2"/>
    <x v="0"/>
  </r>
  <r>
    <s v="LEAD0951"/>
    <s v="Solstice Supply Inc."/>
    <s v="SMB"/>
    <s v="NH"/>
    <s v="USR005"/>
    <s v="SMB"/>
    <n v="1"/>
    <s v="SMB Account Executive"/>
    <s v="SMB"/>
    <n v="1"/>
    <x v="0"/>
  </r>
  <r>
    <s v="LEAD0952"/>
    <s v="Brightwell Health Inc."/>
    <s v="Mid-Market"/>
    <s v="WA"/>
    <s v="USR012"/>
    <s v="MM"/>
    <n v="4"/>
    <s v="Mid-Market Account Executive"/>
    <s v="MM"/>
    <n v="4"/>
    <x v="0"/>
  </r>
  <r>
    <s v="LEAD0953"/>
    <s v="Crescent Holdings Co."/>
    <s v="SMB"/>
    <s v="TX"/>
    <s v="USR006"/>
    <s v="SMB"/>
    <n v="2"/>
    <s v="SMB Account Executive"/>
    <s v="SMB"/>
    <n v="2"/>
    <x v="0"/>
  </r>
  <r>
    <s v="LEAD0954"/>
    <s v="Cedarstone Technology LLC"/>
    <s v="Mid-Market"/>
    <s v="NY"/>
    <s v="USR009"/>
    <s v="MM"/>
    <n v="1"/>
    <s v="Mid-Market Account Executive"/>
    <s v="MM"/>
    <n v="1"/>
    <x v="0"/>
  </r>
  <r>
    <s v="LEAD0955"/>
    <s v="Liberty Supply Partners"/>
    <s v="SMB"/>
    <s v="RI"/>
    <s v="USR005"/>
    <s v="SMB"/>
    <n v="1"/>
    <s v="SMB Account Executive"/>
    <s v="SMB"/>
    <n v="1"/>
    <x v="0"/>
  </r>
  <r>
    <s v="LEAD0956"/>
    <s v="Liberty Systems Co."/>
    <s v="SMB"/>
    <s v="IA"/>
    <s v="USR007"/>
    <s v="SMB"/>
    <n v="3"/>
    <s v="SMB Account Executive"/>
    <s v="SMB"/>
    <n v="3"/>
    <x v="0"/>
  </r>
  <r>
    <s v="LEAD0957"/>
    <s v="Riverton Resources Co."/>
    <s v="SMB"/>
    <s v="OH"/>
    <m/>
    <s v="SMB"/>
    <n v="3"/>
    <s v=""/>
    <s v=""/>
    <s v=""/>
    <x v="4"/>
  </r>
  <r>
    <s v="LEAD0958"/>
    <s v="Newbridge Labs Partners"/>
    <s v="SMB"/>
    <s v="MA"/>
    <s v="USR006"/>
    <s v="SMB"/>
    <n v="1"/>
    <s v="SMB Account Executive"/>
    <s v="SMB"/>
    <n v="2"/>
    <x v="2"/>
  </r>
  <r>
    <s v="LEAD0959"/>
    <s v="Ironwood Enterprises Inc."/>
    <s v="SMB"/>
    <s v="TX"/>
    <s v="USR006"/>
    <s v="SMB"/>
    <n v="2"/>
    <s v="SMB Account Executive"/>
    <s v="SMB"/>
    <n v="2"/>
    <x v="0"/>
  </r>
  <r>
    <s v="LEAD0960"/>
    <s v="Riverton Supply Group"/>
    <m/>
    <s v="IN"/>
    <m/>
    <s v="Needs Review - Segment"/>
    <n v="3"/>
    <s v=""/>
    <s v=""/>
    <s v=""/>
    <x v="4"/>
  </r>
  <r>
    <s v="LEAD0961"/>
    <s v="Falcon Services Group"/>
    <s v="SMB"/>
    <s v="TX"/>
    <s v="USR006"/>
    <s v="SMB"/>
    <n v="2"/>
    <s v="SMB Account Executive"/>
    <s v="SMB"/>
    <n v="2"/>
    <x v="0"/>
  </r>
  <r>
    <s v="LEAD0962"/>
    <s v="Riverbend Services Co."/>
    <s v="SMB"/>
    <s v="MI"/>
    <s v="USR007"/>
    <s v="SMB"/>
    <n v="3"/>
    <s v="SMB Account Executive"/>
    <s v="SMB"/>
    <n v="3"/>
    <x v="0"/>
  </r>
  <r>
    <s v="LEAD0963"/>
    <s v="Lakeside Systems Systems"/>
    <s v="Upper Mid-Market"/>
    <s v="WV"/>
    <s v="USR009"/>
    <s v="MM"/>
    <n v="1"/>
    <s v="Mid-Market Account Executive"/>
    <s v="MM"/>
    <n v="1"/>
    <x v="0"/>
  </r>
  <r>
    <s v="LEAD0964"/>
    <s v="Newbridge Services LLC"/>
    <s v="SMB"/>
    <s v="CA"/>
    <s v="USR008"/>
    <s v="SMB"/>
    <n v="4"/>
    <s v="SMB Account Executive"/>
    <s v="SMB"/>
    <n v="4"/>
    <x v="0"/>
  </r>
  <r>
    <s v="LEAD0965"/>
    <s v="Redwood Analytics LLC"/>
    <s v="SMB"/>
    <s v="CA"/>
    <s v="USR008"/>
    <s v="SMB"/>
    <n v="4"/>
    <s v="SMB Account Executive"/>
    <s v="SMB"/>
    <n v="4"/>
    <x v="0"/>
  </r>
  <r>
    <s v="LEAD0966"/>
    <s v="Parkside Partners Systems"/>
    <s v="Mid-Market"/>
    <s v="PA"/>
    <s v="USR009"/>
    <s v="MM"/>
    <n v="1"/>
    <s v="Mid-Market Account Executive"/>
    <s v="MM"/>
    <n v="1"/>
    <x v="0"/>
  </r>
  <r>
    <s v="LEAD0967"/>
    <s v="Monarch Solutions Group"/>
    <s v="Upper Mid-Market"/>
    <s v="TX"/>
    <s v="USR010"/>
    <s v="MM"/>
    <n v="2"/>
    <s v="Mid-Market Account Executive"/>
    <s v="MM"/>
    <n v="2"/>
    <x v="0"/>
  </r>
  <r>
    <s v="LEAD0968"/>
    <s v="Summit Health Solutions"/>
    <s v="SMB"/>
    <s v="CO"/>
    <s v="USR008"/>
    <s v="SMB"/>
    <n v="4"/>
    <s v="SMB Account Executive"/>
    <s v="SMB"/>
    <n v="4"/>
    <x v="0"/>
  </r>
  <r>
    <s v="LEAD0969"/>
    <s v="Evergreen Manufacturing LLC"/>
    <s v="Upper Mid-Market"/>
    <s v="TX"/>
    <s v="USR010"/>
    <s v="MM"/>
    <n v="2"/>
    <s v="Mid-Market Account Executive"/>
    <s v="MM"/>
    <n v="2"/>
    <x v="0"/>
  </r>
  <r>
    <s v="LEAD0970"/>
    <s v="Atlas Networks Co."/>
    <s v="SMB"/>
    <s v="MS"/>
    <s v="USR006"/>
    <s v="SMB"/>
    <n v="2"/>
    <s v="SMB Account Executive"/>
    <s v="SMB"/>
    <n v="2"/>
    <x v="0"/>
  </r>
  <r>
    <s v="LEAD0971"/>
    <s v="Maple Labs Group"/>
    <s v="Mid-Market"/>
    <s v="NJ"/>
    <s v="USR009"/>
    <s v="MM"/>
    <n v="1"/>
    <s v="Mid-Market Account Executive"/>
    <s v="MM"/>
    <n v="1"/>
    <x v="0"/>
  </r>
  <r>
    <s v="LEAD0972"/>
    <s v="Apex Automation LLC"/>
    <s v="SMB"/>
    <s v="PA"/>
    <s v="USR005"/>
    <s v="SMB"/>
    <n v="1"/>
    <s v="SMB Account Executive"/>
    <s v="SMB"/>
    <n v="1"/>
    <x v="0"/>
  </r>
  <r>
    <s v="LEAD0973"/>
    <s v="Riverton Works Systems"/>
    <s v="SMB"/>
    <s v="AZ"/>
    <s v="USR007"/>
    <s v="SMB"/>
    <n v="4"/>
    <s v="SMB Account Executive"/>
    <s v="SMB"/>
    <n v="3"/>
    <x v="2"/>
  </r>
  <r>
    <s v="LEAD0974"/>
    <s v="BluePeak Logistics Co."/>
    <s v="Mid-Market"/>
    <s v="TN"/>
    <s v="USR010"/>
    <s v="MM"/>
    <n v="2"/>
    <s v="Mid-Market Account Executive"/>
    <s v="MM"/>
    <n v="2"/>
    <x v="0"/>
  </r>
  <r>
    <s v="LEAD0975"/>
    <s v="Redwood Systems Inc."/>
    <s v="Mid-Market"/>
    <s v="GA"/>
    <s v="USR010"/>
    <s v="MM"/>
    <n v="2"/>
    <s v="Mid-Market Account Executive"/>
    <s v="MM"/>
    <n v="2"/>
    <x v="0"/>
  </r>
  <r>
    <s v="LEAD0976"/>
    <s v="Beacon Consulting Co."/>
    <s v="Mid-Market"/>
    <s v="TX"/>
    <s v="USR010"/>
    <s v="MM"/>
    <n v="2"/>
    <s v="Mid-Market Account Executive"/>
    <s v="MM"/>
    <n v="2"/>
    <x v="0"/>
  </r>
  <r>
    <s v="LEAD0977"/>
    <s v="Parkside Dynamics Inc."/>
    <s v="SMB"/>
    <s v="ME"/>
    <s v="USR005"/>
    <s v="SMB"/>
    <n v="1"/>
    <s v="SMB Account Executive"/>
    <s v="SMB"/>
    <n v="1"/>
    <x v="0"/>
  </r>
  <r>
    <s v="LEAD0978"/>
    <s v="Keystone Industries Co."/>
    <s v="Mid-Market"/>
    <s v="PA"/>
    <s v="USR009"/>
    <s v="MM"/>
    <n v="1"/>
    <s v="Mid-Market Account Executive"/>
    <s v="MM"/>
    <n v="1"/>
    <x v="0"/>
  </r>
  <r>
    <s v="LEAD0979"/>
    <s v="Apex Holdings Group"/>
    <s v="Mid-Market"/>
    <s v="MA"/>
    <s v="USR009"/>
    <s v="MM"/>
    <n v="1"/>
    <s v="Mid-Market Account Executive"/>
    <s v="MM"/>
    <n v="1"/>
    <x v="0"/>
  </r>
  <r>
    <s v="LEAD0980"/>
    <s v="Riverton Holdings Co."/>
    <s v="Upper Mid-Market"/>
    <s v="PA"/>
    <s v="USR005"/>
    <s v="MM"/>
    <n v="1"/>
    <s v="SMB Account Executive"/>
    <s v="SMB"/>
    <n v="1"/>
    <x v="5"/>
  </r>
  <r>
    <s v="LEAD0981"/>
    <s v="Beacon Manufacturing Inc."/>
    <s v="SMB"/>
    <s v="CA"/>
    <s v="USR008"/>
    <s v="SMB"/>
    <n v="4"/>
    <s v="SMB Account Executive"/>
    <s v="SMB"/>
    <n v="4"/>
    <x v="0"/>
  </r>
  <r>
    <s v="LEAD0982"/>
    <s v="Apex Solutions Group"/>
    <s v="SMB"/>
    <s v="NY"/>
    <s v="USR005"/>
    <s v="SMB"/>
    <n v="1"/>
    <s v="SMB Account Executive"/>
    <s v="SMB"/>
    <n v="1"/>
    <x v="0"/>
  </r>
  <r>
    <s v="LEAD0983"/>
    <s v="Granite Supply Systems"/>
    <s v="Mid-Market"/>
    <s v="NJ"/>
    <s v="USR009"/>
    <s v="MM"/>
    <n v="1"/>
    <s v="Mid-Market Account Executive"/>
    <s v="MM"/>
    <n v="1"/>
    <x v="0"/>
  </r>
  <r>
    <s v="LEAD0984"/>
    <s v="Stonebridge Health Group"/>
    <s v="SMB"/>
    <s v="PA"/>
    <s v="USR005"/>
    <s v="SMB"/>
    <n v="1"/>
    <s v="SMB Account Executive"/>
    <s v="SMB"/>
    <n v="1"/>
    <x v="0"/>
  </r>
  <r>
    <s v="LEAD0985"/>
    <s v="Beacon Commerce Inc."/>
    <s v="Mid-Market"/>
    <s v="MN"/>
    <s v="USR011"/>
    <s v="MM"/>
    <n v="3"/>
    <s v="Mid-Market Account Executive"/>
    <s v="MM"/>
    <n v="3"/>
    <x v="0"/>
  </r>
  <r>
    <s v="LEAD0986"/>
    <s v="Windward Industries Inc."/>
    <s v="SMB"/>
    <s v="IL"/>
    <s v="USR007"/>
    <s v="SMB"/>
    <n v="3"/>
    <s v="SMB Account Executive"/>
    <s v="SMB"/>
    <n v="3"/>
    <x v="0"/>
  </r>
  <r>
    <s v="LEAD0987"/>
    <s v="Riverbend Distribution Partners"/>
    <s v="SMB"/>
    <s v="TX"/>
    <s v="USR006"/>
    <s v="SMB"/>
    <n v="2"/>
    <s v="SMB Account Executive"/>
    <s v="SMB"/>
    <n v="2"/>
    <x v="0"/>
  </r>
  <r>
    <s v="LEAD0988"/>
    <s v="Cedarstone Logistics Systems"/>
    <s v="Upper Mid-Market"/>
    <s v="OH"/>
    <s v="USR007"/>
    <s v="MM"/>
    <n v="3"/>
    <s v="SMB Account Executive"/>
    <s v="SMB"/>
    <n v="3"/>
    <x v="5"/>
  </r>
  <r>
    <s v="LEAD0989"/>
    <s v="Monarch Solutions Inc."/>
    <s v="SMB"/>
    <s v="CA"/>
    <s v="USR008"/>
    <s v="SMB"/>
    <n v="4"/>
    <s v="SMB Account Executive"/>
    <s v="SMB"/>
    <n v="4"/>
    <x v="0"/>
  </r>
  <r>
    <s v="LEAD0990"/>
    <s v="Windward Group Inc."/>
    <s v="Mid-Market"/>
    <s v="GA"/>
    <s v="USR010"/>
    <s v="MM"/>
    <n v="2"/>
    <s v="Mid-Market Account Executive"/>
    <s v="MM"/>
    <n v="2"/>
    <x v="0"/>
  </r>
  <r>
    <s v="LEAD0991"/>
    <s v="Northstar Operations Group"/>
    <s v="SMB"/>
    <s v="IL"/>
    <s v="USR007"/>
    <s v="SMB"/>
    <n v="3"/>
    <s v="SMB Account Executive"/>
    <s v="SMB"/>
    <n v="3"/>
    <x v="0"/>
  </r>
  <r>
    <s v="LEAD0992"/>
    <s v="Cedarstone Holdings Inc."/>
    <s v="Upper Mid-Market"/>
    <s v="TN"/>
    <s v="USR010"/>
    <s v="MM"/>
    <n v="2"/>
    <s v="Mid-Market Account Executive"/>
    <s v="MM"/>
    <n v="2"/>
    <x v="0"/>
  </r>
  <r>
    <s v="LEAD0993"/>
    <s v="Apex Health Co."/>
    <s v="Mid-Market"/>
    <s v="TX"/>
    <m/>
    <s v="MM"/>
    <n v="2"/>
    <s v=""/>
    <s v=""/>
    <s v=""/>
    <x v="4"/>
  </r>
  <r>
    <s v="LEAD0994"/>
    <s v="BluePeak Solutions Inc."/>
    <s v="SMB"/>
    <s v="IL"/>
    <s v="USR007"/>
    <s v="SMB"/>
    <n v="3"/>
    <s v="SMB Account Executive"/>
    <s v="SMB"/>
    <n v="3"/>
    <x v="0"/>
  </r>
  <r>
    <s v="LEAD0995"/>
    <s v="Maple Manufacturing Co."/>
    <s v="Mid-Market"/>
    <s v="PA"/>
    <s v="USR009"/>
    <s v="MM"/>
    <n v="1"/>
    <s v="Mid-Market Account Executive"/>
    <s v="MM"/>
    <n v="1"/>
    <x v="0"/>
  </r>
  <r>
    <s v="LEAD0996"/>
    <s v="Beacon Distribution Solutions"/>
    <s v="Mid-Market"/>
    <s v="CO"/>
    <s v="USR012"/>
    <s v="MM"/>
    <n v="4"/>
    <s v="Mid-Market Account Executive"/>
    <s v="MM"/>
    <n v="4"/>
    <x v="0"/>
  </r>
  <r>
    <s v="LEAD0997"/>
    <s v="Highland Logistics Co."/>
    <s v="SMB"/>
    <s v="DC"/>
    <s v="USR005"/>
    <s v="SMB"/>
    <n v="1"/>
    <s v="SMB Account Executive"/>
    <s v="SMB"/>
    <n v="1"/>
    <x v="0"/>
  </r>
  <r>
    <s v="LEAD0998"/>
    <s v="Prime Solutions Partners"/>
    <s v="SMB"/>
    <s v="AZ"/>
    <s v="USR008"/>
    <s v="SMB"/>
    <n v="4"/>
    <s v="SMB Account Executive"/>
    <s v="SMB"/>
    <n v="4"/>
    <x v="0"/>
  </r>
  <r>
    <s v="LEAD0999"/>
    <s v="Greenfield Health Solutions"/>
    <s v="Upper Mid-Market"/>
    <s v="FL"/>
    <s v="USR010"/>
    <s v="MM"/>
    <n v="2"/>
    <s v="Mid-Market Account Executive"/>
    <s v="MM"/>
    <n v="2"/>
    <x v="0"/>
  </r>
  <r>
    <s v="LEAD1000"/>
    <s v="Prime Supply Inc."/>
    <s v="SMB"/>
    <s v="WY"/>
    <s v="USR008"/>
    <s v="SMB"/>
    <n v="4"/>
    <s v="SMB Account Executive"/>
    <s v="SMB"/>
    <n v="4"/>
    <x v="0"/>
  </r>
  <r>
    <s v="LEAD1001"/>
    <s v="Northstar Health Partners"/>
    <s v="SMB"/>
    <s v="MA"/>
    <s v="USR008"/>
    <s v="SMB"/>
    <n v="1"/>
    <s v="SMB Account Executive"/>
    <s v="SMB"/>
    <n v="4"/>
    <x v="2"/>
  </r>
  <r>
    <s v="LEAD1002"/>
    <s v="Parkside Services Group"/>
    <s v="Mid-Market"/>
    <s v="NY"/>
    <s v="USR009"/>
    <s v="MM"/>
    <n v="1"/>
    <s v="Mid-Market Account Executive"/>
    <s v="MM"/>
    <n v="1"/>
    <x v="0"/>
  </r>
  <r>
    <s v="LEAD1003"/>
    <s v="Liberty Consulting Systems"/>
    <s v="Upper Mid-Market"/>
    <s v="CA"/>
    <s v="USR008"/>
    <s v="MM"/>
    <n v="4"/>
    <s v="SMB Account Executive"/>
    <s v="SMB"/>
    <n v="4"/>
    <x v="5"/>
  </r>
  <r>
    <s v="LEAD1004"/>
    <s v="Northstar Resources LLC"/>
    <s v="SMB"/>
    <s v="IL"/>
    <s v="USR006"/>
    <s v="SMB"/>
    <n v="3"/>
    <s v="SMB Account Executive"/>
    <s v="SMB"/>
    <n v="2"/>
    <x v="2"/>
  </r>
  <r>
    <s v="LEAD1005"/>
    <s v="Riverton Analytics Partners"/>
    <s v="SMB"/>
    <s v="KS"/>
    <s v="USR007"/>
    <s v="SMB"/>
    <n v="3"/>
    <s v="SMB Account Executive"/>
    <s v="SMB"/>
    <n v="3"/>
    <x v="0"/>
  </r>
  <r>
    <s v="LEAD1006"/>
    <s v="Copper Industries Co."/>
    <s v="Mid-Market"/>
    <s v="FL"/>
    <s v="USR009"/>
    <s v="MM"/>
    <n v="2"/>
    <s v="Mid-Market Account Executive"/>
    <s v="MM"/>
    <n v="1"/>
    <x v="2"/>
  </r>
  <r>
    <s v="LEAD1007"/>
    <s v="Maple Industries LLC"/>
    <s v="Mid-Market"/>
    <s v="TN"/>
    <s v="USR010"/>
    <s v="MM"/>
    <n v="2"/>
    <s v="Mid-Market Account Executive"/>
    <s v="MM"/>
    <n v="2"/>
    <x v="0"/>
  </r>
  <r>
    <s v="LEAD1008"/>
    <s v="Atlas Systems Co."/>
    <s v="SMB"/>
    <s v="NY"/>
    <s v="USR005"/>
    <s v="SMB"/>
    <n v="1"/>
    <s v="SMB Account Executive"/>
    <s v="SMB"/>
    <n v="1"/>
    <x v="0"/>
  </r>
  <r>
    <s v="LEAD1009"/>
    <s v="Pioneer Works Solutions"/>
    <s v="Mid-Market"/>
    <s v="CT"/>
    <s v="USR009"/>
    <s v="MM"/>
    <n v="1"/>
    <s v="Mid-Market Account Executive"/>
    <s v="MM"/>
    <n v="1"/>
    <x v="0"/>
  </r>
  <r>
    <s v="LEAD1010"/>
    <s v="Oakridge Distribution Inc."/>
    <s v="SMB"/>
    <s v="NC"/>
    <s v="USR006"/>
    <s v="SMB"/>
    <n v="2"/>
    <s v="SMB Account Executive"/>
    <s v="SMB"/>
    <n v="2"/>
    <x v="0"/>
  </r>
  <r>
    <s v="LEAD1011"/>
    <s v="Horizon Solutions Solutions"/>
    <s v="SMB"/>
    <s v="WY"/>
    <s v="USR008"/>
    <s v="SMB"/>
    <n v="4"/>
    <s v="SMB Account Executive"/>
    <s v="SMB"/>
    <n v="4"/>
    <x v="0"/>
  </r>
  <r>
    <s v="LEAD1012"/>
    <s v="Greenfield Analytics Systems"/>
    <s v="SMB"/>
    <s v="CA"/>
    <s v="USR008"/>
    <s v="SMB"/>
    <n v="4"/>
    <s v="SMB Account Executive"/>
    <s v="SMB"/>
    <n v="4"/>
    <x v="0"/>
  </r>
  <r>
    <s v="LEAD1013"/>
    <s v="Horizon Health Partners"/>
    <s v="Mid-Market"/>
    <s v="MN"/>
    <s v="USR011"/>
    <s v="MM"/>
    <n v="3"/>
    <s v="Mid-Market Account Executive"/>
    <s v="MM"/>
    <n v="3"/>
    <x v="0"/>
  </r>
  <r>
    <s v="LEAD1014"/>
    <s v="Sterling Systems Co."/>
    <s v="SMB"/>
    <s v="FL"/>
    <s v="USR006"/>
    <s v="SMB"/>
    <n v="2"/>
    <s v="SMB Account Executive"/>
    <s v="SMB"/>
    <n v="2"/>
    <x v="0"/>
  </r>
  <r>
    <s v="LEAD1015"/>
    <s v="Parkside Group Partners"/>
    <s v="SMB"/>
    <s v="MD"/>
    <s v="USR005"/>
    <s v="SMB"/>
    <n v="1"/>
    <s v="SMB Account Executive"/>
    <s v="SMB"/>
    <n v="1"/>
    <x v="0"/>
  </r>
  <r>
    <s v="LEAD1016"/>
    <s v="Lakeside Group LLC"/>
    <s v="SMB"/>
    <s v="FL"/>
    <s v="USR006"/>
    <s v="SMB"/>
    <n v="2"/>
    <s v="SMB Account Executive"/>
    <s v="SMB"/>
    <n v="2"/>
    <x v="0"/>
  </r>
  <r>
    <s v="LEAD1017"/>
    <s v="Harbor Distribution Solutions"/>
    <s v="Mid-Market"/>
    <s v="TX"/>
    <s v="USR010"/>
    <s v="MM"/>
    <n v="2"/>
    <s v="Mid-Market Account Executive"/>
    <s v="MM"/>
    <n v="2"/>
    <x v="0"/>
  </r>
  <r>
    <s v="LEAD1018"/>
    <s v="Newbridge Dynamics Group"/>
    <s v="SMB"/>
    <s v="NM"/>
    <s v="USR008"/>
    <s v="SMB"/>
    <n v="4"/>
    <s v="SMB Account Executive"/>
    <s v="SMB"/>
    <n v="4"/>
    <x v="0"/>
  </r>
  <r>
    <s v="LEAD1019"/>
    <s v="Riverton Enterprises Systems"/>
    <s v="Upper Mid-Market"/>
    <s v="MI"/>
    <s v="USR011"/>
    <s v="MM"/>
    <n v="3"/>
    <s v="Mid-Market Account Executive"/>
    <s v="MM"/>
    <n v="3"/>
    <x v="0"/>
  </r>
  <r>
    <s v="LEAD1020"/>
    <s v="Falcon Works Co."/>
    <s v="SMB"/>
    <s v="KY"/>
    <s v="USR006"/>
    <s v="SMB"/>
    <n v="2"/>
    <s v="SMB Account Executive"/>
    <s v="SMB"/>
    <n v="2"/>
    <x v="0"/>
  </r>
  <r>
    <s v="LEAD1021"/>
    <s v="Horizon Resources Solutions"/>
    <s v="Upper Mid-Market"/>
    <s v="IL"/>
    <s v="USR011"/>
    <s v="MM"/>
    <n v="3"/>
    <s v="Mid-Market Account Executive"/>
    <s v="MM"/>
    <n v="3"/>
    <x v="0"/>
  </r>
  <r>
    <s v="LEAD1022"/>
    <s v="Granite Industries Co."/>
    <s v="Upper Mid-Market"/>
    <s v="NY"/>
    <s v="USR009"/>
    <s v="MM"/>
    <n v="1"/>
    <s v="Mid-Market Account Executive"/>
    <s v="MM"/>
    <n v="1"/>
    <x v="0"/>
  </r>
  <r>
    <s v="LEAD1023"/>
    <s v="Monarch Resources Group"/>
    <s v="SMB"/>
    <s v="MS"/>
    <s v="USR006"/>
    <s v="SMB"/>
    <n v="2"/>
    <s v="SMB Account Executive"/>
    <s v="SMB"/>
    <n v="2"/>
    <x v="0"/>
  </r>
  <r>
    <s v="LEAD1024"/>
    <s v="Summit Labs Systems"/>
    <s v="Upper Mid-Market"/>
    <m/>
    <s v="USR011"/>
    <s v="MM"/>
    <s v="Needs Review - Territory"/>
    <s v="Mid-Market Account Executive"/>
    <s v="MM"/>
    <n v="3"/>
    <x v="3"/>
  </r>
  <r>
    <s v="LEAD1025"/>
    <s v="Atlas Holdings Partners"/>
    <s v="SMB"/>
    <s v="NM"/>
    <s v="USR008"/>
    <s v="SMB"/>
    <n v="4"/>
    <s v="SMB Account Executive"/>
    <s v="SMB"/>
    <n v="4"/>
    <x v="0"/>
  </r>
  <r>
    <s v="LEAD1026"/>
    <s v="Northstar Solutions Inc."/>
    <s v="SMB"/>
    <s v="LA"/>
    <s v="USR007"/>
    <s v="SMB"/>
    <n v="2"/>
    <s v="SMB Account Executive"/>
    <s v="SMB"/>
    <n v="3"/>
    <x v="2"/>
  </r>
  <r>
    <s v="LEAD1027"/>
    <s v="Monarch Labs Partners"/>
    <s v="Upper Mid-Market"/>
    <s v="AZ"/>
    <s v="USR012"/>
    <s v="MM"/>
    <n v="4"/>
    <s v="Mid-Market Account Executive"/>
    <s v="MM"/>
    <n v="4"/>
    <x v="0"/>
  </r>
  <r>
    <s v="LEAD1028"/>
    <s v="BluePeak Commerce Systems"/>
    <s v="Mid-Market"/>
    <s v="OR"/>
    <s v="USR012"/>
    <s v="MM"/>
    <n v="4"/>
    <s v="Mid-Market Account Executive"/>
    <s v="MM"/>
    <n v="4"/>
    <x v="0"/>
  </r>
  <r>
    <s v="LEAD1029"/>
    <s v="Newbridge Automation Inc."/>
    <s v="Mid-Market"/>
    <s v="AZ"/>
    <s v="USR012"/>
    <s v="MM"/>
    <n v="4"/>
    <s v="Mid-Market Account Executive"/>
    <s v="MM"/>
    <n v="4"/>
    <x v="0"/>
  </r>
  <r>
    <s v="LEAD1030"/>
    <s v="Granite Networks LLC"/>
    <s v="Mid-Market"/>
    <s v="PA"/>
    <s v="USR011"/>
    <s v="MM"/>
    <n v="1"/>
    <s v="Mid-Market Account Executive"/>
    <s v="MM"/>
    <n v="3"/>
    <x v="2"/>
  </r>
  <r>
    <s v="LEAD1031"/>
    <s v="Beacon Automation LLC"/>
    <s v="Mid-Market"/>
    <s v="IL"/>
    <s v="USR011"/>
    <s v="MM"/>
    <n v="3"/>
    <s v="Mid-Market Account Executive"/>
    <s v="MM"/>
    <n v="3"/>
    <x v="0"/>
  </r>
  <r>
    <s v="LEAD1032"/>
    <s v="Silverline Networks Group"/>
    <s v="Mid-Market"/>
    <s v="NJ"/>
    <s v="USR009"/>
    <s v="MM"/>
    <n v="1"/>
    <s v="Mid-Market Account Executive"/>
    <s v="MM"/>
    <n v="1"/>
    <x v="0"/>
  </r>
  <r>
    <s v="LEAD1033"/>
    <s v="Windward Operations Co."/>
    <s v="SMB"/>
    <s v="CA"/>
    <s v="USR008"/>
    <s v="SMB"/>
    <n v="4"/>
    <s v="SMB Account Executive"/>
    <s v="SMB"/>
    <n v="4"/>
    <x v="0"/>
  </r>
  <r>
    <s v="LEAD1034"/>
    <s v="Monarch Supply Partners"/>
    <s v="SMB"/>
    <s v="ID"/>
    <s v="USR008"/>
    <s v="SMB"/>
    <n v="4"/>
    <s v="SMB Account Executive"/>
    <s v="SMB"/>
    <n v="4"/>
    <x v="0"/>
  </r>
  <r>
    <s v="LEAD1035"/>
    <s v="Riverton Dynamics Co."/>
    <s v="Mid-Market"/>
    <s v="FL"/>
    <s v="USR010"/>
    <s v="MM"/>
    <n v="2"/>
    <s v="Mid-Market Account Executive"/>
    <s v="MM"/>
    <n v="2"/>
    <x v="0"/>
  </r>
  <r>
    <s v="LEAD1036"/>
    <s v="Evergreen Analytics LLC"/>
    <s v="SMB"/>
    <s v="NY"/>
    <s v="USR005"/>
    <s v="SMB"/>
    <n v="1"/>
    <s v="SMB Account Executive"/>
    <s v="SMB"/>
    <n v="1"/>
    <x v="0"/>
  </r>
  <r>
    <s v="LEAD1037"/>
    <s v="Cedarstone Supply Solutions"/>
    <s v="SMB"/>
    <s v="FL"/>
    <s v="USR006"/>
    <s v="SMB"/>
    <n v="2"/>
    <s v="SMB Account Executive"/>
    <s v="SMB"/>
    <n v="2"/>
    <x v="0"/>
  </r>
  <r>
    <s v="LEAD1038"/>
    <s v="Beacon Networks Group"/>
    <s v="SMB"/>
    <s v="IN"/>
    <s v="USR007"/>
    <s v="SMB"/>
    <n v="3"/>
    <s v="SMB Account Executive"/>
    <s v="SMB"/>
    <n v="3"/>
    <x v="0"/>
  </r>
  <r>
    <s v="LEAD1039"/>
    <s v="Riverton Industries Group"/>
    <s v="SMB"/>
    <s v="GA"/>
    <s v="USR006"/>
    <s v="SMB"/>
    <n v="2"/>
    <s v="SMB Account Executive"/>
    <s v="SMB"/>
    <n v="2"/>
    <x v="0"/>
  </r>
  <r>
    <s v="LEAD1040"/>
    <s v="Horizon Resources Co."/>
    <s v="SMB"/>
    <s v="MO"/>
    <s v="USR007"/>
    <s v="SMB"/>
    <n v="3"/>
    <s v="SMB Account Executive"/>
    <s v="SMB"/>
    <n v="3"/>
    <x v="0"/>
  </r>
  <r>
    <s v="LEAD1041"/>
    <s v="Ironwood Services Systems"/>
    <s v="Mid-Market"/>
    <s v="NC"/>
    <s v="USR010"/>
    <s v="MM"/>
    <n v="2"/>
    <s v="Mid-Market Account Executive"/>
    <s v="MM"/>
    <n v="2"/>
    <x v="0"/>
  </r>
  <r>
    <s v="LEAD1042"/>
    <s v="Cobalt Commerce Group"/>
    <m/>
    <s v="AL"/>
    <m/>
    <s v="Needs Review - Segment"/>
    <n v="2"/>
    <s v=""/>
    <s v=""/>
    <s v=""/>
    <x v="4"/>
  </r>
  <r>
    <s v="LEAD1043"/>
    <s v="Lakeside Manufacturing Co."/>
    <s v="SMB"/>
    <s v="AL"/>
    <s v="USR006"/>
    <s v="SMB"/>
    <n v="2"/>
    <s v="SMB Account Executive"/>
    <s v="SMB"/>
    <n v="2"/>
    <x v="0"/>
  </r>
  <r>
    <s v="LEAD1044"/>
    <s v="Vertex Analytics LLC"/>
    <s v="SMB"/>
    <s v="NV"/>
    <s v="USR008"/>
    <s v="SMB"/>
    <n v="4"/>
    <s v="SMB Account Executive"/>
    <s v="SMB"/>
    <n v="4"/>
    <x v="0"/>
  </r>
  <r>
    <s v="LEAD1045"/>
    <s v="Newbridge Services Inc."/>
    <m/>
    <s v="MD"/>
    <m/>
    <s v="Needs Review - Segment"/>
    <n v="1"/>
    <s v=""/>
    <s v=""/>
    <s v=""/>
    <x v="4"/>
  </r>
  <r>
    <s v="LEAD1046"/>
    <s v="Harbor Manufacturing LLC"/>
    <s v="Mid-Market"/>
    <s v="MI"/>
    <s v="USR011"/>
    <s v="MM"/>
    <n v="3"/>
    <s v="Mid-Market Account Executive"/>
    <s v="MM"/>
    <n v="3"/>
    <x v="0"/>
  </r>
  <r>
    <s v="LEAD1047"/>
    <s v="Bridgepoint Labs Systems"/>
    <s v="Upper Mid-Market"/>
    <s v="OK"/>
    <s v="USR010"/>
    <s v="MM"/>
    <n v="2"/>
    <s v="Mid-Market Account Executive"/>
    <s v="MM"/>
    <n v="2"/>
    <x v="0"/>
  </r>
  <r>
    <s v="LEAD1048"/>
    <s v="Lakeside Group Partners"/>
    <s v="Mid-Market"/>
    <s v="MA"/>
    <s v="USR009"/>
    <s v="MM"/>
    <n v="1"/>
    <s v="Mid-Market Account Executive"/>
    <s v="MM"/>
    <n v="1"/>
    <x v="0"/>
  </r>
  <r>
    <s v="LEAD1049"/>
    <s v="Newbridge Enterprises Group"/>
    <s v="Mid-Market"/>
    <s v="CA"/>
    <s v="USR012"/>
    <s v="MM"/>
    <n v="4"/>
    <s v="Mid-Market Account Executive"/>
    <s v="MM"/>
    <n v="4"/>
    <x v="0"/>
  </r>
  <r>
    <s v="LEAD1050"/>
    <s v="Beacon Works Partners"/>
    <s v="Mid-Market"/>
    <s v="TX"/>
    <s v="USR010"/>
    <s v="MM"/>
    <n v="2"/>
    <s v="Mid-Market Account Executive"/>
    <s v="MM"/>
    <n v="2"/>
    <x v="0"/>
  </r>
  <r>
    <s v="LEAD1051"/>
    <s v="Westbrook Works Solutions"/>
    <s v="Upper Mid-Market"/>
    <s v="MD"/>
    <s v="USR010"/>
    <s v="MM"/>
    <n v="1"/>
    <s v="Mid-Market Account Executive"/>
    <s v="MM"/>
    <n v="2"/>
    <x v="2"/>
  </r>
  <r>
    <s v="LEAD1052"/>
    <s v="Northstar Works Partners"/>
    <m/>
    <s v="CA"/>
    <m/>
    <s v="Needs Review - Segment"/>
    <n v="4"/>
    <s v=""/>
    <s v=""/>
    <s v=""/>
    <x v="4"/>
  </r>
  <r>
    <s v="LEAD1053"/>
    <s v="Goldcrest Supply Solutions"/>
    <s v="Mid-Market"/>
    <s v="OH"/>
    <s v="USR011"/>
    <s v="MM"/>
    <n v="3"/>
    <s v="Mid-Market Account Executive"/>
    <s v="MM"/>
    <n v="3"/>
    <x v="0"/>
  </r>
  <r>
    <s v="LEAD1054"/>
    <s v="Apex Networks Partners"/>
    <s v="SMB"/>
    <s v="RI"/>
    <s v="USR005"/>
    <s v="SMB"/>
    <n v="1"/>
    <s v="SMB Account Executive"/>
    <s v="SMB"/>
    <n v="1"/>
    <x v="0"/>
  </r>
  <r>
    <s v="LEAD1055"/>
    <s v="Parkside Systems Inc."/>
    <s v="Mid-Market"/>
    <s v="WA"/>
    <s v="USR010"/>
    <s v="MM"/>
    <n v="4"/>
    <s v="Mid-Market Account Executive"/>
    <s v="MM"/>
    <n v="2"/>
    <x v="2"/>
  </r>
  <r>
    <s v="LEAD1056"/>
    <s v="ClearPath Operations Group"/>
    <s v="SMB"/>
    <s v="TN"/>
    <s v="USR006"/>
    <s v="SMB"/>
    <n v="2"/>
    <s v="SMB Account Executive"/>
    <s v="SMB"/>
    <n v="2"/>
    <x v="0"/>
  </r>
  <r>
    <s v="LEAD1057"/>
    <s v="Prime Resources Co."/>
    <s v="Mid-Market"/>
    <s v="NJ"/>
    <s v="USR009"/>
    <s v="MM"/>
    <n v="1"/>
    <s v="Mid-Market Account Executive"/>
    <s v="MM"/>
    <n v="1"/>
    <x v="0"/>
  </r>
  <r>
    <s v="LEAD1058"/>
    <s v="Highland Technology Systems"/>
    <s v="Mid-Market"/>
    <s v="CA"/>
    <s v="USR012"/>
    <s v="MM"/>
    <n v="4"/>
    <s v="Mid-Market Account Executive"/>
    <s v="MM"/>
    <n v="4"/>
    <x v="0"/>
  </r>
  <r>
    <s v="LEAD1059"/>
    <s v="Vertex Labs LLC"/>
    <s v="Mid-Market"/>
    <s v="NC"/>
    <s v="USR010"/>
    <s v="MM"/>
    <n v="2"/>
    <s v="Mid-Market Account Executive"/>
    <s v="MM"/>
    <n v="2"/>
    <x v="0"/>
  </r>
  <r>
    <s v="LEAD1060"/>
    <s v="Falcon Networks Partners"/>
    <s v="Mid-Market"/>
    <s v="CA"/>
    <s v="USR012"/>
    <s v="MM"/>
    <n v="4"/>
    <s v="Mid-Market Account Executive"/>
    <s v="MM"/>
    <n v="4"/>
    <x v="0"/>
  </r>
  <r>
    <s v="LEAD1061"/>
    <s v="Keystone Networks Solutions"/>
    <s v="Mid-Market"/>
    <s v="UT"/>
    <s v="USR011"/>
    <s v="MM"/>
    <n v="4"/>
    <s v="Mid-Market Account Executive"/>
    <s v="MM"/>
    <n v="3"/>
    <x v="2"/>
  </r>
  <r>
    <s v="LEAD1062"/>
    <s v="Monarch Partners Systems"/>
    <s v="Mid-Market"/>
    <s v="IL"/>
    <s v="USR011"/>
    <s v="MM"/>
    <n v="3"/>
    <s v="Mid-Market Account Executive"/>
    <s v="MM"/>
    <n v="3"/>
    <x v="0"/>
  </r>
  <r>
    <s v="LEAD1063"/>
    <s v="Maple Distribution Inc."/>
    <s v="SMB"/>
    <s v="CA"/>
    <s v="USR008"/>
    <s v="SMB"/>
    <n v="4"/>
    <s v="SMB Account Executive"/>
    <s v="SMB"/>
    <n v="4"/>
    <x v="0"/>
  </r>
  <r>
    <s v="LEAD1064"/>
    <s v="BluePeak Labs Co."/>
    <s v="SMB"/>
    <s v="IL"/>
    <s v="USR007"/>
    <s v="SMB"/>
    <n v="3"/>
    <s v="SMB Account Executive"/>
    <s v="SMB"/>
    <n v="3"/>
    <x v="0"/>
  </r>
  <r>
    <s v="LEAD1065"/>
    <s v="Keystone Health Inc."/>
    <s v="SMB"/>
    <s v="CA"/>
    <s v="USR008"/>
    <s v="SMB"/>
    <n v="4"/>
    <s v="SMB Account Executive"/>
    <s v="SMB"/>
    <n v="4"/>
    <x v="0"/>
  </r>
  <r>
    <s v="LEAD1066"/>
    <s v="Stonebridge Networks LLC"/>
    <m/>
    <s v="PA"/>
    <m/>
    <s v="Needs Review - Segment"/>
    <n v="1"/>
    <s v=""/>
    <s v=""/>
    <s v=""/>
    <x v="4"/>
  </r>
  <r>
    <s v="LEAD1067"/>
    <s v="Ironwood Technology LLC"/>
    <s v="SMB"/>
    <s v="OH"/>
    <s v="USR007"/>
    <s v="SMB"/>
    <n v="3"/>
    <s v="SMB Account Executive"/>
    <s v="SMB"/>
    <n v="3"/>
    <x v="0"/>
  </r>
  <r>
    <s v="LEAD1068"/>
    <s v="Silverline Industries Group"/>
    <s v="Upper Mid-Market"/>
    <s v="CA"/>
    <s v="USR012"/>
    <s v="MM"/>
    <n v="4"/>
    <s v="Mid-Market Account Executive"/>
    <s v="MM"/>
    <n v="4"/>
    <x v="0"/>
  </r>
  <r>
    <s v="LEAD1069"/>
    <s v="Westbrook Networks LLC"/>
    <s v="Mid-Market"/>
    <s v="WY"/>
    <s v="USR012"/>
    <s v="MM"/>
    <n v="4"/>
    <s v="Mid-Market Account Executive"/>
    <s v="MM"/>
    <n v="4"/>
    <x v="0"/>
  </r>
  <r>
    <s v="LEAD1070"/>
    <s v="Summit Enterprises Co."/>
    <s v="SMB"/>
    <s v="IL"/>
    <s v="USR007"/>
    <s v="SMB"/>
    <n v="3"/>
    <s v="SMB Account Executive"/>
    <s v="SMB"/>
    <n v="3"/>
    <x v="0"/>
  </r>
  <r>
    <s v="LEAD1071"/>
    <s v="Vertex Commerce Systems"/>
    <s v="Upper Mid-Market"/>
    <s v="PA"/>
    <s v="USR010"/>
    <s v="MM"/>
    <n v="1"/>
    <s v="Mid-Market Account Executive"/>
    <s v="MM"/>
    <n v="2"/>
    <x v="2"/>
  </r>
  <r>
    <s v="LEAD1072"/>
    <s v="Bridgepoint Supply Group"/>
    <s v="Mid-Market"/>
    <s v="AK"/>
    <s v="USR012"/>
    <s v="MM"/>
    <n v="4"/>
    <s v="Mid-Market Account Executive"/>
    <s v="MM"/>
    <n v="4"/>
    <x v="0"/>
  </r>
  <r>
    <s v="LEAD1073"/>
    <s v="Summit Industries Partners"/>
    <s v="SMB"/>
    <s v="NY"/>
    <s v="USR005"/>
    <s v="SMB"/>
    <n v="1"/>
    <s v="SMB Account Executive"/>
    <s v="SMB"/>
    <n v="1"/>
    <x v="0"/>
  </r>
  <r>
    <s v="LEAD1074"/>
    <s v="Windward Dynamics Solutions"/>
    <s v="Mid-Market"/>
    <s v="GA"/>
    <s v="USR010"/>
    <s v="MM"/>
    <n v="2"/>
    <s v="Mid-Market Account Executive"/>
    <s v="MM"/>
    <n v="2"/>
    <x v="0"/>
  </r>
  <r>
    <s v="LEAD1075"/>
    <s v="Harbor Resources Co."/>
    <s v="Mid-Market"/>
    <s v="FL"/>
    <s v="USR010"/>
    <s v="MM"/>
    <n v="2"/>
    <s v="Mid-Market Account Executive"/>
    <s v="MM"/>
    <n v="2"/>
    <x v="0"/>
  </r>
  <r>
    <s v="LEAD1076"/>
    <s v="Westbrook Labs Partners"/>
    <s v="SMB"/>
    <s v="OR"/>
    <m/>
    <s v="SMB"/>
    <n v="4"/>
    <s v=""/>
    <s v=""/>
    <s v=""/>
    <x v="4"/>
  </r>
  <r>
    <s v="LEAD1077"/>
    <s v="Stonebridge Dynamics LLC"/>
    <s v="SMB"/>
    <s v="OH"/>
    <s v="USR007"/>
    <s v="SMB"/>
    <n v="3"/>
    <s v="SMB Account Executive"/>
    <s v="SMB"/>
    <n v="3"/>
    <x v="0"/>
  </r>
  <r>
    <s v="LEAD1078"/>
    <s v="Granite Works Inc."/>
    <s v="Mid-Market"/>
    <s v="VA"/>
    <s v="USR010"/>
    <s v="MM"/>
    <n v="2"/>
    <s v="Mid-Market Account Executive"/>
    <s v="MM"/>
    <n v="2"/>
    <x v="0"/>
  </r>
  <r>
    <s v="LEAD1079"/>
    <s v="Copper Labs Systems"/>
    <s v="SMB"/>
    <s v="OH"/>
    <s v="USR007"/>
    <s v="SMB"/>
    <n v="3"/>
    <s v="SMB Account Executive"/>
    <s v="SMB"/>
    <n v="3"/>
    <x v="0"/>
  </r>
  <r>
    <s v="LEAD1080"/>
    <s v="Summit Commerce Group"/>
    <s v="Upper Mid-Market"/>
    <s v="IL"/>
    <s v="USR007"/>
    <s v="MM"/>
    <n v="3"/>
    <s v="SMB Account Executive"/>
    <s v="SMB"/>
    <n v="3"/>
    <x v="5"/>
  </r>
  <r>
    <s v="LEAD1081"/>
    <s v="Redwood Operations Systems"/>
    <s v="SMB"/>
    <s v="HI"/>
    <s v="USR008"/>
    <s v="SMB"/>
    <n v="4"/>
    <s v="SMB Account Executive"/>
    <s v="SMB"/>
    <n v="4"/>
    <x v="0"/>
  </r>
  <r>
    <s v="LEAD1082"/>
    <s v="Maple Works Partners"/>
    <s v="Mid-Market"/>
    <s v="UT"/>
    <s v="USR012"/>
    <s v="MM"/>
    <n v="4"/>
    <s v="Mid-Market Account Executive"/>
    <s v="MM"/>
    <n v="4"/>
    <x v="0"/>
  </r>
  <r>
    <s v="LEAD1083"/>
    <s v="Highland Dynamics Group"/>
    <s v="SMB"/>
    <s v="FL"/>
    <s v="USR006"/>
    <s v="SMB"/>
    <n v="2"/>
    <s v="SMB Account Executive"/>
    <s v="SMB"/>
    <n v="2"/>
    <x v="0"/>
  </r>
  <r>
    <s v="LEAD1084"/>
    <s v="Harbor Manufacturing Partners"/>
    <s v="SMB"/>
    <s v="NY"/>
    <s v="USR005"/>
    <s v="SMB"/>
    <n v="1"/>
    <s v="SMB Account Executive"/>
    <s v="SMB"/>
    <n v="1"/>
    <x v="0"/>
  </r>
  <r>
    <s v="LEAD1085"/>
    <s v="Redwood Manufacturing Partners"/>
    <s v="SMB"/>
    <s v="NJ"/>
    <s v="USR005"/>
    <s v="SMB"/>
    <n v="1"/>
    <s v="SMB Account Executive"/>
    <s v="SMB"/>
    <n v="1"/>
    <x v="0"/>
  </r>
  <r>
    <s v="LEAD1086"/>
    <s v="Northstar Partners Group"/>
    <s v="SMB"/>
    <s v="WA"/>
    <s v="USR008"/>
    <s v="SMB"/>
    <n v="4"/>
    <s v="SMB Account Executive"/>
    <s v="SMB"/>
    <n v="4"/>
    <x v="0"/>
  </r>
  <r>
    <s v="LEAD1087"/>
    <s v="Keystone Supply Inc."/>
    <s v="SMB"/>
    <s v="VT"/>
    <s v="USR005"/>
    <s v="SMB"/>
    <n v="1"/>
    <s v="SMB Account Executive"/>
    <s v="SMB"/>
    <n v="1"/>
    <x v="0"/>
  </r>
  <r>
    <s v="LEAD1088"/>
    <s v="Eastgate Networks Systems"/>
    <s v="Mid-Market"/>
    <s v="UT"/>
    <s v="USR012"/>
    <s v="MM"/>
    <n v="4"/>
    <s v="Mid-Market Account Executive"/>
    <s v="MM"/>
    <n v="4"/>
    <x v="0"/>
  </r>
  <r>
    <s v="LEAD1089"/>
    <s v="Lakeside Resources Group"/>
    <m/>
    <s v="AZ"/>
    <m/>
    <s v="Needs Review - Segment"/>
    <n v="4"/>
    <s v=""/>
    <s v=""/>
    <s v=""/>
    <x v="4"/>
  </r>
  <r>
    <s v="LEAD1090"/>
    <s v="Evergreen Works LLC"/>
    <s v="Upper Mid-Market"/>
    <s v="MI"/>
    <s v="USR011"/>
    <s v="MM"/>
    <n v="3"/>
    <s v="Mid-Market Account Executive"/>
    <s v="MM"/>
    <n v="3"/>
    <x v="0"/>
  </r>
  <r>
    <s v="LEAD1091"/>
    <s v="Redwood Resources Partners"/>
    <s v="Upper Mid-Market"/>
    <s v="CA"/>
    <s v="USR012"/>
    <s v="MM"/>
    <n v="4"/>
    <s v="Mid-Market Account Executive"/>
    <s v="MM"/>
    <n v="4"/>
    <x v="0"/>
  </r>
  <r>
    <s v="LEAD1092"/>
    <s v="Cedarstone Technology Partners"/>
    <s v="Upper Mid-Market"/>
    <s v="NY"/>
    <s v="USR009"/>
    <s v="MM"/>
    <n v="1"/>
    <s v="Mid-Market Account Executive"/>
    <s v="MM"/>
    <n v="1"/>
    <x v="0"/>
  </r>
  <r>
    <s v="LEAD1093"/>
    <s v="Crescent Works Partners"/>
    <s v="SMB"/>
    <s v="MN"/>
    <s v="USR007"/>
    <s v="SMB"/>
    <n v="3"/>
    <s v="SMB Account Executive"/>
    <s v="SMB"/>
    <n v="3"/>
    <x v="0"/>
  </r>
  <r>
    <s v="LEAD1094"/>
    <s v="Vertex Manufacturing Solutions"/>
    <s v="SMB"/>
    <s v="FL"/>
    <s v="USR006"/>
    <s v="SMB"/>
    <n v="2"/>
    <s v="SMB Account Executive"/>
    <s v="SMB"/>
    <n v="2"/>
    <x v="0"/>
  </r>
  <r>
    <s v="LEAD1095"/>
    <s v="BluePeak Networks LLC"/>
    <s v="Mid-Market"/>
    <s v="KS"/>
    <s v="USR011"/>
    <s v="MM"/>
    <n v="3"/>
    <s v="Mid-Market Account Executive"/>
    <s v="MM"/>
    <n v="3"/>
    <x v="0"/>
  </r>
  <r>
    <s v="LEAD1096"/>
    <s v="Riverbend Systems Partners"/>
    <s v="SMB"/>
    <s v="OH"/>
    <s v="USR007"/>
    <s v="SMB"/>
    <n v="3"/>
    <s v="SMB Account Executive"/>
    <s v="SMB"/>
    <n v="3"/>
    <x v="0"/>
  </r>
  <r>
    <s v="LEAD1097"/>
    <s v="Windward Dynamics Systems"/>
    <s v="SMB"/>
    <s v="NY"/>
    <s v="USR005"/>
    <s v="SMB"/>
    <n v="1"/>
    <s v="SMB Account Executive"/>
    <s v="SMB"/>
    <n v="1"/>
    <x v="0"/>
  </r>
  <r>
    <s v="LEAD1098"/>
    <s v="Horizon Dynamics Inc."/>
    <s v="Mid-Market"/>
    <s v="TN"/>
    <s v="USR010"/>
    <s v="MM"/>
    <n v="2"/>
    <s v="Mid-Market Account Executive"/>
    <s v="MM"/>
    <n v="2"/>
    <x v="0"/>
  </r>
  <r>
    <s v="LEAD1099"/>
    <s v="Ironwood Health Partners"/>
    <s v="Mid-Market"/>
    <s v="MN"/>
    <s v="USR011"/>
    <s v="MM"/>
    <n v="3"/>
    <s v="Mid-Market Account Executive"/>
    <s v="MM"/>
    <n v="3"/>
    <x v="0"/>
  </r>
  <r>
    <s v="LEAD1100"/>
    <s v="Horizon Industries Co."/>
    <s v="SMB"/>
    <s v="VT"/>
    <s v="USR005"/>
    <s v="SMB"/>
    <n v="1"/>
    <s v="SMB Account Executive"/>
    <s v="SMB"/>
    <n v="1"/>
    <x v="0"/>
  </r>
  <r>
    <s v="LEAD1101"/>
    <s v="Windward Consulting LLC"/>
    <s v="SMB"/>
    <s v="WY"/>
    <m/>
    <s v="SMB"/>
    <n v="4"/>
    <s v=""/>
    <s v=""/>
    <s v=""/>
    <x v="4"/>
  </r>
  <r>
    <s v="LEAD1102"/>
    <s v="Maple Resources Partners"/>
    <s v="SMB"/>
    <s v="TN"/>
    <s v="USR006"/>
    <s v="SMB"/>
    <n v="2"/>
    <s v="SMB Account Executive"/>
    <s v="SMB"/>
    <n v="2"/>
    <x v="0"/>
  </r>
  <r>
    <s v="LEAD1103"/>
    <s v="Solstice Networks Co."/>
    <s v="SMB"/>
    <s v="TX"/>
    <s v="USR006"/>
    <s v="SMB"/>
    <n v="2"/>
    <s v="SMB Account Executive"/>
    <s v="SMB"/>
    <n v="2"/>
    <x v="0"/>
  </r>
  <r>
    <s v="LEAD1104"/>
    <s v="Cedarstone Works Co."/>
    <s v="SMB"/>
    <s v="WI"/>
    <s v="USR007"/>
    <s v="SMB"/>
    <n v="3"/>
    <s v="SMB Account Executive"/>
    <s v="SMB"/>
    <n v="3"/>
    <x v="0"/>
  </r>
  <r>
    <s v="LEAD1105"/>
    <s v="Copper Distribution LLC"/>
    <s v="SMB"/>
    <s v="AR"/>
    <s v="USR006"/>
    <s v="SMB"/>
    <n v="2"/>
    <s v="SMB Account Executive"/>
    <s v="SMB"/>
    <n v="2"/>
    <x v="0"/>
  </r>
  <r>
    <s v="LEAD1106"/>
    <s v="Goldcrest Solutions Co."/>
    <s v="Mid-Market"/>
    <s v="CA"/>
    <s v="USR012"/>
    <s v="MM"/>
    <n v="4"/>
    <s v="Mid-Market Account Executive"/>
    <s v="MM"/>
    <n v="4"/>
    <x v="0"/>
  </r>
  <r>
    <s v="LEAD1107"/>
    <s v="Evergreen Analytics Solutions"/>
    <s v="Mid-Market"/>
    <s v="TX"/>
    <s v="USR010"/>
    <s v="MM"/>
    <n v="2"/>
    <s v="Mid-Market Account Executive"/>
    <s v="MM"/>
    <n v="2"/>
    <x v="0"/>
  </r>
  <r>
    <s v="LEAD1108"/>
    <s v="Newbridge Holdings Group"/>
    <s v="Mid-Market"/>
    <s v="WA"/>
    <s v="USR012"/>
    <s v="MM"/>
    <n v="4"/>
    <s v="Mid-Market Account Executive"/>
    <s v="MM"/>
    <n v="4"/>
    <x v="0"/>
  </r>
  <r>
    <s v="LEAD1109"/>
    <s v="Summit Technology LLC"/>
    <s v="SMB"/>
    <s v="MI"/>
    <s v="USR007"/>
    <s v="SMB"/>
    <n v="3"/>
    <s v="SMB Account Executive"/>
    <s v="SMB"/>
    <n v="3"/>
    <x v="0"/>
  </r>
  <r>
    <s v="LEAD1110"/>
    <s v="Ironwood Supply Systems"/>
    <s v="Mid-Market"/>
    <s v="MI"/>
    <s v="USR011"/>
    <s v="MM"/>
    <n v="3"/>
    <s v="Mid-Market Account Executive"/>
    <s v="MM"/>
    <n v="3"/>
    <x v="0"/>
  </r>
  <r>
    <s v="LEAD1111"/>
    <s v="Newbridge Manufacturing Group"/>
    <s v="SMB"/>
    <s v="CO"/>
    <s v="USR008"/>
    <s v="SMB"/>
    <n v="4"/>
    <s v="SMB Account Executive"/>
    <s v="SMB"/>
    <n v="4"/>
    <x v="0"/>
  </r>
  <r>
    <s v="LEAD1112"/>
    <s v="Lakeside Logistics Systems"/>
    <s v="SMB"/>
    <s v="NY"/>
    <s v="USR005"/>
    <s v="SMB"/>
    <n v="1"/>
    <s v="SMB Account Executive"/>
    <s v="SMB"/>
    <n v="1"/>
    <x v="0"/>
  </r>
  <r>
    <s v="LEAD1113"/>
    <s v="Prime Technology Co."/>
    <s v="SMB"/>
    <s v="KS"/>
    <s v="USR007"/>
    <s v="SMB"/>
    <n v="3"/>
    <s v="SMB Account Executive"/>
    <s v="SMB"/>
    <n v="3"/>
    <x v="0"/>
  </r>
  <r>
    <s v="LEAD1114"/>
    <s v="Highland Dynamics Systems"/>
    <s v="SMB"/>
    <s v="AZ"/>
    <s v="USR008"/>
    <s v="SMB"/>
    <n v="4"/>
    <s v="SMB Account Executive"/>
    <s v="SMB"/>
    <n v="4"/>
    <x v="0"/>
  </r>
  <r>
    <s v="LEAD1115"/>
    <s v="Westbrook Works Partners"/>
    <s v="Mid-Market"/>
    <s v="CA"/>
    <s v="USR012"/>
    <s v="MM"/>
    <n v="4"/>
    <s v="Mid-Market Account Executive"/>
    <s v="MM"/>
    <n v="4"/>
    <x v="0"/>
  </r>
  <r>
    <s v="LEAD1116"/>
    <s v="Parkside Dynamics Systems"/>
    <s v="SMB"/>
    <s v="CT"/>
    <s v="USR005"/>
    <s v="SMB"/>
    <n v="1"/>
    <s v="SMB Account Executive"/>
    <s v="SMB"/>
    <n v="1"/>
    <x v="0"/>
  </r>
  <r>
    <s v="LEAD1117"/>
    <s v="Riverton Holdings Partners"/>
    <s v="Upper Mid-Market"/>
    <s v="CA"/>
    <s v="USR012"/>
    <s v="MM"/>
    <n v="4"/>
    <s v="Mid-Market Account Executive"/>
    <s v="MM"/>
    <n v="4"/>
    <x v="0"/>
  </r>
  <r>
    <s v="LEAD1118"/>
    <s v="ClearPath Industries Solutions"/>
    <s v="SMB"/>
    <s v="AZ"/>
    <s v="USR008"/>
    <s v="SMB"/>
    <n v="4"/>
    <s v="SMB Account Executive"/>
    <s v="SMB"/>
    <n v="4"/>
    <x v="0"/>
  </r>
  <r>
    <s v="LEAD1119"/>
    <s v="Monarch Distribution Group"/>
    <s v="Mid-Market"/>
    <s v="VT"/>
    <s v="USR009"/>
    <s v="MM"/>
    <n v="1"/>
    <s v="Mid-Market Account Executive"/>
    <s v="MM"/>
    <n v="1"/>
    <x v="0"/>
  </r>
  <r>
    <s v="LEAD1120"/>
    <s v="Riverbend Works Group"/>
    <s v="Mid-Market"/>
    <s v="TN"/>
    <s v="USR010"/>
    <s v="MM"/>
    <n v="2"/>
    <s v="Mid-Market Account Executive"/>
    <s v="MM"/>
    <n v="2"/>
    <x v="0"/>
  </r>
  <r>
    <s v="LEAD1121"/>
    <s v="Highland Health Inc."/>
    <s v="Mid-Market"/>
    <s v="KY"/>
    <s v="USR010"/>
    <s v="MM"/>
    <n v="2"/>
    <s v="Mid-Market Account Executive"/>
    <s v="MM"/>
    <n v="2"/>
    <x v="0"/>
  </r>
  <r>
    <s v="LEAD1122"/>
    <s v="Westbrook Commerce Inc."/>
    <s v="Upper Mid-Market"/>
    <s v="WA"/>
    <s v="USR012"/>
    <s v="MM"/>
    <n v="4"/>
    <s v="Mid-Market Account Executive"/>
    <s v="MM"/>
    <n v="4"/>
    <x v="0"/>
  </r>
  <r>
    <s v="LEAD1123"/>
    <s v="Vertex Distribution Systems"/>
    <s v="SMB"/>
    <s v="MD"/>
    <s v="USR005"/>
    <s v="SMB"/>
    <n v="1"/>
    <s v="SMB Account Executive"/>
    <s v="SMB"/>
    <n v="1"/>
    <x v="0"/>
  </r>
  <r>
    <s v="LEAD1124"/>
    <s v="Prime Labs Systems"/>
    <s v="SMB"/>
    <s v="TX"/>
    <s v="USR006"/>
    <s v="SMB"/>
    <n v="2"/>
    <s v="SMB Account Executive"/>
    <s v="SMB"/>
    <n v="2"/>
    <x v="0"/>
  </r>
  <r>
    <s v="LEAD1125"/>
    <s v="Monarch Works Group"/>
    <s v="SMB"/>
    <s v="WI"/>
    <s v="USR007"/>
    <s v="SMB"/>
    <n v="3"/>
    <s v="SMB Account Executive"/>
    <s v="SMB"/>
    <n v="3"/>
    <x v="0"/>
  </r>
  <r>
    <s v="LEAD1126"/>
    <s v="Greenfield Technology Partners"/>
    <s v="Mid-Market"/>
    <s v="PA"/>
    <s v="USR009"/>
    <s v="MM"/>
    <n v="1"/>
    <s v="Mid-Market Account Executive"/>
    <s v="MM"/>
    <n v="1"/>
    <x v="0"/>
  </r>
  <r>
    <s v="LEAD1127"/>
    <s v="Parkside Dynamics Group"/>
    <s v="SMB"/>
    <s v="CA"/>
    <s v="USR008"/>
    <s v="SMB"/>
    <n v="4"/>
    <s v="SMB Account Executive"/>
    <s v="SMB"/>
    <n v="4"/>
    <x v="0"/>
  </r>
  <r>
    <s v="LEAD1128"/>
    <s v="Solstice Health LLC"/>
    <s v="Upper Mid-Market"/>
    <s v="NC"/>
    <s v="USR010"/>
    <s v="MM"/>
    <n v="2"/>
    <s v="Mid-Market Account Executive"/>
    <s v="MM"/>
    <n v="2"/>
    <x v="0"/>
  </r>
  <r>
    <s v="LEAD1129"/>
    <s v="Bridgepoint Distribution LLC"/>
    <s v="Mid-Market"/>
    <s v="TX"/>
    <s v="USR012"/>
    <s v="MM"/>
    <n v="2"/>
    <s v="Mid-Market Account Executive"/>
    <s v="MM"/>
    <n v="4"/>
    <x v="2"/>
  </r>
  <r>
    <s v="LEAD1130"/>
    <s v="Atlas Manufacturing Co."/>
    <s v="Mid-Market"/>
    <s v="CA"/>
    <s v="USR012"/>
    <s v="MM"/>
    <n v="4"/>
    <s v="Mid-Market Account Executive"/>
    <s v="MM"/>
    <n v="4"/>
    <x v="0"/>
  </r>
  <r>
    <s v="LEAD1131"/>
    <s v="Crescent Automation Systems"/>
    <s v="SMB"/>
    <s v="WI"/>
    <s v="USR007"/>
    <s v="SMB"/>
    <n v="3"/>
    <s v="SMB Account Executive"/>
    <s v="SMB"/>
    <n v="3"/>
    <x v="0"/>
  </r>
  <r>
    <s v="LEAD1132"/>
    <s v="Riverbend Holdings LLC"/>
    <s v="SMB"/>
    <s v="MI"/>
    <s v="USR007"/>
    <s v="SMB"/>
    <n v="3"/>
    <s v="SMB Account Executive"/>
    <s v="SMB"/>
    <n v="3"/>
    <x v="0"/>
  </r>
  <r>
    <s v="LEAD1133"/>
    <s v="Goldcrest Services Systems"/>
    <s v="SMB"/>
    <s v="ID"/>
    <s v="USR008"/>
    <s v="SMB"/>
    <n v="4"/>
    <s v="SMB Account Executive"/>
    <s v="SMB"/>
    <n v="4"/>
    <x v="0"/>
  </r>
  <r>
    <s v="LEAD1134"/>
    <s v="Beacon Technology Group"/>
    <s v="SMB"/>
    <s v="TX"/>
    <s v="USR007"/>
    <s v="SMB"/>
    <n v="2"/>
    <s v="SMB Account Executive"/>
    <s v="SMB"/>
    <n v="3"/>
    <x v="2"/>
  </r>
  <r>
    <s v="LEAD1135"/>
    <s v="Vertex Supply LLC"/>
    <s v="SMB"/>
    <s v="IL"/>
    <s v="USR007"/>
    <s v="SMB"/>
    <n v="3"/>
    <s v="SMB Account Executive"/>
    <s v="SMB"/>
    <n v="3"/>
    <x v="0"/>
  </r>
  <r>
    <s v="LEAD1136"/>
    <s v="Newbridge Consulting LLC"/>
    <s v="SMB"/>
    <s v="AZ"/>
    <s v="USR008"/>
    <s v="SMB"/>
    <n v="4"/>
    <s v="SMB Account Executive"/>
    <s v="SMB"/>
    <n v="4"/>
    <x v="0"/>
  </r>
  <r>
    <s v="LEAD1137"/>
    <s v="Northstar Resources Partners"/>
    <s v="SMB"/>
    <s v="GA"/>
    <s v="USR006"/>
    <s v="SMB"/>
    <n v="2"/>
    <s v="SMB Account Executive"/>
    <s v="SMB"/>
    <n v="2"/>
    <x v="0"/>
  </r>
  <r>
    <s v="LEAD1138"/>
    <s v="Lakeside Group Inc."/>
    <s v="SMB"/>
    <s v="MI"/>
    <s v="USR007"/>
    <s v="SMB"/>
    <n v="3"/>
    <s v="SMB Account Executive"/>
    <s v="SMB"/>
    <n v="3"/>
    <x v="0"/>
  </r>
  <r>
    <s v="LEAD1139"/>
    <s v="Newbridge Distribution Inc."/>
    <s v="Upper Mid-Market"/>
    <s v="LA"/>
    <s v="USR010"/>
    <s v="MM"/>
    <n v="2"/>
    <s v="Mid-Market Account Executive"/>
    <s v="MM"/>
    <n v="2"/>
    <x v="0"/>
  </r>
  <r>
    <s v="LEAD1140"/>
    <s v="Bridgepoint Distribution Systems"/>
    <s v="Mid-Market"/>
    <s v="NE"/>
    <s v="USR011"/>
    <s v="MM"/>
    <n v="3"/>
    <s v="Mid-Market Account Executive"/>
    <s v="MM"/>
    <n v="3"/>
    <x v="0"/>
  </r>
  <r>
    <s v="LEAD1141"/>
    <s v="Apex Supply Solutions"/>
    <s v="SMB"/>
    <s v="TX"/>
    <s v="USR006"/>
    <s v="SMB"/>
    <n v="2"/>
    <s v="SMB Account Executive"/>
    <s v="SMB"/>
    <n v="2"/>
    <x v="0"/>
  </r>
  <r>
    <s v="LEAD1142"/>
    <s v="Redwood Holdings Group"/>
    <s v="SMB"/>
    <m/>
    <s v="USR008"/>
    <s v="SMB"/>
    <s v="Needs Review - Territory"/>
    <s v="SMB Account Executive"/>
    <s v="SMB"/>
    <n v="4"/>
    <x v="3"/>
  </r>
  <r>
    <s v="LEAD1143"/>
    <s v="Crescent Technology Solutions"/>
    <s v="SMB"/>
    <s v="CA"/>
    <s v="USR007"/>
    <s v="SMB"/>
    <n v="4"/>
    <s v="SMB Account Executive"/>
    <s v="SMB"/>
    <n v="3"/>
    <x v="2"/>
  </r>
  <r>
    <s v="LEAD1144"/>
    <s v="Riverbend Networks Systems"/>
    <s v="SMB"/>
    <s v="NY"/>
    <s v="USR009"/>
    <s v="SMB"/>
    <n v="1"/>
    <s v="Mid-Market Account Executive"/>
    <s v="MM"/>
    <n v="1"/>
    <x v="5"/>
  </r>
  <r>
    <s v="LEAD1145"/>
    <s v="Summit Commerce Solutions"/>
    <s v="SMB"/>
    <s v="FL"/>
    <s v="USR006"/>
    <s v="SMB"/>
    <n v="2"/>
    <s v="SMB Account Executive"/>
    <s v="SMB"/>
    <n v="2"/>
    <x v="0"/>
  </r>
  <r>
    <s v="LEAD1146"/>
    <s v="Lakeside Systems LLC"/>
    <s v="SMB"/>
    <s v="IN"/>
    <s v="USR007"/>
    <s v="SMB"/>
    <n v="3"/>
    <s v="SMB Account Executive"/>
    <s v="SMB"/>
    <n v="3"/>
    <x v="0"/>
  </r>
  <r>
    <s v="LEAD1147"/>
    <s v="Ironwood Services Co."/>
    <s v="SMB"/>
    <s v="MI"/>
    <s v="USR007"/>
    <s v="SMB"/>
    <n v="3"/>
    <s v="SMB Account Executive"/>
    <s v="SMB"/>
    <n v="3"/>
    <x v="0"/>
  </r>
  <r>
    <s v="LEAD1148"/>
    <s v="BluePeak Automation LLC"/>
    <s v="Mid-Market"/>
    <s v="NY"/>
    <s v="USR009"/>
    <s v="MM"/>
    <n v="1"/>
    <s v="Mid-Market Account Executive"/>
    <s v="MM"/>
    <n v="1"/>
    <x v="0"/>
  </r>
  <r>
    <s v="LEAD1149"/>
    <s v="Parkside Health Partners"/>
    <s v="SMB"/>
    <s v="NY"/>
    <s v="USR005"/>
    <s v="SMB"/>
    <n v="1"/>
    <s v="SMB Account Executive"/>
    <s v="SMB"/>
    <n v="1"/>
    <x v="0"/>
  </r>
  <r>
    <s v="LEAD1150"/>
    <s v="BluePeak Distribution Systems"/>
    <s v="SMB"/>
    <s v="NY"/>
    <m/>
    <s v="SMB"/>
    <n v="1"/>
    <s v=""/>
    <s v=""/>
    <s v=""/>
    <x v="4"/>
  </r>
  <r>
    <s v="LEAD1151"/>
    <s v="Falcon Industries Group"/>
    <s v="Mid-Market"/>
    <s v="PA"/>
    <s v="USR009"/>
    <s v="MM"/>
    <n v="1"/>
    <s v="Mid-Market Account Executive"/>
    <s v="MM"/>
    <n v="1"/>
    <x v="0"/>
  </r>
  <r>
    <s v="LEAD1152"/>
    <s v="Silverline Technology LLC"/>
    <s v="SMB"/>
    <s v="MD"/>
    <s v="USR005"/>
    <s v="SMB"/>
    <n v="1"/>
    <s v="SMB Account Executive"/>
    <s v="SMB"/>
    <n v="1"/>
    <x v="0"/>
  </r>
  <r>
    <s v="LEAD1153"/>
    <s v="Falcon Automation Systems"/>
    <s v="Mid-Market"/>
    <s v="OK"/>
    <s v="USR010"/>
    <s v="MM"/>
    <n v="2"/>
    <s v="Mid-Market Account Executive"/>
    <s v="MM"/>
    <n v="2"/>
    <x v="0"/>
  </r>
  <r>
    <s v="LEAD1154"/>
    <s v="Solstice Operations Partners"/>
    <s v="SMB"/>
    <s v="KS"/>
    <s v="USR007"/>
    <s v="SMB"/>
    <n v="3"/>
    <s v="SMB Account Executive"/>
    <s v="SMB"/>
    <n v="3"/>
    <x v="0"/>
  </r>
  <r>
    <s v="LEAD1155"/>
    <s v="Goldcrest Works Group"/>
    <s v="SMB"/>
    <s v="MI"/>
    <s v="USR005"/>
    <s v="SMB"/>
    <n v="3"/>
    <s v="SMB Account Executive"/>
    <s v="SMB"/>
    <n v="1"/>
    <x v="2"/>
  </r>
  <r>
    <s v="LEAD1156"/>
    <s v="Ironwood Health Group"/>
    <s v="Mid-Market"/>
    <s v="GA"/>
    <s v="USR010"/>
    <s v="MM"/>
    <n v="2"/>
    <s v="Mid-Market Account Executive"/>
    <s v="MM"/>
    <n v="2"/>
    <x v="0"/>
  </r>
  <r>
    <s v="LEAD1157"/>
    <s v="Granite Operations Group"/>
    <s v="SMB"/>
    <s v="CA"/>
    <s v="USR008"/>
    <s v="SMB"/>
    <n v="4"/>
    <s v="SMB Account Executive"/>
    <s v="SMB"/>
    <n v="4"/>
    <x v="0"/>
  </r>
  <r>
    <s v="LEAD1158"/>
    <s v="Vertex Partners Systems"/>
    <s v="SMB"/>
    <s v="NC"/>
    <s v="USR006"/>
    <s v="SMB"/>
    <n v="2"/>
    <s v="SMB Account Executive"/>
    <s v="SMB"/>
    <n v="2"/>
    <x v="0"/>
  </r>
  <r>
    <s v="LEAD1159"/>
    <s v="Windward Analytics Solutions"/>
    <s v="Mid-Market"/>
    <s v="RI"/>
    <s v="USR009"/>
    <s v="MM"/>
    <n v="1"/>
    <s v="Mid-Market Account Executive"/>
    <s v="MM"/>
    <n v="1"/>
    <x v="0"/>
  </r>
  <r>
    <s v="LEAD1160"/>
    <s v="Keystone Services LLC"/>
    <s v="Mid-Market"/>
    <s v="GA"/>
    <s v="USR010"/>
    <s v="MM"/>
    <n v="2"/>
    <s v="Mid-Market Account Executive"/>
    <s v="MM"/>
    <n v="2"/>
    <x v="0"/>
  </r>
  <r>
    <s v="LEAD1161"/>
    <s v="Maple Resources Inc."/>
    <s v="SMB"/>
    <s v="DC"/>
    <s v="USR005"/>
    <s v="SMB"/>
    <n v="1"/>
    <s v="SMB Account Executive"/>
    <s v="SMB"/>
    <n v="1"/>
    <x v="0"/>
  </r>
  <r>
    <s v="LEAD1162"/>
    <s v="Highland Technology LLC"/>
    <s v="Mid-Market"/>
    <s v="PA"/>
    <s v="USR009"/>
    <s v="MM"/>
    <n v="1"/>
    <s v="Mid-Market Account Executive"/>
    <s v="MM"/>
    <n v="1"/>
    <x v="0"/>
  </r>
  <r>
    <s v="LEAD1163"/>
    <s v="Silverline Distribution Inc."/>
    <s v="Mid-Market"/>
    <s v="FL"/>
    <s v="USR010"/>
    <s v="MM"/>
    <n v="2"/>
    <s v="Mid-Market Account Executive"/>
    <s v="MM"/>
    <n v="2"/>
    <x v="0"/>
  </r>
  <r>
    <s v="LEAD1164"/>
    <s v="Beacon Systems Systems"/>
    <s v="SMB"/>
    <s v="PA"/>
    <s v="USR005"/>
    <s v="SMB"/>
    <n v="1"/>
    <s v="SMB Account Executive"/>
    <s v="SMB"/>
    <n v="1"/>
    <x v="0"/>
  </r>
  <r>
    <s v="LEAD1165"/>
    <s v="Pioneer Manufacturing Co."/>
    <s v="Mid-Market"/>
    <s v="SD"/>
    <s v="USR011"/>
    <s v="MM"/>
    <n v="3"/>
    <s v="Mid-Market Account Executive"/>
    <s v="MM"/>
    <n v="3"/>
    <x v="0"/>
  </r>
  <r>
    <s v="LEAD1166"/>
    <s v="Falcon Solutions Inc."/>
    <s v="SMB"/>
    <s v="CT"/>
    <s v="USR005"/>
    <s v="SMB"/>
    <n v="1"/>
    <s v="SMB Account Executive"/>
    <s v="SMB"/>
    <n v="1"/>
    <x v="0"/>
  </r>
  <r>
    <s v="LEAD1167"/>
    <s v="Bridgepoint Resources Partners"/>
    <m/>
    <s v="FL"/>
    <m/>
    <s v="Needs Review - Segment"/>
    <n v="2"/>
    <s v=""/>
    <s v=""/>
    <s v=""/>
    <x v="4"/>
  </r>
  <r>
    <s v="LEAD1168"/>
    <s v="Copper Logistics Solutions"/>
    <s v="Mid-Market"/>
    <s v="CO"/>
    <s v="USR012"/>
    <s v="MM"/>
    <n v="4"/>
    <s v="Mid-Market Account Executive"/>
    <s v="MM"/>
    <n v="4"/>
    <x v="0"/>
  </r>
  <r>
    <s v="LEAD1169"/>
    <s v="Keystone Manufacturing Co."/>
    <s v="SMB"/>
    <s v="NJ"/>
    <s v="USR005"/>
    <s v="SMB"/>
    <n v="1"/>
    <s v="SMB Account Executive"/>
    <s v="SMB"/>
    <n v="1"/>
    <x v="0"/>
  </r>
  <r>
    <s v="LEAD1170"/>
    <s v="Atlas Group Systems"/>
    <s v="SMB"/>
    <s v="NM"/>
    <s v="USR008"/>
    <s v="SMB"/>
    <n v="4"/>
    <s v="SMB Account Executive"/>
    <s v="SMB"/>
    <n v="4"/>
    <x v="0"/>
  </r>
  <r>
    <s v="LEAD1171"/>
    <s v="Riverbend Distribution Inc."/>
    <s v="SMB"/>
    <s v="PA"/>
    <s v="USR005"/>
    <s v="SMB"/>
    <n v="1"/>
    <s v="SMB Account Executive"/>
    <s v="SMB"/>
    <n v="1"/>
    <x v="0"/>
  </r>
  <r>
    <s v="LEAD1172"/>
    <s v="Keystone Supply Partners"/>
    <s v="SMB"/>
    <s v="NC"/>
    <s v="USR006"/>
    <s v="SMB"/>
    <n v="2"/>
    <s v="SMB Account Executive"/>
    <s v="SMB"/>
    <n v="2"/>
    <x v="0"/>
  </r>
  <r>
    <s v="LEAD1173"/>
    <s v="Vertex Labs Co."/>
    <s v="SMB"/>
    <s v="LA"/>
    <s v="USR006"/>
    <s v="SMB"/>
    <n v="2"/>
    <s v="SMB Account Executive"/>
    <s v="SMB"/>
    <n v="2"/>
    <x v="0"/>
  </r>
  <r>
    <s v="LEAD1174"/>
    <s v="Windward Solutions Inc."/>
    <s v="Mid-Market"/>
    <s v="NC"/>
    <s v="USR010"/>
    <s v="MM"/>
    <n v="2"/>
    <s v="Mid-Market Account Executive"/>
    <s v="MM"/>
    <n v="2"/>
    <x v="0"/>
  </r>
  <r>
    <s v="LEAD1175"/>
    <s v="Brightwell Automation LLC"/>
    <s v="SMB"/>
    <s v="DC"/>
    <s v="USR005"/>
    <s v="SMB"/>
    <n v="1"/>
    <s v="SMB Account Executive"/>
    <s v="SMB"/>
    <n v="1"/>
    <x v="0"/>
  </r>
  <r>
    <s v="LEAD1176"/>
    <s v="Harbor Services Systems"/>
    <s v="SMB"/>
    <s v="CA"/>
    <s v="USR008"/>
    <s v="SMB"/>
    <n v="4"/>
    <s v="SMB Account Executive"/>
    <s v="SMB"/>
    <n v="4"/>
    <x v="0"/>
  </r>
  <r>
    <s v="LEAD1177"/>
    <s v="Copper Consulting Solutions"/>
    <s v="SMB"/>
    <s v="WA"/>
    <s v="USR012"/>
    <s v="SMB"/>
    <n v="4"/>
    <s v="Mid-Market Account Executive"/>
    <s v="MM"/>
    <n v="4"/>
    <x v="5"/>
  </r>
  <r>
    <s v="LEAD1178"/>
    <s v="Oakridge Labs Group"/>
    <s v="SMB"/>
    <s v="CO"/>
    <s v="USR008"/>
    <s v="SMB"/>
    <n v="4"/>
    <s v="SMB Account Executive"/>
    <s v="SMB"/>
    <n v="4"/>
    <x v="0"/>
  </r>
  <r>
    <s v="LEAD1179"/>
    <s v="Redwood Logistics Inc."/>
    <s v="SMB"/>
    <s v="LA"/>
    <s v="USR006"/>
    <s v="SMB"/>
    <n v="2"/>
    <s v="SMB Account Executive"/>
    <s v="SMB"/>
    <n v="2"/>
    <x v="0"/>
  </r>
  <r>
    <s v="LEAD1180"/>
    <s v="ClearPath Services Systems"/>
    <s v="SMB"/>
    <s v="CA"/>
    <s v="USR008"/>
    <s v="SMB"/>
    <n v="4"/>
    <s v="SMB Account Executive"/>
    <s v="SMB"/>
    <n v="4"/>
    <x v="0"/>
  </r>
  <r>
    <s v="LEAD1181"/>
    <s v="Horizon Consulting Co."/>
    <s v="SMB"/>
    <s v="CA"/>
    <s v="USR008"/>
    <s v="SMB"/>
    <n v="4"/>
    <s v="SMB Account Executive"/>
    <s v="SMB"/>
    <n v="4"/>
    <x v="0"/>
  </r>
  <r>
    <s v="LEAD1182"/>
    <s v="Evergreen Solutions Systems"/>
    <s v="Mid-Market"/>
    <s v="PA"/>
    <s v="USR009"/>
    <s v="MM"/>
    <n v="1"/>
    <s v="Mid-Market Account Executive"/>
    <s v="MM"/>
    <n v="1"/>
    <x v="0"/>
  </r>
  <r>
    <s v="LEAD1183"/>
    <s v="Monarch Group Inc."/>
    <s v="SMB"/>
    <s v="IL"/>
    <s v="USR007"/>
    <s v="SMB"/>
    <n v="3"/>
    <s v="SMB Account Executive"/>
    <s v="SMB"/>
    <n v="3"/>
    <x v="0"/>
  </r>
  <r>
    <s v="LEAD1184"/>
    <s v="Brightwell Labs Inc."/>
    <s v="SMB"/>
    <s v="NH"/>
    <s v="USR005"/>
    <s v="SMB"/>
    <n v="1"/>
    <s v="SMB Account Executive"/>
    <s v="SMB"/>
    <n v="1"/>
    <x v="0"/>
  </r>
  <r>
    <s v="LEAD1185"/>
    <s v="Evergreen Distribution Solutions"/>
    <s v="SMB"/>
    <s v="ND"/>
    <s v="USR007"/>
    <s v="SMB"/>
    <n v="3"/>
    <s v="SMB Account Executive"/>
    <s v="SMB"/>
    <n v="3"/>
    <x v="0"/>
  </r>
  <r>
    <s v="LEAD1186"/>
    <s v="Ironwood Labs Inc."/>
    <s v="SMB"/>
    <s v="OH"/>
    <s v="USR007"/>
    <s v="SMB"/>
    <n v="3"/>
    <s v="SMB Account Executive"/>
    <s v="SMB"/>
    <n v="3"/>
    <x v="0"/>
  </r>
  <r>
    <s v="LEAD1187"/>
    <s v="Falcon Automation Partners"/>
    <s v="Mid-Market"/>
    <s v="CO"/>
    <s v="USR012"/>
    <s v="MM"/>
    <n v="4"/>
    <s v="Mid-Market Account Executive"/>
    <s v="MM"/>
    <n v="4"/>
    <x v="0"/>
  </r>
  <r>
    <s v="LEAD1188"/>
    <s v="Redwood Automation Group"/>
    <s v="SMB"/>
    <s v="TX"/>
    <s v="USR006"/>
    <s v="SMB"/>
    <n v="2"/>
    <s v="SMB Account Executive"/>
    <s v="SMB"/>
    <n v="2"/>
    <x v="0"/>
  </r>
  <r>
    <s v="LEAD1189"/>
    <s v="Beacon Holdings Solutions"/>
    <s v="SMB"/>
    <s v="WA"/>
    <s v="USR008"/>
    <s v="SMB"/>
    <n v="4"/>
    <s v="SMB Account Executive"/>
    <s v="SMB"/>
    <n v="4"/>
    <x v="0"/>
  </r>
  <r>
    <s v="LEAD1190"/>
    <s v="Parkside Automation Co."/>
    <s v="Mid-Market"/>
    <s v="MD"/>
    <m/>
    <s v="MM"/>
    <n v="1"/>
    <s v=""/>
    <s v=""/>
    <s v=""/>
    <x v="4"/>
  </r>
  <r>
    <s v="LEAD1191"/>
    <s v="Apex Distribution Group"/>
    <s v="SMB"/>
    <s v="AL"/>
    <s v="USR006"/>
    <s v="SMB"/>
    <n v="2"/>
    <s v="SMB Account Executive"/>
    <s v="SMB"/>
    <n v="2"/>
    <x v="0"/>
  </r>
  <r>
    <s v="LEAD1192"/>
    <s v="Ironwood Networks Co."/>
    <s v="SMB"/>
    <s v="MI"/>
    <s v="USR007"/>
    <s v="SMB"/>
    <n v="3"/>
    <s v="SMB Account Executive"/>
    <s v="SMB"/>
    <n v="3"/>
    <x v="0"/>
  </r>
  <r>
    <s v="LEAD1193"/>
    <s v="Beacon Partners Co."/>
    <s v="Mid-Market"/>
    <s v="AZ"/>
    <s v="USR012"/>
    <s v="MM"/>
    <n v="4"/>
    <s v="Mid-Market Account Executive"/>
    <s v="MM"/>
    <n v="4"/>
    <x v="0"/>
  </r>
  <r>
    <s v="LEAD1194"/>
    <s v="BluePeak Holdings LLC"/>
    <s v="SMB"/>
    <s v="FL"/>
    <s v="USR006"/>
    <s v="SMB"/>
    <n v="2"/>
    <s v="SMB Account Executive"/>
    <s v="SMB"/>
    <n v="2"/>
    <x v="0"/>
  </r>
  <r>
    <s v="LEAD1195"/>
    <s v="Beacon Automation Inc."/>
    <s v="SMB"/>
    <s v="AK"/>
    <s v="USR008"/>
    <s v="SMB"/>
    <n v="4"/>
    <s v="SMB Account Executive"/>
    <s v="SMB"/>
    <n v="4"/>
    <x v="0"/>
  </r>
  <r>
    <s v="LEAD1196"/>
    <s v="ClearPath Automation Inc."/>
    <s v="Mid-Market"/>
    <s v="CA"/>
    <s v="USR012"/>
    <s v="MM"/>
    <n v="4"/>
    <s v="Mid-Market Account Executive"/>
    <s v="MM"/>
    <n v="4"/>
    <x v="0"/>
  </r>
  <r>
    <s v="LEAD1197"/>
    <s v="Westbrook Supply Group"/>
    <s v="SMB"/>
    <s v="NC"/>
    <s v="USR010"/>
    <s v="SMB"/>
    <n v="2"/>
    <s v="Mid-Market Account Executive"/>
    <s v="MM"/>
    <n v="2"/>
    <x v="5"/>
  </r>
  <r>
    <s v="LEAD1198"/>
    <s v="Eastgate Technology Partners"/>
    <s v="SMB"/>
    <s v="WV"/>
    <s v="USR005"/>
    <s v="SMB"/>
    <n v="1"/>
    <s v="SMB Account Executive"/>
    <s v="SMB"/>
    <n v="1"/>
    <x v="0"/>
  </r>
  <r>
    <s v="LEAD1199"/>
    <s v="Newbridge Works Co."/>
    <s v="SMB"/>
    <s v="FL"/>
    <s v="USR006"/>
    <s v="SMB"/>
    <n v="2"/>
    <s v="SMB Account Executive"/>
    <s v="SMB"/>
    <n v="2"/>
    <x v="0"/>
  </r>
  <r>
    <s v="LEAD1200"/>
    <s v="Windward Automation Inc."/>
    <s v="SMB"/>
    <s v="TX"/>
    <s v="USR006"/>
    <s v="SMB"/>
    <n v="2"/>
    <s v="SMB Account Executive"/>
    <s v="SMB"/>
    <n v="2"/>
    <x v="0"/>
  </r>
  <r>
    <s v="LEAD1201"/>
    <s v="Liberty Systems Group"/>
    <s v="SMB"/>
    <s v="TN"/>
    <s v="USR006"/>
    <s v="SMB"/>
    <n v="2"/>
    <s v="SMB Account Executive"/>
    <s v="SMB"/>
    <n v="2"/>
    <x v="0"/>
  </r>
  <r>
    <s v="LEAD1202"/>
    <s v="Oakridge Dynamics Inc."/>
    <s v="SMB"/>
    <s v="KY"/>
    <s v="USR008"/>
    <s v="SMB"/>
    <n v="2"/>
    <s v="SMB Account Executive"/>
    <s v="SMB"/>
    <n v="4"/>
    <x v="2"/>
  </r>
  <r>
    <s v="LEAD1203"/>
    <s v="Beacon Operations LLC"/>
    <s v="SMB"/>
    <s v="NY"/>
    <s v="USR005"/>
    <s v="SMB"/>
    <n v="1"/>
    <s v="SMB Account Executive"/>
    <s v="SMB"/>
    <n v="1"/>
    <x v="0"/>
  </r>
  <r>
    <s v="LEAD1204"/>
    <s v="Prime Holdings Partners"/>
    <s v="SMB"/>
    <s v="IN"/>
    <s v="USR007"/>
    <s v="SMB"/>
    <n v="3"/>
    <s v="SMB Account Executive"/>
    <s v="SMB"/>
    <n v="3"/>
    <x v="0"/>
  </r>
  <r>
    <s v="LEAD1205"/>
    <s v="ClearPath Operations Partners"/>
    <s v="Mid-Market"/>
    <s v="PA"/>
    <s v="USR009"/>
    <s v="MM"/>
    <n v="1"/>
    <s v="Mid-Market Account Executive"/>
    <s v="MM"/>
    <n v="1"/>
    <x v="0"/>
  </r>
  <r>
    <s v="LEAD1206"/>
    <s v="Falcon Automation Inc."/>
    <s v="SMB"/>
    <s v="CA"/>
    <s v="USR008"/>
    <s v="SMB"/>
    <n v="4"/>
    <s v="SMB Account Executive"/>
    <s v="SMB"/>
    <n v="4"/>
    <x v="0"/>
  </r>
  <r>
    <s v="LEAD1207"/>
    <s v="Windward Logistics Co."/>
    <s v="Upper Mid-Market"/>
    <s v="FL"/>
    <s v="USR010"/>
    <s v="MM"/>
    <n v="2"/>
    <s v="Mid-Market Account Executive"/>
    <s v="MM"/>
    <n v="2"/>
    <x v="0"/>
  </r>
  <r>
    <s v="LEAD1208"/>
    <s v="Highland Commerce Group"/>
    <m/>
    <s v="NY"/>
    <m/>
    <s v="Needs Review - Segment"/>
    <n v="1"/>
    <s v=""/>
    <s v=""/>
    <s v=""/>
    <x v="4"/>
  </r>
  <r>
    <s v="LEAD1209"/>
    <s v="Atlas Distribution Inc."/>
    <s v="SMB"/>
    <s v="IN"/>
    <s v="USR007"/>
    <s v="SMB"/>
    <n v="3"/>
    <s v="SMB Account Executive"/>
    <s v="SMB"/>
    <n v="3"/>
    <x v="0"/>
  </r>
  <r>
    <s v="LEAD1210"/>
    <s v="Prime Consulting Inc."/>
    <s v="Mid-Market"/>
    <s v="FL"/>
    <s v="USR010"/>
    <s v="MM"/>
    <n v="2"/>
    <s v="Mid-Market Account Executive"/>
    <s v="MM"/>
    <n v="2"/>
    <x v="0"/>
  </r>
  <r>
    <s v="LEAD1211"/>
    <s v="Cedarstone Networks Solutions"/>
    <s v="SMB"/>
    <s v="DE"/>
    <s v="USR005"/>
    <s v="SMB"/>
    <n v="1"/>
    <s v="SMB Account Executive"/>
    <s v="SMB"/>
    <n v="1"/>
    <x v="0"/>
  </r>
  <r>
    <s v="LEAD1212"/>
    <s v="Keystone Technology Co."/>
    <s v="SMB"/>
    <s v="NY"/>
    <s v="USR005"/>
    <s v="SMB"/>
    <n v="1"/>
    <s v="SMB Account Executive"/>
    <s v="SMB"/>
    <n v="1"/>
    <x v="0"/>
  </r>
  <r>
    <s v="LEAD1213"/>
    <s v="Keystone Consulting Systems"/>
    <s v="SMB"/>
    <s v="UT"/>
    <s v="USR008"/>
    <s v="SMB"/>
    <n v="4"/>
    <s v="SMB Account Executive"/>
    <s v="SMB"/>
    <n v="4"/>
    <x v="0"/>
  </r>
  <r>
    <s v="LEAD1214"/>
    <s v="Brightwell Manufacturing Co."/>
    <s v="Upper Mid-Market"/>
    <s v="CO"/>
    <s v="USR012"/>
    <s v="MM"/>
    <n v="4"/>
    <s v="Mid-Market Account Executive"/>
    <s v="MM"/>
    <n v="4"/>
    <x v="0"/>
  </r>
  <r>
    <s v="LEAD1215"/>
    <s v="Eastgate Operations Co."/>
    <s v="SMB"/>
    <s v="NY"/>
    <s v="USR005"/>
    <s v="SMB"/>
    <n v="1"/>
    <s v="SMB Account Executive"/>
    <s v="SMB"/>
    <n v="1"/>
    <x v="0"/>
  </r>
  <r>
    <s v="LEAD1216"/>
    <s v="Prime Manufacturing Group"/>
    <s v="SMB"/>
    <s v="CO"/>
    <s v="USR008"/>
    <s v="SMB"/>
    <n v="4"/>
    <s v="SMB Account Executive"/>
    <s v="SMB"/>
    <n v="4"/>
    <x v="0"/>
  </r>
  <r>
    <s v="LEAD1217"/>
    <s v="Westbrook Networks Inc."/>
    <s v="Mid-Market"/>
    <s v="VA"/>
    <s v="USR010"/>
    <s v="MM"/>
    <n v="2"/>
    <s v="Mid-Market Account Executive"/>
    <s v="MM"/>
    <n v="2"/>
    <x v="0"/>
  </r>
  <r>
    <s v="LEAD1218"/>
    <s v="Riverbend Consulting Partners"/>
    <s v="Mid-Market"/>
    <s v="NJ"/>
    <s v="USR009"/>
    <s v="MM"/>
    <n v="1"/>
    <s v="Mid-Market Account Executive"/>
    <s v="MM"/>
    <n v="1"/>
    <x v="0"/>
  </r>
  <r>
    <s v="LEAD1219"/>
    <s v="Redwood Labs Group"/>
    <s v="SMB"/>
    <s v="TX"/>
    <s v="USR006"/>
    <s v="SMB"/>
    <n v="2"/>
    <s v="SMB Account Executive"/>
    <s v="SMB"/>
    <n v="2"/>
    <x v="0"/>
  </r>
  <r>
    <s v="LEAD1220"/>
    <s v="Vertex Distribution Group"/>
    <s v="SMB"/>
    <s v="GA"/>
    <s v="USR007"/>
    <s v="SMB"/>
    <n v="2"/>
    <s v="SMB Account Executive"/>
    <s v="SMB"/>
    <n v="3"/>
    <x v="2"/>
  </r>
  <r>
    <s v="LEAD1221"/>
    <s v="Liberty Health Partners"/>
    <s v="Upper Mid-Market"/>
    <s v="GA"/>
    <s v="USR010"/>
    <s v="MM"/>
    <n v="2"/>
    <s v="Mid-Market Account Executive"/>
    <s v="MM"/>
    <n v="2"/>
    <x v="0"/>
  </r>
  <r>
    <s v="LEAD1222"/>
    <s v="Cobalt Solutions Co."/>
    <s v="SMB"/>
    <s v="FL"/>
    <s v="USR006"/>
    <s v="SMB"/>
    <n v="2"/>
    <s v="SMB Account Executive"/>
    <s v="SMB"/>
    <n v="2"/>
    <x v="0"/>
  </r>
  <r>
    <s v="LEAD1223"/>
    <s v="Monarch Holdings Group"/>
    <s v="Upper Mid-Market"/>
    <s v="OH"/>
    <s v="USR007"/>
    <s v="MM"/>
    <n v="3"/>
    <s v="SMB Account Executive"/>
    <s v="SMB"/>
    <n v="3"/>
    <x v="5"/>
  </r>
  <r>
    <s v="LEAD1224"/>
    <s v="Eastgate Resources Partners"/>
    <s v="SMB"/>
    <s v="NY"/>
    <s v="USR005"/>
    <s v="SMB"/>
    <n v="1"/>
    <s v="SMB Account Executive"/>
    <s v="SMB"/>
    <n v="1"/>
    <x v="0"/>
  </r>
  <r>
    <s v="LEAD1225"/>
    <s v="Goldcrest Industries Group"/>
    <s v="SMB"/>
    <s v="NV"/>
    <s v="USR008"/>
    <s v="SMB"/>
    <n v="4"/>
    <s v="SMB Account Executive"/>
    <s v="SMB"/>
    <n v="4"/>
    <x v="0"/>
  </r>
  <r>
    <s v="LEAD1226"/>
    <s v="Harbor Resources Inc."/>
    <s v="SMB"/>
    <s v="TX"/>
    <s v="USR006"/>
    <s v="SMB"/>
    <n v="2"/>
    <s v="SMB Account Executive"/>
    <s v="SMB"/>
    <n v="2"/>
    <x v="0"/>
  </r>
  <r>
    <s v="LEAD1227"/>
    <s v="Cobalt Health Solutions"/>
    <m/>
    <s v="TN"/>
    <m/>
    <s v="Needs Review - Segment"/>
    <n v="2"/>
    <s v=""/>
    <s v=""/>
    <s v=""/>
    <x v="4"/>
  </r>
  <r>
    <s v="LEAD1228"/>
    <s v="Solstice Resources Systems"/>
    <s v="Mid-Market"/>
    <s v="IN"/>
    <s v="USR011"/>
    <s v="MM"/>
    <n v="3"/>
    <s v="Mid-Market Account Executive"/>
    <s v="MM"/>
    <n v="3"/>
    <x v="0"/>
  </r>
  <r>
    <s v="LEAD1229"/>
    <s v="Maple Automation Partners"/>
    <s v="SMB"/>
    <s v="AK"/>
    <s v="USR008"/>
    <s v="SMB"/>
    <n v="4"/>
    <s v="SMB Account Executive"/>
    <s v="SMB"/>
    <n v="4"/>
    <x v="0"/>
  </r>
  <r>
    <s v="LEAD1230"/>
    <s v="Atlas Systems Group"/>
    <s v="Mid-Market"/>
    <s v="DE"/>
    <s v="USR009"/>
    <s v="MM"/>
    <n v="1"/>
    <s v="Mid-Market Account Executive"/>
    <s v="MM"/>
    <n v="1"/>
    <x v="0"/>
  </r>
  <r>
    <s v="LEAD1231"/>
    <s v="ClearPath Group Inc."/>
    <s v="Mid-Market"/>
    <s v="TX"/>
    <s v="USR010"/>
    <s v="MM"/>
    <n v="2"/>
    <s v="Mid-Market Account Executive"/>
    <s v="MM"/>
    <n v="2"/>
    <x v="0"/>
  </r>
  <r>
    <s v="LEAD1232"/>
    <s v="Evergreen Holdings Co."/>
    <m/>
    <s v="CO"/>
    <m/>
    <s v="Needs Review - Segment"/>
    <n v="4"/>
    <s v=""/>
    <s v=""/>
    <s v=""/>
    <x v="4"/>
  </r>
  <r>
    <s v="LEAD1233"/>
    <s v="Copper Analytics Co."/>
    <s v="SMB"/>
    <s v="TN"/>
    <s v="USR007"/>
    <s v="SMB"/>
    <n v="2"/>
    <s v="SMB Account Executive"/>
    <s v="SMB"/>
    <n v="3"/>
    <x v="2"/>
  </r>
  <r>
    <s v="LEAD1234"/>
    <s v="Newbridge Networks LLC"/>
    <s v="Mid-Market"/>
    <s v="CA"/>
    <s v="USR012"/>
    <s v="MM"/>
    <n v="4"/>
    <s v="Mid-Market Account Executive"/>
    <s v="MM"/>
    <n v="4"/>
    <x v="0"/>
  </r>
  <r>
    <s v="LEAD1235"/>
    <s v="Goldcrest Logistics LLC"/>
    <s v="SMB"/>
    <s v="DE"/>
    <s v="USR005"/>
    <s v="SMB"/>
    <n v="1"/>
    <s v="SMB Account Executive"/>
    <s v="SMB"/>
    <n v="1"/>
    <x v="0"/>
  </r>
  <r>
    <s v="LEAD1236"/>
    <s v="Liberty Networks Solutions"/>
    <s v="Mid-Market"/>
    <s v="WV"/>
    <s v="USR009"/>
    <s v="MM"/>
    <n v="1"/>
    <s v="Mid-Market Account Executive"/>
    <s v="MM"/>
    <n v="1"/>
    <x v="0"/>
  </r>
  <r>
    <s v="LEAD1237"/>
    <s v="Falcon Analytics LLC"/>
    <s v="SMB"/>
    <s v="AZ"/>
    <s v="USR008"/>
    <s v="SMB"/>
    <n v="4"/>
    <s v="SMB Account Executive"/>
    <s v="SMB"/>
    <n v="4"/>
    <x v="0"/>
  </r>
  <r>
    <s v="LEAD1238"/>
    <s v="Vertex Industries LLC"/>
    <s v="SMB"/>
    <s v="FL"/>
    <s v="USR006"/>
    <s v="SMB"/>
    <n v="2"/>
    <s v="SMB Account Executive"/>
    <s v="SMB"/>
    <n v="2"/>
    <x v="0"/>
  </r>
  <r>
    <s v="LEAD1239"/>
    <s v="Sterling Resources Inc."/>
    <s v="SMB"/>
    <s v="CA"/>
    <s v="USR008"/>
    <s v="SMB"/>
    <n v="4"/>
    <s v="SMB Account Executive"/>
    <s v="SMB"/>
    <n v="4"/>
    <x v="0"/>
  </r>
  <r>
    <s v="LEAD1240"/>
    <s v="Keystone Automation Solutions"/>
    <s v="SMB"/>
    <s v="LA"/>
    <s v="USR006"/>
    <s v="SMB"/>
    <n v="2"/>
    <s v="SMB Account Executive"/>
    <s v="SMB"/>
    <n v="2"/>
    <x v="0"/>
  </r>
  <r>
    <s v="LEAD1241"/>
    <s v="Highland Health Group"/>
    <s v="Mid-Market"/>
    <s v="NE"/>
    <s v="USR011"/>
    <s v="MM"/>
    <n v="3"/>
    <s v="Mid-Market Account Executive"/>
    <s v="MM"/>
    <n v="3"/>
    <x v="0"/>
  </r>
  <r>
    <s v="LEAD1242"/>
    <s v="Copper Logistics Co."/>
    <m/>
    <s v="WA"/>
    <m/>
    <s v="Needs Review - Segment"/>
    <n v="4"/>
    <s v=""/>
    <s v=""/>
    <s v=""/>
    <x v="4"/>
  </r>
  <r>
    <s v="LEAD1243"/>
    <s v="Brightwell Automation Co."/>
    <s v="SMB"/>
    <s v="WI"/>
    <s v="USR007"/>
    <s v="SMB"/>
    <n v="3"/>
    <s v="SMB Account Executive"/>
    <s v="SMB"/>
    <n v="3"/>
    <x v="0"/>
  </r>
  <r>
    <s v="LEAD1244"/>
    <s v="Prime Solutions LLC"/>
    <s v="Upper Mid-Market"/>
    <s v="NJ"/>
    <s v="USR009"/>
    <s v="MM"/>
    <n v="1"/>
    <s v="Mid-Market Account Executive"/>
    <s v="MM"/>
    <n v="1"/>
    <x v="0"/>
  </r>
  <r>
    <s v="LEAD1245"/>
    <s v="Copper Dynamics LLC"/>
    <s v="Mid-Market"/>
    <s v="WY"/>
    <s v="USR012"/>
    <s v="MM"/>
    <n v="4"/>
    <s v="Mid-Market Account Executive"/>
    <s v="MM"/>
    <n v="4"/>
    <x v="0"/>
  </r>
  <r>
    <s v="LEAD1246"/>
    <s v="Beacon Automation Systems"/>
    <s v="SMB"/>
    <s v="AL"/>
    <s v="USR006"/>
    <s v="SMB"/>
    <n v="2"/>
    <s v="SMB Account Executive"/>
    <s v="SMB"/>
    <n v="2"/>
    <x v="0"/>
  </r>
  <r>
    <s v="LEAD1247"/>
    <s v="Cedarstone Manufacturing Partners"/>
    <s v="SMB"/>
    <s v="NY"/>
    <s v="USR005"/>
    <s v="SMB"/>
    <n v="1"/>
    <s v="SMB Account Executive"/>
    <s v="SMB"/>
    <n v="1"/>
    <x v="0"/>
  </r>
  <r>
    <s v="LEAD1248"/>
    <s v="Apex Logistics LLC"/>
    <s v="Upper Mid-Market"/>
    <s v="TX"/>
    <s v="USR010"/>
    <s v="MM"/>
    <n v="2"/>
    <s v="Mid-Market Account Executive"/>
    <s v="MM"/>
    <n v="2"/>
    <x v="0"/>
  </r>
  <r>
    <s v="LEAD1249"/>
    <s v="Lakeside Technology Partners"/>
    <s v="Mid-Market"/>
    <s v="CA"/>
    <s v="USR012"/>
    <s v="MM"/>
    <n v="4"/>
    <s v="Mid-Market Account Executive"/>
    <s v="MM"/>
    <n v="4"/>
    <x v="0"/>
  </r>
  <r>
    <s v="LEAD1250"/>
    <s v="Windward Enterprises LLC"/>
    <s v="SMB"/>
    <s v="MI"/>
    <s v="USR006"/>
    <s v="SMB"/>
    <n v="3"/>
    <s v="SMB Account Executive"/>
    <s v="SMB"/>
    <n v="2"/>
    <x v="2"/>
  </r>
  <r>
    <s v="LEAD1251"/>
    <s v="Westbrook Analytics Inc."/>
    <s v="SMB"/>
    <s v="CA"/>
    <s v="USR008"/>
    <s v="SMB"/>
    <n v="4"/>
    <s v="SMB Account Executive"/>
    <s v="SMB"/>
    <n v="4"/>
    <x v="0"/>
  </r>
  <r>
    <s v="LEAD1252"/>
    <s v="Harbor Holdings Group"/>
    <s v="SMB"/>
    <s v="TX"/>
    <s v="USR010"/>
    <s v="SMB"/>
    <n v="2"/>
    <s v="Mid-Market Account Executive"/>
    <s v="MM"/>
    <n v="2"/>
    <x v="5"/>
  </r>
  <r>
    <s v="LEAD1253"/>
    <s v="Atlas Services LLC"/>
    <s v="Mid-Market"/>
    <s v="MD"/>
    <s v="USR009"/>
    <s v="MM"/>
    <n v="1"/>
    <s v="Mid-Market Account Executive"/>
    <s v="MM"/>
    <n v="1"/>
    <x v="0"/>
  </r>
  <r>
    <s v="LEAD1254"/>
    <s v="Highland Services Co."/>
    <s v="SMB"/>
    <s v="CA"/>
    <s v="USR008"/>
    <s v="SMB"/>
    <n v="4"/>
    <s v="SMB Account Executive"/>
    <s v="SMB"/>
    <n v="4"/>
    <x v="0"/>
  </r>
  <r>
    <s v="LEAD1255"/>
    <s v="Falcon Manufacturing Systems"/>
    <s v="Upper Mid-Market"/>
    <s v="NC"/>
    <s v="USR010"/>
    <s v="MM"/>
    <n v="2"/>
    <s v="Mid-Market Account Executive"/>
    <s v="MM"/>
    <n v="2"/>
    <x v="0"/>
  </r>
  <r>
    <s v="LEAD1256"/>
    <s v="Brightwell Supply Inc."/>
    <s v="Mid-Market"/>
    <s v="NY"/>
    <s v="USR009"/>
    <s v="MM"/>
    <n v="1"/>
    <s v="Mid-Market Account Executive"/>
    <s v="MM"/>
    <n v="1"/>
    <x v="0"/>
  </r>
  <r>
    <s v="LEAD1257"/>
    <s v="Oakridge Holdings LLC"/>
    <s v="Mid-Market"/>
    <s v="WV"/>
    <s v="USR009"/>
    <s v="MM"/>
    <n v="1"/>
    <s v="Mid-Market Account Executive"/>
    <s v="MM"/>
    <n v="1"/>
    <x v="0"/>
  </r>
  <r>
    <s v="LEAD1258"/>
    <s v="Solstice Automation Co."/>
    <s v="Mid-Market"/>
    <s v="OR"/>
    <s v="USR012"/>
    <s v="MM"/>
    <n v="4"/>
    <s v="Mid-Market Account Executive"/>
    <s v="MM"/>
    <n v="4"/>
    <x v="0"/>
  </r>
  <r>
    <s v="LEAD1259"/>
    <s v="Windward Industries Group"/>
    <s v="Mid-Market"/>
    <s v="IL"/>
    <s v="USR011"/>
    <s v="MM"/>
    <n v="3"/>
    <s v="Mid-Market Account Executive"/>
    <s v="MM"/>
    <n v="3"/>
    <x v="0"/>
  </r>
  <r>
    <s v="LEAD1260"/>
    <s v="Redwood Partners Inc."/>
    <s v="SMB"/>
    <s v="ND"/>
    <m/>
    <s v="SMB"/>
    <n v="3"/>
    <s v=""/>
    <s v=""/>
    <s v=""/>
    <x v="4"/>
  </r>
  <r>
    <s v="LEAD1261"/>
    <s v="Copper Consulting Systems"/>
    <s v="SMB"/>
    <s v="OK"/>
    <s v="USR006"/>
    <s v="SMB"/>
    <n v="2"/>
    <s v="SMB Account Executive"/>
    <s v="SMB"/>
    <n v="2"/>
    <x v="0"/>
  </r>
  <r>
    <s v="LEAD1262"/>
    <s v="Windward Industries Co."/>
    <s v="SMB"/>
    <s v="VT"/>
    <s v="USR005"/>
    <s v="SMB"/>
    <n v="1"/>
    <s v="SMB Account Executive"/>
    <s v="SMB"/>
    <n v="1"/>
    <x v="0"/>
  </r>
  <r>
    <s v="LEAD1263"/>
    <s v="Greenfield Distribution Co."/>
    <s v="SMB"/>
    <s v="GA"/>
    <s v="USR006"/>
    <s v="SMB"/>
    <n v="2"/>
    <s v="SMB Account Executive"/>
    <s v="SMB"/>
    <n v="2"/>
    <x v="0"/>
  </r>
  <r>
    <s v="LEAD1264"/>
    <s v="Granite Systems LLC"/>
    <s v="Mid-Market"/>
    <s v="DE"/>
    <s v="USR009"/>
    <s v="MM"/>
    <n v="1"/>
    <s v="Mid-Market Account Executive"/>
    <s v="MM"/>
    <n v="1"/>
    <x v="0"/>
  </r>
  <r>
    <s v="LEAD1265"/>
    <s v="Solstice Health Solutions"/>
    <s v="Upper Mid-Market"/>
    <s v="RI"/>
    <s v="USR009"/>
    <s v="MM"/>
    <n v="1"/>
    <s v="Mid-Market Account Executive"/>
    <s v="MM"/>
    <n v="1"/>
    <x v="0"/>
  </r>
  <r>
    <s v="LEAD1266"/>
    <s v="Brightwell Industries Partners"/>
    <s v="Mid-Market"/>
    <s v="ME"/>
    <s v="USR009"/>
    <s v="MM"/>
    <n v="1"/>
    <s v="Mid-Market Account Executive"/>
    <s v="MM"/>
    <n v="1"/>
    <x v="0"/>
  </r>
  <r>
    <s v="LEAD1267"/>
    <s v="Highland Distribution LLC"/>
    <s v="SMB"/>
    <s v="NJ"/>
    <s v="USR005"/>
    <s v="SMB"/>
    <n v="1"/>
    <s v="SMB Account Executive"/>
    <s v="SMB"/>
    <n v="1"/>
    <x v="0"/>
  </r>
  <r>
    <s v="LEAD1268"/>
    <s v="Prime Services Partners"/>
    <s v="SMB"/>
    <s v="MA"/>
    <s v="USR005"/>
    <s v="SMB"/>
    <n v="1"/>
    <s v="SMB Account Executive"/>
    <s v="SMB"/>
    <n v="1"/>
    <x v="0"/>
  </r>
  <r>
    <s v="LEAD1269"/>
    <s v="Solstice Dynamics Solutions"/>
    <s v="SMB"/>
    <s v="RI"/>
    <s v="USR005"/>
    <s v="SMB"/>
    <n v="1"/>
    <s v="SMB Account Executive"/>
    <s v="SMB"/>
    <n v="1"/>
    <x v="0"/>
  </r>
  <r>
    <s v="LEAD1270"/>
    <s v="Crescent Solutions Partners"/>
    <s v="SMB"/>
    <s v="CO"/>
    <s v="USR008"/>
    <s v="SMB"/>
    <n v="4"/>
    <s v="SMB Account Executive"/>
    <s v="SMB"/>
    <n v="4"/>
    <x v="0"/>
  </r>
  <r>
    <s v="LEAD1271"/>
    <s v="Cobalt Consulting Group"/>
    <s v="Mid-Market"/>
    <s v="NY"/>
    <s v="USR009"/>
    <s v="MM"/>
    <n v="1"/>
    <s v="Mid-Market Account Executive"/>
    <s v="MM"/>
    <n v="1"/>
    <x v="0"/>
  </r>
  <r>
    <s v="LEAD1272"/>
    <s v="Cobalt Systems Inc."/>
    <s v="SMB"/>
    <s v="ND"/>
    <s v="USR007"/>
    <s v="SMB"/>
    <n v="3"/>
    <s v="SMB Account Executive"/>
    <s v="SMB"/>
    <n v="3"/>
    <x v="0"/>
  </r>
  <r>
    <s v="LEAD1273"/>
    <s v="Cobalt Labs Solutions"/>
    <s v="SMB"/>
    <s v="CA"/>
    <s v="USR008"/>
    <s v="SMB"/>
    <n v="4"/>
    <s v="SMB Account Executive"/>
    <s v="SMB"/>
    <n v="4"/>
    <x v="0"/>
  </r>
  <r>
    <s v="LEAD1274"/>
    <s v="Greenfield Manufacturing Group"/>
    <s v="Mid-Market"/>
    <s v="NY"/>
    <s v="USR009"/>
    <s v="MM"/>
    <n v="1"/>
    <s v="Mid-Market Account Executive"/>
    <s v="MM"/>
    <n v="1"/>
    <x v="0"/>
  </r>
  <r>
    <s v="LEAD1275"/>
    <s v="Bridgepoint Technology Partners"/>
    <s v="SMB"/>
    <s v="AR"/>
    <s v="USR006"/>
    <s v="SMB"/>
    <n v="2"/>
    <s v="SMB Account Executive"/>
    <s v="SMB"/>
    <n v="2"/>
    <x v="0"/>
  </r>
  <r>
    <s v="LEAD1276"/>
    <s v="Silverline Enterprises Group"/>
    <s v="Mid-Market"/>
    <s v="MA"/>
    <s v="USR009"/>
    <s v="MM"/>
    <n v="1"/>
    <s v="Mid-Market Account Executive"/>
    <s v="MM"/>
    <n v="1"/>
    <x v="0"/>
  </r>
  <r>
    <s v="LEAD1277"/>
    <s v="Newbridge Automation Solutions"/>
    <s v="Mid-Market"/>
    <s v="KY"/>
    <m/>
    <s v="MM"/>
    <n v="2"/>
    <s v=""/>
    <s v=""/>
    <s v=""/>
    <x v="4"/>
  </r>
  <r>
    <s v="LEAD1278"/>
    <s v="Apex Supply Group"/>
    <s v="SMB"/>
    <s v="MD"/>
    <s v="USR005"/>
    <s v="SMB"/>
    <n v="1"/>
    <s v="SMB Account Executive"/>
    <s v="SMB"/>
    <n v="1"/>
    <x v="0"/>
  </r>
  <r>
    <s v="LEAD1279"/>
    <s v="Atlas Dynamics Group"/>
    <s v="Upper Mid-Market"/>
    <s v="DE"/>
    <s v="USR009"/>
    <s v="MM"/>
    <n v="1"/>
    <s v="Mid-Market Account Executive"/>
    <s v="MM"/>
    <n v="1"/>
    <x v="0"/>
  </r>
  <r>
    <s v="LEAD1280"/>
    <s v="Cobalt Logistics Inc."/>
    <s v="Mid-Market"/>
    <s v="CA"/>
    <s v="USR012"/>
    <s v="MM"/>
    <n v="4"/>
    <s v="Mid-Market Account Executive"/>
    <s v="MM"/>
    <n v="4"/>
    <x v="0"/>
  </r>
  <r>
    <s v="LEAD1281"/>
    <s v="Greenfield Automation Partners"/>
    <s v="Mid-Market"/>
    <s v="NH"/>
    <s v="USR009"/>
    <s v="MM"/>
    <n v="1"/>
    <s v="Mid-Market Account Executive"/>
    <s v="MM"/>
    <n v="1"/>
    <x v="0"/>
  </r>
  <r>
    <s v="LEAD1282"/>
    <s v="Monarch Automation Solutions"/>
    <s v="SMB"/>
    <s v="PA"/>
    <s v="USR005"/>
    <s v="SMB"/>
    <n v="1"/>
    <s v="SMB Account Executive"/>
    <s v="SMB"/>
    <n v="1"/>
    <x v="0"/>
  </r>
  <r>
    <s v="LEAD1283"/>
    <s v="Prime Networks Co."/>
    <s v="SMB"/>
    <s v="IL"/>
    <s v="USR007"/>
    <s v="SMB"/>
    <n v="3"/>
    <s v="SMB Account Executive"/>
    <s v="SMB"/>
    <n v="3"/>
    <x v="0"/>
  </r>
  <r>
    <s v="LEAD1284"/>
    <s v="Liberty Systems LLC"/>
    <m/>
    <s v="WA"/>
    <m/>
    <s v="Needs Review - Segment"/>
    <n v="4"/>
    <s v=""/>
    <s v=""/>
    <s v=""/>
    <x v="4"/>
  </r>
  <r>
    <s v="LEAD1285"/>
    <s v="Oakridge Resources LLC"/>
    <s v="SMB"/>
    <s v="OH"/>
    <s v="USR007"/>
    <s v="SMB"/>
    <n v="3"/>
    <s v="SMB Account Executive"/>
    <s v="SMB"/>
    <n v="3"/>
    <x v="0"/>
  </r>
  <r>
    <s v="LEAD1286"/>
    <s v="Riverton Holdings Systems"/>
    <s v="Mid-Market"/>
    <s v="FL"/>
    <s v="USR010"/>
    <s v="MM"/>
    <n v="2"/>
    <s v="Mid-Market Account Executive"/>
    <s v="MM"/>
    <n v="2"/>
    <x v="0"/>
  </r>
  <r>
    <s v="LEAD1287"/>
    <s v="Highland Distribution Partners"/>
    <s v="SMB"/>
    <s v="AZ"/>
    <s v="USR010"/>
    <s v="SMB"/>
    <n v="4"/>
    <s v="Mid-Market Account Executive"/>
    <s v="MM"/>
    <n v="2"/>
    <x v="5"/>
  </r>
  <r>
    <s v="LEAD1288"/>
    <s v="Falcon Group Inc."/>
    <s v="Upper Mid-Market"/>
    <s v="MN"/>
    <s v="USR011"/>
    <s v="MM"/>
    <n v="3"/>
    <s v="Mid-Market Account Executive"/>
    <s v="MM"/>
    <n v="3"/>
    <x v="0"/>
  </r>
  <r>
    <s v="LEAD1289"/>
    <s v="Atlas Enterprises Co."/>
    <s v="SMB"/>
    <s v="AZ"/>
    <s v="USR006"/>
    <s v="SMB"/>
    <n v="4"/>
    <s v="SMB Account Executive"/>
    <s v="SMB"/>
    <n v="2"/>
    <x v="2"/>
  </r>
  <r>
    <s v="LEAD1290"/>
    <s v="Parkside Consulting Systems"/>
    <s v="SMB"/>
    <s v="FL"/>
    <s v="USR006"/>
    <s v="SMB"/>
    <n v="2"/>
    <s v="SMB Account Executive"/>
    <s v="SMB"/>
    <n v="2"/>
    <x v="0"/>
  </r>
  <r>
    <s v="LEAD1291"/>
    <s v="Atlas Partners Inc."/>
    <s v="Mid-Market"/>
    <s v="VT"/>
    <s v="USR012"/>
    <s v="MM"/>
    <n v="1"/>
    <s v="Mid-Market Account Executive"/>
    <s v="MM"/>
    <n v="4"/>
    <x v="2"/>
  </r>
  <r>
    <s v="LEAD1292"/>
    <s v="ClearPath Commerce Solutions"/>
    <s v="Mid-Market"/>
    <s v="IA"/>
    <s v="USR011"/>
    <s v="MM"/>
    <n v="3"/>
    <s v="Mid-Market Account Executive"/>
    <s v="MM"/>
    <n v="3"/>
    <x v="0"/>
  </r>
  <r>
    <s v="LEAD1293"/>
    <s v="Atlas Industries Co."/>
    <s v="SMB"/>
    <s v="NJ"/>
    <s v="USR005"/>
    <s v="SMB"/>
    <n v="1"/>
    <s v="SMB Account Executive"/>
    <s v="SMB"/>
    <n v="1"/>
    <x v="0"/>
  </r>
  <r>
    <s v="LEAD1294"/>
    <s v="Summit Manufacturing Partners"/>
    <s v="SMB"/>
    <s v="UT"/>
    <s v="USR008"/>
    <s v="SMB"/>
    <n v="4"/>
    <s v="SMB Account Executive"/>
    <s v="SMB"/>
    <n v="4"/>
    <x v="0"/>
  </r>
  <r>
    <s v="LEAD1295"/>
    <s v="Westbrook Analytics LLC"/>
    <s v="Mid-Market"/>
    <s v="PA"/>
    <s v="USR010"/>
    <s v="MM"/>
    <n v="1"/>
    <s v="Mid-Market Account Executive"/>
    <s v="MM"/>
    <n v="2"/>
    <x v="2"/>
  </r>
  <r>
    <s v="LEAD1296"/>
    <s v="Apex Holdings Inc."/>
    <s v="SMB"/>
    <s v="GA"/>
    <s v="USR006"/>
    <s v="SMB"/>
    <n v="2"/>
    <s v="SMB Account Executive"/>
    <s v="SMB"/>
    <n v="2"/>
    <x v="0"/>
  </r>
  <r>
    <s v="LEAD1297"/>
    <s v="Eastgate Consulting Co."/>
    <s v="Mid-Market"/>
    <s v="TX"/>
    <s v="USR010"/>
    <s v="MM"/>
    <n v="2"/>
    <s v="Mid-Market Account Executive"/>
    <s v="MM"/>
    <n v="2"/>
    <x v="0"/>
  </r>
  <r>
    <s v="LEAD1298"/>
    <s v="Solstice Automation LLC"/>
    <s v="Mid-Market"/>
    <s v="AZ"/>
    <s v="USR012"/>
    <s v="MM"/>
    <n v="4"/>
    <s v="Mid-Market Account Executive"/>
    <s v="MM"/>
    <n v="4"/>
    <x v="0"/>
  </r>
  <r>
    <s v="LEAD1299"/>
    <s v="Ironwood Partners Partners"/>
    <s v="Upper Mid-Market"/>
    <s v="FL"/>
    <s v="USR010"/>
    <s v="MM"/>
    <n v="2"/>
    <s v="Mid-Market Account Executive"/>
    <s v="MM"/>
    <n v="2"/>
    <x v="0"/>
  </r>
  <r>
    <s v="LEAD1300"/>
    <s v="Prime Distribution Co."/>
    <s v="SMB"/>
    <s v="WY"/>
    <s v="USR008"/>
    <s v="SMB"/>
    <n v="4"/>
    <s v="SMB Account Executive"/>
    <s v="SMB"/>
    <n v="4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s v="OPP0001"/>
    <s v="ACC0162"/>
    <s v="Closed Won"/>
    <n v="5.9"/>
    <n v="5646"/>
    <s v="Net 30"/>
    <s v="Annual in Advance"/>
    <b v="0"/>
    <b v="0"/>
    <n v="0"/>
    <b v="0"/>
    <n v="67"/>
    <b v="0"/>
    <x v="0"/>
    <n v="0"/>
    <s v="Not Required"/>
  </r>
  <r>
    <s v="OPP0002"/>
    <s v="ACC0142"/>
    <s v="Proposal"/>
    <n v="0.6"/>
    <n v="27832"/>
    <s v="Net 30"/>
    <s v="Annual in Advance"/>
    <b v="0"/>
    <b v="0"/>
    <n v="1.5"/>
    <b v="0"/>
    <n v="349"/>
    <b v="0"/>
    <x v="0"/>
    <n v="0"/>
    <s v="Open"/>
  </r>
  <r>
    <s v="OPP0003"/>
    <s v="ACC0060"/>
    <s v="Closed Won"/>
    <n v="7.8"/>
    <n v="27660"/>
    <s v="Net 30"/>
    <s v="Annual in Advance"/>
    <b v="0"/>
    <b v="0"/>
    <n v="3.1"/>
    <b v="0"/>
    <n v="462"/>
    <b v="0"/>
    <x v="0"/>
    <n v="0"/>
    <s v="Not Required"/>
  </r>
  <r>
    <s v="OPP0004"/>
    <s v="ACC0029"/>
    <s v="Closed Lost"/>
    <n v="18.600000000000001"/>
    <n v="19536"/>
    <s v="Other"/>
    <s v="Annual in Advance"/>
    <b v="0"/>
    <b v="1"/>
    <n v="8.1"/>
    <b v="1"/>
    <n v="19"/>
    <b v="1"/>
    <x v="1"/>
    <n v="1"/>
    <s v="Approval Evidence Present"/>
  </r>
  <r>
    <s v="OPP0005"/>
    <s v="ACC0013"/>
    <s v="Proposal"/>
    <n v="0.2"/>
    <n v="87824"/>
    <s v="Net 30"/>
    <s v="Annual in Advance"/>
    <b v="1"/>
    <b v="0"/>
    <n v="1"/>
    <b v="1"/>
    <n v="2018"/>
    <b v="1"/>
    <x v="1"/>
    <n v="0"/>
    <s v="Open"/>
  </r>
  <r>
    <s v="OPP0006"/>
    <s v="ACC0122"/>
    <s v="Qualification"/>
    <n v="0.8"/>
    <n v="99200"/>
    <s v="Net 30"/>
    <s v="Annual in Advance"/>
    <b v="0"/>
    <b v="0"/>
    <n v="21"/>
    <b v="1"/>
    <n v="1398"/>
    <b v="1"/>
    <x v="1"/>
    <n v="0"/>
    <s v="Open"/>
  </r>
  <r>
    <s v="OPP0007"/>
    <s v="ACC0166"/>
    <s v="Proposal"/>
    <n v="24.9"/>
    <n v="9012"/>
    <s v="Net 30"/>
    <s v="Annual in Advance"/>
    <b v="0"/>
    <b v="0"/>
    <n v="2.9"/>
    <b v="1"/>
    <n v="59"/>
    <b v="1"/>
    <x v="1"/>
    <n v="1"/>
    <s v="Open"/>
  </r>
  <r>
    <s v="OPP0008"/>
    <s v="ACC0296"/>
    <s v="Closed Won"/>
    <n v="5.3"/>
    <n v="35986"/>
    <s v="Net 30"/>
    <s v="Annual in Advance"/>
    <b v="0"/>
    <b v="0"/>
    <n v="5.9"/>
    <b v="0"/>
    <n v="437"/>
    <b v="0"/>
    <x v="0"/>
    <n v="0"/>
    <s v="Not Required"/>
  </r>
  <r>
    <s v="OPP0009"/>
    <s v="ACC0052"/>
    <s v="Discovery"/>
    <n v="15.4"/>
    <n v="72756"/>
    <s v="Net 60"/>
    <s v="Annual in Advance"/>
    <b v="0"/>
    <b v="0"/>
    <n v="7.7"/>
    <b v="1"/>
    <n v="1801"/>
    <b v="1"/>
    <x v="1"/>
    <n v="0"/>
    <s v="Open"/>
  </r>
  <r>
    <s v="OPP0010"/>
    <s v="ACC0144"/>
    <s v="Solution Evaluation"/>
    <n v="0.4"/>
    <n v="19920"/>
    <s v="Net 30"/>
    <s v="Quarterly"/>
    <b v="0"/>
    <b v="0"/>
    <n v="11.2"/>
    <b v="1"/>
    <n v="150"/>
    <b v="1"/>
    <x v="1"/>
    <n v="0"/>
    <s v="Open"/>
  </r>
  <r>
    <s v="OPP0011"/>
    <s v="ACC0100"/>
    <s v="Solution Evaluation"/>
    <n v="18.100000000000001"/>
    <n v="63882"/>
    <s v="Net 30"/>
    <s v="Annual in Advance"/>
    <b v="0"/>
    <b v="0"/>
    <n v="7.6"/>
    <b v="1"/>
    <n v="1136"/>
    <b v="1"/>
    <x v="1"/>
    <n v="1"/>
    <s v="Open"/>
  </r>
  <r>
    <s v="OPP0012"/>
    <s v="ACC0201"/>
    <s v="Closed Won"/>
    <n v="3.8"/>
    <n v="19240"/>
    <s v="Net 30"/>
    <s v="Annual in Advance"/>
    <b v="0"/>
    <b v="0"/>
    <n v="7.8"/>
    <b v="0"/>
    <n v="38"/>
    <b v="0"/>
    <x v="0"/>
    <n v="0"/>
    <s v="Not Required"/>
  </r>
  <r>
    <s v="OPP0013"/>
    <s v="ACC0241"/>
    <s v="Qualification"/>
    <n v="9"/>
    <n v="16380"/>
    <s v="Net 30"/>
    <s v="Annual in Advance"/>
    <b v="0"/>
    <b v="0"/>
    <n v="6"/>
    <b v="0"/>
    <n v="68"/>
    <b v="0"/>
    <x v="0"/>
    <n v="0"/>
    <s v="Open"/>
  </r>
  <r>
    <s v="OPP0014"/>
    <s v="ACC0157"/>
    <s v="Solution Evaluation"/>
    <n v="23.7"/>
    <n v="32046"/>
    <s v="Net 30"/>
    <s v="Annual in Advance"/>
    <b v="0"/>
    <b v="0"/>
    <n v="9.6999999999999993"/>
    <b v="1"/>
    <n v="163"/>
    <b v="1"/>
    <x v="1"/>
    <n v="0"/>
    <s v="Open"/>
  </r>
  <r>
    <s v="OPP0015"/>
    <s v="ACC0074"/>
    <s v="Closed Lost"/>
    <n v="7.9"/>
    <n v="62628"/>
    <s v="Net 30"/>
    <s v="Annual in Advance"/>
    <b v="0"/>
    <b v="0"/>
    <n v="11.5"/>
    <b v="0"/>
    <n v="303"/>
    <b v="0"/>
    <x v="0"/>
    <n v="0"/>
    <s v="Not Required"/>
  </r>
  <r>
    <s v="OPP0016"/>
    <s v="ACC0142"/>
    <s v="Closed Lost"/>
    <n v="3.7"/>
    <n v="40446"/>
    <s v="Net 60"/>
    <s v="Annual in Advance"/>
    <b v="0"/>
    <b v="0"/>
    <n v="6.5"/>
    <b v="1"/>
    <n v="349"/>
    <b v="1"/>
    <x v="1"/>
    <n v="1"/>
    <s v="Approval Evidence Present"/>
  </r>
  <r>
    <s v="OPP0017"/>
    <s v="ACC0073"/>
    <s v="Closed Won"/>
    <n v="8.3000000000000007"/>
    <n v="14672"/>
    <s v="Net 30"/>
    <s v="Annual in Advance"/>
    <b v="1"/>
    <b v="0"/>
    <n v="15.6"/>
    <b v="1"/>
    <n v="93"/>
    <b v="1"/>
    <x v="1"/>
    <n v="0"/>
    <s v="Missing Approval Evidence"/>
  </r>
  <r>
    <s v="OPP0018"/>
    <s v="ACC0136"/>
    <s v="Closed Won"/>
    <n v="12.6"/>
    <n v="17480"/>
    <s v="Net 30"/>
    <s v="Annual in Advance"/>
    <b v="0"/>
    <b v="0"/>
    <n v="17.8"/>
    <b v="1"/>
    <n v="842"/>
    <b v="1"/>
    <x v="1"/>
    <n v="1"/>
    <s v="Approval Evidence Present"/>
  </r>
  <r>
    <s v="OPP0019"/>
    <s v="ACC0067"/>
    <s v="Qualification"/>
    <n v="5.5"/>
    <n v="28350"/>
    <s v="Net 30"/>
    <s v="Annual in Advance"/>
    <b v="0"/>
    <b v="0"/>
    <n v="15.4"/>
    <b v="0"/>
    <n v="873"/>
    <b v="0"/>
    <x v="0"/>
    <n v="0"/>
    <s v="Open"/>
  </r>
  <r>
    <s v="OPP0020"/>
    <s v="ACC0219"/>
    <s v="Closed Won"/>
    <n v="1.5"/>
    <n v="86680"/>
    <s v="Net 30"/>
    <s v="Annual in Advance"/>
    <b v="0"/>
    <b v="0"/>
    <n v="6.2"/>
    <b v="0"/>
    <n v="1910"/>
    <b v="0"/>
    <x v="0"/>
    <n v="0"/>
    <s v="Not Required"/>
  </r>
  <r>
    <s v="OPP0021"/>
    <s v="ACC0072"/>
    <s v="Closed Won"/>
    <n v="7.2"/>
    <n v="11136"/>
    <s v="Net 30"/>
    <s v="Annual in Advance"/>
    <b v="0"/>
    <b v="1"/>
    <n v="0"/>
    <b v="1"/>
    <n v="288"/>
    <b v="1"/>
    <x v="1"/>
    <n v="0"/>
    <s v="Missing Approval Evidence"/>
  </r>
  <r>
    <s v="OPP0022"/>
    <s v="ACC0019"/>
    <s v="Closed Lost"/>
    <n v="2.2000000000000002"/>
    <n v="23472"/>
    <s v="Net 30"/>
    <s v="Annual in Advance"/>
    <b v="0"/>
    <b v="1"/>
    <n v="4.2"/>
    <b v="1"/>
    <n v="74"/>
    <b v="1"/>
    <x v="1"/>
    <n v="0"/>
    <s v="Missing Approval Evidence"/>
  </r>
  <r>
    <s v="OPP0023"/>
    <s v="ACC0192"/>
    <s v="Commit"/>
    <n v="6.9"/>
    <n v="18620"/>
    <s v="Net 30"/>
    <s v="Annual in Advance"/>
    <b v="0"/>
    <b v="0"/>
    <n v="4.2"/>
    <b v="0"/>
    <n v="170"/>
    <b v="0"/>
    <x v="0"/>
    <n v="0"/>
    <s v="Open"/>
  </r>
  <r>
    <s v="OPP0024"/>
    <s v="ACC0298"/>
    <s v="Closed Lost"/>
    <n v="8.4"/>
    <n v="42136"/>
    <s v="Net 30"/>
    <s v="Annual in Advance"/>
    <b v="0"/>
    <b v="0"/>
    <n v="17.100000000000001"/>
    <b v="0"/>
    <n v="510"/>
    <b v="0"/>
    <x v="0"/>
    <n v="0"/>
    <s v="Not Required"/>
  </r>
  <r>
    <s v="OPP0025"/>
    <s v="ACC0140"/>
    <s v="Closed Won"/>
    <n v="4.5"/>
    <n v="84040"/>
    <s v="Net 30"/>
    <s v="Annual in Advance"/>
    <b v="0"/>
    <b v="0"/>
    <n v="24.8"/>
    <b v="1"/>
    <n v="1642"/>
    <b v="1"/>
    <x v="1"/>
    <n v="1"/>
    <s v="Approval Evidence Present"/>
  </r>
  <r>
    <s v="OPP0026"/>
    <s v="ACC0257"/>
    <s v="Closed Won"/>
    <n v="18.2"/>
    <n v="55624"/>
    <s v="Other"/>
    <s v="Annual in Advance"/>
    <b v="0"/>
    <b v="0"/>
    <n v="3.3"/>
    <b v="1"/>
    <n v="895"/>
    <b v="1"/>
    <x v="1"/>
    <n v="2"/>
    <s v="Approval Evidence Present"/>
  </r>
  <r>
    <s v="OPP0027"/>
    <s v="ACC0173"/>
    <s v="Solution Evaluation"/>
    <n v="23.9"/>
    <n v="21308"/>
    <s v="Net 30"/>
    <s v="Quarterly"/>
    <b v="0"/>
    <b v="0"/>
    <n v="1"/>
    <b v="1"/>
    <n v="113"/>
    <b v="1"/>
    <x v="1"/>
    <n v="1"/>
    <s v="Open"/>
  </r>
  <r>
    <s v="OPP0028"/>
    <s v="ACC0117"/>
    <s v="Closed Won"/>
    <n v="1.9"/>
    <n v="17658"/>
    <s v="Net 45"/>
    <s v="Annual in Advance"/>
    <b v="0"/>
    <b v="1"/>
    <n v="0"/>
    <b v="1"/>
    <n v="485"/>
    <b v="1"/>
    <x v="1"/>
    <n v="2"/>
    <s v="Approval Evidence Present"/>
  </r>
  <r>
    <s v="OPP0029"/>
    <s v="ACC0177"/>
    <s v="Solution Evaluation"/>
    <n v="23.7"/>
    <n v="18312"/>
    <s v="Net 30"/>
    <s v="Annual in Advance"/>
    <b v="0"/>
    <b v="0"/>
    <n v="21.1"/>
    <b v="1"/>
    <n v="129"/>
    <b v="1"/>
    <x v="1"/>
    <n v="0"/>
    <s v="Open"/>
  </r>
  <r>
    <s v="OPP0030"/>
    <s v="ACC0184"/>
    <s v="Negotiation / Legal"/>
    <n v="9.1"/>
    <n v="16362"/>
    <s v="Net 30"/>
    <s v="Quarterly"/>
    <b v="0"/>
    <b v="0"/>
    <n v="0"/>
    <b v="1"/>
    <n v="130"/>
    <b v="1"/>
    <x v="1"/>
    <n v="0"/>
    <s v="Open"/>
  </r>
  <r>
    <s v="OPP0031"/>
    <s v="ACC0186"/>
    <s v="Closed Won"/>
    <n v="0.6"/>
    <n v="37772"/>
    <s v="Net 45"/>
    <s v="Annual in Advance"/>
    <b v="0"/>
    <b v="0"/>
    <n v="7.9"/>
    <b v="1"/>
    <n v="516"/>
    <b v="1"/>
    <x v="1"/>
    <n v="0"/>
    <s v="Missing Approval Evidence"/>
  </r>
  <r>
    <s v="OPP0032"/>
    <s v="ACC0192"/>
    <s v="Qualification"/>
    <n v="15.7"/>
    <n v="25290"/>
    <s v="Net 45"/>
    <s v="Annual in Advance"/>
    <b v="0"/>
    <b v="0"/>
    <n v="6.2"/>
    <b v="1"/>
    <n v="170"/>
    <b v="1"/>
    <x v="1"/>
    <n v="1"/>
    <s v="Open"/>
  </r>
  <r>
    <s v="OPP0033"/>
    <s v="ACC0283"/>
    <s v="Negotiation / Legal"/>
    <n v="1.7"/>
    <n v="29490"/>
    <s v="Net 30"/>
    <s v="Annual in Advance"/>
    <b v="0"/>
    <b v="0"/>
    <n v="15.9"/>
    <b v="0"/>
    <n v="34"/>
    <b v="0"/>
    <x v="0"/>
    <n v="0"/>
    <s v="Open"/>
  </r>
  <r>
    <s v="OPP0034"/>
    <s v="ACC0084"/>
    <s v="Commit"/>
    <n v="32.6"/>
    <n v="8088"/>
    <s v="Net 30"/>
    <s v="Annual in Advance"/>
    <b v="0"/>
    <b v="0"/>
    <n v="0"/>
    <b v="1"/>
    <n v="663"/>
    <b v="1"/>
    <x v="1"/>
    <n v="1"/>
    <s v="Open"/>
  </r>
  <r>
    <s v="OPP0035"/>
    <s v="ACC0241"/>
    <s v="Qualification"/>
    <n v="6.9"/>
    <n v="22344"/>
    <s v="Net 30"/>
    <s v="Annual in Advance"/>
    <b v="0"/>
    <b v="0"/>
    <n v="0.2"/>
    <b v="0"/>
    <n v="68"/>
    <b v="0"/>
    <x v="0"/>
    <n v="0"/>
    <s v="Open"/>
  </r>
  <r>
    <s v="OPP0036"/>
    <s v="ACC0261"/>
    <s v="Closed Won"/>
    <n v="8.1999999999999993"/>
    <n v="29376"/>
    <s v="Net 30"/>
    <s v="Annual in Advance"/>
    <b v="0"/>
    <b v="0"/>
    <n v="0"/>
    <b v="0"/>
    <n v="308"/>
    <b v="0"/>
    <x v="0"/>
    <n v="0"/>
    <s v="Not Required"/>
  </r>
  <r>
    <s v="OPP0037"/>
    <s v="ACC0003"/>
    <s v="Closed Lost"/>
    <n v="23.8"/>
    <n v="33528"/>
    <s v="Net 60"/>
    <s v="Annual in Advance"/>
    <b v="0"/>
    <b v="1"/>
    <n v="6.6"/>
    <b v="1"/>
    <n v="542"/>
    <b v="1"/>
    <x v="1"/>
    <n v="3"/>
    <s v="Approval Evidence Present"/>
  </r>
  <r>
    <s v="OPP0038"/>
    <s v="ACC0106"/>
    <s v="Closed Won"/>
    <n v="5.6"/>
    <n v="26432"/>
    <s v="Net 30"/>
    <s v="Annual in Advance"/>
    <b v="0"/>
    <b v="0"/>
    <n v="0"/>
    <b v="0"/>
    <n v="609"/>
    <b v="0"/>
    <x v="0"/>
    <n v="0"/>
    <s v="Not Required"/>
  </r>
  <r>
    <s v="OPP0039"/>
    <s v="ACC0225"/>
    <s v="Closed Won"/>
    <n v="6.4"/>
    <n v="86112"/>
    <s v="Net 30"/>
    <s v="Annual in Advance"/>
    <b v="0"/>
    <b v="0"/>
    <n v="2.7"/>
    <b v="0"/>
    <n v="2214"/>
    <b v="0"/>
    <x v="0"/>
    <n v="0"/>
    <s v="Not Required"/>
  </r>
  <r>
    <s v="OPP0040"/>
    <s v="ACC0036"/>
    <s v="Discovery"/>
    <n v="12.3"/>
    <n v="10524"/>
    <s v="Net 30"/>
    <s v="Annual in Advance"/>
    <b v="0"/>
    <b v="0"/>
    <n v="7.3"/>
    <b v="1"/>
    <n v="97"/>
    <b v="1"/>
    <x v="1"/>
    <n v="0"/>
    <s v="Open"/>
  </r>
  <r>
    <s v="OPP0041"/>
    <s v="ACC0216"/>
    <s v="Closed Lost"/>
    <n v="29.1"/>
    <n v="26942"/>
    <s v="Net 30"/>
    <s v="Annual in Advance"/>
    <b v="0"/>
    <b v="0"/>
    <n v="8.1999999999999993"/>
    <b v="1"/>
    <n v="370"/>
    <b v="1"/>
    <x v="1"/>
    <n v="1"/>
    <s v="Approval Evidence Present"/>
  </r>
  <r>
    <s v="OPP0042"/>
    <s v="ACC0258"/>
    <s v="Closed Won"/>
    <n v="3.7"/>
    <n v="57780"/>
    <s v="Net 30"/>
    <s v="Annual in Advance"/>
    <b v="0"/>
    <b v="0"/>
    <n v="16.3"/>
    <b v="0"/>
    <n v="711"/>
    <b v="0"/>
    <x v="0"/>
    <n v="0"/>
    <s v="Not Required"/>
  </r>
  <r>
    <s v="OPP0043"/>
    <s v="ACC0298"/>
    <s v="Proposal"/>
    <n v="7.9"/>
    <n v="31314"/>
    <s v="Net 30"/>
    <s v="Annual in Advance"/>
    <b v="0"/>
    <b v="0"/>
    <n v="23.6"/>
    <b v="1"/>
    <n v="510"/>
    <b v="1"/>
    <x v="1"/>
    <n v="1"/>
    <s v="Open"/>
  </r>
  <r>
    <s v="OPP0044"/>
    <s v="ACC0286"/>
    <s v="Closed Won"/>
    <n v="3.3"/>
    <n v="83162"/>
    <s v="Net 30"/>
    <s v="Annual in Advance"/>
    <b v="0"/>
    <b v="0"/>
    <n v="10.5"/>
    <b v="0"/>
    <n v="1561"/>
    <b v="0"/>
    <x v="0"/>
    <n v="0"/>
    <s v="Not Required"/>
  </r>
  <r>
    <s v="OPP0045"/>
    <s v="ACC0237"/>
    <s v="Commit"/>
    <n v="19"/>
    <n v="29160"/>
    <s v="Net 30"/>
    <s v="Annual in Advance"/>
    <b v="0"/>
    <b v="1"/>
    <n v="3.4"/>
    <b v="1"/>
    <n v="283"/>
    <b v="1"/>
    <x v="1"/>
    <n v="0"/>
    <s v="Open"/>
  </r>
  <r>
    <s v="OPP0046"/>
    <s v="ACC0239"/>
    <s v="Closed Won"/>
    <n v="2.2000000000000002"/>
    <n v="41076"/>
    <s v="Net 30"/>
    <s v="Monthly"/>
    <b v="0"/>
    <b v="0"/>
    <n v="15.6"/>
    <b v="1"/>
    <n v="398"/>
    <b v="1"/>
    <x v="1"/>
    <n v="0"/>
    <s v="Missing Approval Evidence"/>
  </r>
  <r>
    <s v="OPP0047"/>
    <s v="ACC0099"/>
    <s v="Closed Lost"/>
    <n v="0.8"/>
    <n v="11904"/>
    <s v="Net 30"/>
    <s v="Annual in Advance"/>
    <b v="0"/>
    <b v="0"/>
    <n v="19.2"/>
    <b v="0"/>
    <n v="87"/>
    <b v="0"/>
    <x v="0"/>
    <n v="0"/>
    <s v="Not Required"/>
  </r>
  <r>
    <s v="OPP0048"/>
    <s v="ACC0163"/>
    <s v="Closed Lost"/>
    <n v="0.5"/>
    <n v="37810"/>
    <s v="Net 30"/>
    <s v="Annual in Advance"/>
    <b v="0"/>
    <b v="0"/>
    <n v="6.5"/>
    <b v="0"/>
    <n v="105"/>
    <b v="0"/>
    <x v="0"/>
    <n v="0"/>
    <s v="Not Required"/>
  </r>
  <r>
    <s v="OPP0049"/>
    <s v="ACC0269"/>
    <s v="Closed Lost"/>
    <n v="0.7"/>
    <n v="33762"/>
    <s v="Net 60"/>
    <s v="Annual in Advance"/>
    <b v="1"/>
    <b v="0"/>
    <n v="6"/>
    <b v="1"/>
    <n v="306"/>
    <b v="1"/>
    <x v="1"/>
    <n v="1"/>
    <s v="Approval Evidence Present"/>
  </r>
  <r>
    <s v="OPP0050"/>
    <s v="ACC0277"/>
    <s v="Closed Lost"/>
    <n v="22.7"/>
    <n v="38650"/>
    <s v="Net 30"/>
    <s v="Annual in Advance"/>
    <b v="0"/>
    <b v="0"/>
    <n v="4.0999999999999996"/>
    <b v="1"/>
    <n v="761"/>
    <b v="1"/>
    <x v="1"/>
    <n v="2"/>
    <s v="Approval Evidence Present"/>
  </r>
  <r>
    <s v="OPP0051"/>
    <s v="ACC0181"/>
    <s v="Closed Lost"/>
    <n v="11.3"/>
    <n v="30158"/>
    <s v="Net 60"/>
    <s v="Annual in Advance"/>
    <b v="0"/>
    <b v="0"/>
    <n v="6.2"/>
    <b v="1"/>
    <n v="447"/>
    <b v="1"/>
    <x v="1"/>
    <n v="0"/>
    <s v="Missing Approval Evidence"/>
  </r>
  <r>
    <s v="OPP0052"/>
    <s v="ACC0080"/>
    <s v="Closed Won"/>
    <n v="5.0999999999999996"/>
    <n v="15184"/>
    <s v="Net 30"/>
    <s v="Annual in Advance"/>
    <b v="0"/>
    <b v="0"/>
    <n v="0"/>
    <b v="0"/>
    <n v="707"/>
    <b v="0"/>
    <x v="0"/>
    <n v="0"/>
    <s v="Not Required"/>
  </r>
  <r>
    <s v="OPP0053"/>
    <s v="ACC0148"/>
    <s v="Commit"/>
    <n v="5.5"/>
    <n v="32130"/>
    <s v="Net 30"/>
    <s v="Annual in Advance"/>
    <b v="0"/>
    <b v="0"/>
    <n v="2.8"/>
    <b v="0"/>
    <n v="124"/>
    <b v="0"/>
    <x v="0"/>
    <n v="0"/>
    <s v="Open"/>
  </r>
  <r>
    <s v="OPP0054"/>
    <s v="ACC0202"/>
    <s v="Closed Lost"/>
    <n v="5.4"/>
    <n v="51084"/>
    <s v="Net 30"/>
    <s v="Annual in Advance"/>
    <b v="0"/>
    <b v="0"/>
    <n v="15.3"/>
    <b v="0"/>
    <n v="447"/>
    <b v="0"/>
    <x v="0"/>
    <n v="0"/>
    <s v="Not Required"/>
  </r>
  <r>
    <s v="OPP0055"/>
    <s v="ACC0115"/>
    <s v="Closed Won"/>
    <n v="5"/>
    <n v="11400"/>
    <s v="Net 30"/>
    <s v="Annual in Advance"/>
    <b v="0"/>
    <b v="0"/>
    <n v="0"/>
    <b v="0"/>
    <n v="1879"/>
    <b v="0"/>
    <x v="0"/>
    <n v="0"/>
    <s v="Not Required"/>
  </r>
  <r>
    <s v="OPP0056"/>
    <s v="ACC0043"/>
    <s v="Closed Lost"/>
    <n v="3"/>
    <n v="11640"/>
    <s v="Net 30"/>
    <s v="Quarterly"/>
    <b v="0"/>
    <b v="1"/>
    <n v="7.2"/>
    <b v="1"/>
    <n v="128"/>
    <b v="1"/>
    <x v="1"/>
    <n v="0"/>
    <s v="Missing Approval Evidence"/>
  </r>
  <r>
    <s v="OPP0057"/>
    <s v="ACC0268"/>
    <s v="Solution Evaluation"/>
    <n v="4.0999999999999996"/>
    <n v="11508"/>
    <s v="Net 30"/>
    <s v="Annual in Advance"/>
    <b v="0"/>
    <b v="0"/>
    <n v="5.4"/>
    <b v="0"/>
    <n v="87"/>
    <b v="0"/>
    <x v="0"/>
    <n v="0"/>
    <s v="Open"/>
  </r>
  <r>
    <s v="OPP0058"/>
    <s v="ACC0020"/>
    <s v="Qualification"/>
    <n v="9.1999999999999993"/>
    <n v="32688"/>
    <s v="Net 30"/>
    <s v="Annual in Advance"/>
    <b v="0"/>
    <b v="0"/>
    <n v="17"/>
    <b v="0"/>
    <n v="66"/>
    <b v="0"/>
    <x v="0"/>
    <n v="0"/>
    <s v="Open"/>
  </r>
  <r>
    <s v="OPP0059"/>
    <s v="ACC0284"/>
    <s v="Closed Lost"/>
    <n v="9.8000000000000007"/>
    <n v="34276"/>
    <s v="Net 30"/>
    <s v="Annual in Advance"/>
    <b v="0"/>
    <b v="0"/>
    <n v="16"/>
    <b v="0"/>
    <n v="542"/>
    <b v="0"/>
    <x v="0"/>
    <n v="0"/>
    <s v="Not Required"/>
  </r>
  <r>
    <s v="OPP0060"/>
    <s v="ACC0308"/>
    <s v="Discovery"/>
    <n v="9.6"/>
    <n v="10848"/>
    <s v="Net 30"/>
    <s v="Annual in Advance"/>
    <b v="0"/>
    <b v="0"/>
    <n v="9.3000000000000007"/>
    <b v="0"/>
    <n v="139"/>
    <b v="0"/>
    <x v="0"/>
    <n v="0"/>
    <s v="Open"/>
  </r>
  <r>
    <s v="OPP0061"/>
    <s v="ACC0060"/>
    <s v="Closed Lost"/>
    <n v="3.2"/>
    <n v="54208"/>
    <s v="Net 30"/>
    <s v="Annual in Advance"/>
    <b v="0"/>
    <b v="0"/>
    <n v="4.7"/>
    <b v="0"/>
    <n v="462"/>
    <b v="0"/>
    <x v="0"/>
    <n v="0"/>
    <s v="Not Required"/>
  </r>
  <r>
    <s v="OPP0062"/>
    <s v="ACC0258"/>
    <s v="Closed Won"/>
    <n v="17.2"/>
    <n v="49680"/>
    <s v="Net 30"/>
    <s v="Annual in Advance"/>
    <b v="0"/>
    <b v="0"/>
    <n v="2"/>
    <b v="1"/>
    <n v="711"/>
    <b v="1"/>
    <x v="1"/>
    <n v="1"/>
    <s v="Approval Evidence Present"/>
  </r>
  <r>
    <s v="OPP0063"/>
    <s v="ACC0251"/>
    <s v="Closed Lost"/>
    <n v="3.9"/>
    <n v="17298"/>
    <s v="Net 30"/>
    <s v="Annual in Advance"/>
    <b v="0"/>
    <b v="0"/>
    <n v="0.2"/>
    <b v="0"/>
    <n v="59"/>
    <b v="0"/>
    <x v="0"/>
    <n v="0"/>
    <s v="Not Required"/>
  </r>
  <r>
    <s v="OPP0064"/>
    <s v="ACC0272"/>
    <s v="Closed Won"/>
    <n v="20.5"/>
    <n v="11130"/>
    <s v="Net 60"/>
    <s v="Annual in Advance"/>
    <b v="0"/>
    <b v="0"/>
    <n v="0"/>
    <b v="1"/>
    <n v="587"/>
    <b v="1"/>
    <x v="1"/>
    <n v="0"/>
    <s v="Missing Approval Evidence"/>
  </r>
  <r>
    <s v="OPP0065"/>
    <s v="ACC0108"/>
    <s v="Proposal"/>
    <n v="0.1"/>
    <n v="41958"/>
    <s v="Net 30"/>
    <s v="Annual in Advance"/>
    <b v="0"/>
    <b v="0"/>
    <n v="9.1999999999999993"/>
    <b v="0"/>
    <n v="75"/>
    <b v="0"/>
    <x v="0"/>
    <n v="0"/>
    <s v="Open"/>
  </r>
  <r>
    <s v="OPP0066"/>
    <s v="ACC0271"/>
    <s v="Closed Won"/>
    <n v="1.1000000000000001"/>
    <n v="11868"/>
    <s v="Net 30"/>
    <s v="Quarterly"/>
    <b v="1"/>
    <b v="0"/>
    <n v="8.3000000000000007"/>
    <b v="1"/>
    <n v="37"/>
    <b v="1"/>
    <x v="1"/>
    <n v="1"/>
    <s v="Approval Evidence Present"/>
  </r>
  <r>
    <s v="OPP0067"/>
    <s v="ACC0077"/>
    <s v="Closed Lost"/>
    <n v="13.2"/>
    <n v="38192"/>
    <s v="Net 45"/>
    <s v="Annual in Advance"/>
    <b v="0"/>
    <b v="0"/>
    <n v="15.2"/>
    <b v="1"/>
    <n v="497"/>
    <b v="1"/>
    <x v="1"/>
    <n v="1"/>
    <s v="Approval Evidence Present"/>
  </r>
  <r>
    <s v="OPP0068"/>
    <s v="ACC0313"/>
    <s v="Closed Won"/>
    <n v="5.8"/>
    <n v="50868"/>
    <s v="Net 30"/>
    <s v="Annual in Advance"/>
    <b v="0"/>
    <b v="0"/>
    <n v="13.5"/>
    <b v="0"/>
    <n v="590"/>
    <b v="0"/>
    <x v="0"/>
    <n v="0"/>
    <s v="Not Required"/>
  </r>
  <r>
    <s v="OPP0069"/>
    <s v="ACC0299"/>
    <s v="Discovery"/>
    <n v="17.7"/>
    <n v="9876"/>
    <s v="Net 30"/>
    <s v="Annual in Advance"/>
    <b v="1"/>
    <b v="0"/>
    <n v="0.1"/>
    <b v="1"/>
    <n v="52"/>
    <b v="1"/>
    <x v="1"/>
    <n v="0"/>
    <s v="Open"/>
  </r>
  <r>
    <s v="OPP0070"/>
    <s v="ACC0164"/>
    <s v="Closed Won"/>
    <n v="20.2"/>
    <n v="17556"/>
    <s v="Other"/>
    <s v="Annual in Advance"/>
    <b v="0"/>
    <b v="0"/>
    <n v="0.9"/>
    <b v="1"/>
    <n v="142"/>
    <b v="1"/>
    <x v="1"/>
    <n v="0"/>
    <s v="Missing Approval Evidence"/>
  </r>
  <r>
    <s v="OPP0071"/>
    <s v="ACC0292"/>
    <s v="Discovery"/>
    <n v="19.600000000000001"/>
    <n v="30552"/>
    <s v="Net 30"/>
    <s v="Annual in Advance"/>
    <b v="0"/>
    <b v="0"/>
    <n v="9.6"/>
    <b v="1"/>
    <n v="701"/>
    <b v="1"/>
    <x v="1"/>
    <n v="1"/>
    <s v="Open"/>
  </r>
  <r>
    <s v="OPP0072"/>
    <s v="ACC0166"/>
    <s v="Solution Evaluation"/>
    <n v="31.9"/>
    <n v="16344"/>
    <s v="Net 30"/>
    <s v="Annual in Advance"/>
    <b v="0"/>
    <b v="0"/>
    <n v="7"/>
    <b v="0"/>
    <n v="59"/>
    <b v="1"/>
    <x v="2"/>
    <n v="1"/>
    <s v="Open"/>
  </r>
  <r>
    <s v="OPP0073"/>
    <s v="ACC0056"/>
    <s v="Closed Lost"/>
    <n v="1.8"/>
    <n v="86416"/>
    <s v="Net 30"/>
    <s v="Annual in Advance"/>
    <b v="0"/>
    <b v="0"/>
    <n v="4.5999999999999996"/>
    <b v="0"/>
    <n v="1885"/>
    <b v="0"/>
    <x v="0"/>
    <n v="0"/>
    <s v="Not Required"/>
  </r>
  <r>
    <s v="OPP0074"/>
    <s v="ACC0189"/>
    <s v="Closed Won"/>
    <n v="34.200000000000003"/>
    <n v="7896"/>
    <s v="Net 45"/>
    <s v="Annual in Advance"/>
    <b v="0"/>
    <b v="0"/>
    <n v="0"/>
    <b v="1"/>
    <n v="344"/>
    <b v="1"/>
    <x v="1"/>
    <n v="1"/>
    <s v="Approval Evidence Present"/>
  </r>
  <r>
    <s v="OPP0075"/>
    <s v="ACC0192"/>
    <s v="Proposal"/>
    <n v="17.399999999999999"/>
    <n v="29736"/>
    <s v="Net 30"/>
    <s v="Annual in Advance"/>
    <b v="0"/>
    <b v="0"/>
    <n v="7.3"/>
    <b v="1"/>
    <n v="170"/>
    <b v="1"/>
    <x v="1"/>
    <n v="0"/>
    <s v="Open"/>
  </r>
  <r>
    <s v="OPP0076"/>
    <s v="ACC0267"/>
    <s v="Closed Lost"/>
    <n v="11.9"/>
    <n v="24668"/>
    <s v="Net 30"/>
    <s v="Annual in Advance"/>
    <b v="0"/>
    <b v="1"/>
    <n v="2.9"/>
    <b v="1"/>
    <n v="147"/>
    <b v="1"/>
    <x v="1"/>
    <n v="0"/>
    <s v="Missing Approval Evidence"/>
  </r>
  <r>
    <s v="OPP0077"/>
    <s v="ACC0186"/>
    <s v="Closed Won"/>
    <n v="5.5"/>
    <n v="5670"/>
    <s v="Net 30"/>
    <s v="Quarterly"/>
    <b v="0"/>
    <b v="0"/>
    <n v="0"/>
    <b v="1"/>
    <n v="516"/>
    <b v="1"/>
    <x v="1"/>
    <n v="1"/>
    <s v="Approval Evidence Present"/>
  </r>
  <r>
    <s v="OPP0078"/>
    <s v="ACC0257"/>
    <s v="Closed Won"/>
    <n v="6.9"/>
    <n v="5586"/>
    <s v="Net 30"/>
    <s v="Annual in Advance"/>
    <b v="0"/>
    <b v="0"/>
    <n v="0"/>
    <b v="0"/>
    <n v="895"/>
    <b v="0"/>
    <x v="0"/>
    <n v="0"/>
    <s v="Not Required"/>
  </r>
  <r>
    <s v="OPP0079"/>
    <s v="ACC0179"/>
    <s v="Closed Lost"/>
    <n v="9.4"/>
    <n v="34428"/>
    <s v="Net 30"/>
    <s v="Annual in Advance"/>
    <b v="0"/>
    <b v="0"/>
    <n v="11.8"/>
    <b v="0"/>
    <n v="226"/>
    <b v="0"/>
    <x v="0"/>
    <n v="0"/>
    <s v="Not Required"/>
  </r>
  <r>
    <s v="OPP0080"/>
    <s v="ACC0003"/>
    <s v="Discovery"/>
    <n v="8.8000000000000007"/>
    <n v="72960"/>
    <s v="Net 45"/>
    <s v="Annual in Advance"/>
    <b v="0"/>
    <b v="0"/>
    <n v="8.4"/>
    <b v="1"/>
    <n v="542"/>
    <b v="1"/>
    <x v="1"/>
    <n v="1"/>
    <s v="Open"/>
  </r>
  <r>
    <s v="OPP0081"/>
    <s v="ACC0048"/>
    <s v="Closed Lost"/>
    <n v="19.5"/>
    <n v="24150"/>
    <s v="Net 30"/>
    <s v="Annual in Advance"/>
    <b v="0"/>
    <b v="0"/>
    <n v="13.8"/>
    <b v="1"/>
    <n v="56"/>
    <b v="1"/>
    <x v="1"/>
    <n v="1"/>
    <s v="Approval Evidence Present"/>
  </r>
  <r>
    <s v="OPP0082"/>
    <s v="ACC0119"/>
    <s v="Closed Won"/>
    <n v="5.4"/>
    <n v="13244"/>
    <s v="Net 30"/>
    <s v="Annual in Advance"/>
    <b v="0"/>
    <b v="0"/>
    <n v="0"/>
    <b v="0"/>
    <n v="69"/>
    <b v="0"/>
    <x v="0"/>
    <n v="0"/>
    <s v="Not Required"/>
  </r>
  <r>
    <s v="OPP0083"/>
    <s v="ACC0137"/>
    <s v="Negotiation / Legal"/>
    <n v="6"/>
    <n v="28200"/>
    <s v="Net 30"/>
    <s v="Annual in Advance"/>
    <b v="0"/>
    <b v="0"/>
    <n v="5"/>
    <b v="0"/>
    <n v="299"/>
    <b v="0"/>
    <x v="0"/>
    <n v="0"/>
    <s v="Open"/>
  </r>
  <r>
    <s v="OPP0084"/>
    <s v="ACC0323"/>
    <s v="Closed Lost"/>
    <n v="15.9"/>
    <n v="15138"/>
    <s v="Net 30"/>
    <s v="Annual in Advance"/>
    <b v="0"/>
    <b v="0"/>
    <n v="3.2"/>
    <b v="1"/>
    <s v=""/>
    <b v="1"/>
    <x v="1"/>
    <n v="0"/>
    <s v="Missing Approval Evidence"/>
  </r>
  <r>
    <s v="OPP0085"/>
    <s v="ACC0238"/>
    <s v="Proposal"/>
    <n v="2.4"/>
    <n v="23424"/>
    <s v="Net 30"/>
    <s v="Annual in Advance"/>
    <b v="1"/>
    <b v="0"/>
    <n v="8.1999999999999993"/>
    <b v="1"/>
    <n v="169"/>
    <b v="1"/>
    <x v="1"/>
    <n v="0"/>
    <s v="Open"/>
  </r>
  <r>
    <s v="OPP0086"/>
    <s v="ACC0031"/>
    <s v="Closed Won"/>
    <n v="21"/>
    <n v="9480"/>
    <s v="Net 30"/>
    <s v="Annual in Advance"/>
    <b v="0"/>
    <b v="0"/>
    <n v="1.5"/>
    <b v="1"/>
    <n v="79"/>
    <b v="1"/>
    <x v="1"/>
    <n v="1"/>
    <s v="Approval Evidence Present"/>
  </r>
  <r>
    <s v="OPP0087"/>
    <s v="ACC0027"/>
    <s v="Negotiation / Legal"/>
    <n v="7.9"/>
    <n v="55260"/>
    <s v="Net 30"/>
    <s v="Annual in Advance"/>
    <b v="0"/>
    <b v="0"/>
    <n v="9.6"/>
    <b v="0"/>
    <n v="483"/>
    <b v="0"/>
    <x v="0"/>
    <n v="0"/>
    <s v="Open"/>
  </r>
  <r>
    <s v="OPP0088"/>
    <s v="ACC0213"/>
    <s v="Discovery"/>
    <n v="16.3"/>
    <n v="82026"/>
    <s v="Net 30"/>
    <s v="Annual in Advance"/>
    <b v="0"/>
    <b v="0"/>
    <n v="4.3"/>
    <b v="1"/>
    <n v="2605"/>
    <b v="1"/>
    <x v="1"/>
    <n v="2"/>
    <s v="Open"/>
  </r>
  <r>
    <s v="OPP0089"/>
    <s v="ACC0110"/>
    <s v="Negotiation / Legal"/>
    <n v="31"/>
    <n v="8280"/>
    <s v="Net 30"/>
    <s v="Annual in Advance"/>
    <b v="0"/>
    <b v="0"/>
    <n v="10.4"/>
    <b v="1"/>
    <n v="49"/>
    <b v="1"/>
    <x v="1"/>
    <n v="0"/>
    <s v="Open"/>
  </r>
  <r>
    <s v="OPP0090"/>
    <s v="ACC0008"/>
    <s v="Closed Lost"/>
    <n v="1.1000000000000001"/>
    <n v="79120"/>
    <s v="Net 30"/>
    <s v="Quarterly"/>
    <b v="0"/>
    <b v="0"/>
    <n v="18.600000000000001"/>
    <b v="1"/>
    <n v="738"/>
    <b v="1"/>
    <x v="1"/>
    <n v="0"/>
    <s v="Missing Approval Evidence"/>
  </r>
  <r>
    <s v="OPP0091"/>
    <s v="ACC0234"/>
    <s v="Closed Won"/>
    <n v="22.5"/>
    <n v="27900"/>
    <s v="Net 30"/>
    <s v="Annual in Advance"/>
    <b v="0"/>
    <b v="0"/>
    <n v="5.9"/>
    <b v="1"/>
    <n v="131"/>
    <b v="1"/>
    <x v="1"/>
    <n v="0"/>
    <s v="Missing Approval Evidence"/>
  </r>
  <r>
    <s v="OPP0092"/>
    <s v="ACC0219"/>
    <s v="Closed Won"/>
    <n v="3.1"/>
    <n v="89148"/>
    <s v="Net 45"/>
    <s v="Annual in Advance"/>
    <b v="0"/>
    <b v="0"/>
    <n v="2"/>
    <b v="1"/>
    <n v="1910"/>
    <b v="1"/>
    <x v="1"/>
    <n v="0"/>
    <s v="Missing Approval Evidence"/>
  </r>
  <r>
    <s v="OPP0093"/>
    <s v="ACC0299"/>
    <s v="Closed Lost"/>
    <n v="4.4000000000000004"/>
    <n v="22944"/>
    <s v="Net 30"/>
    <s v="Annual in Advance"/>
    <b v="0"/>
    <b v="0"/>
    <n v="2.2999999999999998"/>
    <b v="0"/>
    <n v="52"/>
    <b v="0"/>
    <x v="0"/>
    <n v="0"/>
    <s v="Not Required"/>
  </r>
  <r>
    <s v="OPP0094"/>
    <s v="ACC0132"/>
    <s v="Closed Lost"/>
    <n v="9.5"/>
    <n v="45250"/>
    <s v="Net 30"/>
    <s v="Annual in Advance"/>
    <b v="1"/>
    <b v="0"/>
    <n v="9"/>
    <b v="1"/>
    <n v="735"/>
    <b v="1"/>
    <x v="1"/>
    <n v="1"/>
    <s v="Approval Evidence Present"/>
  </r>
  <r>
    <s v="OPP0095"/>
    <s v="ACC0110"/>
    <s v="Discovery"/>
    <n v="7.4"/>
    <n v="38892"/>
    <s v="Net 30"/>
    <s v="Annual in Advance"/>
    <b v="0"/>
    <b v="0"/>
    <n v="3"/>
    <b v="0"/>
    <n v="49"/>
    <b v="0"/>
    <x v="0"/>
    <n v="0"/>
    <s v="Open"/>
  </r>
  <r>
    <s v="OPP0096"/>
    <s v="ACC0093"/>
    <s v="Closed Lost"/>
    <n v="24.7"/>
    <n v="33132"/>
    <s v="Net 30"/>
    <s v="Annual in Advance"/>
    <b v="0"/>
    <b v="0"/>
    <n v="3.2"/>
    <b v="1"/>
    <n v="34"/>
    <b v="1"/>
    <x v="1"/>
    <n v="1"/>
    <s v="Approval Evidence Present"/>
  </r>
  <r>
    <s v="OPP0097"/>
    <s v="ACC0264"/>
    <s v="Closed Won"/>
    <n v="11.9"/>
    <n v="17620"/>
    <s v="Net 30"/>
    <s v="Annual in Advance"/>
    <b v="0"/>
    <b v="0"/>
    <n v="0"/>
    <b v="1"/>
    <n v="89"/>
    <b v="1"/>
    <x v="1"/>
    <n v="1"/>
    <s v="Approval Evidence Present"/>
  </r>
  <r>
    <s v="OPP0098"/>
    <s v="ACC0297"/>
    <s v="Closed Lost"/>
    <n v="9.5"/>
    <n v="21720"/>
    <s v="Net 30"/>
    <s v="Annual in Advance"/>
    <b v="0"/>
    <b v="0"/>
    <n v="3.7"/>
    <b v="0"/>
    <n v="93"/>
    <b v="0"/>
    <x v="0"/>
    <n v="0"/>
    <s v="Not Required"/>
  </r>
  <r>
    <s v="OPP0099"/>
    <s v="ACC0249"/>
    <s v="Closed Lost"/>
    <n v="14"/>
    <n v="39560"/>
    <s v="Net 30"/>
    <s v="Annual in Advance"/>
    <b v="0"/>
    <b v="0"/>
    <n v="7.5"/>
    <b v="1"/>
    <n v="377"/>
    <b v="1"/>
    <x v="1"/>
    <n v="0"/>
    <s v="Missing Approval Evidence"/>
  </r>
  <r>
    <s v="OPP0100"/>
    <s v="ACC0239"/>
    <s v="Closed Won"/>
    <n v="14"/>
    <n v="37840"/>
    <s v="Net 30"/>
    <s v="Annual in Advance"/>
    <b v="0"/>
    <b v="0"/>
    <n v="26.5"/>
    <b v="0"/>
    <n v="398"/>
    <b v="1"/>
    <x v="2"/>
    <n v="0"/>
    <s v="Missing Approval Evidence"/>
  </r>
  <r>
    <s v="OPP0101"/>
    <s v="ACC0213"/>
    <s v="Commit"/>
    <n v="7.3"/>
    <n v="87138"/>
    <s v="Net 30"/>
    <s v="Annual in Advance"/>
    <b v="0"/>
    <b v="0"/>
    <n v="2.4"/>
    <b v="1"/>
    <n v="2605"/>
    <b v="1"/>
    <x v="1"/>
    <n v="1"/>
    <s v="Open"/>
  </r>
  <r>
    <s v="OPP0102"/>
    <s v="ACC0118"/>
    <s v="Closed Won"/>
    <n v="38.4"/>
    <n v="11088"/>
    <s v="Net 30"/>
    <s v="Annual in Advance"/>
    <b v="0"/>
    <b v="0"/>
    <n v="7.8"/>
    <b v="1"/>
    <n v="67"/>
    <b v="1"/>
    <x v="1"/>
    <n v="0"/>
    <s v="Missing Approval Evidence"/>
  </r>
  <r>
    <s v="OPP0103"/>
    <s v="ACC0147"/>
    <s v="Closed Won"/>
    <n v="5.4"/>
    <n v="5676"/>
    <s v="Net 45"/>
    <s v="Annual in Advance"/>
    <b v="0"/>
    <b v="0"/>
    <n v="0"/>
    <b v="1"/>
    <n v="82"/>
    <b v="1"/>
    <x v="1"/>
    <n v="1"/>
    <s v="Approval Evidence Present"/>
  </r>
  <r>
    <s v="OPP0104"/>
    <s v="ACC0299"/>
    <s v="Negotiation / Legal"/>
    <n v="7.4"/>
    <n v="27780"/>
    <s v="Net 30"/>
    <s v="Annual in Advance"/>
    <b v="0"/>
    <b v="0"/>
    <n v="27.6"/>
    <b v="1"/>
    <n v="52"/>
    <b v="1"/>
    <x v="1"/>
    <n v="0"/>
    <s v="Open"/>
  </r>
  <r>
    <s v="OPP0105"/>
    <s v="ACC0020"/>
    <s v="Closed Lost"/>
    <n v="22.1"/>
    <n v="9348"/>
    <s v="Net 30"/>
    <s v="Annual in Advance"/>
    <b v="0"/>
    <b v="0"/>
    <n v="5.8"/>
    <b v="1"/>
    <n v="66"/>
    <b v="1"/>
    <x v="1"/>
    <n v="1"/>
    <s v="Approval Evidence Present"/>
  </r>
  <r>
    <s v="OPP0106"/>
    <s v="ACC0277"/>
    <s v="Closed Lost"/>
    <n v="11.9"/>
    <n v="44050"/>
    <s v="Net 30"/>
    <s v="Annual in Advance"/>
    <b v="0"/>
    <b v="0"/>
    <n v="27.6"/>
    <b v="1"/>
    <n v="761"/>
    <b v="1"/>
    <x v="1"/>
    <n v="0"/>
    <s v="Missing Approval Evidence"/>
  </r>
  <r>
    <s v="OPP0107"/>
    <s v="ACC0078"/>
    <s v="Qualification"/>
    <n v="1.8"/>
    <n v="49100"/>
    <s v="Net 30"/>
    <s v="Annual in Advance"/>
    <b v="0"/>
    <b v="0"/>
    <n v="9.1999999999999993"/>
    <b v="0"/>
    <n v="586"/>
    <b v="0"/>
    <x v="0"/>
    <n v="0"/>
    <s v="Open"/>
  </r>
  <r>
    <s v="OPP0108"/>
    <s v="ACC0083"/>
    <s v="Closed Lost"/>
    <n v="5.4"/>
    <n v="62436"/>
    <s v="Net 30"/>
    <s v="Annual in Advance"/>
    <b v="0"/>
    <b v="0"/>
    <n v="6.1"/>
    <b v="0"/>
    <n v="238"/>
    <b v="0"/>
    <x v="0"/>
    <n v="0"/>
    <s v="Not Required"/>
  </r>
  <r>
    <s v="OPP0109"/>
    <s v="ACC0169"/>
    <s v="Closed Lost"/>
    <n v="1.4"/>
    <n v="31552"/>
    <s v="Net 30"/>
    <s v="Annual in Advance"/>
    <b v="0"/>
    <b v="0"/>
    <n v="5.7"/>
    <b v="0"/>
    <n v="148"/>
    <b v="0"/>
    <x v="0"/>
    <n v="0"/>
    <s v="Not Required"/>
  </r>
  <r>
    <s v="OPP0110"/>
    <s v="ACC0155"/>
    <s v="Discovery"/>
    <n v="13.3"/>
    <n v="26010"/>
    <s v="Net 30"/>
    <s v="Annual in Advance"/>
    <b v="0"/>
    <b v="0"/>
    <n v="22.2"/>
    <b v="1"/>
    <n v="235"/>
    <b v="1"/>
    <x v="1"/>
    <n v="1"/>
    <s v="Open"/>
  </r>
  <r>
    <s v="OPP0111"/>
    <s v="ACC0030"/>
    <s v="Commit"/>
    <n v="8.1"/>
    <n v="73520"/>
    <s v="Net 30"/>
    <s v="Annual in Advance"/>
    <b v="0"/>
    <b v="0"/>
    <n v="8.3000000000000007"/>
    <b v="0"/>
    <n v="2147"/>
    <b v="0"/>
    <x v="0"/>
    <n v="0"/>
    <s v="Open"/>
  </r>
  <r>
    <s v="OPP0112"/>
    <s v="ACC0051"/>
    <s v="Closed Lost"/>
    <n v="6.4"/>
    <n v="63648"/>
    <s v="Net 30"/>
    <s v="Annual in Advance"/>
    <b v="0"/>
    <b v="0"/>
    <n v="10.5"/>
    <b v="1"/>
    <n v="622"/>
    <b v="0"/>
    <x v="3"/>
    <n v="0"/>
    <s v="Not Required"/>
  </r>
  <r>
    <s v="OPP0113"/>
    <s v="ACC0236"/>
    <s v="Qualification"/>
    <n v="3.6"/>
    <n v="11568"/>
    <s v="Net 45"/>
    <s v="Annual in Advance"/>
    <b v="0"/>
    <b v="0"/>
    <n v="15"/>
    <b v="1"/>
    <n v="73"/>
    <b v="1"/>
    <x v="1"/>
    <n v="0"/>
    <s v="Open"/>
  </r>
  <r>
    <s v="OPP0114"/>
    <s v="ACC0017"/>
    <s v="Proposal"/>
    <n v="1.4"/>
    <n v="25636"/>
    <s v="Net 30"/>
    <s v="Annual in Advance"/>
    <b v="0"/>
    <b v="0"/>
    <n v="7.3"/>
    <b v="0"/>
    <n v="57"/>
    <b v="0"/>
    <x v="0"/>
    <n v="0"/>
    <s v="Open"/>
  </r>
  <r>
    <s v="OPP0115"/>
    <s v="ACC0322"/>
    <s v="Closed Won"/>
    <n v="3.2"/>
    <n v="77440"/>
    <s v="Net 30"/>
    <s v="Annual in Advance"/>
    <b v="0"/>
    <b v="0"/>
    <n v="19.2"/>
    <b v="0"/>
    <n v="1510"/>
    <b v="0"/>
    <x v="0"/>
    <n v="0"/>
    <s v="Not Required"/>
  </r>
  <r>
    <s v="OPP0116"/>
    <s v="ACC0030"/>
    <s v="Closed Won"/>
    <n v="34.4"/>
    <n v="44608"/>
    <s v="Net 30"/>
    <s v="Annual in Advance"/>
    <b v="0"/>
    <b v="0"/>
    <n v="3.2"/>
    <b v="1"/>
    <n v="2147"/>
    <b v="1"/>
    <x v="1"/>
    <n v="1"/>
    <s v="Approval Evidence Present"/>
  </r>
  <r>
    <s v="OPP0117"/>
    <s v="ACC0275"/>
    <s v="Negotiation / Legal"/>
    <n v="8.8000000000000007"/>
    <n v="21888"/>
    <s v="Net 30"/>
    <s v="Annual in Advance"/>
    <b v="0"/>
    <b v="0"/>
    <n v="8.6999999999999993"/>
    <b v="0"/>
    <n v="97"/>
    <b v="0"/>
    <x v="0"/>
    <n v="0"/>
    <s v="Open"/>
  </r>
  <r>
    <s v="OPP0118"/>
    <s v="ACC0194"/>
    <s v="Qualification"/>
    <n v="7.5"/>
    <n v="38850"/>
    <s v="Net 30"/>
    <s v="Annual in Advance"/>
    <b v="0"/>
    <b v="0"/>
    <n v="9.1"/>
    <b v="0"/>
    <n v="119"/>
    <b v="0"/>
    <x v="0"/>
    <n v="0"/>
    <s v="Open"/>
  </r>
  <r>
    <s v="OPP0119"/>
    <s v="ACC0154"/>
    <s v="Commit"/>
    <n v="7.4"/>
    <n v="18520"/>
    <s v="Net 30"/>
    <s v="Annual in Advance"/>
    <b v="0"/>
    <b v="0"/>
    <n v="3.2"/>
    <b v="0"/>
    <n v="47"/>
    <b v="0"/>
    <x v="0"/>
    <n v="0"/>
    <s v="Open"/>
  </r>
  <r>
    <s v="OPP0120"/>
    <s v="ACC0204"/>
    <s v="Proposal"/>
    <n v="18.100000000000001"/>
    <n v="65520"/>
    <s v="Net 30"/>
    <s v="Annual in Advance"/>
    <b v="0"/>
    <b v="0"/>
    <n v="9.6"/>
    <b v="1"/>
    <n v="3247"/>
    <b v="1"/>
    <x v="1"/>
    <n v="1"/>
    <s v="Open"/>
  </r>
  <r>
    <s v="OPP0121"/>
    <s v="ACC0009"/>
    <s v="Solution Evaluation"/>
    <n v="20.3"/>
    <n v="28692"/>
    <s v="Other"/>
    <s v="Annual in Advance"/>
    <b v="0"/>
    <b v="0"/>
    <n v="0.7"/>
    <b v="1"/>
    <n v="148"/>
    <b v="1"/>
    <x v="1"/>
    <n v="1"/>
    <s v="Open"/>
  </r>
  <r>
    <s v="OPP0122"/>
    <s v="ACC0060"/>
    <s v="Closed Won"/>
    <n v="9.1999999999999993"/>
    <n v="25424"/>
    <s v="Net 60"/>
    <s v="Annual in Advance"/>
    <b v="0"/>
    <b v="0"/>
    <n v="0"/>
    <b v="1"/>
    <n v="462"/>
    <b v="1"/>
    <x v="1"/>
    <n v="0"/>
    <s v="Missing Approval Evidence"/>
  </r>
  <r>
    <s v="OPP0123"/>
    <s v="ACC0094"/>
    <s v="Negotiation / Legal"/>
    <n v="6.8"/>
    <n v="11184"/>
    <s v="Net 30"/>
    <s v="Other"/>
    <b v="0"/>
    <b v="0"/>
    <n v="6.7"/>
    <b v="1"/>
    <n v="166"/>
    <b v="1"/>
    <x v="1"/>
    <n v="0"/>
    <s v="Open"/>
  </r>
  <r>
    <s v="OPP0124"/>
    <s v="ACC0060"/>
    <s v="Closed Lost"/>
    <n v="17.2"/>
    <n v="41400"/>
    <s v="Net 45"/>
    <s v="Annual in Advance"/>
    <b v="0"/>
    <b v="0"/>
    <n v="1.8"/>
    <b v="1"/>
    <n v="462"/>
    <b v="1"/>
    <x v="1"/>
    <n v="1"/>
    <s v="Approval Evidence Present"/>
  </r>
  <r>
    <s v="OPP0125"/>
    <s v="ACC0306"/>
    <s v="Negotiation / Legal"/>
    <n v="1.1000000000000001"/>
    <n v="15824"/>
    <s v="Net 45"/>
    <s v="Other"/>
    <b v="0"/>
    <b v="0"/>
    <n v="4"/>
    <b v="1"/>
    <n v="111"/>
    <b v="1"/>
    <x v="1"/>
    <n v="0"/>
    <s v="Open"/>
  </r>
  <r>
    <s v="OPP0126"/>
    <s v="ACC0247"/>
    <s v="Closed Lost"/>
    <n v="18.7"/>
    <n v="40650"/>
    <s v="Net 30"/>
    <s v="Annual in Advance"/>
    <b v="0"/>
    <b v="0"/>
    <n v="0.6"/>
    <b v="1"/>
    <n v="826"/>
    <b v="1"/>
    <x v="1"/>
    <n v="0"/>
    <s v="Missing Approval Evidence"/>
  </r>
  <r>
    <s v="OPP0127"/>
    <s v="ACC0068"/>
    <s v="Closed Lost"/>
    <n v="6.4"/>
    <n v="63648"/>
    <s v="Other"/>
    <s v="Quarterly"/>
    <b v="0"/>
    <b v="0"/>
    <n v="6.8"/>
    <b v="1"/>
    <n v="718"/>
    <b v="1"/>
    <x v="1"/>
    <n v="1"/>
    <s v="Approval Evidence Present"/>
  </r>
  <r>
    <s v="OPP0128"/>
    <s v="ACC0043"/>
    <s v="Closed Lost"/>
    <n v="8.1999999999999993"/>
    <n v="27540"/>
    <s v="Net 45"/>
    <s v="Other"/>
    <b v="0"/>
    <b v="0"/>
    <n v="5.5"/>
    <b v="1"/>
    <n v="128"/>
    <b v="1"/>
    <x v="1"/>
    <n v="0"/>
    <s v="Missing Approval Evidence"/>
  </r>
  <r>
    <s v="OPP0129"/>
    <s v="ACC0177"/>
    <s v="Discovery"/>
    <n v="22.8"/>
    <n v="38600"/>
    <s v="Net 30"/>
    <s v="Annual in Advance"/>
    <b v="0"/>
    <b v="0"/>
    <n v="17.7"/>
    <b v="0"/>
    <n v="129"/>
    <b v="1"/>
    <x v="2"/>
    <n v="1"/>
    <s v="Open"/>
  </r>
  <r>
    <s v="OPP0130"/>
    <s v="ACC0294"/>
    <s v="Closed Won"/>
    <n v="5.7"/>
    <n v="35834"/>
    <s v="Net 30"/>
    <s v="Annual in Advance"/>
    <b v="0"/>
    <b v="0"/>
    <n v="5.2"/>
    <b v="0"/>
    <n v="783"/>
    <b v="0"/>
    <x v="0"/>
    <n v="0"/>
    <s v="Not Required"/>
  </r>
  <r>
    <s v="OPP0131"/>
    <s v="ACC0013"/>
    <s v="Solution Evaluation"/>
    <n v="18"/>
    <n v="49200"/>
    <s v="Net 45"/>
    <s v="Annual in Advance"/>
    <b v="1"/>
    <b v="0"/>
    <n v="1.9"/>
    <b v="1"/>
    <n v="2018"/>
    <b v="1"/>
    <x v="1"/>
    <n v="0"/>
    <s v="Open"/>
  </r>
  <r>
    <s v="OPP0132"/>
    <s v="ACC0038"/>
    <s v="Closed Won"/>
    <n v="6.4"/>
    <n v="18720"/>
    <s v="Net 30"/>
    <s v="Annual in Advance"/>
    <b v="0"/>
    <b v="0"/>
    <n v="0"/>
    <b v="0"/>
    <n v="149"/>
    <b v="0"/>
    <x v="0"/>
    <n v="0"/>
    <s v="Not Required"/>
  </r>
  <r>
    <s v="OPP0133"/>
    <s v="ACC0294"/>
    <s v="Closed Won"/>
    <n v="2.8"/>
    <n v="62208"/>
    <s v="Net 30"/>
    <s v="Monthly"/>
    <b v="0"/>
    <b v="0"/>
    <n v="3.4"/>
    <b v="1"/>
    <n v="783"/>
    <b v="1"/>
    <x v="1"/>
    <n v="1"/>
    <s v="Approval Evidence Present"/>
  </r>
  <r>
    <s v="OPP0134"/>
    <s v="ACC0185"/>
    <s v="Negotiation / Legal"/>
    <n v="21.4"/>
    <n v="14148"/>
    <s v="Net 30"/>
    <s v="Annual in Advance"/>
    <b v="0"/>
    <b v="0"/>
    <n v="0"/>
    <b v="1"/>
    <n v="96"/>
    <b v="1"/>
    <x v="1"/>
    <n v="0"/>
    <s v="Open"/>
  </r>
  <r>
    <s v="OPP0135"/>
    <s v="ACC0147"/>
    <s v="Closed Won"/>
    <n v="16.5"/>
    <n v="15030"/>
    <s v="Net 30"/>
    <s v="Annual in Advance"/>
    <b v="0"/>
    <b v="0"/>
    <n v="14.7"/>
    <b v="1"/>
    <n v="82"/>
    <b v="1"/>
    <x v="1"/>
    <n v="0"/>
    <s v="Missing Approval Evidence"/>
  </r>
  <r>
    <s v="OPP0136"/>
    <s v="ACC0295"/>
    <s v="Closed Won"/>
    <n v="21.4"/>
    <n v="33012"/>
    <s v="Net 30"/>
    <s v="Annual in Advance"/>
    <b v="0"/>
    <b v="0"/>
    <n v="3.9"/>
    <b v="1"/>
    <n v="452"/>
    <b v="1"/>
    <x v="1"/>
    <n v="1"/>
    <s v="Approval Evidence Present"/>
  </r>
  <r>
    <s v="OPP0137"/>
    <s v="ACC0228"/>
    <s v="Closed Won"/>
    <n v="8.3000000000000007"/>
    <n v="53186"/>
    <s v="Net 30"/>
    <s v="Quarterly"/>
    <b v="0"/>
    <b v="0"/>
    <n v="2.4"/>
    <b v="1"/>
    <n v="695"/>
    <b v="1"/>
    <x v="1"/>
    <n v="0"/>
    <s v="Missing Approval Evidence"/>
  </r>
  <r>
    <s v="OPP0138"/>
    <s v="ACC0272"/>
    <s v="Negotiation / Legal"/>
    <n v="22.2"/>
    <n v="32676"/>
    <s v="Net 30"/>
    <s v="Annual in Advance"/>
    <b v="0"/>
    <b v="1"/>
    <n v="2.6"/>
    <b v="1"/>
    <n v="587"/>
    <b v="1"/>
    <x v="1"/>
    <n v="1"/>
    <s v="Open"/>
  </r>
  <r>
    <s v="OPP0139"/>
    <s v="ACC0062"/>
    <s v="Commit"/>
    <n v="6.4"/>
    <n v="82368"/>
    <s v="Net 30"/>
    <s v="Annual in Advance"/>
    <b v="0"/>
    <b v="0"/>
    <n v="13.4"/>
    <b v="0"/>
    <n v="2096"/>
    <b v="0"/>
    <x v="0"/>
    <n v="0"/>
    <s v="Open"/>
  </r>
  <r>
    <s v="OPP0140"/>
    <s v="ACC0043"/>
    <s v="Discovery"/>
    <n v="6.1"/>
    <n v="15024"/>
    <s v="Net 30"/>
    <s v="Annual in Advance"/>
    <b v="0"/>
    <b v="0"/>
    <n v="4.2"/>
    <b v="0"/>
    <n v="128"/>
    <b v="0"/>
    <x v="0"/>
    <n v="0"/>
    <s v="Open"/>
  </r>
  <r>
    <s v="OPP0141"/>
    <s v="ACC0057"/>
    <s v="Qualification"/>
    <n v="7.9"/>
    <n v="31314"/>
    <s v="Net 30"/>
    <s v="Annual in Advance"/>
    <b v="0"/>
    <b v="0"/>
    <n v="8"/>
    <b v="0"/>
    <n v="113"/>
    <b v="0"/>
    <x v="0"/>
    <n v="0"/>
    <s v="Open"/>
  </r>
  <r>
    <s v="OPP0142"/>
    <s v="ACC0106"/>
    <s v="Closed Lost"/>
    <n v="6.8"/>
    <n v="67104"/>
    <s v="Net 30"/>
    <s v="Annual in Advance"/>
    <b v="0"/>
    <b v="0"/>
    <n v="7.9"/>
    <b v="0"/>
    <n v="609"/>
    <b v="0"/>
    <x v="0"/>
    <n v="0"/>
    <s v="Not Required"/>
  </r>
  <r>
    <s v="OPP0143"/>
    <s v="ACC0099"/>
    <s v="Closed Won"/>
    <n v="4.5"/>
    <n v="28650"/>
    <s v="Net 30"/>
    <s v="Annual in Advance"/>
    <b v="0"/>
    <b v="0"/>
    <n v="20"/>
    <b v="0"/>
    <n v="87"/>
    <b v="0"/>
    <x v="0"/>
    <n v="0"/>
    <s v="Not Required"/>
  </r>
  <r>
    <s v="OPP0144"/>
    <s v="ACC0286"/>
    <s v="Closed Won"/>
    <n v="3"/>
    <n v="83420"/>
    <s v="Net 30"/>
    <s v="Annual in Advance"/>
    <b v="0"/>
    <b v="0"/>
    <n v="11.5"/>
    <b v="0"/>
    <n v="1561"/>
    <b v="0"/>
    <x v="0"/>
    <n v="0"/>
    <s v="Not Required"/>
  </r>
  <r>
    <s v="OPP0145"/>
    <s v="ACC0128"/>
    <s v="Qualification"/>
    <n v="3.8"/>
    <n v="34632"/>
    <s v="Net 30"/>
    <s v="Quarterly"/>
    <b v="0"/>
    <b v="0"/>
    <n v="7.2"/>
    <b v="1"/>
    <n v="162"/>
    <b v="1"/>
    <x v="1"/>
    <n v="0"/>
    <s v="Open"/>
  </r>
  <r>
    <s v="OPP0146"/>
    <s v="ACC0242"/>
    <s v="Closed Lost"/>
    <n v="13.8"/>
    <n v="27584"/>
    <s v="Net 30"/>
    <s v="Annual in Advance"/>
    <b v="0"/>
    <b v="0"/>
    <n v="4.3"/>
    <b v="1"/>
    <n v="55"/>
    <b v="1"/>
    <x v="1"/>
    <n v="0"/>
    <s v="Missing Approval Evidence"/>
  </r>
  <r>
    <s v="OPP0147"/>
    <s v="ACC0301"/>
    <s v="Discovery"/>
    <n v="4.0999999999999996"/>
    <n v="32606"/>
    <s v="Net 30"/>
    <s v="Annual in Advance"/>
    <b v="0"/>
    <b v="0"/>
    <n v="0.8"/>
    <b v="0"/>
    <n v="314"/>
    <b v="0"/>
    <x v="0"/>
    <n v="0"/>
    <s v="Open"/>
  </r>
  <r>
    <s v="OPP0148"/>
    <s v="ACC0212"/>
    <s v="Closed Lost"/>
    <n v="3.2"/>
    <n v="11616"/>
    <s v="Net 60"/>
    <s v="Annual in Advance"/>
    <b v="0"/>
    <b v="0"/>
    <n v="0.2"/>
    <b v="1"/>
    <n v="93"/>
    <b v="1"/>
    <x v="1"/>
    <n v="0"/>
    <s v="Missing Approval Evidence"/>
  </r>
  <r>
    <s v="OPP0149"/>
    <s v="ACC0181"/>
    <s v="Negotiation / Legal"/>
    <n v="12.7"/>
    <n v="52380"/>
    <s v="Net 30"/>
    <s v="Quarterly"/>
    <b v="0"/>
    <b v="0"/>
    <n v="1.8"/>
    <b v="1"/>
    <n v="447"/>
    <b v="1"/>
    <x v="1"/>
    <n v="1"/>
    <s v="Open"/>
  </r>
  <r>
    <s v="OPP0150"/>
    <s v="ACC0305"/>
    <s v="Closed Won"/>
    <n v="16.899999999999999"/>
    <n v="24930"/>
    <s v="Net 30"/>
    <s v="Annual in Advance"/>
    <b v="0"/>
    <b v="0"/>
    <n v="24"/>
    <b v="1"/>
    <n v="117"/>
    <b v="1"/>
    <x v="1"/>
    <n v="0"/>
    <s v="Missing Approval Evidence"/>
  </r>
  <r>
    <s v="OPP0151"/>
    <s v="ACC0225"/>
    <s v="Closed Won"/>
    <n v="1.6"/>
    <n v="90528"/>
    <s v="Net 30"/>
    <s v="Annual in Advance"/>
    <b v="1"/>
    <b v="0"/>
    <n v="7.1"/>
    <b v="1"/>
    <n v="2214"/>
    <b v="1"/>
    <x v="1"/>
    <n v="1"/>
    <s v="Approval Evidence Present"/>
  </r>
  <r>
    <s v="OPP0152"/>
    <s v="ACC0282"/>
    <s v="Qualification"/>
    <n v="6.1"/>
    <n v="82632"/>
    <s v="Net 30"/>
    <s v="Annual in Advance"/>
    <b v="0"/>
    <b v="0"/>
    <n v="8.3000000000000007"/>
    <b v="0"/>
    <n v="2011"/>
    <b v="0"/>
    <x v="0"/>
    <n v="0"/>
    <s v="Open"/>
  </r>
  <r>
    <s v="OPP0153"/>
    <s v="ACC0233"/>
    <s v="Closed Won"/>
    <n v="14"/>
    <n v="10320"/>
    <s v="Net 30"/>
    <s v="Quarterly"/>
    <b v="0"/>
    <b v="0"/>
    <n v="0"/>
    <b v="1"/>
    <n v="441"/>
    <b v="1"/>
    <x v="1"/>
    <n v="2"/>
    <s v="Approval Evidence Present"/>
  </r>
  <r>
    <s v="OPP0154"/>
    <s v="ACC0126"/>
    <s v="Closed Lost"/>
    <n v="10.5"/>
    <n v="37590"/>
    <s v="Net 30"/>
    <s v="Annual in Advance"/>
    <b v="0"/>
    <b v="0"/>
    <n v="6.8"/>
    <b v="1"/>
    <n v="160"/>
    <b v="1"/>
    <x v="1"/>
    <n v="1"/>
    <s v="Approval Evidence Present"/>
  </r>
  <r>
    <s v="OPP0155"/>
    <s v="ACC0279"/>
    <s v="Closed Lost"/>
    <n v="8"/>
    <n v="53360"/>
    <s v="Net 30"/>
    <s v="Annual in Advance"/>
    <b v="0"/>
    <b v="0"/>
    <n v="14.5"/>
    <b v="0"/>
    <n v="618"/>
    <b v="0"/>
    <x v="0"/>
    <n v="0"/>
    <s v="Not Required"/>
  </r>
  <r>
    <s v="OPP0156"/>
    <s v="ACC0100"/>
    <s v="Closed Lost"/>
    <n v="17"/>
    <n v="54780"/>
    <s v="Net 30"/>
    <s v="Annual in Advance"/>
    <b v="0"/>
    <b v="0"/>
    <n v="7.5"/>
    <b v="1"/>
    <n v="1136"/>
    <b v="1"/>
    <x v="1"/>
    <n v="0"/>
    <s v="Missing Approval Evidence"/>
  </r>
  <r>
    <s v="OPP0157"/>
    <s v="ACC0143"/>
    <s v="Closed Won"/>
    <n v="2.5"/>
    <n v="15600"/>
    <s v="Net 30"/>
    <s v="Annual in Advance"/>
    <b v="0"/>
    <b v="0"/>
    <n v="1.4"/>
    <b v="0"/>
    <n v="162"/>
    <b v="0"/>
    <x v="0"/>
    <n v="0"/>
    <s v="Not Required"/>
  </r>
  <r>
    <s v="OPP0158"/>
    <s v="ACC0250"/>
    <s v="Closed Lost"/>
    <n v="4.0999999999999996"/>
    <n v="19180"/>
    <s v="Net 30"/>
    <s v="Annual in Advance"/>
    <b v="0"/>
    <b v="0"/>
    <n v="19"/>
    <b v="0"/>
    <n v="52"/>
    <b v="0"/>
    <x v="0"/>
    <n v="0"/>
    <s v="Not Required"/>
  </r>
  <r>
    <s v="OPP0159"/>
    <s v="ACC0190"/>
    <s v="Closed Lost"/>
    <n v="2.8"/>
    <n v="66096"/>
    <s v="Other"/>
    <s v="Annual in Advance"/>
    <b v="0"/>
    <b v="0"/>
    <n v="4.0999999999999996"/>
    <b v="1"/>
    <n v="693"/>
    <b v="1"/>
    <x v="1"/>
    <n v="1"/>
    <s v="Approval Evidence Present"/>
  </r>
  <r>
    <s v="OPP0160"/>
    <s v="ACC0004"/>
    <s v="Proposal"/>
    <n v="22.9"/>
    <n v="23130"/>
    <s v="Net 30"/>
    <s v="Annual in Advance"/>
    <b v="0"/>
    <b v="0"/>
    <n v="8.1"/>
    <b v="1"/>
    <n v="595"/>
    <b v="1"/>
    <x v="1"/>
    <n v="1"/>
    <s v="Open"/>
  </r>
  <r>
    <s v="OPP0161"/>
    <s v="ACC0034"/>
    <s v="Closed Lost"/>
    <n v="8.4"/>
    <n v="32976"/>
    <s v="Net 30"/>
    <s v="Annual in Advance"/>
    <b v="0"/>
    <b v="0"/>
    <n v="23"/>
    <b v="1"/>
    <n v="91"/>
    <b v="1"/>
    <x v="1"/>
    <n v="0"/>
    <s v="Missing Approval Evidence"/>
  </r>
  <r>
    <s v="OPP0162"/>
    <s v="ACC0238"/>
    <s v="Proposal"/>
    <n v="7.3"/>
    <n v="27810"/>
    <s v="Net 30"/>
    <s v="Monthly"/>
    <b v="0"/>
    <b v="0"/>
    <n v="5.4"/>
    <b v="1"/>
    <n v="169"/>
    <b v="1"/>
    <x v="1"/>
    <n v="0"/>
    <s v="Open"/>
  </r>
  <r>
    <s v="OPP0163"/>
    <s v="ACC0319"/>
    <s v="Discovery"/>
    <n v="3.6"/>
    <n v="52056"/>
    <s v="Net 30"/>
    <s v="Annual in Advance"/>
    <b v="0"/>
    <b v="0"/>
    <n v="2.2999999999999998"/>
    <b v="0"/>
    <n v="587"/>
    <b v="0"/>
    <x v="0"/>
    <n v="0"/>
    <s v="Open"/>
  </r>
  <r>
    <s v="OPP0164"/>
    <s v="ACC0271"/>
    <s v="Closed Won"/>
    <n v="6.2"/>
    <n v="11256"/>
    <s v="Net 45"/>
    <s v="Annual in Advance"/>
    <b v="0"/>
    <b v="0"/>
    <n v="3.2"/>
    <b v="1"/>
    <n v="37"/>
    <b v="1"/>
    <x v="1"/>
    <n v="0"/>
    <s v="Missing Approval Evidence"/>
  </r>
  <r>
    <s v="OPP0165"/>
    <s v="ACC0160"/>
    <s v="Commit"/>
    <n v="5.9"/>
    <n v="43286"/>
    <s v="Net 30"/>
    <s v="Annual in Advance"/>
    <b v="0"/>
    <b v="0"/>
    <n v="8.1"/>
    <b v="0"/>
    <n v="323"/>
    <b v="0"/>
    <x v="0"/>
    <n v="0"/>
    <s v="Open"/>
  </r>
  <r>
    <s v="OPP0166"/>
    <s v="ACC0209"/>
    <s v="Closed Lost"/>
    <n v="5.6"/>
    <n v="47200"/>
    <s v="Net 45"/>
    <s v="Annual in Advance"/>
    <b v="0"/>
    <b v="0"/>
    <n v="3.4"/>
    <b v="1"/>
    <n v="1557"/>
    <b v="1"/>
    <x v="1"/>
    <n v="0"/>
    <s v="Missing Approval Evidence"/>
  </r>
  <r>
    <s v="OPP0167"/>
    <s v="ACC0287"/>
    <s v="Closed Won"/>
    <n v="19"/>
    <n v="12960"/>
    <s v="Net 30"/>
    <s v="Annual in Advance"/>
    <b v="0"/>
    <b v="0"/>
    <n v="15.1"/>
    <b v="1"/>
    <n v="130"/>
    <b v="1"/>
    <x v="1"/>
    <n v="0"/>
    <s v="Missing Approval Evidence"/>
  </r>
  <r>
    <s v="OPP0168"/>
    <s v="ACC0010"/>
    <s v="Solution Evaluation"/>
    <n v="9.9"/>
    <n v="88298"/>
    <s v="Net 30"/>
    <s v="Annual in Advance"/>
    <b v="0"/>
    <b v="0"/>
    <n v="8.5"/>
    <b v="0"/>
    <n v="1255"/>
    <b v="0"/>
    <x v="0"/>
    <n v="0"/>
    <s v="Open"/>
  </r>
  <r>
    <s v="OPP0169"/>
    <s v="ACC0295"/>
    <s v="Closed Won"/>
    <n v="6.6"/>
    <n v="67248"/>
    <s v="Net 30"/>
    <s v="Annual in Advance"/>
    <b v="0"/>
    <b v="0"/>
    <n v="0.2"/>
    <b v="0"/>
    <n v="452"/>
    <b v="0"/>
    <x v="0"/>
    <n v="0"/>
    <s v="Not Required"/>
  </r>
  <r>
    <s v="OPP0170"/>
    <s v="ACC0270"/>
    <s v="Closed Lost"/>
    <n v="12.7"/>
    <n v="36666"/>
    <s v="Net 60"/>
    <s v="Annual in Advance"/>
    <b v="0"/>
    <b v="0"/>
    <n v="1.6"/>
    <b v="1"/>
    <n v="143"/>
    <b v="1"/>
    <x v="1"/>
    <n v="2"/>
    <s v="Approval Evidence Present"/>
  </r>
  <r>
    <s v="OPP0171"/>
    <s v="ACC0312"/>
    <s v="Closed Lost"/>
    <n v="2"/>
    <n v="86240"/>
    <s v="Net 30"/>
    <s v="Annual in Advance"/>
    <b v="0"/>
    <b v="0"/>
    <n v="2.2999999999999998"/>
    <b v="0"/>
    <n v="1669"/>
    <b v="0"/>
    <x v="0"/>
    <n v="0"/>
    <s v="Not Required"/>
  </r>
  <r>
    <s v="OPP0172"/>
    <s v="ACC0073"/>
    <s v="Closed Won"/>
    <n v="6.7"/>
    <n v="18660"/>
    <s v="Net 30"/>
    <s v="Annual in Advance"/>
    <b v="0"/>
    <b v="0"/>
    <n v="6.1"/>
    <b v="0"/>
    <n v="93"/>
    <b v="0"/>
    <x v="0"/>
    <n v="0"/>
    <s v="Not Required"/>
  </r>
  <r>
    <s v="OPP0173"/>
    <s v="ACC0140"/>
    <s v="Closed Won"/>
    <n v="0.1"/>
    <n v="87912"/>
    <s v="Net 30"/>
    <s v="Annual in Advance"/>
    <b v="0"/>
    <b v="0"/>
    <n v="16.2"/>
    <b v="0"/>
    <n v="1642"/>
    <b v="0"/>
    <x v="0"/>
    <n v="0"/>
    <s v="Not Required"/>
  </r>
  <r>
    <s v="OPP0174"/>
    <s v="ACC0140"/>
    <s v="Closed Lost"/>
    <n v="1.3"/>
    <n v="90804"/>
    <s v="Net 60"/>
    <s v="Annual in Advance"/>
    <b v="0"/>
    <b v="0"/>
    <n v="4.4000000000000004"/>
    <b v="1"/>
    <n v="1642"/>
    <b v="1"/>
    <x v="1"/>
    <n v="0"/>
    <s v="Missing Approval Evidence"/>
  </r>
  <r>
    <s v="OPP0175"/>
    <s v="ACC0019"/>
    <s v="Closed Won"/>
    <n v="8.1999999999999993"/>
    <n v="38556"/>
    <s v="Net 30"/>
    <s v="Annual in Advance"/>
    <b v="0"/>
    <b v="0"/>
    <n v="5.9"/>
    <b v="0"/>
    <n v="74"/>
    <b v="0"/>
    <x v="0"/>
    <n v="0"/>
    <s v="Not Required"/>
  </r>
  <r>
    <s v="OPP0176"/>
    <s v="ACC0043"/>
    <s v="Solution Evaluation"/>
    <n v="6.7"/>
    <n v="26124"/>
    <s v="Net 30"/>
    <s v="Annual in Advance"/>
    <b v="0"/>
    <b v="0"/>
    <n v="8.1"/>
    <b v="0"/>
    <n v="128"/>
    <b v="0"/>
    <x v="0"/>
    <n v="0"/>
    <s v="Open"/>
  </r>
  <r>
    <s v="OPP0177"/>
    <s v="ACC0013"/>
    <s v="Solution Evaluation"/>
    <n v="15.2"/>
    <n v="78016"/>
    <s v="Net 30"/>
    <s v="Annual in Advance"/>
    <b v="0"/>
    <b v="0"/>
    <n v="6"/>
    <b v="1"/>
    <n v="2018"/>
    <b v="1"/>
    <x v="1"/>
    <n v="1"/>
    <s v="Open"/>
  </r>
  <r>
    <s v="OPP0178"/>
    <s v="ACC0155"/>
    <s v="Discovery"/>
    <n v="9.6999999999999993"/>
    <n v="61404"/>
    <s v="Net 30"/>
    <s v="Annual in Advance"/>
    <b v="0"/>
    <b v="0"/>
    <n v="4.9000000000000004"/>
    <b v="0"/>
    <n v="235"/>
    <b v="0"/>
    <x v="0"/>
    <n v="0"/>
    <s v="Open"/>
  </r>
  <r>
    <s v="OPP0179"/>
    <s v="ACC0124"/>
    <s v="Qualification"/>
    <n v="6.1"/>
    <n v="43194"/>
    <s v="Net 30"/>
    <s v="Annual in Advance"/>
    <b v="0"/>
    <b v="0"/>
    <n v="4.3"/>
    <b v="0"/>
    <n v="577"/>
    <b v="0"/>
    <x v="0"/>
    <n v="0"/>
    <s v="Open"/>
  </r>
  <r>
    <s v="OPP0180"/>
    <s v="ACC0019"/>
    <s v="Closed Won"/>
    <n v="20.9"/>
    <n v="9492"/>
    <s v="Net 30"/>
    <s v="Annual in Advance"/>
    <b v="1"/>
    <b v="0"/>
    <n v="5.2"/>
    <b v="1"/>
    <n v="74"/>
    <b v="1"/>
    <x v="1"/>
    <n v="1"/>
    <s v="Approval Evidence Present"/>
  </r>
  <r>
    <s v="OPP0181"/>
    <s v="ACC0282"/>
    <s v="Solution Evaluation"/>
    <n v="4.5999999999999996"/>
    <n v="87768"/>
    <s v="Net 30"/>
    <s v="Annual in Advance"/>
    <b v="0"/>
    <b v="0"/>
    <n v="9.4"/>
    <b v="0"/>
    <n v="2011"/>
    <b v="0"/>
    <x v="0"/>
    <n v="0"/>
    <s v="Open"/>
  </r>
  <r>
    <s v="OPP0182"/>
    <s v="ACC0272"/>
    <s v="Closed Won"/>
    <n v="7.9"/>
    <n v="46050"/>
    <s v="Net 45"/>
    <s v="Annual in Advance"/>
    <b v="0"/>
    <b v="0"/>
    <n v="2"/>
    <b v="1"/>
    <n v="587"/>
    <b v="1"/>
    <x v="1"/>
    <n v="0"/>
    <s v="Missing Approval Evidence"/>
  </r>
  <r>
    <s v="OPP0183"/>
    <s v="ACC0127"/>
    <s v="Closed Won"/>
    <n v="11.5"/>
    <n v="40710"/>
    <s v="Net 30"/>
    <s v="Annual in Advance"/>
    <b v="0"/>
    <b v="0"/>
    <n v="6"/>
    <b v="1"/>
    <n v="582"/>
    <b v="1"/>
    <x v="1"/>
    <n v="0"/>
    <s v="Missing Approval Evidence"/>
  </r>
  <r>
    <s v="OPP0184"/>
    <s v="ACC0286"/>
    <s v="Closed Won"/>
    <n v="30.1"/>
    <n v="64308"/>
    <s v="Net 30"/>
    <s v="Other"/>
    <b v="0"/>
    <b v="0"/>
    <n v="4.7"/>
    <b v="1"/>
    <n v="1561"/>
    <b v="1"/>
    <x v="1"/>
    <n v="0"/>
    <s v="Missing Approval Evidence"/>
  </r>
  <r>
    <s v="OPP0185"/>
    <s v="ACC0222"/>
    <s v="Closed Lost"/>
    <n v="8"/>
    <n v="11040"/>
    <s v="Net 30"/>
    <s v="Annual in Advance"/>
    <b v="0"/>
    <b v="0"/>
    <n v="1.9"/>
    <b v="0"/>
    <n v="61"/>
    <b v="0"/>
    <x v="0"/>
    <n v="0"/>
    <s v="Not Required"/>
  </r>
  <r>
    <s v="OPP0186"/>
    <s v="ACC0246"/>
    <s v="Closed Won"/>
    <n v="2.9"/>
    <n v="64086"/>
    <s v="Net 30"/>
    <s v="Annual in Advance"/>
    <b v="1"/>
    <b v="0"/>
    <n v="13.3"/>
    <b v="1"/>
    <n v="2013"/>
    <b v="1"/>
    <x v="1"/>
    <n v="0"/>
    <s v="Missing Approval Evidence"/>
  </r>
  <r>
    <s v="OPP0187"/>
    <s v="ACC0261"/>
    <s v="Closed Won"/>
    <n v="9.1"/>
    <n v="36360"/>
    <s v="Net 30"/>
    <s v="Annual in Advance"/>
    <b v="0"/>
    <b v="0"/>
    <n v="15.1"/>
    <b v="0"/>
    <n v="308"/>
    <b v="0"/>
    <x v="0"/>
    <n v="0"/>
    <s v="Not Required"/>
  </r>
  <r>
    <s v="OPP0188"/>
    <s v="ACC0097"/>
    <s v="Negotiation / Legal"/>
    <n v="4.9000000000000004"/>
    <n v="53256"/>
    <s v="Net 30"/>
    <s v="Annual in Advance"/>
    <b v="0"/>
    <b v="0"/>
    <n v="3.1"/>
    <b v="0"/>
    <n v="725"/>
    <b v="0"/>
    <x v="0"/>
    <n v="0"/>
    <s v="Open"/>
  </r>
  <r>
    <s v="OPP0189"/>
    <s v="ACC0203"/>
    <s v="Closed Won"/>
    <n v="35.200000000000003"/>
    <n v="53136"/>
    <s v="Net 30"/>
    <s v="Annual in Advance"/>
    <b v="0"/>
    <b v="0"/>
    <n v="7"/>
    <b v="1"/>
    <n v="1296"/>
    <b v="1"/>
    <x v="1"/>
    <n v="2"/>
    <s v="Approval Evidence Present"/>
  </r>
  <r>
    <s v="OPP0190"/>
    <s v="ACC0080"/>
    <s v="Closed Won"/>
    <n v="6.8"/>
    <n v="46600"/>
    <s v="Net 30"/>
    <s v="Annual in Advance"/>
    <b v="0"/>
    <b v="0"/>
    <n v="2.2000000000000002"/>
    <b v="0"/>
    <n v="707"/>
    <b v="0"/>
    <x v="0"/>
    <n v="0"/>
    <s v="Not Required"/>
  </r>
  <r>
    <s v="OPP0191"/>
    <s v="ACC0127"/>
    <s v="Closed Won"/>
    <n v="19.8"/>
    <n v="36892"/>
    <s v="Net 45"/>
    <s v="Annual in Advance"/>
    <b v="1"/>
    <b v="0"/>
    <n v="5.3"/>
    <b v="0"/>
    <n v="582"/>
    <b v="1"/>
    <x v="2"/>
    <n v="0"/>
    <s v="Missing Approval Evidence"/>
  </r>
  <r>
    <s v="OPP0192"/>
    <s v="ACC0209"/>
    <s v="Qualification"/>
    <n v="7.5"/>
    <n v="72150"/>
    <s v="Net 30"/>
    <s v="Annual in Advance"/>
    <b v="0"/>
    <b v="0"/>
    <n v="0.2"/>
    <b v="0"/>
    <n v="1557"/>
    <b v="0"/>
    <x v="0"/>
    <n v="0"/>
    <s v="Open"/>
  </r>
  <r>
    <s v="OPP0193"/>
    <s v="ACC0043"/>
    <s v="Solution Evaluation"/>
    <n v="4.0999999999999996"/>
    <n v="19180"/>
    <s v="Net 45"/>
    <s v="Annual in Advance"/>
    <b v="0"/>
    <b v="0"/>
    <n v="0.6"/>
    <b v="1"/>
    <n v="128"/>
    <b v="1"/>
    <x v="1"/>
    <n v="0"/>
    <s v="Open"/>
  </r>
  <r>
    <s v="OPP0194"/>
    <s v="ACC0031"/>
    <s v="Closed Won"/>
    <n v="11.4"/>
    <n v="33668"/>
    <s v="Net 30"/>
    <s v="Annual in Advance"/>
    <b v="0"/>
    <b v="0"/>
    <n v="5.8"/>
    <b v="1"/>
    <n v="79"/>
    <b v="1"/>
    <x v="1"/>
    <n v="0"/>
    <s v="Missing Approval Evidence"/>
  </r>
  <r>
    <s v="OPP0195"/>
    <s v="ACC0092"/>
    <s v="Closed Won"/>
    <n v="8.5"/>
    <n v="18300"/>
    <s v="Net 30"/>
    <s v="Annual in Advance"/>
    <b v="0"/>
    <b v="0"/>
    <n v="0"/>
    <b v="0"/>
    <n v="391"/>
    <b v="0"/>
    <x v="0"/>
    <n v="0"/>
    <s v="Not Required"/>
  </r>
  <r>
    <s v="OPP0196"/>
    <s v="ACC0071"/>
    <s v="Closed Won"/>
    <n v="4"/>
    <n v="30720"/>
    <s v="Net 45"/>
    <s v="Annual in Advance"/>
    <b v="0"/>
    <b v="0"/>
    <n v="5.7"/>
    <b v="1"/>
    <n v="864"/>
    <b v="1"/>
    <x v="1"/>
    <n v="1"/>
    <s v="Approval Evidence Present"/>
  </r>
  <r>
    <s v="OPP0197"/>
    <s v="ACC0185"/>
    <s v="Closed Won"/>
    <n v="4.9000000000000004"/>
    <n v="28530"/>
    <s v="Net 30"/>
    <s v="Annual in Advance"/>
    <b v="0"/>
    <b v="0"/>
    <n v="3.4"/>
    <b v="0"/>
    <n v="96"/>
    <b v="0"/>
    <x v="0"/>
    <n v="0"/>
    <s v="Not Required"/>
  </r>
  <r>
    <s v="OPP0198"/>
    <s v="ACC0141"/>
    <s v="Commit"/>
    <n v="0.6"/>
    <n v="79520"/>
    <s v="Net 30"/>
    <s v="Annual in Advance"/>
    <b v="0"/>
    <b v="1"/>
    <n v="0.3"/>
    <b v="1"/>
    <n v="2121"/>
    <b v="1"/>
    <x v="1"/>
    <n v="1"/>
    <s v="Open"/>
  </r>
  <r>
    <s v="OPP0199"/>
    <s v="ACC0109"/>
    <s v="Closed Won"/>
    <n v="5.6"/>
    <n v="47200"/>
    <s v="Net 30"/>
    <s v="Annual in Advance"/>
    <b v="0"/>
    <b v="0"/>
    <n v="8.3000000000000007"/>
    <b v="0"/>
    <n v="1191"/>
    <b v="0"/>
    <x v="0"/>
    <n v="0"/>
    <s v="Not Required"/>
  </r>
  <r>
    <s v="OPP0200"/>
    <s v="ACC0164"/>
    <s v="Closed Won"/>
    <n v="7.1"/>
    <n v="11148"/>
    <s v="Net 60"/>
    <s v="Annual in Advance"/>
    <b v="0"/>
    <b v="0"/>
    <n v="0.9"/>
    <b v="1"/>
    <n v="142"/>
    <b v="1"/>
    <x v="1"/>
    <n v="1"/>
    <s v="Approval Evidence Present"/>
  </r>
  <r>
    <s v="OPP0201"/>
    <s v="ACC0300"/>
    <s v="Discovery"/>
    <n v="7.1"/>
    <n v="11148"/>
    <s v="Net 30"/>
    <s v="Annual in Advance"/>
    <b v="0"/>
    <b v="0"/>
    <n v="2.7"/>
    <b v="0"/>
    <n v="60"/>
    <b v="0"/>
    <x v="0"/>
    <n v="0"/>
    <s v="Open"/>
  </r>
  <r>
    <s v="OPP0202"/>
    <s v="ACC0307"/>
    <s v="Closed Lost"/>
    <n v="2.4"/>
    <n v="21472"/>
    <s v="Net 30"/>
    <s v="Annual in Advance"/>
    <b v="0"/>
    <b v="0"/>
    <n v="12"/>
    <b v="0"/>
    <n v="89"/>
    <b v="0"/>
    <x v="0"/>
    <n v="0"/>
    <s v="Not Required"/>
  </r>
  <r>
    <s v="OPP0203"/>
    <s v="ACC0166"/>
    <s v="Qualification"/>
    <n v="23.8"/>
    <n v="9144"/>
    <s v="Net 30"/>
    <s v="Annual in Advance"/>
    <b v="0"/>
    <b v="0"/>
    <n v="19.399999999999999"/>
    <b v="1"/>
    <n v="59"/>
    <b v="1"/>
    <x v="1"/>
    <n v="1"/>
    <s v="Open"/>
  </r>
  <r>
    <s v="OPP0204"/>
    <s v="ACC0219"/>
    <s v="Closed Won"/>
    <n v="7.2"/>
    <n v="74240"/>
    <s v="Net 30"/>
    <s v="Annual in Advance"/>
    <b v="0"/>
    <b v="0"/>
    <n v="18.600000000000001"/>
    <b v="0"/>
    <n v="1910"/>
    <b v="0"/>
    <x v="0"/>
    <n v="0"/>
    <s v="Not Required"/>
  </r>
  <r>
    <s v="OPP0205"/>
    <s v="ACC0262"/>
    <s v="Proposal"/>
    <n v="1"/>
    <n v="15840"/>
    <s v="Net 30"/>
    <s v="Annual in Advance"/>
    <b v="0"/>
    <b v="0"/>
    <n v="18.600000000000001"/>
    <b v="0"/>
    <n v="127"/>
    <b v="0"/>
    <x v="0"/>
    <n v="0"/>
    <s v="Open"/>
  </r>
  <r>
    <s v="OPP0206"/>
    <s v="ACC0102"/>
    <s v="Closed Lost"/>
    <n v="1.2"/>
    <n v="84968"/>
    <s v="Other"/>
    <s v="Quarterly"/>
    <b v="0"/>
    <b v="0"/>
    <n v="2.2999999999999998"/>
    <b v="1"/>
    <n v="2097"/>
    <b v="1"/>
    <x v="1"/>
    <n v="0"/>
    <s v="Missing Approval Evidence"/>
  </r>
  <r>
    <s v="OPP0207"/>
    <s v="ACC0112"/>
    <s v="Discovery"/>
    <n v="0.5"/>
    <n v="59700"/>
    <s v="Net 60"/>
    <s v="Annual in Advance"/>
    <b v="0"/>
    <b v="0"/>
    <n v="16.100000000000001"/>
    <b v="1"/>
    <n v="3048"/>
    <b v="1"/>
    <x v="1"/>
    <n v="1"/>
    <s v="Open"/>
  </r>
  <r>
    <s v="OPP0208"/>
    <s v="ACC0187"/>
    <s v="Closed Won"/>
    <n v="3.5"/>
    <n v="65620"/>
    <s v="Net 60"/>
    <s v="Annual in Advance"/>
    <b v="0"/>
    <b v="0"/>
    <n v="4"/>
    <b v="1"/>
    <n v="356"/>
    <b v="1"/>
    <x v="1"/>
    <n v="1"/>
    <s v="Approval Evidence Present"/>
  </r>
  <r>
    <s v="OPP0209"/>
    <s v="ACC0249"/>
    <s v="Closed Lost"/>
    <n v="19.100000000000001"/>
    <n v="35596"/>
    <s v="Net 30"/>
    <s v="Annual in Advance"/>
    <b v="0"/>
    <b v="0"/>
    <n v="3.1"/>
    <b v="1"/>
    <n v="377"/>
    <b v="1"/>
    <x v="1"/>
    <n v="0"/>
    <s v="Missing Approval Evidence"/>
  </r>
  <r>
    <s v="OPP0210"/>
    <s v="ACC0314"/>
    <s v="Closed Won"/>
    <n v="10.5"/>
    <n v="53700"/>
    <s v="Net 30"/>
    <s v="Annual in Advance"/>
    <b v="0"/>
    <b v="0"/>
    <n v="15.3"/>
    <b v="1"/>
    <n v="474"/>
    <b v="1"/>
    <x v="1"/>
    <n v="1"/>
    <s v="Approval Evidence Present"/>
  </r>
  <r>
    <s v="OPP0211"/>
    <s v="ACC0105"/>
    <s v="Closed Won"/>
    <n v="7.8"/>
    <n v="18440"/>
    <s v="Net 30"/>
    <s v="Annual in Advance"/>
    <b v="0"/>
    <b v="0"/>
    <n v="3"/>
    <b v="0"/>
    <n v="139"/>
    <b v="0"/>
    <x v="0"/>
    <n v="0"/>
    <s v="Not Required"/>
  </r>
  <r>
    <s v="OPP0212"/>
    <s v="ACC0121"/>
    <s v="Qualification"/>
    <n v="8"/>
    <n v="18400"/>
    <s v="Net 30"/>
    <s v="Annual in Advance"/>
    <b v="0"/>
    <b v="0"/>
    <n v="10.1"/>
    <b v="0"/>
    <n v="261"/>
    <b v="0"/>
    <x v="0"/>
    <n v="0"/>
    <s v="Open"/>
  </r>
  <r>
    <s v="OPP0213"/>
    <s v="ACC0099"/>
    <s v="Closed Won"/>
    <n v="1.6"/>
    <n v="17712"/>
    <s v="Net 60"/>
    <s v="Annual in Advance"/>
    <b v="0"/>
    <b v="0"/>
    <n v="9.9"/>
    <b v="1"/>
    <n v="87"/>
    <b v="1"/>
    <x v="1"/>
    <n v="0"/>
    <s v="Missing Approval Evidence"/>
  </r>
  <r>
    <s v="OPP0214"/>
    <s v="ACC0098"/>
    <s v="Closed Won"/>
    <n v="7.2"/>
    <n v="74240"/>
    <s v="Net 30"/>
    <s v="Annual in Advance"/>
    <b v="0"/>
    <b v="0"/>
    <n v="17.899999999999999"/>
    <b v="0"/>
    <n v="2073"/>
    <b v="0"/>
    <x v="0"/>
    <n v="0"/>
    <s v="Not Required"/>
  </r>
  <r>
    <s v="OPP0215"/>
    <s v="ACC0162"/>
    <s v="Closed Won"/>
    <n v="7.4"/>
    <n v="11112"/>
    <s v="Net 30"/>
    <s v="Monthly"/>
    <b v="0"/>
    <b v="0"/>
    <n v="0"/>
    <b v="1"/>
    <n v="67"/>
    <b v="1"/>
    <x v="1"/>
    <n v="1"/>
    <s v="Approval Evidence Present"/>
  </r>
  <r>
    <s v="OPP0216"/>
    <s v="ACC0187"/>
    <s v="Closed Won"/>
    <n v="14.1"/>
    <n v="10308"/>
    <s v="Net 30"/>
    <s v="Annual in Advance"/>
    <b v="0"/>
    <b v="0"/>
    <n v="0"/>
    <b v="1"/>
    <n v="356"/>
    <b v="1"/>
    <x v="1"/>
    <n v="1"/>
    <s v="Approval Evidence Present"/>
  </r>
  <r>
    <s v="OPP0217"/>
    <s v="ACC0221"/>
    <s v="Qualification"/>
    <n v="3.9"/>
    <n v="48050"/>
    <s v="Net 30"/>
    <s v="Annual in Advance"/>
    <b v="0"/>
    <b v="0"/>
    <n v="2.2999999999999998"/>
    <b v="0"/>
    <n v="365"/>
    <b v="0"/>
    <x v="0"/>
    <n v="0"/>
    <s v="Open"/>
  </r>
  <r>
    <s v="OPP0218"/>
    <s v="ACC0120"/>
    <s v="Closed Won"/>
    <n v="9.5"/>
    <n v="54300"/>
    <s v="Net 60"/>
    <s v="Annual in Advance"/>
    <b v="0"/>
    <b v="0"/>
    <n v="1.8"/>
    <b v="1"/>
    <n v="490"/>
    <b v="1"/>
    <x v="1"/>
    <n v="0"/>
    <s v="Missing Approval Evidence"/>
  </r>
  <r>
    <s v="OPP0219"/>
    <s v="ACC0176"/>
    <s v="Closed Won"/>
    <n v="0.5"/>
    <n v="43780"/>
    <s v="Net 30"/>
    <s v="Annual in Advance"/>
    <b v="0"/>
    <b v="0"/>
    <n v="7.5"/>
    <b v="0"/>
    <n v="131"/>
    <b v="0"/>
    <x v="0"/>
    <n v="0"/>
    <s v="Not Required"/>
  </r>
  <r>
    <s v="OPP0220"/>
    <s v="ACC0005"/>
    <s v="Negotiation / Legal"/>
    <n v="4.5999999999999996"/>
    <n v="15264"/>
    <s v="Net 30"/>
    <s v="Annual in Advance"/>
    <b v="0"/>
    <b v="0"/>
    <n v="18.899999999999999"/>
    <b v="0"/>
    <n v="137"/>
    <b v="0"/>
    <x v="0"/>
    <n v="0"/>
    <s v="Open"/>
  </r>
  <r>
    <s v="OPP0221"/>
    <s v="ACC0158"/>
    <s v="Proposal"/>
    <n v="24.1"/>
    <n v="24288"/>
    <s v="Net 30"/>
    <s v="Annual in Advance"/>
    <b v="0"/>
    <b v="0"/>
    <n v="15.4"/>
    <b v="1"/>
    <n v="154"/>
    <b v="1"/>
    <x v="1"/>
    <n v="1"/>
    <s v="Open"/>
  </r>
  <r>
    <s v="OPP0222"/>
    <s v="ACC0066"/>
    <s v="Closed Lost"/>
    <n v="25"/>
    <n v="22500"/>
    <s v="Net 30"/>
    <s v="Annual in Advance"/>
    <b v="1"/>
    <b v="0"/>
    <n v="8.4"/>
    <b v="1"/>
    <n v="641"/>
    <b v="1"/>
    <x v="1"/>
    <n v="1"/>
    <s v="Approval Evidence Present"/>
  </r>
  <r>
    <s v="OPP0223"/>
    <s v="ACC0308"/>
    <s v="Closed Lost"/>
    <n v="0.2"/>
    <n v="25948"/>
    <s v="Net 30"/>
    <s v="Annual in Advance"/>
    <b v="0"/>
    <b v="1"/>
    <n v="20.2"/>
    <b v="1"/>
    <n v="139"/>
    <b v="1"/>
    <x v="1"/>
    <n v="0"/>
    <s v="Missing Approval Evidence"/>
  </r>
  <r>
    <s v="OPP0224"/>
    <s v="ACC0267"/>
    <s v="Qualification"/>
    <n v="2.5"/>
    <n v="19500"/>
    <s v="Net 30"/>
    <s v="Annual in Advance"/>
    <b v="0"/>
    <b v="0"/>
    <n v="8.6"/>
    <b v="0"/>
    <n v="147"/>
    <b v="0"/>
    <x v="0"/>
    <n v="0"/>
    <s v="Open"/>
  </r>
  <r>
    <s v="OPP0225"/>
    <s v="ACC0275"/>
    <s v="Commit"/>
    <n v="0.5"/>
    <n v="19900"/>
    <s v="Net 30"/>
    <s v="Annual in Advance"/>
    <b v="1"/>
    <b v="0"/>
    <n v="1.4"/>
    <b v="1"/>
    <n v="97"/>
    <b v="1"/>
    <x v="1"/>
    <n v="1"/>
    <s v="Open"/>
  </r>
  <r>
    <s v="OPP0226"/>
    <s v="ACC0063"/>
    <s v="Closed Won"/>
    <n v="22.6"/>
    <n v="40248"/>
    <s v="Net 30"/>
    <s v="Annual in Advance"/>
    <b v="0"/>
    <b v="0"/>
    <n v="6.2"/>
    <b v="1"/>
    <n v="502"/>
    <b v="1"/>
    <x v="1"/>
    <n v="0"/>
    <s v="Missing Approval Evidence"/>
  </r>
  <r>
    <s v="OPP0227"/>
    <s v="ACC0112"/>
    <s v="Closed Won"/>
    <n v="19.399999999999999"/>
    <n v="48360"/>
    <s v="Net 30"/>
    <s v="Annual in Advance"/>
    <b v="0"/>
    <b v="0"/>
    <n v="26"/>
    <b v="1"/>
    <n v="3048"/>
    <b v="1"/>
    <x v="1"/>
    <n v="0"/>
    <s v="Missing Approval Evidence"/>
  </r>
  <r>
    <s v="OPP0228"/>
    <s v="ACC0004"/>
    <s v="Commit"/>
    <n v="23"/>
    <n v="29260"/>
    <s v="Net 30"/>
    <s v="Annual in Advance"/>
    <b v="0"/>
    <b v="0"/>
    <n v="24.2"/>
    <b v="1"/>
    <n v="595"/>
    <b v="1"/>
    <x v="1"/>
    <n v="2"/>
    <s v="Open"/>
  </r>
  <r>
    <s v="OPP0229"/>
    <s v="ACC0226"/>
    <s v="Closed Won"/>
    <n v="3.3"/>
    <n v="11604"/>
    <s v="Net 30"/>
    <s v="Annual in Advance"/>
    <b v="0"/>
    <b v="0"/>
    <n v="0"/>
    <b v="0"/>
    <n v="122"/>
    <b v="0"/>
    <x v="0"/>
    <n v="0"/>
    <s v="Not Required"/>
  </r>
  <r>
    <s v="OPP0230"/>
    <s v="ACC0001"/>
    <s v="Closed Lost"/>
    <n v="3.1"/>
    <n v="77520"/>
    <s v="Net 30"/>
    <s v="Annual in Advance"/>
    <b v="0"/>
    <b v="0"/>
    <n v="23.2"/>
    <b v="1"/>
    <s v=""/>
    <b v="1"/>
    <x v="1"/>
    <n v="0"/>
    <s v="Missing Approval Evidence"/>
  </r>
  <r>
    <s v="OPP0231"/>
    <s v="ACC0053"/>
    <s v="Closed Won"/>
    <n v="4.2"/>
    <n v="24908"/>
    <s v="Net 30"/>
    <s v="Annual in Advance"/>
    <b v="0"/>
    <b v="0"/>
    <n v="4.0999999999999996"/>
    <b v="0"/>
    <n v="126"/>
    <b v="0"/>
    <x v="0"/>
    <n v="0"/>
    <s v="Not Required"/>
  </r>
  <r>
    <s v="OPP0232"/>
    <s v="ACC0068"/>
    <s v="Closed Lost"/>
    <n v="17.100000000000001"/>
    <n v="69636"/>
    <s v="Net 30"/>
    <s v="Quarterly"/>
    <b v="0"/>
    <b v="0"/>
    <n v="3.9"/>
    <b v="1"/>
    <n v="718"/>
    <b v="1"/>
    <x v="1"/>
    <n v="0"/>
    <s v="Missing Approval Evidence"/>
  </r>
  <r>
    <s v="OPP0233"/>
    <s v="ACC0293"/>
    <s v="Closed Lost"/>
    <n v="0.5"/>
    <n v="53730"/>
    <s v="Net 30"/>
    <s v="Annual in Advance"/>
    <b v="0"/>
    <b v="0"/>
    <n v="5.3"/>
    <b v="0"/>
    <n v="612"/>
    <b v="0"/>
    <x v="0"/>
    <n v="0"/>
    <s v="Not Required"/>
  </r>
  <r>
    <s v="OPP0234"/>
    <s v="ACC0115"/>
    <s v="Closed Won"/>
    <n v="14.9"/>
    <n v="57868"/>
    <s v="Net 30"/>
    <s v="Annual in Advance"/>
    <b v="0"/>
    <b v="0"/>
    <n v="9.3000000000000007"/>
    <b v="1"/>
    <n v="1879"/>
    <b v="1"/>
    <x v="1"/>
    <n v="0"/>
    <s v="Missing Approval Evidence"/>
  </r>
  <r>
    <s v="OPP0235"/>
    <s v="ACC0225"/>
    <s v="Closed Won"/>
    <n v="8.3000000000000007"/>
    <n v="45850"/>
    <s v="Net 30"/>
    <s v="Annual in Advance"/>
    <b v="0"/>
    <b v="0"/>
    <n v="2"/>
    <b v="0"/>
    <n v="2214"/>
    <b v="0"/>
    <x v="0"/>
    <n v="0"/>
    <s v="Not Required"/>
  </r>
  <r>
    <s v="OPP0236"/>
    <s v="ACC0022"/>
    <s v="Closed Won"/>
    <n v="1.5"/>
    <n v="11820"/>
    <s v="Net 30"/>
    <s v="Annual in Advance"/>
    <b v="0"/>
    <b v="0"/>
    <n v="3.2"/>
    <b v="0"/>
    <n v="46"/>
    <b v="0"/>
    <x v="0"/>
    <n v="0"/>
    <s v="Not Required"/>
  </r>
  <r>
    <s v="OPP0237"/>
    <s v="ACC0238"/>
    <s v="Discovery"/>
    <n v="0.3"/>
    <n v="25922"/>
    <s v="Net 30"/>
    <s v="Annual in Advance"/>
    <b v="0"/>
    <b v="0"/>
    <n v="9.8000000000000007"/>
    <b v="0"/>
    <n v="169"/>
    <b v="0"/>
    <x v="0"/>
    <n v="0"/>
    <s v="Open"/>
  </r>
  <r>
    <s v="OPP0238"/>
    <s v="ACC0314"/>
    <s v="Closed Won"/>
    <n v="2.2999999999999998"/>
    <n v="13678"/>
    <s v="Net 30"/>
    <s v="Annual in Advance"/>
    <b v="0"/>
    <b v="0"/>
    <n v="0"/>
    <b v="0"/>
    <n v="474"/>
    <b v="0"/>
    <x v="0"/>
    <n v="0"/>
    <s v="Not Required"/>
  </r>
  <r>
    <s v="OPP0239"/>
    <s v="ACC0137"/>
    <s v="Closed Lost"/>
    <n v="3.4"/>
    <n v="32844"/>
    <s v="Net 30"/>
    <s v="Annual in Advance"/>
    <b v="0"/>
    <b v="0"/>
    <n v="7.8"/>
    <b v="0"/>
    <n v="299"/>
    <b v="0"/>
    <x v="0"/>
    <n v="0"/>
    <s v="Not Required"/>
  </r>
  <r>
    <s v="OPP0240"/>
    <s v="ACC0144"/>
    <s v="Closed Won"/>
    <n v="20.5"/>
    <n v="17490"/>
    <s v="Net 30"/>
    <s v="Annual in Advance"/>
    <b v="0"/>
    <b v="0"/>
    <n v="9.9"/>
    <b v="1"/>
    <n v="150"/>
    <b v="1"/>
    <x v="1"/>
    <n v="0"/>
    <s v="Missing Approval Evidence"/>
  </r>
  <r>
    <s v="OPP0241"/>
    <s v="ACC0088"/>
    <s v="Closed Won"/>
    <n v="12.9"/>
    <n v="12194"/>
    <s v="Net 30"/>
    <s v="Annual in Advance"/>
    <b v="0"/>
    <b v="0"/>
    <n v="0"/>
    <b v="1"/>
    <n v="80"/>
    <b v="1"/>
    <x v="1"/>
    <n v="0"/>
    <s v="Missing Approval Evidence"/>
  </r>
  <r>
    <s v="OPP0242"/>
    <s v="ACC0149"/>
    <s v="Closed Lost"/>
    <n v="5.7"/>
    <n v="11316"/>
    <s v="Net 30"/>
    <s v="Annual in Advance"/>
    <b v="0"/>
    <b v="0"/>
    <n v="4.4000000000000004"/>
    <b v="0"/>
    <n v="65"/>
    <b v="0"/>
    <x v="0"/>
    <n v="0"/>
    <s v="Not Required"/>
  </r>
  <r>
    <s v="OPP0243"/>
    <s v="ACC0020"/>
    <s v="Closed Lost"/>
    <n v="7"/>
    <n v="11160"/>
    <s v="Net 30"/>
    <s v="Annual in Advance"/>
    <b v="0"/>
    <b v="0"/>
    <n v="10"/>
    <b v="0"/>
    <n v="66"/>
    <b v="0"/>
    <x v="0"/>
    <n v="0"/>
    <s v="Not Required"/>
  </r>
  <r>
    <s v="OPP0244"/>
    <s v="ACC0144"/>
    <s v="Closed Won"/>
    <n v="11.4"/>
    <n v="24808"/>
    <s v="Net 30"/>
    <s v="Annual in Advance"/>
    <b v="0"/>
    <b v="0"/>
    <n v="13.5"/>
    <b v="1"/>
    <n v="150"/>
    <b v="1"/>
    <x v="1"/>
    <n v="0"/>
    <s v="Missing Approval Evidence"/>
  </r>
  <r>
    <s v="OPP0245"/>
    <s v="ACC0153"/>
    <s v="Closed Won"/>
    <n v="0.6"/>
    <n v="11928"/>
    <s v="Net 45"/>
    <s v="Annual in Advance"/>
    <b v="0"/>
    <b v="0"/>
    <n v="7.4"/>
    <b v="1"/>
    <n v="71"/>
    <b v="1"/>
    <x v="1"/>
    <n v="0"/>
    <s v="Missing Approval Evidence"/>
  </r>
  <r>
    <s v="OPP0246"/>
    <s v="ACC0322"/>
    <s v="Closed Won"/>
    <n v="16.3"/>
    <n v="73656"/>
    <s v="Net 30"/>
    <s v="Annual in Advance"/>
    <b v="0"/>
    <b v="0"/>
    <n v="7.9"/>
    <b v="1"/>
    <n v="1510"/>
    <b v="1"/>
    <x v="1"/>
    <n v="0"/>
    <s v="Missing Approval Evidence"/>
  </r>
  <r>
    <s v="OPP0247"/>
    <s v="ACC0185"/>
    <s v="Closed Lost"/>
    <n v="9"/>
    <n v="20020"/>
    <s v="Net 30"/>
    <s v="Annual in Advance"/>
    <b v="0"/>
    <b v="0"/>
    <n v="9.8000000000000007"/>
    <b v="0"/>
    <n v="96"/>
    <b v="0"/>
    <x v="0"/>
    <n v="0"/>
    <s v="Not Required"/>
  </r>
  <r>
    <s v="OPP0248"/>
    <s v="ACC0046"/>
    <s v="Closed Won"/>
    <n v="7.7"/>
    <n v="11076"/>
    <s v="Net 30"/>
    <s v="Annual in Advance"/>
    <b v="0"/>
    <b v="0"/>
    <n v="4.9000000000000004"/>
    <b v="0"/>
    <n v="64"/>
    <b v="0"/>
    <x v="0"/>
    <n v="0"/>
    <s v="Not Required"/>
  </r>
  <r>
    <s v="OPP0249"/>
    <s v="ACC0151"/>
    <s v="Solution Evaluation"/>
    <n v="21.1"/>
    <n v="15780"/>
    <s v="Net 30"/>
    <s v="Monthly"/>
    <b v="0"/>
    <b v="0"/>
    <n v="0.8"/>
    <b v="1"/>
    <n v="69"/>
    <b v="1"/>
    <x v="1"/>
    <n v="2"/>
    <s v="Open"/>
  </r>
  <r>
    <s v="OPP0250"/>
    <s v="ACC0324"/>
    <s v="Solution Evaluation"/>
    <n v="7"/>
    <n v="74400"/>
    <s v="Net 30"/>
    <s v="Annual in Advance"/>
    <b v="0"/>
    <b v="0"/>
    <n v="5.6"/>
    <b v="0"/>
    <n v="1614"/>
    <b v="0"/>
    <x v="0"/>
    <n v="0"/>
    <s v="Open"/>
  </r>
  <r>
    <s v="OPP0251"/>
    <s v="ACC0156"/>
    <s v="Closed Lost"/>
    <n v="2.1"/>
    <n v="58740"/>
    <s v="Net 30"/>
    <s v="Annual in Advance"/>
    <b v="0"/>
    <b v="0"/>
    <n v="5.2"/>
    <b v="0"/>
    <n v="513"/>
    <b v="0"/>
    <x v="0"/>
    <n v="0"/>
    <s v="Not Required"/>
  </r>
  <r>
    <s v="OPP0252"/>
    <s v="ACC0053"/>
    <s v="Closed Won"/>
    <n v="34.4"/>
    <n v="24928"/>
    <s v="Net 30"/>
    <s v="Quarterly"/>
    <b v="0"/>
    <b v="0"/>
    <n v="9.1"/>
    <b v="1"/>
    <n v="126"/>
    <b v="1"/>
    <x v="1"/>
    <n v="1"/>
    <s v="Approval Evidence Present"/>
  </r>
  <r>
    <s v="OPP0253"/>
    <s v="ACC0176"/>
    <s v="Closed Won"/>
    <n v="5.3"/>
    <n v="34092"/>
    <s v="Net 30"/>
    <s v="Annual in Advance"/>
    <b v="0"/>
    <b v="0"/>
    <n v="8.5"/>
    <b v="0"/>
    <n v="131"/>
    <b v="0"/>
    <x v="0"/>
    <n v="0"/>
    <s v="Not Required"/>
  </r>
  <r>
    <s v="OPP0254"/>
    <s v="ACC0203"/>
    <s v="Closed Won"/>
    <n v="11.3"/>
    <n v="72734"/>
    <s v="Net 30"/>
    <s v="Annual in Advance"/>
    <b v="0"/>
    <b v="0"/>
    <n v="1.9"/>
    <b v="1"/>
    <n v="1296"/>
    <b v="1"/>
    <x v="1"/>
    <n v="1"/>
    <s v="Approval Evidence Present"/>
  </r>
  <r>
    <s v="OPP0255"/>
    <s v="ACC0078"/>
    <s v="Qualification"/>
    <n v="3.7"/>
    <n v="48150"/>
    <s v="Net 30"/>
    <s v="Annual in Advance"/>
    <b v="0"/>
    <b v="0"/>
    <n v="5.7"/>
    <b v="0"/>
    <n v="586"/>
    <b v="0"/>
    <x v="0"/>
    <n v="0"/>
    <s v="Open"/>
  </r>
  <r>
    <s v="OPP0256"/>
    <s v="ACC0276"/>
    <s v="Proposal"/>
    <n v="9.9"/>
    <n v="41446"/>
    <s v="Net 30"/>
    <s v="Quarterly"/>
    <b v="0"/>
    <b v="0"/>
    <n v="5.7"/>
    <b v="1"/>
    <n v="713"/>
    <b v="1"/>
    <x v="1"/>
    <n v="0"/>
    <s v="Open"/>
  </r>
  <r>
    <s v="OPP0257"/>
    <s v="ACC0258"/>
    <s v="Commit"/>
    <n v="9.6"/>
    <n v="70512"/>
    <s v="Net 30"/>
    <s v="Quarterly"/>
    <b v="0"/>
    <b v="0"/>
    <n v="8.6999999999999993"/>
    <b v="1"/>
    <n v="711"/>
    <b v="1"/>
    <x v="1"/>
    <n v="0"/>
    <s v="Open"/>
  </r>
  <r>
    <s v="OPP0258"/>
    <s v="ACC0021"/>
    <s v="Discovery"/>
    <n v="0.5"/>
    <n v="29850"/>
    <s v="Net 30"/>
    <s v="Annual in Advance"/>
    <b v="0"/>
    <b v="0"/>
    <n v="0.2"/>
    <b v="0"/>
    <n v="691"/>
    <b v="0"/>
    <x v="0"/>
    <n v="0"/>
    <s v="Open"/>
  </r>
  <r>
    <s v="OPP0259"/>
    <s v="ACC0002"/>
    <s v="Closed Lost"/>
    <n v="9.6999999999999993"/>
    <n v="14448"/>
    <s v="Net 30"/>
    <s v="Annual in Advance"/>
    <b v="0"/>
    <b v="0"/>
    <n v="6.4"/>
    <b v="0"/>
    <n v="130"/>
    <b v="0"/>
    <x v="0"/>
    <n v="0"/>
    <s v="Not Required"/>
  </r>
  <r>
    <s v="OPP0260"/>
    <s v="ACC0245"/>
    <s v="Negotiation / Legal"/>
    <n v="2"/>
    <n v="62720"/>
    <s v="Net 30"/>
    <s v="Annual in Advance"/>
    <b v="0"/>
    <b v="0"/>
    <n v="8.3000000000000007"/>
    <b v="0"/>
    <s v=""/>
    <b v="0"/>
    <x v="0"/>
    <n v="0"/>
    <s v="Open"/>
  </r>
  <r>
    <s v="OPP0261"/>
    <s v="ACC0085"/>
    <s v="Closed Lost"/>
    <n v="9.6999999999999993"/>
    <n v="21672"/>
    <s v="Net 30"/>
    <s v="Annual in Advance"/>
    <b v="0"/>
    <b v="0"/>
    <n v="18"/>
    <b v="0"/>
    <n v="104"/>
    <b v="0"/>
    <x v="0"/>
    <n v="0"/>
    <s v="Not Required"/>
  </r>
  <r>
    <s v="OPP0262"/>
    <s v="ACC0316"/>
    <s v="Closed Won"/>
    <n v="2.2000000000000002"/>
    <n v="70416"/>
    <s v="Net 45"/>
    <s v="Annual in Advance"/>
    <b v="0"/>
    <b v="0"/>
    <n v="8.9"/>
    <b v="1"/>
    <n v="303"/>
    <b v="1"/>
    <x v="1"/>
    <n v="1"/>
    <s v="Approval Evidence Present"/>
  </r>
  <r>
    <s v="OPP0263"/>
    <s v="ACC0100"/>
    <s v="Closed Lost"/>
    <n v="2"/>
    <n v="86240"/>
    <s v="Net 30"/>
    <s v="Annual in Advance"/>
    <b v="0"/>
    <b v="0"/>
    <n v="5.2"/>
    <b v="0"/>
    <n v="1136"/>
    <b v="0"/>
    <x v="0"/>
    <n v="0"/>
    <s v="Not Required"/>
  </r>
  <r>
    <s v="OPP0264"/>
    <s v="ACC0161"/>
    <s v="Closed Lost"/>
    <n v="8.6999999999999993"/>
    <n v="32868"/>
    <s v="Net 30"/>
    <s v="Annual in Advance"/>
    <b v="0"/>
    <b v="0"/>
    <n v="2"/>
    <b v="0"/>
    <n v="61"/>
    <b v="0"/>
    <x v="0"/>
    <n v="0"/>
    <s v="Not Required"/>
  </r>
  <r>
    <s v="OPP0265"/>
    <s v="ACC0235"/>
    <s v="Closed Lost"/>
    <n v="9.6999999999999993"/>
    <n v="10836"/>
    <s v="Net 30"/>
    <s v="Quarterly"/>
    <b v="0"/>
    <b v="0"/>
    <n v="0.3"/>
    <b v="1"/>
    <n v="89"/>
    <b v="1"/>
    <x v="1"/>
    <n v="0"/>
    <s v="Missing Approval Evidence"/>
  </r>
  <r>
    <s v="OPP0266"/>
    <s v="ACC0043"/>
    <s v="Proposal"/>
    <n v="8.5"/>
    <n v="14640"/>
    <s v="Net 30"/>
    <s v="Annual in Advance"/>
    <b v="0"/>
    <b v="0"/>
    <n v="16.2"/>
    <b v="0"/>
    <n v="128"/>
    <b v="0"/>
    <x v="0"/>
    <n v="0"/>
    <s v="Open"/>
  </r>
  <r>
    <s v="OPP0267"/>
    <s v="ACC0254"/>
    <s v="Closed Won"/>
    <n v="5.7"/>
    <n v="7544"/>
    <s v="Net 30"/>
    <s v="Annual in Advance"/>
    <b v="0"/>
    <b v="0"/>
    <n v="0"/>
    <b v="0"/>
    <n v="2169"/>
    <b v="0"/>
    <x v="0"/>
    <n v="0"/>
    <s v="Not Required"/>
  </r>
  <r>
    <s v="OPP0268"/>
    <s v="ACC0045"/>
    <s v="Closed Lost"/>
    <n v="27.9"/>
    <n v="14420"/>
    <s v="Net 30"/>
    <s v="Annual in Advance"/>
    <b v="0"/>
    <b v="0"/>
    <n v="1.1000000000000001"/>
    <b v="1"/>
    <n v="5"/>
    <b v="1"/>
    <x v="1"/>
    <n v="3"/>
    <s v="Approval Evidence Present"/>
  </r>
  <r>
    <s v="OPP0269"/>
    <s v="ACC0114"/>
    <s v="Closed Won"/>
    <n v="12.9"/>
    <n v="17420"/>
    <s v="Net 30"/>
    <s v="Annual in Advance"/>
    <b v="0"/>
    <b v="0"/>
    <n v="11.1"/>
    <b v="1"/>
    <n v="135"/>
    <b v="1"/>
    <x v="1"/>
    <n v="0"/>
    <s v="Missing Approval Evidence"/>
  </r>
  <r>
    <s v="OPP0270"/>
    <s v="ACC0282"/>
    <s v="Commit"/>
    <n v="8.3000000000000007"/>
    <n v="78862"/>
    <s v="Net 30"/>
    <s v="Annual in Advance"/>
    <b v="0"/>
    <b v="0"/>
    <n v="7.6"/>
    <b v="0"/>
    <n v="2011"/>
    <b v="0"/>
    <x v="0"/>
    <n v="0"/>
    <s v="Open"/>
  </r>
  <r>
    <s v="OPP0271"/>
    <s v="ACC0229"/>
    <s v="Discovery"/>
    <n v="4.7"/>
    <n v="15248"/>
    <s v="Net 30"/>
    <s v="Annual in Advance"/>
    <b v="0"/>
    <b v="0"/>
    <n v="3.9"/>
    <b v="0"/>
    <n v="174"/>
    <b v="0"/>
    <x v="0"/>
    <n v="0"/>
    <s v="Open"/>
  </r>
  <r>
    <s v="OPP0272"/>
    <s v="ACC0123"/>
    <s v="Solution Evaluation"/>
    <n v="14.1"/>
    <n v="25770"/>
    <s v="Net 30"/>
    <s v="Annual in Advance"/>
    <b v="0"/>
    <b v="0"/>
    <n v="26.6"/>
    <b v="1"/>
    <n v="662"/>
    <b v="1"/>
    <x v="1"/>
    <n v="1"/>
    <s v="Open"/>
  </r>
  <r>
    <s v="OPP0273"/>
    <s v="ACC0190"/>
    <s v="Qualification"/>
    <n v="22.1"/>
    <n v="29602"/>
    <s v="Net 30"/>
    <s v="Annual in Advance"/>
    <b v="0"/>
    <b v="0"/>
    <n v="3.5"/>
    <b v="1"/>
    <n v="693"/>
    <b v="1"/>
    <x v="1"/>
    <n v="1"/>
    <s v="Open"/>
  </r>
  <r>
    <s v="OPP0274"/>
    <s v="ACC0146"/>
    <s v="Closed Lost"/>
    <n v="3"/>
    <n v="58200"/>
    <s v="Net 30"/>
    <s v="Annual in Advance"/>
    <b v="0"/>
    <b v="0"/>
    <n v="10.199999999999999"/>
    <b v="0"/>
    <n v="744"/>
    <b v="0"/>
    <x v="0"/>
    <n v="0"/>
    <s v="Not Required"/>
  </r>
  <r>
    <s v="OPP0275"/>
    <s v="ACC0111"/>
    <s v="Closed Lost"/>
    <n v="17.5"/>
    <n v="49500"/>
    <s v="Net 30"/>
    <s v="Annual in Advance"/>
    <b v="0"/>
    <b v="0"/>
    <n v="3.4"/>
    <b v="0"/>
    <n v="553"/>
    <b v="1"/>
    <x v="2"/>
    <n v="0"/>
    <s v="Missing Approval Evidence"/>
  </r>
  <r>
    <s v="OPP0276"/>
    <s v="ACC0001"/>
    <s v="Closed Lost"/>
    <n v="26.3"/>
    <n v="58960"/>
    <s v="Net 30"/>
    <s v="Annual in Advance"/>
    <b v="0"/>
    <b v="0"/>
    <n v="2.1"/>
    <b v="1"/>
    <s v=""/>
    <b v="1"/>
    <x v="1"/>
    <n v="1"/>
    <s v="Approval Evidence Present"/>
  </r>
  <r>
    <s v="OPP0277"/>
    <s v="ACC0325"/>
    <s v="Closed Lost"/>
    <n v="2.2999999999999998"/>
    <n v="41034"/>
    <s v="Net 30"/>
    <s v="Annual in Advance"/>
    <b v="0"/>
    <b v="0"/>
    <n v="8.9"/>
    <b v="0"/>
    <n v="39"/>
    <b v="0"/>
    <x v="0"/>
    <n v="0"/>
    <s v="Not Required"/>
  </r>
  <r>
    <s v="OPP0278"/>
    <s v="ACC0060"/>
    <s v="Closed Won"/>
    <n v="3"/>
    <n v="19400"/>
    <s v="Net 30"/>
    <s v="Annual in Advance"/>
    <b v="0"/>
    <b v="0"/>
    <n v="8.1"/>
    <b v="0"/>
    <n v="462"/>
    <b v="0"/>
    <x v="0"/>
    <n v="0"/>
    <s v="Not Required"/>
  </r>
  <r>
    <s v="OPP0279"/>
    <s v="ACC0016"/>
    <s v="Solution Evaluation"/>
    <n v="23.1"/>
    <n v="23070"/>
    <s v="Net 30"/>
    <s v="Quarterly"/>
    <b v="0"/>
    <b v="0"/>
    <n v="1.4"/>
    <b v="1"/>
    <n v="140"/>
    <b v="1"/>
    <x v="1"/>
    <n v="2"/>
    <s v="Open"/>
  </r>
  <r>
    <s v="OPP0280"/>
    <s v="ACC0039"/>
    <s v="Closed Lost"/>
    <n v="23.6"/>
    <n v="24448"/>
    <s v="Net 30"/>
    <s v="Annual in Advance"/>
    <b v="0"/>
    <b v="0"/>
    <n v="3.6"/>
    <b v="1"/>
    <n v="41"/>
    <b v="1"/>
    <x v="1"/>
    <n v="1"/>
    <s v="Approval Evidence Present"/>
  </r>
  <r>
    <s v="OPP0281"/>
    <s v="ACC0175"/>
    <s v="Closed Won"/>
    <n v="5.0999999999999996"/>
    <n v="11388"/>
    <s v="Net 30"/>
    <s v="Annual in Advance"/>
    <b v="0"/>
    <b v="0"/>
    <n v="28.9"/>
    <b v="1"/>
    <n v="164"/>
    <b v="1"/>
    <x v="1"/>
    <n v="0"/>
    <s v="Missing Approval Evidence"/>
  </r>
  <r>
    <s v="OPP0282"/>
    <s v="ACC0178"/>
    <s v="Closed Won"/>
    <n v="9.9"/>
    <n v="27030"/>
    <s v="Net 30"/>
    <s v="Annual in Advance"/>
    <b v="0"/>
    <b v="0"/>
    <n v="0.9"/>
    <b v="0"/>
    <n v="65"/>
    <b v="0"/>
    <x v="0"/>
    <n v="0"/>
    <s v="Not Required"/>
  </r>
  <r>
    <s v="OPP0283"/>
    <s v="ACC0027"/>
    <s v="Negotiation / Legal"/>
    <n v="3.5"/>
    <n v="44390"/>
    <s v="Net 30"/>
    <s v="Annual in Advance"/>
    <b v="0"/>
    <b v="0"/>
    <n v="16.600000000000001"/>
    <b v="0"/>
    <n v="483"/>
    <b v="0"/>
    <x v="0"/>
    <n v="0"/>
    <s v="Open"/>
  </r>
  <r>
    <s v="OPP0284"/>
    <s v="ACC0256"/>
    <s v="Closed Won"/>
    <n v="9.6999999999999993"/>
    <n v="28896"/>
    <s v="Net 30"/>
    <s v="Annual in Advance"/>
    <b v="0"/>
    <b v="1"/>
    <n v="15.6"/>
    <b v="1"/>
    <n v="55"/>
    <b v="1"/>
    <x v="1"/>
    <n v="0"/>
    <s v="Missing Approval Evidence"/>
  </r>
  <r>
    <s v="OPP0285"/>
    <s v="ACC0147"/>
    <s v="Closed Lost"/>
    <n v="2.6"/>
    <n v="23376"/>
    <s v="Net 30"/>
    <s v="Annual in Advance"/>
    <b v="0"/>
    <b v="0"/>
    <n v="4.8"/>
    <b v="0"/>
    <n v="82"/>
    <b v="0"/>
    <x v="0"/>
    <n v="0"/>
    <s v="Not Required"/>
  </r>
  <r>
    <s v="OPP0286"/>
    <s v="ACC0226"/>
    <s v="Closed Won"/>
    <n v="16.7"/>
    <n v="16660"/>
    <s v="Net 30"/>
    <s v="Annual in Advance"/>
    <b v="0"/>
    <b v="0"/>
    <n v="11.8"/>
    <b v="1"/>
    <n v="122"/>
    <b v="1"/>
    <x v="1"/>
    <n v="0"/>
    <s v="Missing Approval Evidence"/>
  </r>
  <r>
    <s v="OPP0287"/>
    <s v="ACC0284"/>
    <s v="Closed Won"/>
    <n v="8.9"/>
    <n v="51016"/>
    <s v="Net 30"/>
    <s v="Annual in Advance"/>
    <b v="0"/>
    <b v="0"/>
    <n v="5.3"/>
    <b v="0"/>
    <n v="542"/>
    <b v="0"/>
    <x v="0"/>
    <n v="0"/>
    <s v="Not Required"/>
  </r>
  <r>
    <s v="OPP0288"/>
    <s v="ACC0046"/>
    <s v="Closed Lost"/>
    <n v="8.5"/>
    <n v="21960"/>
    <s v="Net 30"/>
    <s v="Monthly"/>
    <b v="0"/>
    <b v="0"/>
    <n v="19.100000000000001"/>
    <b v="1"/>
    <n v="64"/>
    <b v="1"/>
    <x v="1"/>
    <n v="0"/>
    <s v="Missing Approval Evidence"/>
  </r>
  <r>
    <s v="OPP0289"/>
    <s v="ACC0207"/>
    <s v="Closed Won"/>
    <n v="8.5"/>
    <n v="43920"/>
    <s v="Net 30"/>
    <s v="Annual in Advance"/>
    <b v="0"/>
    <b v="0"/>
    <n v="29.4"/>
    <b v="1"/>
    <n v="476"/>
    <b v="1"/>
    <x v="1"/>
    <n v="0"/>
    <s v="Missing Approval Evidence"/>
  </r>
  <r>
    <s v="OPP0290"/>
    <s v="ACC0086"/>
    <s v="Discovery"/>
    <n v="8.3000000000000007"/>
    <n v="36680"/>
    <s v="Net 30"/>
    <s v="Annual in Advance"/>
    <b v="0"/>
    <b v="0"/>
    <n v="6.5"/>
    <b v="0"/>
    <n v="402"/>
    <b v="0"/>
    <x v="0"/>
    <n v="0"/>
    <s v="Open"/>
  </r>
  <r>
    <s v="OPP0291"/>
    <s v="ACC0075"/>
    <s v="Closed Won"/>
    <n v="4.7"/>
    <n v="40026"/>
    <s v="Net 45"/>
    <s v="Annual in Advance"/>
    <b v="0"/>
    <b v="0"/>
    <n v="15.5"/>
    <b v="1"/>
    <n v="73"/>
    <b v="1"/>
    <x v="1"/>
    <n v="1"/>
    <s v="Approval Evidence Present"/>
  </r>
  <r>
    <s v="OPP0292"/>
    <s v="ACC0258"/>
    <s v="Closed Won"/>
    <n v="3.3"/>
    <n v="34812"/>
    <s v="Net 30"/>
    <s v="Annual in Advance"/>
    <b v="0"/>
    <b v="0"/>
    <n v="7"/>
    <b v="0"/>
    <n v="711"/>
    <b v="0"/>
    <x v="0"/>
    <n v="0"/>
    <s v="Not Required"/>
  </r>
  <r>
    <s v="OPP0293"/>
    <s v="ACC0254"/>
    <s v="Closed Lost"/>
    <n v="7"/>
    <n v="74400"/>
    <s v="Net 30"/>
    <s v="Annual in Advance"/>
    <b v="0"/>
    <b v="0"/>
    <n v="5.8"/>
    <b v="0"/>
    <n v="2169"/>
    <b v="0"/>
    <x v="0"/>
    <n v="0"/>
    <s v="Not Required"/>
  </r>
  <r>
    <s v="OPP0294"/>
    <s v="ACC0182"/>
    <s v="Closed Lost"/>
    <n v="2.4"/>
    <n v="85888"/>
    <s v="Net 30"/>
    <s v="Annual in Advance"/>
    <b v="0"/>
    <b v="0"/>
    <n v="28.7"/>
    <b v="1"/>
    <n v="1224"/>
    <b v="1"/>
    <x v="1"/>
    <n v="0"/>
    <s v="Missing Approval Evidence"/>
  </r>
  <r>
    <s v="OPP0295"/>
    <s v="ACC0176"/>
    <s v="Closed Won"/>
    <n v="14.5"/>
    <n v="18810"/>
    <s v="Net 60"/>
    <s v="Annual in Advance"/>
    <b v="0"/>
    <b v="0"/>
    <n v="0.3"/>
    <b v="1"/>
    <n v="131"/>
    <b v="1"/>
    <x v="1"/>
    <n v="2"/>
    <s v="Approval Evidence Present"/>
  </r>
  <r>
    <s v="OPP0296"/>
    <s v="ACC0198"/>
    <s v="Closed Lost"/>
    <n v="3.1"/>
    <n v="25194"/>
    <s v="Net 30"/>
    <s v="Annual in Advance"/>
    <b v="0"/>
    <b v="0"/>
    <n v="1.5"/>
    <b v="0"/>
    <n v="80"/>
    <b v="0"/>
    <x v="0"/>
    <n v="0"/>
    <s v="Not Required"/>
  </r>
  <r>
    <s v="OPP0297"/>
    <s v="ACC0098"/>
    <s v="Closed Lost"/>
    <n v="14.9"/>
    <n v="73186"/>
    <s v="Net 45"/>
    <s v="Annual in Advance"/>
    <b v="0"/>
    <b v="0"/>
    <n v="1.8"/>
    <b v="1"/>
    <n v="2073"/>
    <b v="1"/>
    <x v="1"/>
    <n v="0"/>
    <s v="Missing Approval Evidence"/>
  </r>
  <r>
    <s v="OPP0298"/>
    <s v="ACC0136"/>
    <s v="Closed Won"/>
    <n v="10"/>
    <n v="63000"/>
    <s v="Net 30"/>
    <s v="Monthly"/>
    <b v="0"/>
    <b v="0"/>
    <n v="25.5"/>
    <b v="1"/>
    <n v="842"/>
    <b v="1"/>
    <x v="1"/>
    <n v="1"/>
    <s v="Approval Evidence Present"/>
  </r>
  <r>
    <s v="OPP0299"/>
    <s v="ACC0320"/>
    <s v="Solution Evaluation"/>
    <n v="32.4"/>
    <n v="33800"/>
    <s v="Net 30"/>
    <s v="Annual in Advance"/>
    <b v="0"/>
    <b v="0"/>
    <n v="9.8000000000000007"/>
    <b v="1"/>
    <n v="138"/>
    <b v="1"/>
    <x v="1"/>
    <n v="1"/>
    <s v="Open"/>
  </r>
  <r>
    <s v="OPP0300"/>
    <s v="ACC0282"/>
    <s v="Closed Lost"/>
    <n v="4.2"/>
    <n v="76640"/>
    <s v="Net 30"/>
    <s v="Annual in Advance"/>
    <b v="0"/>
    <b v="0"/>
    <n v="8.6"/>
    <b v="0"/>
    <n v="2011"/>
    <b v="0"/>
    <x v="0"/>
    <n v="0"/>
    <s v="Not Required"/>
  </r>
  <r>
    <s v="OPP0301"/>
    <s v="ACC0266"/>
    <s v="Closed Won"/>
    <n v="22"/>
    <n v="71760"/>
    <s v="Net 30"/>
    <s v="Annual in Advance"/>
    <b v="0"/>
    <b v="0"/>
    <n v="9.3000000000000007"/>
    <b v="1"/>
    <n v="1448"/>
    <b v="1"/>
    <x v="1"/>
    <n v="0"/>
    <s v="Missing Approval Evidence"/>
  </r>
  <r>
    <s v="OPP0302"/>
    <s v="ACC0276"/>
    <s v="Qualification"/>
    <n v="2"/>
    <n v="56840"/>
    <s v="Net 30"/>
    <s v="Annual in Advance"/>
    <b v="0"/>
    <b v="0"/>
    <n v="8.6999999999999993"/>
    <b v="0"/>
    <n v="713"/>
    <b v="0"/>
    <x v="0"/>
    <n v="0"/>
    <s v="Open"/>
  </r>
  <r>
    <s v="OPP0303"/>
    <s v="ACC0203"/>
    <s v="Closed Won"/>
    <n v="7.7"/>
    <n v="27690"/>
    <s v="Net 30"/>
    <s v="Monthly"/>
    <b v="0"/>
    <b v="0"/>
    <n v="11.1"/>
    <b v="1"/>
    <n v="1296"/>
    <b v="1"/>
    <x v="1"/>
    <n v="0"/>
    <s v="Missing Approval Evidence"/>
  </r>
  <r>
    <s v="OPP0304"/>
    <s v="ACC0322"/>
    <s v="Closed Won"/>
    <n v="6.7"/>
    <n v="76506"/>
    <s v="Net 30"/>
    <s v="Annual in Advance"/>
    <b v="0"/>
    <b v="0"/>
    <n v="14.1"/>
    <b v="0"/>
    <n v="1510"/>
    <b v="0"/>
    <x v="0"/>
    <n v="0"/>
    <s v="Not Required"/>
  </r>
  <r>
    <s v="OPP0305"/>
    <s v="ACC0071"/>
    <s v="Closed Won"/>
    <n v="1.9"/>
    <n v="49050"/>
    <s v="Net 30"/>
    <s v="Annual in Advance"/>
    <b v="0"/>
    <b v="0"/>
    <n v="4.5"/>
    <b v="0"/>
    <n v="864"/>
    <b v="0"/>
    <x v="0"/>
    <n v="0"/>
    <s v="Not Required"/>
  </r>
  <r>
    <s v="OPP0306"/>
    <s v="ACC0173"/>
    <s v="Proposal"/>
    <n v="8.8000000000000007"/>
    <n v="18240"/>
    <s v="Net 30"/>
    <s v="Annual in Advance"/>
    <b v="0"/>
    <b v="0"/>
    <n v="0"/>
    <b v="0"/>
    <n v="113"/>
    <b v="0"/>
    <x v="0"/>
    <n v="0"/>
    <s v="Open"/>
  </r>
  <r>
    <s v="OPP0307"/>
    <s v="ACC0084"/>
    <s v="Closed Won"/>
    <n v="15.1"/>
    <n v="35658"/>
    <s v="Net 30"/>
    <s v="Annual in Advance"/>
    <b v="0"/>
    <b v="0"/>
    <n v="6.4"/>
    <b v="1"/>
    <n v="663"/>
    <b v="1"/>
    <x v="1"/>
    <n v="0"/>
    <s v="Missing Approval Evidence"/>
  </r>
  <r>
    <s v="OPP0308"/>
    <s v="ACC0208"/>
    <s v="Closed Won"/>
    <n v="21.5"/>
    <n v="14130"/>
    <s v="Net 30"/>
    <s v="Annual in Advance"/>
    <b v="0"/>
    <b v="0"/>
    <n v="0"/>
    <b v="1"/>
    <n v="83"/>
    <b v="1"/>
    <x v="1"/>
    <n v="1"/>
    <s v="Approval Evidence Present"/>
  </r>
  <r>
    <s v="OPP0309"/>
    <s v="ACC0072"/>
    <s v="Solution Evaluation"/>
    <n v="6.1"/>
    <n v="28170"/>
    <s v="Net 60"/>
    <s v="Other"/>
    <b v="0"/>
    <b v="0"/>
    <n v="4.4000000000000004"/>
    <b v="0"/>
    <n v="288"/>
    <b v="1"/>
    <x v="2"/>
    <n v="1"/>
    <s v="Open"/>
  </r>
  <r>
    <s v="OPP0310"/>
    <s v="ACC0232"/>
    <s v="Closed Lost"/>
    <n v="8.1"/>
    <n v="31246"/>
    <s v="Net 30"/>
    <s v="Annual in Advance"/>
    <b v="0"/>
    <b v="0"/>
    <n v="22.7"/>
    <b v="1"/>
    <n v="421"/>
    <b v="1"/>
    <x v="1"/>
    <n v="0"/>
    <s v="Missing Approval Evidence"/>
  </r>
  <r>
    <s v="OPP0311"/>
    <s v="ACC0026"/>
    <s v="Closed Lost"/>
    <n v="5.6"/>
    <n v="22656"/>
    <s v="Net 30"/>
    <s v="Annual in Advance"/>
    <b v="1"/>
    <b v="0"/>
    <n v="1.2"/>
    <b v="1"/>
    <n v="158"/>
    <b v="1"/>
    <x v="1"/>
    <n v="1"/>
    <s v="Approval Evidence Present"/>
  </r>
  <r>
    <s v="OPP0312"/>
    <s v="ACC0152"/>
    <s v="Closed Lost"/>
    <n v="14"/>
    <n v="56760"/>
    <s v="Net 30"/>
    <s v="Annual in Advance"/>
    <b v="0"/>
    <b v="0"/>
    <n v="17.600000000000001"/>
    <b v="1"/>
    <n v="1073"/>
    <b v="1"/>
    <x v="1"/>
    <n v="1"/>
    <s v="Approval Evidence Present"/>
  </r>
  <r>
    <s v="OPP0313"/>
    <s v="ACC0049"/>
    <s v="Closed Lost"/>
    <n v="7.3"/>
    <n v="27810"/>
    <s v="Net 30"/>
    <s v="Annual in Advance"/>
    <b v="0"/>
    <b v="0"/>
    <n v="2.7"/>
    <b v="0"/>
    <n v="79"/>
    <b v="0"/>
    <x v="0"/>
    <n v="0"/>
    <s v="Not Required"/>
  </r>
  <r>
    <s v="OPP0314"/>
    <s v="ACC0216"/>
    <s v="Closed Lost"/>
    <n v="4.0999999999999996"/>
    <n v="63294"/>
    <s v="Net 30"/>
    <s v="Annual in Advance"/>
    <b v="0"/>
    <b v="0"/>
    <n v="9.6"/>
    <b v="0"/>
    <n v="370"/>
    <b v="0"/>
    <x v="0"/>
    <n v="0"/>
    <s v="Not Required"/>
  </r>
  <r>
    <s v="OPP0315"/>
    <s v="ACC0210"/>
    <s v="Commit"/>
    <n v="5.3"/>
    <n v="81442"/>
    <s v="Net 60"/>
    <s v="Annual in Advance"/>
    <b v="0"/>
    <b v="0"/>
    <n v="7.4"/>
    <b v="1"/>
    <n v="3773"/>
    <b v="1"/>
    <x v="1"/>
    <n v="1"/>
    <s v="Open"/>
  </r>
  <r>
    <s v="OPP0316"/>
    <s v="ACC0313"/>
    <s v="Closed Won"/>
    <n v="0.3"/>
    <n v="37886"/>
    <s v="Net 30"/>
    <s v="Annual in Advance"/>
    <b v="0"/>
    <b v="0"/>
    <n v="9.3000000000000007"/>
    <b v="0"/>
    <n v="590"/>
    <b v="0"/>
    <x v="0"/>
    <n v="0"/>
    <s v="Not Required"/>
  </r>
  <r>
    <s v="OPP0317"/>
    <s v="ACC0297"/>
    <s v="Closed Won"/>
    <n v="4.2"/>
    <n v="22992"/>
    <s v="Net 30"/>
    <s v="Annual in Advance"/>
    <b v="0"/>
    <b v="0"/>
    <n v="0"/>
    <b v="0"/>
    <n v="93"/>
    <b v="0"/>
    <x v="0"/>
    <n v="0"/>
    <s v="Not Required"/>
  </r>
  <r>
    <s v="OPP0318"/>
    <s v="ACC0139"/>
    <s v="Closed Won"/>
    <n v="3"/>
    <n v="54320"/>
    <s v="Net 30"/>
    <s v="Annual in Advance"/>
    <b v="0"/>
    <b v="0"/>
    <n v="6.5"/>
    <b v="0"/>
    <n v="731"/>
    <b v="0"/>
    <x v="0"/>
    <n v="0"/>
    <s v="Not Required"/>
  </r>
  <r>
    <s v="OPP0319"/>
    <s v="ACC0178"/>
    <s v="Proposal"/>
    <n v="14.6"/>
    <n v="20496"/>
    <s v="Net 30"/>
    <s v="Annual in Advance"/>
    <b v="0"/>
    <b v="0"/>
    <n v="6.8"/>
    <b v="1"/>
    <n v="65"/>
    <b v="1"/>
    <x v="1"/>
    <n v="0"/>
    <s v="Open"/>
  </r>
  <r>
    <s v="OPP0320"/>
    <s v="ACC0199"/>
    <s v="Closed Lost"/>
    <n v="6.9"/>
    <n v="24206"/>
    <s v="Net 30"/>
    <s v="Annual in Advance"/>
    <b v="0"/>
    <b v="0"/>
    <n v="9.3000000000000007"/>
    <b v="0"/>
    <n v="83"/>
    <b v="0"/>
    <x v="0"/>
    <n v="0"/>
    <s v="Not Required"/>
  </r>
  <r>
    <s v="OPP0321"/>
    <s v="ACC0142"/>
    <s v="Solution Evaluation"/>
    <n v="6.6"/>
    <n v="69116"/>
    <s v="Net 30"/>
    <s v="Annual in Advance"/>
    <b v="0"/>
    <b v="0"/>
    <n v="19.899999999999999"/>
    <b v="0"/>
    <n v="349"/>
    <b v="0"/>
    <x v="0"/>
    <n v="0"/>
    <s v="Open"/>
  </r>
  <r>
    <s v="OPP0322"/>
    <s v="ACC0072"/>
    <s v="Closed Won"/>
    <n v="8"/>
    <n v="31280"/>
    <s v="Net 30"/>
    <s v="Annual in Advance"/>
    <b v="0"/>
    <b v="0"/>
    <n v="19.2"/>
    <b v="0"/>
    <n v="288"/>
    <b v="0"/>
    <x v="0"/>
    <n v="0"/>
    <s v="Not Required"/>
  </r>
  <r>
    <s v="OPP0323"/>
    <s v="ACC0078"/>
    <s v="Solution Evaluation"/>
    <n v="31"/>
    <n v="28980"/>
    <s v="Net 30"/>
    <s v="Annual in Advance"/>
    <b v="0"/>
    <b v="0"/>
    <n v="4.0999999999999996"/>
    <b v="1"/>
    <n v="586"/>
    <b v="1"/>
    <x v="1"/>
    <n v="0"/>
    <s v="Open"/>
  </r>
  <r>
    <s v="OPP0324"/>
    <s v="ACC0217"/>
    <s v="Solution Evaluation"/>
    <n v="4.8"/>
    <n v="68544"/>
    <s v="Net 30"/>
    <s v="Annual in Advance"/>
    <b v="0"/>
    <b v="1"/>
    <n v="3.9"/>
    <b v="1"/>
    <n v="1329"/>
    <b v="1"/>
    <x v="1"/>
    <n v="0"/>
    <s v="Open"/>
  </r>
  <r>
    <s v="OPP0325"/>
    <s v="ACC0310"/>
    <s v="Discovery"/>
    <n v="8.6999999999999993"/>
    <n v="18260"/>
    <s v="Net 30"/>
    <s v="Annual in Advance"/>
    <b v="0"/>
    <b v="0"/>
    <n v="9.1999999999999993"/>
    <b v="0"/>
    <n v="74"/>
    <b v="0"/>
    <x v="0"/>
    <n v="0"/>
    <s v="Open"/>
  </r>
  <r>
    <s v="OPP0326"/>
    <s v="ACC0155"/>
    <s v="Solution Evaluation"/>
    <n v="7.5"/>
    <n v="33300"/>
    <s v="Net 30"/>
    <s v="Quarterly"/>
    <b v="0"/>
    <b v="0"/>
    <n v="8.3000000000000007"/>
    <b v="1"/>
    <n v="235"/>
    <b v="1"/>
    <x v="1"/>
    <n v="0"/>
    <s v="Open"/>
  </r>
  <r>
    <s v="OPP0327"/>
    <s v="ACC0266"/>
    <s v="Closed Lost"/>
    <n v="4.9000000000000004"/>
    <n v="76080"/>
    <s v="Other"/>
    <s v="Annual in Advance"/>
    <b v="0"/>
    <b v="1"/>
    <n v="6.7"/>
    <b v="1"/>
    <n v="1448"/>
    <b v="1"/>
    <x v="1"/>
    <n v="0"/>
    <s v="Missing Approval Evidence"/>
  </r>
  <r>
    <s v="OPP0328"/>
    <s v="ACC0283"/>
    <s v="Proposal"/>
    <n v="9.4"/>
    <n v="45300"/>
    <s v="Net 30"/>
    <s v="Annual in Advance"/>
    <b v="0"/>
    <b v="0"/>
    <n v="4.5"/>
    <b v="0"/>
    <n v="34"/>
    <b v="0"/>
    <x v="0"/>
    <n v="0"/>
    <s v="Open"/>
  </r>
  <r>
    <s v="OPP0329"/>
    <s v="ACC0218"/>
    <s v="Closed Lost"/>
    <n v="0.6"/>
    <n v="37772"/>
    <s v="Net 45"/>
    <s v="Annual in Advance"/>
    <b v="0"/>
    <b v="0"/>
    <n v="6"/>
    <b v="0"/>
    <n v="130"/>
    <b v="1"/>
    <x v="2"/>
    <n v="0"/>
    <s v="Missing Approval Evidence"/>
  </r>
  <r>
    <s v="OPP0330"/>
    <s v="ACC0230"/>
    <s v="Discovery"/>
    <n v="9.6"/>
    <n v="83168"/>
    <s v="Net 30"/>
    <s v="Annual in Advance"/>
    <b v="1"/>
    <b v="0"/>
    <n v="14.5"/>
    <b v="1"/>
    <n v="1853"/>
    <b v="1"/>
    <x v="1"/>
    <n v="0"/>
    <s v="Open"/>
  </r>
  <r>
    <s v="OPP0331"/>
    <s v="ACC0115"/>
    <s v="Closed Won"/>
    <n v="5.9"/>
    <n v="11292"/>
    <s v="Net 30"/>
    <s v="Annual in Advance"/>
    <b v="0"/>
    <b v="0"/>
    <n v="0"/>
    <b v="0"/>
    <n v="1879"/>
    <b v="0"/>
    <x v="0"/>
    <n v="0"/>
    <s v="Not Required"/>
  </r>
  <r>
    <s v="OPP0332"/>
    <s v="ACC0134"/>
    <s v="Qualification"/>
    <n v="4.2"/>
    <n v="19160"/>
    <s v="Net 30"/>
    <s v="Annual in Advance"/>
    <b v="0"/>
    <b v="0"/>
    <n v="2"/>
    <b v="0"/>
    <n v="56"/>
    <b v="0"/>
    <x v="0"/>
    <n v="0"/>
    <s v="Open"/>
  </r>
  <r>
    <s v="OPP0333"/>
    <s v="ACC0207"/>
    <s v="Closed Lost"/>
    <n v="0.5"/>
    <n v="45770"/>
    <s v="Net 30"/>
    <s v="Annual in Advance"/>
    <b v="0"/>
    <b v="0"/>
    <n v="3.6"/>
    <b v="0"/>
    <n v="476"/>
    <b v="0"/>
    <x v="0"/>
    <n v="0"/>
    <s v="Not Required"/>
  </r>
  <r>
    <s v="OPP0334"/>
    <s v="ACC0292"/>
    <s v="Qualification"/>
    <n v="6.4"/>
    <n v="37440"/>
    <s v="Net 30"/>
    <s v="Annual in Advance"/>
    <b v="0"/>
    <b v="0"/>
    <n v="8.6999999999999993"/>
    <b v="0"/>
    <n v="701"/>
    <b v="0"/>
    <x v="0"/>
    <n v="0"/>
    <s v="Open"/>
  </r>
  <r>
    <s v="OPP0335"/>
    <s v="ACC0324"/>
    <s v="Negotiation / Legal"/>
    <n v="5.5"/>
    <n v="56700"/>
    <s v="Net 30"/>
    <s v="Annual in Advance"/>
    <b v="1"/>
    <b v="0"/>
    <n v="22.8"/>
    <b v="1"/>
    <n v="1614"/>
    <b v="1"/>
    <x v="1"/>
    <n v="1"/>
    <s v="Open"/>
  </r>
  <r>
    <s v="OPP0336"/>
    <s v="ACC0102"/>
    <s v="Closed Lost"/>
    <n v="20.5"/>
    <n v="46110"/>
    <s v="Net 30"/>
    <s v="Annual in Advance"/>
    <b v="0"/>
    <b v="0"/>
    <n v="5.0999999999999996"/>
    <b v="1"/>
    <n v="2097"/>
    <b v="1"/>
    <x v="1"/>
    <n v="0"/>
    <s v="Missing Approval Evidence"/>
  </r>
  <r>
    <s v="OPP0337"/>
    <s v="ACC0063"/>
    <s v="Closed Won"/>
    <n v="14.7"/>
    <n v="25590"/>
    <s v="Net 30"/>
    <s v="Annual in Advance"/>
    <b v="0"/>
    <b v="0"/>
    <n v="5.5"/>
    <b v="1"/>
    <n v="502"/>
    <b v="1"/>
    <x v="1"/>
    <n v="0"/>
    <s v="Missing Approval Evidence"/>
  </r>
  <r>
    <s v="OPP0338"/>
    <s v="ACC0208"/>
    <s v="Closed Lost"/>
    <n v="10.199999999999999"/>
    <n v="23348"/>
    <s v="Net 30"/>
    <s v="Annual in Advance"/>
    <b v="0"/>
    <b v="0"/>
    <n v="0.5"/>
    <b v="1"/>
    <n v="83"/>
    <b v="1"/>
    <x v="1"/>
    <n v="0"/>
    <s v="Missing Approval Evidence"/>
  </r>
  <r>
    <s v="OPP0339"/>
    <s v="ACC0173"/>
    <s v="Closed Won"/>
    <n v="2.9"/>
    <n v="11652"/>
    <s v="Net 30"/>
    <s v="Annual in Advance"/>
    <b v="0"/>
    <b v="0"/>
    <n v="0"/>
    <b v="0"/>
    <n v="113"/>
    <b v="0"/>
    <x v="0"/>
    <n v="0"/>
    <s v="Not Required"/>
  </r>
  <r>
    <s v="OPP0340"/>
    <s v="ACC0159"/>
    <s v="Proposal"/>
    <n v="15.1"/>
    <n v="22074"/>
    <s v="Net 30"/>
    <s v="Annual in Advance"/>
    <b v="0"/>
    <b v="0"/>
    <n v="6.6"/>
    <b v="1"/>
    <n v="127"/>
    <b v="1"/>
    <x v="1"/>
    <n v="1"/>
    <s v="Open"/>
  </r>
  <r>
    <s v="OPP0341"/>
    <s v="ACC0055"/>
    <s v="Discovery"/>
    <n v="7.7"/>
    <n v="60918"/>
    <s v="Net 30"/>
    <s v="Annual in Advance"/>
    <b v="0"/>
    <b v="0"/>
    <n v="2.4"/>
    <b v="0"/>
    <n v="657"/>
    <b v="0"/>
    <x v="0"/>
    <n v="0"/>
    <s v="Open"/>
  </r>
  <r>
    <s v="OPP0342"/>
    <s v="ACC0091"/>
    <s v="Closed Lost"/>
    <n v="18.3"/>
    <n v="13072"/>
    <s v="Net 30"/>
    <s v="Annual in Advance"/>
    <b v="0"/>
    <b v="0"/>
    <n v="7.7"/>
    <b v="1"/>
    <n v="165"/>
    <b v="1"/>
    <x v="1"/>
    <n v="0"/>
    <s v="Missing Approval Evidence"/>
  </r>
  <r>
    <s v="OPP0343"/>
    <s v="ACC0171"/>
    <s v="Closed Won"/>
    <n v="7.4"/>
    <n v="62968"/>
    <s v="Net 30"/>
    <s v="Annual in Advance"/>
    <b v="0"/>
    <b v="0"/>
    <n v="10.4"/>
    <b v="0"/>
    <n v="365"/>
    <b v="0"/>
    <x v="0"/>
    <n v="0"/>
    <s v="Not Required"/>
  </r>
  <r>
    <s v="OPP0344"/>
    <s v="ACC0065"/>
    <s v="Commit"/>
    <n v="5.2"/>
    <n v="28440"/>
    <s v="Net 30"/>
    <s v="Annual in Advance"/>
    <b v="0"/>
    <b v="0"/>
    <n v="2.2999999999999998"/>
    <b v="0"/>
    <n v="154"/>
    <b v="0"/>
    <x v="0"/>
    <n v="0"/>
    <s v="Open"/>
  </r>
  <r>
    <s v="OPP0345"/>
    <s v="ACC0113"/>
    <s v="Closed Won"/>
    <n v="35.5"/>
    <n v="18060"/>
    <s v="Net 30"/>
    <s v="Annual in Advance"/>
    <b v="0"/>
    <b v="0"/>
    <n v="0"/>
    <b v="1"/>
    <n v="1806"/>
    <b v="1"/>
    <x v="1"/>
    <n v="0"/>
    <s v="Missing Approval Evidence"/>
  </r>
  <r>
    <s v="OPP0346"/>
    <s v="ACC0086"/>
    <s v="Commit"/>
    <n v="3.8"/>
    <n v="40404"/>
    <s v="Net 45"/>
    <s v="Annual in Advance"/>
    <b v="0"/>
    <b v="0"/>
    <n v="2"/>
    <b v="1"/>
    <n v="402"/>
    <b v="1"/>
    <x v="1"/>
    <n v="0"/>
    <s v="Open"/>
  </r>
  <r>
    <s v="OPP0347"/>
    <s v="ACC0145"/>
    <s v="Closed Won"/>
    <n v="0.5"/>
    <n v="29850"/>
    <s v="Net 30"/>
    <s v="Annual in Advance"/>
    <b v="0"/>
    <b v="0"/>
    <n v="0"/>
    <b v="0"/>
    <n v="87"/>
    <b v="0"/>
    <x v="0"/>
    <n v="0"/>
    <s v="Not Required"/>
  </r>
  <r>
    <s v="OPP0348"/>
    <s v="ACC0027"/>
    <s v="Closed Lost"/>
    <n v="2.2000000000000002"/>
    <n v="29340"/>
    <s v="Net 30"/>
    <s v="Annual in Advance"/>
    <b v="0"/>
    <b v="0"/>
    <n v="5.6"/>
    <b v="0"/>
    <n v="483"/>
    <b v="0"/>
    <x v="0"/>
    <n v="0"/>
    <s v="Not Required"/>
  </r>
  <r>
    <s v="OPP0349"/>
    <s v="ACC0122"/>
    <s v="Negotiation / Legal"/>
    <n v="8.8000000000000007"/>
    <n v="80256"/>
    <s v="Net 30"/>
    <s v="Annual in Advance"/>
    <b v="0"/>
    <b v="0"/>
    <n v="26.8"/>
    <b v="1"/>
    <n v="1398"/>
    <b v="1"/>
    <x v="1"/>
    <n v="0"/>
    <s v="Open"/>
  </r>
  <r>
    <s v="OPP0350"/>
    <s v="ACC0127"/>
    <s v="Closed Won"/>
    <n v="31.8"/>
    <n v="12276"/>
    <s v="Net 60"/>
    <s v="Annual in Advance"/>
    <b v="0"/>
    <b v="0"/>
    <n v="0"/>
    <b v="1"/>
    <n v="582"/>
    <b v="1"/>
    <x v="1"/>
    <n v="0"/>
    <s v="Missing Approval Evidence"/>
  </r>
  <r>
    <s v="OPP0351"/>
    <s v="ACC0276"/>
    <s v="Discovery"/>
    <n v="4.8"/>
    <n v="11424"/>
    <s v="Net 30"/>
    <s v="Annual in Advance"/>
    <b v="0"/>
    <b v="0"/>
    <n v="6.6"/>
    <b v="0"/>
    <n v="713"/>
    <b v="0"/>
    <x v="0"/>
    <n v="0"/>
    <s v="Open"/>
  </r>
  <r>
    <s v="OPP0352"/>
    <s v="ACC0029"/>
    <s v="Discovery"/>
    <n v="1.1000000000000001"/>
    <n v="23736"/>
    <s v="Net 30"/>
    <s v="Annual in Advance"/>
    <b v="0"/>
    <b v="0"/>
    <n v="25.5"/>
    <b v="1"/>
    <n v="19"/>
    <b v="1"/>
    <x v="1"/>
    <n v="2"/>
    <s v="Open"/>
  </r>
  <r>
    <s v="OPP0353"/>
    <s v="ACC0014"/>
    <s v="Discovery"/>
    <n v="4.4000000000000004"/>
    <n v="76480"/>
    <s v="Net 30"/>
    <s v="Annual in Advance"/>
    <b v="0"/>
    <b v="0"/>
    <n v="3.7"/>
    <b v="0"/>
    <n v="1774"/>
    <b v="0"/>
    <x v="0"/>
    <n v="0"/>
    <s v="Open"/>
  </r>
  <r>
    <s v="OPP0354"/>
    <s v="ACC0134"/>
    <s v="Closed Lost"/>
    <n v="1.8"/>
    <n v="11784"/>
    <s v="Net 30"/>
    <s v="Annual in Advance"/>
    <b v="0"/>
    <b v="0"/>
    <n v="0.5"/>
    <b v="0"/>
    <n v="56"/>
    <b v="0"/>
    <x v="0"/>
    <n v="0"/>
    <s v="Not Required"/>
  </r>
  <r>
    <s v="OPP0355"/>
    <s v="ACC0320"/>
    <s v="Discovery"/>
    <n v="5.6"/>
    <n v="45312"/>
    <s v="Net 30"/>
    <s v="Annual in Advance"/>
    <b v="0"/>
    <b v="0"/>
    <n v="0.4"/>
    <b v="0"/>
    <n v="138"/>
    <b v="0"/>
    <x v="0"/>
    <n v="0"/>
    <s v="Open"/>
  </r>
  <r>
    <s v="OPP0356"/>
    <s v="ACC0032"/>
    <s v="Closed Lost"/>
    <n v="4.2"/>
    <n v="22992"/>
    <s v="Net 60"/>
    <s v="Annual in Advance"/>
    <b v="0"/>
    <b v="0"/>
    <n v="1.1000000000000001"/>
    <b v="1"/>
    <n v="53"/>
    <b v="1"/>
    <x v="1"/>
    <n v="0"/>
    <s v="Missing Approval Evidence"/>
  </r>
  <r>
    <s v="OPP0357"/>
    <s v="ACC0003"/>
    <s v="Discovery"/>
    <n v="2.6"/>
    <n v="44804"/>
    <s v="Net 30"/>
    <s v="Annual in Advance"/>
    <b v="0"/>
    <b v="0"/>
    <n v="4.7"/>
    <b v="0"/>
    <n v="542"/>
    <b v="0"/>
    <x v="0"/>
    <n v="0"/>
    <s v="Open"/>
  </r>
  <r>
    <s v="OPP0358"/>
    <s v="ACC0230"/>
    <s v="Closed Lost"/>
    <n v="22.6"/>
    <n v="61920"/>
    <s v="Net 30"/>
    <s v="Monthly"/>
    <b v="0"/>
    <b v="0"/>
    <n v="0.4"/>
    <b v="1"/>
    <n v="1853"/>
    <b v="1"/>
    <x v="1"/>
    <n v="2"/>
    <s v="Approval Evidence Present"/>
  </r>
  <r>
    <s v="OPP0359"/>
    <s v="ACC0167"/>
    <s v="Closed Lost"/>
    <n v="8.9"/>
    <n v="21864"/>
    <s v="Net 30"/>
    <s v="Annual in Advance"/>
    <b v="0"/>
    <b v="1"/>
    <n v="1"/>
    <b v="1"/>
    <n v="112"/>
    <b v="1"/>
    <x v="1"/>
    <n v="1"/>
    <s v="Approval Evidence Present"/>
  </r>
  <r>
    <s v="OPP0360"/>
    <s v="ACC0220"/>
    <s v="Discovery"/>
    <n v="21.4"/>
    <n v="47160"/>
    <s v="Net 30"/>
    <s v="Annual in Advance"/>
    <b v="0"/>
    <b v="0"/>
    <n v="8.1"/>
    <b v="1"/>
    <n v="3090"/>
    <b v="1"/>
    <x v="1"/>
    <n v="2"/>
    <s v="Open"/>
  </r>
  <r>
    <s v="OPP0361"/>
    <s v="ACC0122"/>
    <s v="Discovery"/>
    <n v="5.7"/>
    <n v="64124"/>
    <s v="Net 30"/>
    <s v="Annual in Advance"/>
    <b v="0"/>
    <b v="0"/>
    <n v="2.2000000000000002"/>
    <b v="0"/>
    <n v="1398"/>
    <b v="0"/>
    <x v="0"/>
    <n v="0"/>
    <s v="Open"/>
  </r>
  <r>
    <s v="OPP0362"/>
    <s v="ACC0255"/>
    <s v="Qualification"/>
    <n v="9.8000000000000007"/>
    <n v="39688"/>
    <s v="Net 30"/>
    <s v="Annual in Advance"/>
    <b v="0"/>
    <b v="0"/>
    <n v="0.1"/>
    <b v="0"/>
    <n v="532"/>
    <b v="0"/>
    <x v="0"/>
    <n v="0"/>
    <s v="Open"/>
  </r>
  <r>
    <s v="OPP0363"/>
    <s v="ACC0198"/>
    <s v="Closed Lost"/>
    <n v="9.6"/>
    <n v="16272"/>
    <s v="Net 30"/>
    <s v="Annual in Advance"/>
    <b v="0"/>
    <b v="0"/>
    <n v="17.8"/>
    <b v="0"/>
    <n v="80"/>
    <b v="0"/>
    <x v="0"/>
    <n v="0"/>
    <s v="Not Required"/>
  </r>
  <r>
    <s v="OPP0364"/>
    <s v="ACC0054"/>
    <s v="Closed Won"/>
    <n v="4.7"/>
    <n v="40026"/>
    <s v="Net 30"/>
    <s v="Annual in Advance"/>
    <b v="0"/>
    <b v="0"/>
    <n v="1.8"/>
    <b v="0"/>
    <n v="586"/>
    <b v="0"/>
    <x v="0"/>
    <n v="0"/>
    <s v="Not Required"/>
  </r>
  <r>
    <s v="OPP0365"/>
    <s v="ACC0318"/>
    <s v="Solution Evaluation"/>
    <n v="8.4"/>
    <n v="10992"/>
    <s v="Net 30"/>
    <s v="Annual in Advance"/>
    <b v="0"/>
    <b v="0"/>
    <n v="9.1"/>
    <b v="0"/>
    <n v="56"/>
    <b v="0"/>
    <x v="0"/>
    <n v="0"/>
    <s v="Open"/>
  </r>
  <r>
    <s v="OPP0366"/>
    <s v="ACC0246"/>
    <s v="Closed Won"/>
    <n v="39.9"/>
    <n v="40868"/>
    <s v="Net 45"/>
    <s v="Annual in Advance"/>
    <b v="0"/>
    <b v="0"/>
    <n v="8.4"/>
    <b v="1"/>
    <n v="2013"/>
    <b v="1"/>
    <x v="1"/>
    <n v="2"/>
    <s v="Approval Evidence Present"/>
  </r>
  <r>
    <s v="OPP0367"/>
    <s v="ACC0227"/>
    <s v="Closed Lost"/>
    <n v="8.1999999999999993"/>
    <n v="16524"/>
    <s v="Net 30"/>
    <s v="Annual in Advance"/>
    <b v="0"/>
    <b v="0"/>
    <n v="23.7"/>
    <b v="1"/>
    <n v="56"/>
    <b v="1"/>
    <x v="1"/>
    <n v="1"/>
    <s v="Approval Evidence Present"/>
  </r>
  <r>
    <s v="OPP0368"/>
    <s v="ACC0131"/>
    <s v="Discovery"/>
    <n v="5.5"/>
    <n v="11340"/>
    <s v="Net 60"/>
    <s v="Quarterly"/>
    <b v="0"/>
    <b v="0"/>
    <n v="3.6"/>
    <b v="1"/>
    <n v="48"/>
    <b v="1"/>
    <x v="1"/>
    <n v="0"/>
    <s v="Open"/>
  </r>
  <r>
    <s v="OPP0369"/>
    <s v="ACC0009"/>
    <s v="Solution Evaluation"/>
    <n v="5.3"/>
    <n v="20834"/>
    <s v="Net 30"/>
    <s v="Other"/>
    <b v="0"/>
    <b v="0"/>
    <n v="7.3"/>
    <b v="1"/>
    <n v="148"/>
    <b v="1"/>
    <x v="1"/>
    <n v="1"/>
    <s v="Open"/>
  </r>
  <r>
    <s v="OPP0370"/>
    <s v="ACC0181"/>
    <s v="Solution Evaluation"/>
    <n v="14.2"/>
    <n v="20592"/>
    <s v="Net 30"/>
    <s v="Annual in Advance"/>
    <b v="0"/>
    <b v="0"/>
    <n v="0"/>
    <b v="1"/>
    <n v="447"/>
    <b v="1"/>
    <x v="1"/>
    <n v="1"/>
    <s v="Open"/>
  </r>
  <r>
    <s v="OPP0371"/>
    <s v="ACC0109"/>
    <s v="Proposal"/>
    <n v="10.8"/>
    <n v="76712"/>
    <s v="Net 30"/>
    <s v="Annual in Advance"/>
    <b v="0"/>
    <b v="0"/>
    <n v="28.7"/>
    <b v="1"/>
    <n v="1191"/>
    <b v="1"/>
    <x v="1"/>
    <n v="1"/>
    <s v="Open"/>
  </r>
  <r>
    <s v="OPP0372"/>
    <s v="ACC0221"/>
    <s v="Qualification"/>
    <n v="1.1000000000000001"/>
    <n v="35604"/>
    <s v="Net 30"/>
    <s v="Annual in Advance"/>
    <b v="0"/>
    <b v="0"/>
    <n v="8.5"/>
    <b v="0"/>
    <n v="365"/>
    <b v="0"/>
    <x v="0"/>
    <n v="0"/>
    <s v="Open"/>
  </r>
  <r>
    <s v="OPP0373"/>
    <s v="ACC0280"/>
    <s v="Closed Lost"/>
    <n v="4.8"/>
    <n v="28560"/>
    <s v="Net 30"/>
    <s v="Quarterly"/>
    <b v="0"/>
    <b v="0"/>
    <n v="19.100000000000001"/>
    <b v="1"/>
    <n v="114"/>
    <b v="1"/>
    <x v="1"/>
    <n v="0"/>
    <s v="Missing Approval Evidence"/>
  </r>
  <r>
    <s v="OPP0374"/>
    <s v="ACC0109"/>
    <s v="Proposal"/>
    <n v="20.6"/>
    <n v="65108"/>
    <s v="Net 30"/>
    <s v="Annual in Advance"/>
    <b v="0"/>
    <b v="0"/>
    <n v="13.3"/>
    <b v="1"/>
    <n v="1191"/>
    <b v="1"/>
    <x v="1"/>
    <n v="0"/>
    <s v="Open"/>
  </r>
  <r>
    <s v="OPP0375"/>
    <s v="ACC0079"/>
    <s v="Closed Won"/>
    <n v="4.7"/>
    <n v="11436"/>
    <s v="Net 30"/>
    <s v="Annual in Advance"/>
    <b v="0"/>
    <b v="0"/>
    <n v="8"/>
    <b v="0"/>
    <n v="37"/>
    <b v="0"/>
    <x v="0"/>
    <n v="0"/>
    <s v="Not Required"/>
  </r>
  <r>
    <s v="OPP0376"/>
    <s v="ACC0112"/>
    <s v="Closed Won"/>
    <n v="2.6"/>
    <n v="83764"/>
    <s v="Net 60"/>
    <s v="Annual in Advance"/>
    <b v="0"/>
    <b v="0"/>
    <n v="19.600000000000001"/>
    <b v="1"/>
    <n v="3048"/>
    <b v="1"/>
    <x v="1"/>
    <n v="1"/>
    <s v="Approval Evidence Present"/>
  </r>
  <r>
    <s v="OPP0377"/>
    <s v="ACC0292"/>
    <s v="Closed Lost"/>
    <n v="9.5"/>
    <n v="10860"/>
    <s v="Net 30"/>
    <s v="Annual in Advance"/>
    <b v="0"/>
    <b v="0"/>
    <n v="2.5"/>
    <b v="0"/>
    <n v="701"/>
    <b v="0"/>
    <x v="0"/>
    <n v="0"/>
    <s v="Not Required"/>
  </r>
  <r>
    <s v="OPP0378"/>
    <s v="ACC0141"/>
    <s v="Solution Evaluation"/>
    <n v="5.6"/>
    <n v="15104"/>
    <s v="Net 30"/>
    <s v="Annual in Advance"/>
    <b v="0"/>
    <b v="0"/>
    <n v="0"/>
    <b v="0"/>
    <n v="2121"/>
    <b v="0"/>
    <x v="0"/>
    <n v="0"/>
    <s v="Open"/>
  </r>
  <r>
    <s v="OPP0379"/>
    <s v="ACC0188"/>
    <s v="Closed Lost"/>
    <n v="7.5"/>
    <n v="14800"/>
    <s v="Net 30"/>
    <s v="Annual in Advance"/>
    <b v="0"/>
    <b v="0"/>
    <n v="5.7"/>
    <b v="0"/>
    <n v="162"/>
    <b v="0"/>
    <x v="0"/>
    <n v="0"/>
    <s v="Not Required"/>
  </r>
  <r>
    <s v="OPP0380"/>
    <s v="ACC0218"/>
    <s v="Solution Evaluation"/>
    <n v="5.0999999999999996"/>
    <n v="15184"/>
    <s v="Net 30"/>
    <s v="Annual in Advance"/>
    <b v="0"/>
    <b v="0"/>
    <n v="0.6"/>
    <b v="0"/>
    <n v="130"/>
    <b v="0"/>
    <x v="0"/>
    <n v="0"/>
    <s v="Open"/>
  </r>
  <r>
    <s v="OPP0381"/>
    <s v="ACC0260"/>
    <s v="Closed Lost"/>
    <n v="11.4"/>
    <n v="14176"/>
    <s v="Net 30"/>
    <s v="Annual in Advance"/>
    <b v="0"/>
    <b v="0"/>
    <n v="1.7"/>
    <b v="1"/>
    <n v="106"/>
    <b v="1"/>
    <x v="1"/>
    <n v="0"/>
    <s v="Missing Approval Evidence"/>
  </r>
  <r>
    <s v="OPP0382"/>
    <s v="ACC0238"/>
    <s v="Closed Lost"/>
    <n v="5.9"/>
    <n v="28230"/>
    <s v="Net 60"/>
    <s v="Annual in Advance"/>
    <b v="0"/>
    <b v="0"/>
    <n v="3.9"/>
    <b v="1"/>
    <n v="169"/>
    <b v="1"/>
    <x v="1"/>
    <n v="0"/>
    <s v="Missing Approval Evidence"/>
  </r>
  <r>
    <s v="OPP0383"/>
    <s v="ACC0166"/>
    <s v="Discovery"/>
    <n v="24.9"/>
    <n v="15020"/>
    <s v="Net 30"/>
    <s v="Annual in Advance"/>
    <b v="0"/>
    <b v="0"/>
    <n v="20.9"/>
    <b v="1"/>
    <n v="59"/>
    <b v="1"/>
    <x v="1"/>
    <n v="0"/>
    <s v="Open"/>
  </r>
  <r>
    <s v="OPP0384"/>
    <s v="ACC0136"/>
    <s v="Closed Won"/>
    <n v="10"/>
    <n v="45000"/>
    <s v="Net 30"/>
    <s v="Annual in Advance"/>
    <b v="0"/>
    <b v="0"/>
    <n v="4.8"/>
    <b v="0"/>
    <n v="842"/>
    <b v="0"/>
    <x v="0"/>
    <n v="0"/>
    <s v="Not Required"/>
  </r>
  <r>
    <s v="OPP0385"/>
    <s v="ACC0274"/>
    <s v="Closed Won"/>
    <n v="5.8"/>
    <n v="18840"/>
    <s v="Net 30"/>
    <s v="Quarterly"/>
    <b v="0"/>
    <b v="0"/>
    <n v="0"/>
    <b v="1"/>
    <n v="2368"/>
    <b v="1"/>
    <x v="1"/>
    <n v="0"/>
    <s v="Missing Approval Evidence"/>
  </r>
  <r>
    <s v="OPP0386"/>
    <s v="ACC0114"/>
    <s v="Commit"/>
    <n v="24.7"/>
    <n v="16566"/>
    <s v="Net 30"/>
    <s v="Annual in Advance"/>
    <b v="0"/>
    <b v="0"/>
    <n v="15.2"/>
    <b v="1"/>
    <n v="135"/>
    <b v="1"/>
    <x v="1"/>
    <n v="0"/>
    <s v="Open"/>
  </r>
  <r>
    <s v="OPP0387"/>
    <s v="ACC0120"/>
    <s v="Closed Won"/>
    <n v="7.8"/>
    <n v="16596"/>
    <s v="Net 30"/>
    <s v="Quarterly"/>
    <b v="0"/>
    <b v="0"/>
    <n v="0"/>
    <b v="1"/>
    <n v="490"/>
    <b v="1"/>
    <x v="1"/>
    <n v="0"/>
    <s v="Missing Approval Evidence"/>
  </r>
  <r>
    <s v="OPP0388"/>
    <s v="ACC0045"/>
    <s v="Negotiation / Legal"/>
    <n v="6.6"/>
    <n v="11208"/>
    <s v="Net 30"/>
    <s v="Annual in Advance"/>
    <b v="1"/>
    <b v="0"/>
    <n v="4"/>
    <b v="0"/>
    <n v="5"/>
    <b v="1"/>
    <x v="2"/>
    <n v="0"/>
    <s v="Open"/>
  </r>
  <r>
    <s v="OPP0389"/>
    <s v="ACC0138"/>
    <s v="Closed Lost"/>
    <n v="5"/>
    <n v="39900"/>
    <s v="Net 30"/>
    <s v="Annual in Advance"/>
    <b v="0"/>
    <b v="0"/>
    <n v="1.6"/>
    <b v="0"/>
    <n v="122"/>
    <b v="0"/>
    <x v="0"/>
    <n v="0"/>
    <s v="Not Required"/>
  </r>
  <r>
    <s v="OPP0390"/>
    <s v="ACC0046"/>
    <s v="Closed Won"/>
    <n v="7.2"/>
    <n v="7424"/>
    <s v="Net 30"/>
    <s v="Quarterly"/>
    <b v="0"/>
    <b v="0"/>
    <n v="0"/>
    <b v="1"/>
    <n v="64"/>
    <b v="1"/>
    <x v="1"/>
    <n v="0"/>
    <s v="Missing Approval Evidence"/>
  </r>
  <r>
    <s v="OPP0391"/>
    <s v="ACC0040"/>
    <s v="Qualification"/>
    <n v="24.3"/>
    <n v="37850"/>
    <s v="Net 30"/>
    <s v="Annual in Advance"/>
    <b v="0"/>
    <b v="0"/>
    <n v="26.1"/>
    <b v="1"/>
    <n v="361"/>
    <b v="1"/>
    <x v="1"/>
    <n v="1"/>
    <s v="Open"/>
  </r>
  <r>
    <s v="OPP0392"/>
    <s v="ACC0110"/>
    <s v="Commit"/>
    <n v="2.5"/>
    <n v="23400"/>
    <s v="Net 30"/>
    <s v="Annual in Advance"/>
    <b v="0"/>
    <b v="0"/>
    <n v="16.3"/>
    <b v="0"/>
    <n v="49"/>
    <b v="0"/>
    <x v="0"/>
    <n v="0"/>
    <s v="Open"/>
  </r>
  <r>
    <s v="OPP0393"/>
    <s v="ACC0152"/>
    <s v="Closed Won"/>
    <n v="8.1"/>
    <n v="71682"/>
    <s v="Net 30"/>
    <s v="Annual in Advance"/>
    <b v="0"/>
    <b v="0"/>
    <n v="7.9"/>
    <b v="0"/>
    <n v="1073"/>
    <b v="0"/>
    <x v="0"/>
    <n v="0"/>
    <s v="Not Required"/>
  </r>
  <r>
    <s v="OPP0394"/>
    <s v="ACC0234"/>
    <s v="Negotiation / Legal"/>
    <n v="5.8"/>
    <n v="15072"/>
    <s v="Net 30"/>
    <s v="Annual in Advance"/>
    <b v="0"/>
    <b v="0"/>
    <n v="19.7"/>
    <b v="0"/>
    <n v="131"/>
    <b v="0"/>
    <x v="0"/>
    <n v="0"/>
    <s v="Open"/>
  </r>
  <r>
    <s v="OPP0395"/>
    <s v="ACC0191"/>
    <s v="Discovery"/>
    <n v="4.5"/>
    <n v="28650"/>
    <s v="Net 30"/>
    <s v="Annual in Advance"/>
    <b v="0"/>
    <b v="0"/>
    <n v="1.6"/>
    <b v="0"/>
    <n v="45"/>
    <b v="0"/>
    <x v="0"/>
    <n v="0"/>
    <s v="Open"/>
  </r>
  <r>
    <s v="OPP0396"/>
    <s v="ACC0130"/>
    <s v="Discovery"/>
    <n v="5.4"/>
    <n v="28380"/>
    <s v="Net 30"/>
    <s v="Annual in Advance"/>
    <b v="1"/>
    <b v="0"/>
    <n v="7.6"/>
    <b v="1"/>
    <n v="115"/>
    <b v="1"/>
    <x v="1"/>
    <n v="1"/>
    <s v="Open"/>
  </r>
  <r>
    <s v="OPP0397"/>
    <s v="ACC0207"/>
    <s v="Closed Lost"/>
    <n v="9.6"/>
    <n v="54240"/>
    <s v="Net 30"/>
    <s v="Annual in Advance"/>
    <b v="0"/>
    <b v="0"/>
    <n v="3.8"/>
    <b v="0"/>
    <n v="476"/>
    <b v="0"/>
    <x v="0"/>
    <n v="0"/>
    <s v="Not Required"/>
  </r>
  <r>
    <s v="OPP0398"/>
    <s v="ACC0036"/>
    <s v="Qualification"/>
    <n v="2"/>
    <n v="47040"/>
    <s v="Net 30"/>
    <s v="Annual in Advance"/>
    <b v="0"/>
    <b v="0"/>
    <n v="12.1"/>
    <b v="0"/>
    <n v="97"/>
    <b v="0"/>
    <x v="0"/>
    <n v="0"/>
    <s v="Open"/>
  </r>
  <r>
    <s v="OPP0399"/>
    <s v="ACC0061"/>
    <s v="Qualification"/>
    <n v="22.3"/>
    <n v="13986"/>
    <s v="Net 30"/>
    <s v="Annual in Advance"/>
    <b v="0"/>
    <b v="0"/>
    <n v="11.5"/>
    <b v="1"/>
    <n v="59"/>
    <b v="1"/>
    <x v="1"/>
    <n v="0"/>
    <s v="Open"/>
  </r>
  <r>
    <s v="OPP0400"/>
    <s v="ACC0028"/>
    <s v="Solution Evaluation"/>
    <n v="0.4"/>
    <n v="39840"/>
    <s v="Net 30"/>
    <s v="Annual in Advance"/>
    <b v="1"/>
    <b v="0"/>
    <n v="1.1000000000000001"/>
    <b v="1"/>
    <n v="386"/>
    <b v="1"/>
    <x v="1"/>
    <n v="1"/>
    <s v="Open"/>
  </r>
  <r>
    <s v="OPP0401"/>
    <s v="ACC0274"/>
    <s v="Closed Lost"/>
    <n v="5.2"/>
    <n v="75840"/>
    <s v="Net 45"/>
    <s v="Annual in Advance"/>
    <b v="0"/>
    <b v="0"/>
    <n v="8"/>
    <b v="1"/>
    <n v="2368"/>
    <b v="1"/>
    <x v="1"/>
    <n v="0"/>
    <s v="Missing Approval Evidence"/>
  </r>
  <r>
    <s v="OPP0402"/>
    <s v="ACC0045"/>
    <s v="Closed Won"/>
    <n v="6.4"/>
    <n v="16848"/>
    <s v="Net 30"/>
    <s v="Annual in Advance"/>
    <b v="0"/>
    <b v="0"/>
    <n v="0"/>
    <b v="1"/>
    <n v="5"/>
    <b v="1"/>
    <x v="1"/>
    <n v="0"/>
    <s v="Missing Approval Evidence"/>
  </r>
  <r>
    <s v="OPP0403"/>
    <s v="ACC0191"/>
    <s v="Proposal"/>
    <n v="9.3000000000000007"/>
    <n v="10884"/>
    <s v="Other"/>
    <s v="Annual in Advance"/>
    <b v="0"/>
    <b v="0"/>
    <n v="6.2"/>
    <b v="1"/>
    <n v="45"/>
    <b v="1"/>
    <x v="1"/>
    <n v="0"/>
    <s v="Open"/>
  </r>
  <r>
    <s v="OPP0404"/>
    <s v="ACC0017"/>
    <s v="Closed Lost"/>
    <n v="9.1999999999999993"/>
    <n v="10896"/>
    <s v="Net 30"/>
    <s v="Quarterly"/>
    <b v="0"/>
    <b v="0"/>
    <n v="0.7"/>
    <b v="1"/>
    <n v="57"/>
    <b v="1"/>
    <x v="1"/>
    <n v="0"/>
    <s v="Missing Approval Evidence"/>
  </r>
  <r>
    <s v="OPP0405"/>
    <s v="ACC0189"/>
    <s v="Closed Won"/>
    <n v="9.1"/>
    <n v="23634"/>
    <s v="Net 30"/>
    <s v="Annual in Advance"/>
    <b v="0"/>
    <b v="0"/>
    <n v="0"/>
    <b v="0"/>
    <n v="344"/>
    <b v="0"/>
    <x v="0"/>
    <n v="0"/>
    <s v="Not Required"/>
  </r>
  <r>
    <s v="OPP0406"/>
    <s v="ACC0185"/>
    <s v="Closed Won"/>
    <n v="8.3000000000000007"/>
    <n v="11004"/>
    <s v="Net 45"/>
    <s v="Annual in Advance"/>
    <b v="0"/>
    <b v="0"/>
    <n v="9.9"/>
    <b v="1"/>
    <n v="96"/>
    <b v="1"/>
    <x v="1"/>
    <n v="0"/>
    <s v="Missing Approval Evidence"/>
  </r>
  <r>
    <s v="OPP0407"/>
    <s v="ACC0230"/>
    <s v="Qualification"/>
    <n v="7"/>
    <n v="46500"/>
    <s v="Net 30"/>
    <s v="Annual in Advance"/>
    <b v="0"/>
    <b v="0"/>
    <n v="6.3"/>
    <b v="0"/>
    <n v="1853"/>
    <b v="0"/>
    <x v="0"/>
    <n v="0"/>
    <s v="Open"/>
  </r>
  <r>
    <s v="OPP0408"/>
    <s v="ACC0082"/>
    <s v="Proposal"/>
    <n v="21.7"/>
    <n v="23490"/>
    <s v="Net 30"/>
    <s v="Annual in Advance"/>
    <b v="0"/>
    <b v="0"/>
    <n v="0.8"/>
    <b v="1"/>
    <n v="67"/>
    <b v="1"/>
    <x v="1"/>
    <n v="2"/>
    <s v="Open"/>
  </r>
  <r>
    <s v="OPP0409"/>
    <s v="ACC0128"/>
    <s v="Closed Lost"/>
    <n v="4.0999999999999996"/>
    <n v="11508"/>
    <s v="Net 30"/>
    <s v="Annual in Advance"/>
    <b v="0"/>
    <b v="0"/>
    <n v="1.5"/>
    <b v="0"/>
    <n v="162"/>
    <b v="0"/>
    <x v="0"/>
    <n v="0"/>
    <s v="Not Required"/>
  </r>
  <r>
    <s v="OPP0410"/>
    <s v="ACC0221"/>
    <s v="Closed Lost"/>
    <n v="3.9"/>
    <n v="28830"/>
    <s v="Net 30"/>
    <s v="Annual in Advance"/>
    <b v="0"/>
    <b v="0"/>
    <n v="2.2999999999999998"/>
    <b v="0"/>
    <n v="365"/>
    <b v="0"/>
    <x v="0"/>
    <n v="0"/>
    <s v="Not Required"/>
  </r>
  <r>
    <s v="OPP0411"/>
    <s v="ACC0277"/>
    <s v="Discovery"/>
    <n v="2.2000000000000002"/>
    <n v="62592"/>
    <s v="Net 30"/>
    <s v="Monthly"/>
    <b v="0"/>
    <b v="0"/>
    <n v="23.3"/>
    <b v="0"/>
    <n v="761"/>
    <b v="1"/>
    <x v="2"/>
    <n v="1"/>
    <s v="Open"/>
  </r>
  <r>
    <s v="OPP0412"/>
    <s v="ACC0324"/>
    <s v="Qualification"/>
    <n v="8.9"/>
    <n v="80168"/>
    <s v="Net 30"/>
    <s v="Annual in Advance"/>
    <b v="0"/>
    <b v="0"/>
    <n v="2"/>
    <b v="0"/>
    <n v="1614"/>
    <b v="0"/>
    <x v="0"/>
    <n v="0"/>
    <s v="Open"/>
  </r>
  <r>
    <s v="OPP0413"/>
    <s v="ACC0062"/>
    <s v="Closed Won"/>
    <n v="10"/>
    <n v="21600"/>
    <s v="Net 60"/>
    <s v="Annual in Advance"/>
    <b v="0"/>
    <b v="0"/>
    <n v="0"/>
    <b v="1"/>
    <n v="2096"/>
    <b v="1"/>
    <x v="1"/>
    <n v="1"/>
    <s v="Approval Evidence Present"/>
  </r>
  <r>
    <s v="OPP0414"/>
    <s v="ACC0219"/>
    <s v="Closed Won"/>
    <n v="16.2"/>
    <n v="50280"/>
    <s v="Net 30"/>
    <s v="Annual in Advance"/>
    <b v="0"/>
    <b v="0"/>
    <n v="0.7"/>
    <b v="1"/>
    <n v="1910"/>
    <b v="1"/>
    <x v="1"/>
    <n v="1"/>
    <s v="Approval Evidence Present"/>
  </r>
  <r>
    <s v="OPP0415"/>
    <s v="ACC0186"/>
    <s v="Closed Won"/>
    <n v="4.0999999999999996"/>
    <n v="13426"/>
    <s v="Net 30"/>
    <s v="Annual in Advance"/>
    <b v="0"/>
    <b v="0"/>
    <n v="0"/>
    <b v="0"/>
    <n v="516"/>
    <b v="0"/>
    <x v="0"/>
    <n v="0"/>
    <s v="Not Required"/>
  </r>
  <r>
    <s v="OPP0416"/>
    <s v="ACC0048"/>
    <s v="Closed Won"/>
    <n v="4"/>
    <n v="46080"/>
    <s v="Net 30"/>
    <s v="Annual in Advance"/>
    <b v="0"/>
    <b v="0"/>
    <n v="4"/>
    <b v="0"/>
    <n v="56"/>
    <b v="0"/>
    <x v="0"/>
    <n v="0"/>
    <s v="Not Required"/>
  </r>
  <r>
    <s v="OPP0417"/>
    <s v="ACC0109"/>
    <s v="Closed Won"/>
    <n v="22.6"/>
    <n v="4644"/>
    <s v="Net 30"/>
    <s v="Annual in Advance"/>
    <b v="1"/>
    <b v="1"/>
    <n v="0"/>
    <b v="1"/>
    <n v="1191"/>
    <b v="1"/>
    <x v="1"/>
    <n v="0"/>
    <s v="Missing Approval Evidence"/>
  </r>
  <r>
    <s v="OPP0418"/>
    <s v="ACC0293"/>
    <s v="Proposal"/>
    <n v="8.6"/>
    <n v="65808"/>
    <s v="Net 30"/>
    <s v="Annual in Advance"/>
    <b v="0"/>
    <b v="0"/>
    <n v="12.2"/>
    <b v="0"/>
    <n v="612"/>
    <b v="0"/>
    <x v="0"/>
    <n v="0"/>
    <s v="Open"/>
  </r>
  <r>
    <s v="OPP0419"/>
    <s v="ACC0141"/>
    <s v="Closed Won"/>
    <n v="10.9"/>
    <n v="81972"/>
    <s v="Net 30"/>
    <s v="Annual in Advance"/>
    <b v="0"/>
    <b v="0"/>
    <n v="10.7"/>
    <b v="1"/>
    <n v="2121"/>
    <b v="1"/>
    <x v="1"/>
    <n v="0"/>
    <s v="Missing Approval Evidence"/>
  </r>
  <r>
    <s v="OPP0420"/>
    <s v="ACC0197"/>
    <s v="Closed Won"/>
    <n v="6.8"/>
    <n v="7456"/>
    <s v="Net 30"/>
    <s v="Annual in Advance"/>
    <b v="0"/>
    <b v="0"/>
    <n v="0"/>
    <b v="0"/>
    <n v="74"/>
    <b v="0"/>
    <x v="0"/>
    <n v="0"/>
    <s v="Not Required"/>
  </r>
  <r>
    <s v="OPP0421"/>
    <s v="ACC0237"/>
    <s v="Proposal"/>
    <n v="9.4"/>
    <n v="32616"/>
    <s v="Net 30"/>
    <s v="Annual in Advance"/>
    <b v="0"/>
    <b v="1"/>
    <n v="15.9"/>
    <b v="1"/>
    <n v="283"/>
    <b v="1"/>
    <x v="1"/>
    <n v="0"/>
    <s v="Open"/>
  </r>
  <r>
    <s v="OPP0422"/>
    <s v="ACC0109"/>
    <s v="Closed Lost"/>
    <n v="9.5"/>
    <n v="61540"/>
    <s v="Net 60"/>
    <s v="Annual in Advance"/>
    <b v="1"/>
    <b v="0"/>
    <n v="10"/>
    <b v="1"/>
    <n v="1191"/>
    <b v="1"/>
    <x v="1"/>
    <n v="1"/>
    <s v="Approval Evidence Present"/>
  </r>
  <r>
    <s v="OPP0423"/>
    <s v="ACC0119"/>
    <s v="Closed Won"/>
    <n v="7"/>
    <n v="18600"/>
    <s v="Net 30"/>
    <s v="Annual in Advance"/>
    <b v="0"/>
    <b v="0"/>
    <n v="3.3"/>
    <b v="0"/>
    <n v="69"/>
    <b v="0"/>
    <x v="0"/>
    <n v="0"/>
    <s v="Not Required"/>
  </r>
  <r>
    <s v="OPP0424"/>
    <s v="ACC0139"/>
    <s v="Commit"/>
    <n v="7.1"/>
    <n v="27870"/>
    <s v="Net 30"/>
    <s v="Annual in Advance"/>
    <b v="0"/>
    <b v="0"/>
    <n v="19.399999999999999"/>
    <b v="0"/>
    <n v="731"/>
    <b v="0"/>
    <x v="0"/>
    <n v="0"/>
    <s v="Open"/>
  </r>
  <r>
    <s v="OPP0425"/>
    <s v="ACC0241"/>
    <s v="Closed Lost"/>
    <n v="6.5"/>
    <n v="28050"/>
    <s v="Net 30"/>
    <s v="Quarterly"/>
    <b v="1"/>
    <b v="0"/>
    <n v="3.2"/>
    <b v="1"/>
    <n v="68"/>
    <b v="1"/>
    <x v="1"/>
    <n v="0"/>
    <s v="Missing Approval Evide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4FFAA-DF0A-4CA3-8BD8-CA82AEBADD4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4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dataField="1" numFmtId="169" showAll="0"/>
    <pivotField numFmtId="14" showAll="0"/>
    <pivotField numFmtId="14" showAll="0"/>
    <pivotField showAll="0"/>
    <pivotField showAll="0"/>
    <pivotField showAll="0"/>
    <pivotField axis="axisRow" showAll="0">
      <items count="6">
        <item h="1" x="0"/>
        <item x="1"/>
        <item x="3"/>
        <item x="2"/>
        <item x="4"/>
        <item t="default"/>
      </items>
    </pivotField>
    <pivotField showAll="0"/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et ARR" fld="6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A3B2A-E9A6-4C07-AC4D-46F457155413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G21" firstHeaderRow="0" firstDataRow="1" firstDataCol="1"/>
  <pivotFields count="16">
    <pivotField dataField="1" showAll="0"/>
    <pivotField showAll="0"/>
    <pivotField showAll="0"/>
    <pivotField numFmtId="168" showAll="0"/>
    <pivotField numFmtId="167" showAll="0"/>
    <pivotField showAll="0"/>
    <pivotField showAll="0"/>
    <pivotField showAll="0"/>
    <pivotField showAll="0"/>
    <pivotField numFmtId="168"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Opportunity Count" fld="0" subtotal="count" baseField="0" baseItem="0"/>
    <dataField name="% of Total Opportunities" fld="0" subtotal="count" showDataAs="percentOfTotal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36B3D-54BD-4BAA-90B0-EB7BFECE3C9E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23" firstHeaderRow="0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0"/>
        <item x="4"/>
        <item x="2"/>
        <item x="5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Lead Count" fld="0" subtotal="count" baseField="0" baseItem="0"/>
    <dataField name="% of Total Leads" fld="0" subtotal="count" showDataAs="percentOfTotal" baseField="0" baseItem="0" numFmtId="177"/>
  </dataFields>
  <formats count="1"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28DF3-EA32-44D5-A37A-57F1723CA115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1" firstHeaderRow="1" firstDataRow="2" firstDataCol="1"/>
  <pivotFields count="14">
    <pivotField dataField="1" showAll="0"/>
    <pivotField showAll="0"/>
    <pivotField showAll="0"/>
    <pivotField showAll="0"/>
    <pivotField showAll="0"/>
    <pivotField axis="axisRow" showAll="0">
      <items count="9">
        <item x="2"/>
        <item x="0"/>
        <item x="6"/>
        <item x="4"/>
        <item x="7"/>
        <item x="1"/>
        <item x="3"/>
        <item x="5"/>
        <item t="default"/>
      </items>
    </pivotField>
    <pivotField numFmtId="169" showAll="0"/>
    <pivotField numFmtId="14" showAll="0"/>
    <pivotField numFmtId="14" showAll="0"/>
    <pivotField showAll="0"/>
    <pivotField showAll="0"/>
    <pivotField showAll="0"/>
    <pivotField name="Open Pipeline Health by Stage" axis="axisCol" multipleItemSelectionAllowed="1" showAll="0">
      <items count="6">
        <item h="1" x="0"/>
        <item x="1"/>
        <item x="3"/>
        <item x="2"/>
        <item x="4"/>
        <item t="default"/>
      </items>
    </pivotField>
    <pivotField showAll="0"/>
  </pivotFields>
  <rowFields count="1">
    <field x="5"/>
  </rowFields>
  <rowItems count="7"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2"/>
  </colFields>
  <colItems count="5">
    <i>
      <x v="1"/>
    </i>
    <i>
      <x v="2"/>
    </i>
    <i>
      <x v="3"/>
    </i>
    <i>
      <x v="4"/>
    </i>
    <i t="grand">
      <x/>
    </i>
  </colItems>
  <dataFields count="1">
    <dataField name="Count of Opportunity ID" fld="0" subtotal="count" baseField="0" baseItem="0"/>
  </dataFields>
  <formats count="2">
    <format dxfId="33">
      <pivotArea dataOnly="0" labelOnly="1" fieldPosition="0">
        <references count="1">
          <reference field="12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1C1A8C-1369-414B-AFC0-C3B3A89F7F55}" name="tblAccountAudit" displayName="tblAccountAudit" ref="A1:N326" totalsRowShown="0">
  <autoFilter ref="A1:N326" xr:uid="{AF1C1A8C-1369-414B-AFC0-C3B3A89F7F55}"/>
  <tableColumns count="14">
    <tableColumn id="1" xr3:uid="{AC6072A3-96DA-4842-B333-40A5AC32404A}" name="Account ID"/>
    <tableColumn id="2" xr3:uid="{E0FBB275-64DF-4DA9-9948-EAB1547E861F}" name="Account Name"/>
    <tableColumn id="3" xr3:uid="{5FDADF0F-FF4F-498F-A5E5-006F6C80F98A}" name="Employee Count"/>
    <tableColumn id="4" xr3:uid="{236E0884-85C4-48F6-9BE3-818DC3214DD8}" name="State"/>
    <tableColumn id="5" xr3:uid="{00AAE271-BCBD-4FD8-B9EF-6452EF676F94}" name="Stored Segment"/>
    <tableColumn id="6" xr3:uid="{63E29FCB-CB2C-40BD-8E58-E3CAFB13EFF3}" name="Stored Territory"/>
    <tableColumn id="7" xr3:uid="{B3E1F1D6-A76C-486B-828A-8F0E7D56F348}" name="Owner ID"/>
    <tableColumn id="8" xr3:uid="{7A8FC428-D512-40AD-AF21-ECFD854E2CDA}" name="Expected Segment" dataDxfId="106">
      <calculatedColumnFormula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calculatedColumnFormula>
    </tableColumn>
    <tableColumn id="9" xr3:uid="{4632D86C-DBCF-4C82-BBA9-7CDC84592BB6}" name="Expected Territory" dataDxfId="105">
      <calculatedColumnFormula>_xlfn.XLOOKUP(tblAccountAudit[[#This Row],[State]],tblStates[state_code],tblStates[territory_id],"Missing State")</calculatedColumnFormula>
    </tableColumn>
    <tableColumn id="10" xr3:uid="{CFF00327-F8BB-4C58-93D6-56A1679F26B2}" name="Expected Owner Segment" dataDxfId="104">
      <calculatedColumnFormula>IF(tblAccountAudit[[#This Row],[Expected Segment]]="SMB","SMB",IF(OR(tblAccountAudit[[#This Row],[Expected Segment]]="Mid-Market",tblAccountAudit[[#This Row],[Expected Segment]]="Upper Mid-Market"),"MM","Needs Review"))</calculatedColumnFormula>
    </tableColumn>
    <tableColumn id="11" xr3:uid="{7CAD5996-8B5D-48CE-B1CB-9F6CD9B657EF}" name="Expected Owner ID" dataDxfId="103">
      <calculatedColumnFormula array="1">IFERROR(_xlfn.XLOOKUP(1,(tblUsers[territory_id]=tblAccountAudit[[#This Row],[Expected Territory]])*(tblUsers[segment]=tblAccountAudit[[#This Row],[Expected Owner Segment]])*ISNUMBER(SEARCH("Account Executive",tblUsers[job_title])),tblUsers[user_id]),"Needs Review")</calculatedColumnFormula>
    </tableColumn>
    <tableColumn id="12" xr3:uid="{AE1ED0C8-9506-409E-BAAE-95CD13F7BE55}" name="Segment Status" dataDxfId="102">
      <calculatedColumnFormula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calculatedColumnFormula>
    </tableColumn>
    <tableColumn id="13" xr3:uid="{4FF71FCE-3F2A-4736-A057-8649A44D56E9}" name="Territory Status" dataDxfId="101">
      <calculatedColumnFormula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calculatedColumnFormula>
    </tableColumn>
    <tableColumn id="14" xr3:uid="{72BBC41C-6A41-4309-A1C5-FBBA1CEFA461}" name="Owner Status" dataDxfId="100">
      <calculatedColumnFormula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F10B34-FD99-4C4B-80C7-55689C06C2AC}" name="tblLeadRouting" displayName="tblLeadRouting" ref="A1:K1301" totalsRowShown="0">
  <autoFilter ref="A1:K1301" xr:uid="{40F10B34-FD99-4C4B-80C7-55689C06C2AC}"/>
  <tableColumns count="11">
    <tableColumn id="1" xr3:uid="{80C613AF-D9DD-412A-80E3-018D1359D7BF}" name="Lead ID"/>
    <tableColumn id="2" xr3:uid="{83D7AA8D-A1BF-47EC-B1D8-674016BDC277}" name="Company Name"/>
    <tableColumn id="3" xr3:uid="{86AD8D8A-F214-4109-B9B0-F09001D237E9}" name="Lead Segment"/>
    <tableColumn id="4" xr3:uid="{1C433723-F604-46B8-9DD2-AD09CACE6493}" name="State"/>
    <tableColumn id="5" xr3:uid="{30A28B07-0822-4C2F-A9B5-489873948B69}" name="Owner ID"/>
    <tableColumn id="6" xr3:uid="{162C3303-BCA5-4EDC-9269-7BD147A9D50B}" name="Expected Owner Segment">
      <calculatedColumnFormula>IF(C2="SMB","SMB",IF(OR(C2="Mid-Market",C2="Upper Mid-Market"),"MM","Needs Review - Segment"))</calculatedColumnFormula>
    </tableColumn>
    <tableColumn id="7" xr3:uid="{311C469E-FF99-4724-BA69-6CA9F466D866}" name="Expected Territory">
      <calculatedColumnFormula>_xlfn.XLOOKUP(D2,tblStates[state_code],tblStates[territory_id],"Needs Review - Territory")</calculatedColumnFormula>
    </tableColumn>
    <tableColumn id="8" xr3:uid="{441C7E4A-DF42-4103-8AF8-6A56500BDE8C}" name="Owner Job Title">
      <calculatedColumnFormula>IF(E2="","",_xlfn.XLOOKUP(E2,tblUsers[user_id],tblUsers[job_title],"Owner Not Found"))</calculatedColumnFormula>
    </tableColumn>
    <tableColumn id="9" xr3:uid="{CD8AAA57-1D2F-4625-B1F6-574F1DBF9947}" name="Owner Segment">
      <calculatedColumnFormula>IF(E2="","",_xlfn.XLOOKUP(E2,tblUsers[user_id],tblUsers[segment],"Owner Not Found"))</calculatedColumnFormula>
    </tableColumn>
    <tableColumn id="10" xr3:uid="{1C6FAA49-3F35-4F94-9186-03467B27104C}" name="Owner Territory">
      <calculatedColumnFormula>IF(E2="","",_xlfn.XLOOKUP(E2,tblUsers[user_id],tblUsers[territory_id],"Owner Not Found"))</calculatedColumnFormula>
    </tableColumn>
    <tableColumn id="11" xr3:uid="{3C53CDDE-9D3A-4023-A693-1BEB37FA87C4}" name="Routing Status">
      <calculatedColumnFormula>IF(E2="","Unassigned",IF(F2="Needs Review - Segment","Needs Review - Segment",IF(G2="Needs Review - Territory","Needs Review - Territory",IF(I2&lt;&gt;F2,"Wrong Segment",IF(AND(ISNUMBER(SEARCH("Account Executive",H2)),J2&lt;&gt;G2),"Wrong AE Territory",IF(OR(ISNUMBER(SEARCH("Account Executive",H2)),H2="Sales Development Representative"),"Routing Compatible","Unexpected Owner Role"))))))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44F81C-BA05-4241-ABDB-B7D3C6E87477}" name="tblPipelineAudit" displayName="tblPipelineAudit" ref="A1:N426" totalsRowShown="0">
  <autoFilter ref="A1:N426" xr:uid="{FE44F81C-BA05-4241-ABDB-B7D3C6E87477}"/>
  <tableColumns count="14">
    <tableColumn id="1" xr3:uid="{932CFAAB-970A-4295-98AE-C12CDF5184D9}" name="Opportunity ID"/>
    <tableColumn id="2" xr3:uid="{2286D934-FB00-4313-A9D0-ABA8B89B8CD1}" name="Opportunity Name"/>
    <tableColumn id="3" xr3:uid="{A17CA311-BF4D-4C67-A871-67EDE1336FFA}" name="Account ID" dataCellStyle="Normal 3"/>
    <tableColumn id="4" xr3:uid="{4D044AB6-86FD-4392-B273-372EFD1CAE5D}" name="Owner ID" dataCellStyle="Normal 3"/>
    <tableColumn id="5" xr3:uid="{E9A9DD13-E264-47F3-9923-52E43E5CC538}" name="Lead Source"/>
    <tableColumn id="6" xr3:uid="{A3A6C8D8-D598-4B63-A437-98C2B2BB26CA}" name="Stage"/>
    <tableColumn id="7" xr3:uid="{B3AA2A06-1286-464E-995D-CC757BBAD88A}" name="Net ARR" dataDxfId="61"/>
    <tableColumn id="8" xr3:uid="{E27F42CE-9174-4C9A-AC1C-7741A95BAC92}" name="Expected Close Date" dataDxfId="60"/>
    <tableColumn id="9" xr3:uid="{D07D67FF-8FBE-4A36-B4F3-D20DE29DA8EE}" name="Last Activity Date" dataDxfId="59"/>
    <tableColumn id="10" xr3:uid="{B29B2EF8-E750-47E1-AEE4-B0356F1B5F83}" name="Next Step"/>
    <tableColumn id="11" xr3:uid="{C6C5CBAC-9235-4B7E-8011-859834365475}" name="Days Overdue" dataDxfId="58">
      <calculatedColumnFormula>IF(OR(tblPipelineAudit[[#This Row],[Stage]]="Closed Won",tblPipelineAudit[[#This Row],[Stage]]="Closed Lost"),"",IF(tblPipelineAudit[[#This Row],[Expected Close Date]]="","",MAX(0,DATE(2026,9,28)-tblPipelineAudit[[#This Row],[Expected Close Date]])))</calculatedColumnFormula>
    </tableColumn>
    <tableColumn id="12" xr3:uid="{0F3ABCBF-B49D-4616-9876-665CFAB3A408}" name="Days Since Last Activity" dataDxfId="57">
      <calculatedColumnFormula>IF(OR(tblPipelineAudit[[#This Row],[Stage]]="Closed Won",tblPipelineAudit[[#This Row],[Stage]]="Closed Lost"),"",IF(tblPipelineAudit[[#This Row],[Last Activity Date]]="","",MAX(0,DATE(2026,9,28)-tblPipelineAudit[[#This Row],[Last Activity Date]])))</calculatedColumnFormula>
    </tableColumn>
    <tableColumn id="13" xr3:uid="{85AA9696-3A37-4706-B85B-EBDB80F466F7}" name="Pipeline Health" dataDxfId="56">
      <calculatedColumnFormula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calculatedColumnFormula>
    </tableColumn>
    <tableColumn id="14" xr3:uid="{F68706AB-D6BB-4240-9677-F8D34C5B6910}" name="Critical Field Gap" dataDxfId="55">
      <calculatedColumnFormula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1338A69-61F8-40A7-9C1C-F630512C603D}" name="tblDealDeskAudit" displayName="tblDealDeskAudit" ref="A1:P426" totalsRowShown="0">
  <autoFilter ref="A1:P426" xr:uid="{B1338A69-61F8-40A7-9C1C-F630512C603D}"/>
  <tableColumns count="16">
    <tableColumn id="1" xr3:uid="{608F787A-2E88-4757-8BD9-03F3F3FB7D50}" name="Opportunity ID" dataDxfId="50" dataCellStyle="Normal 3"/>
    <tableColumn id="2" xr3:uid="{8F8998B4-4B29-45E6-9745-420D3CEB7BD4}" name="Account ID" dataDxfId="49" dataCellStyle="Normal 3"/>
    <tableColumn id="3" xr3:uid="{3C907E40-76B9-4DE3-8283-39800683A9E2}" name="Stage" dataDxfId="48" dataCellStyle="Normal 3"/>
    <tableColumn id="4" xr3:uid="{5FCBD11B-BCA1-4FE8-912D-67E69BBE8A06}" name="Discount %" dataDxfId="47" dataCellStyle="Normal 3"/>
    <tableColumn id="5" xr3:uid="{3D2C96E3-BCE9-4F54-BABF-C553E3D8B909}" name="Net ARR" dataDxfId="46" dataCellStyle="Normal 3"/>
    <tableColumn id="6" xr3:uid="{A49DA987-E3FA-40B4-B43A-996BABFBEF6F}" name="Payment Terms" dataDxfId="45" dataCellStyle="Normal 3"/>
    <tableColumn id="7" xr3:uid="{198D086D-96C6-46C4-805C-61A9FD3D495D}" name="Billing Schedule" dataDxfId="44" dataCellStyle="Normal 3"/>
    <tableColumn id="8" xr3:uid="{A733BD1A-DA13-4D7C-A3A8-AA7475385383}" name="Custom Pricing" dataDxfId="43" dataCellStyle="Normal 3"/>
    <tableColumn id="9" xr3:uid="{8DFEA8D3-573D-4AF7-AFE4-703D49ED7507}" name="Nonstandard Contract Terms" dataDxfId="42" dataCellStyle="Normal 3"/>
    <tableColumn id="10" xr3:uid="{71266D7B-DD69-45FB-90E5-6D41511B3BA9}" name="Implementation Discount %" dataDxfId="41" dataCellStyle="Normal 3"/>
    <tableColumn id="11" xr3:uid="{8C7EFA26-60F2-498B-9C95-E5F68C0DA332}" name="Actual Deal Desk Required" dataDxfId="40" dataCellStyle="Normal 3"/>
    <tableColumn id="12" xr3:uid="{4C5A0752-B2A7-4D9F-8A84-F41D594E9C0E}" name="Employee Count" dataDxfId="35">
      <calculatedColumnFormula>IF(COUNTIFS(tblAccounts[account_id],tblDealDeskAudit[[#This Row],[Account ID]],tblAccounts[employee_count],"")&gt;0,"",_xlfn.XLOOKUP(tblDealDeskAudit[[#This Row],[Account ID]],tblAccounts[account_id],tblAccounts[employee_count],""))</calculatedColumnFormula>
    </tableColumn>
    <tableColumn id="13" xr3:uid="{4C023ECE-5614-407E-A23E-11FAEDDA8B1D}" name="Expected Deal Desk Required" dataDxfId="39">
      <calculatedColumnFormula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calculatedColumnFormula>
    </tableColumn>
    <tableColumn id="14" xr3:uid="{F5F8A90B-8079-4A98-A300-254AA2C540EF}" name="Flag Audit Status" dataDxfId="38">
      <calculatedColumnFormula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calculatedColumnFormula>
    </tableColumn>
    <tableColumn id="15" xr3:uid="{A958EF35-3B2E-4828-AA1F-B24C23D64FB7}" name="Approval Record Count" dataDxfId="37">
      <calculatedColumnFormula>COUNTIF(tblApprovals[opportunity_id],tblDealDeskAudit[[#This Row],[Opportunity ID]])</calculatedColumnFormula>
    </tableColumn>
    <tableColumn id="16" xr3:uid="{00C431DD-A7E2-4185-8DC0-7615786550EA}" name="Approval Evidence Status" dataDxfId="36">
      <calculatedColumnFormula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61B51C-FFD3-46A7-B60A-A114D79A6328}" name="tblAccounts" displayName="tblAccounts" ref="A1:L326" totalsRowShown="0" headerRowDxfId="99" headerRowCellStyle="Normal 2" dataCellStyle="Normal 2">
  <autoFilter ref="A1:L326" xr:uid="{1561B51C-FFD3-46A7-B60A-A114D79A6328}"/>
  <tableColumns count="12">
    <tableColumn id="1" xr3:uid="{9248CAC7-9F71-4DE1-9E67-D4BCFEA92D0E}" name="account_id" dataCellStyle="Normal 2"/>
    <tableColumn id="2" xr3:uid="{CC14B2AA-79C0-460B-A2B0-95125051B2BC}" name="account_name" dataCellStyle="Normal 2"/>
    <tableColumn id="3" xr3:uid="{633A2AA6-D476-47CF-9344-C10E439BE161}" name="website" dataCellStyle="Normal 2"/>
    <tableColumn id="4" xr3:uid="{3728C33C-721F-4FC4-9613-05F491B0663F}" name="industry" dataCellStyle="Normal 2"/>
    <tableColumn id="5" xr3:uid="{F809EE4D-4842-4311-B453-8473E455BBE0}" name="employee_count" dataDxfId="98" dataCellStyle="Normal 2"/>
    <tableColumn id="6" xr3:uid="{6BAFBFC1-AD81-4A2E-B416-6B5F19A6B033}" name="estimated_annual_revenue" dataDxfId="97" dataCellStyle="Normal 2"/>
    <tableColumn id="7" xr3:uid="{0054ED4E-7507-4987-BB5E-DB4228BF1E5B}" name="state_code" dataCellStyle="Normal 2"/>
    <tableColumn id="8" xr3:uid="{28447533-7F99-4527-A241-DC6078AC2A5B}" name="segment" dataCellStyle="Normal 2"/>
    <tableColumn id="9" xr3:uid="{525C508E-3B3F-4CB0-8B31-CC14B632CCFD}" name="territory_id" dataDxfId="96" dataCellStyle="Normal 2"/>
    <tableColumn id="10" xr3:uid="{CD87A9A4-F63C-4784-9D44-C065F95EEFF1}" name="owner_id" dataCellStyle="Normal 2"/>
    <tableColumn id="11" xr3:uid="{3B389525-0E33-4823-9F87-614B140A6D84}" name="account_status" dataCellStyle="Normal 2"/>
    <tableColumn id="12" xr3:uid="{269F76F5-928F-47FB-A59E-25708CE4CE8B}" name="created_at" dataDxfId="95" dataCellStyle="Normal 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2898A0-4505-4D24-BFF4-D259BBBB4C08}" name="tblStates" displayName="tblStates" ref="A1:C52" totalsRowShown="0">
  <autoFilter ref="A1:C52" xr:uid="{5B2898A0-4505-4D24-BFF4-D259BBBB4C08}"/>
  <tableColumns count="3">
    <tableColumn id="1" xr3:uid="{EE0E266D-4B30-49D3-98AB-E6D93BA5E19F}" name="state_code" dataDxfId="94" dataCellStyle="Normal 2"/>
    <tableColumn id="2" xr3:uid="{02F580E3-90DA-474E-8665-BB425322D2C3}" name="state_name" dataDxfId="93" dataCellStyle="Normal 2"/>
    <tableColumn id="3" xr3:uid="{03C94F2B-A6CA-4DD0-A817-A9891A2848F5}" name="territory_id" dataDxfId="9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72DB25-3803-455E-A0B4-BA08D212C014}" name="tblTerritories" displayName="tblTerritories" ref="A1:B5" totalsRowShown="0" headerRowDxfId="91" headerRowCellStyle="Normal 2" dataCellStyle="Normal 2">
  <autoFilter ref="A1:B5" xr:uid="{6E72DB25-3803-455E-A0B4-BA08D212C014}"/>
  <tableColumns count="2">
    <tableColumn id="1" xr3:uid="{B06404B5-3D8B-49F3-8149-CF0C2C0353E4}" name="territory_id" dataCellStyle="Normal 2"/>
    <tableColumn id="2" xr3:uid="{A38AD868-BF51-4570-A01D-DA10FA50463A}" name="territory_name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D477F5-6465-43CB-8CE8-F5A2BF8D5F10}" name="tblLeads" displayName="tblLeads" ref="A1:Y1301" totalsRowShown="0">
  <autoFilter ref="A1:Y1301" xr:uid="{BBD477F5-6465-43CB-8CE8-F5A2BF8D5F10}"/>
  <tableColumns count="25">
    <tableColumn id="1" xr3:uid="{A0530A10-3CA0-4170-B259-3B04E9FC5BE7}" name="lead_id"/>
    <tableColumn id="2" xr3:uid="{7181E9A1-34D5-4FAB-9130-467C09EBD9F2}" name="first_name"/>
    <tableColumn id="3" xr3:uid="{9FC34C14-0800-42C9-81E5-2BE83255E298}" name="last_name"/>
    <tableColumn id="4" xr3:uid="{CB049A0F-0920-41B2-9141-24BCDBFF0188}" name="email"/>
    <tableColumn id="5" xr3:uid="{396ED14D-86BA-4D95-870E-A6C8F58EC10D}" name="company_name"/>
    <tableColumn id="6" xr3:uid="{3D1E7D60-C7D2-498F-A768-0B201363D4DC}" name="job_title"/>
    <tableColumn id="7" xr3:uid="{A6C6FFC1-DE1B-4E9D-A942-141B7D3D7ED2}" name="employee_count"/>
    <tableColumn id="8" xr3:uid="{6331CB2E-AF0C-462A-8FD6-AA5025269F07}" name="state_code"/>
    <tableColumn id="9" xr3:uid="{CC1A5C17-8FA6-4286-AEB4-48BACF1A5ED0}" name="segment"/>
    <tableColumn id="10" xr3:uid="{18EC5AB5-1C45-41C6-AD04-96DF1D109772}" name="lead_source"/>
    <tableColumn id="11" xr3:uid="{B0CBFDF9-C6A6-47E5-A972-486BC64EA5AC}" name="lead_score"/>
    <tableColumn id="12" xr3:uid="{C46C4DA1-C4A5-474E-8796-0E0CE0CEB062}" name="lifecycle_stage"/>
    <tableColumn id="13" xr3:uid="{83135CAD-73DF-4BB2-8C2F-3E3E7FDBD0EC}" name="lead_status"/>
    <tableColumn id="14" xr3:uid="{562A553C-1B60-4FBE-A477-4B82974E059D}" name="owner_id"/>
    <tableColumn id="15" xr3:uid="{AFA82E00-D72E-47AB-903C-AF29D096D3A8}" name="created_at" dataDxfId="90"/>
    <tableColumn id="16" xr3:uid="{3011A460-7C45-46AE-AE31-8A10A7F4B52B}" name="mql_at" dataDxfId="89"/>
    <tableColumn id="17" xr3:uid="{1E03DCAB-8A67-4706-91B7-8A8298CC983A}" name="owner_assigned_at" dataDxfId="88"/>
    <tableColumn id="18" xr3:uid="{E8C2E57E-B0BA-41C5-AE19-52888F584DE9}" name="first_response_at" dataDxfId="87"/>
    <tableColumn id="19" xr3:uid="{6FA80573-7984-498F-A288-5B604D253059}" name="sql_at"/>
    <tableColumn id="20" xr3:uid="{8EAB0EB2-801E-46D6-8995-989CD2DAD4D9}" name="disqualification_reason"/>
    <tableColumn id="21" xr3:uid="{E79A8F4D-9807-4D43-A22B-F68F3DD59062}" name="is_converted"/>
    <tableColumn id="22" xr3:uid="{EF1FF8A6-73FC-4B25-AF52-B020FB839F5D}" name="converted_at"/>
    <tableColumn id="23" xr3:uid="{D36C9B04-2E04-42F6-A2AC-4EDE66A850CF}" name="converted_account_id"/>
    <tableColumn id="24" xr3:uid="{024576D9-466C-4894-B304-E8FE514D6BF1}" name="converted_contact_id"/>
    <tableColumn id="25" xr3:uid="{B27E8026-9EB9-44FB-9201-94E710572449}" name="converted_opportunity_i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BD59CF-A783-4622-AFD5-B91A9D30A1D2}" name="tblUsers" displayName="tblUsers" ref="A1:L26" totalsRowShown="0" headerRowDxfId="86" headerRowCellStyle="Normal 2">
  <autoFilter ref="A1:L26" xr:uid="{EBBD59CF-A783-4622-AFD5-B91A9D30A1D2}"/>
  <tableColumns count="12">
    <tableColumn id="1" xr3:uid="{BD422287-7AD5-4A1F-B6B5-DB3182142741}" name="user_id" dataDxfId="85" dataCellStyle="Normal 2"/>
    <tableColumn id="2" xr3:uid="{7A99F33A-085C-4B0B-BC93-5477542345B6}" name="first_name" dataDxfId="84" dataCellStyle="Normal 2"/>
    <tableColumn id="3" xr3:uid="{38241A6C-B838-4A9C-A071-2B75C4B4FDAF}" name="last_name" dataDxfId="83" dataCellStyle="Normal 2"/>
    <tableColumn id="4" xr3:uid="{18B3A76D-ACC1-4B8C-94DA-666FB42AF088}" name="email" dataDxfId="82" dataCellStyle="Hyperlink"/>
    <tableColumn id="5" xr3:uid="{D36458DB-B657-4868-89E7-5C64BD4B26ED}" name="job_title" dataDxfId="81" dataCellStyle="Normal 2"/>
    <tableColumn id="6" xr3:uid="{763EFFFF-51BE-435F-ADA9-5BBBF659E2A3}" name="team" dataDxfId="80" dataCellStyle="Normal 2"/>
    <tableColumn id="7" xr3:uid="{34773AD8-AE48-428E-91D8-813CF7F61E73}" name="segment" dataDxfId="79" dataCellStyle="Normal 2"/>
    <tableColumn id="8" xr3:uid="{2D02F087-748E-412A-A1BE-A7B73ED93240}" name="territory_id" dataDxfId="78" dataCellStyle="Normal 2"/>
    <tableColumn id="9" xr3:uid="{69F1C964-FB3B-4CD8-8BE3-9D39723A33A0}" name="manager_id" dataDxfId="77" dataCellStyle="Normal 2"/>
    <tableColumn id="10" xr3:uid="{27ADDEBE-CC4D-4D44-95A8-970B4F1E83C1}" name="annual_quota" dataDxfId="76" dataCellStyle="Normal 2"/>
    <tableColumn id="11" xr3:uid="{33C7B9B1-E6BA-4567-BFD4-7E47527B1BA5}" name="hire_date" dataDxfId="75" dataCellStyle="Normal 2"/>
    <tableColumn id="12" xr3:uid="{762F7872-AA49-4C14-AE24-6C170B8808FC}" name="is_active" dataDxfId="74" dataCellStyle="Normal 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B0EE00-EB23-44A9-9C51-4BF445C5F2E6}" name="tblOpportunities" displayName="tblOpportunities" ref="A1:AC426" totalsRowShown="0" headerRowDxfId="73" headerRowCellStyle="Normal 3" dataCellStyle="Normal 3">
  <autoFilter ref="A1:AC426" xr:uid="{3AB0EE00-EB23-44A9-9C51-4BF445C5F2E6}"/>
  <tableColumns count="29">
    <tableColumn id="1" xr3:uid="{A6AC5BE1-3D00-4C07-BE69-ECD332FAA140}" name="opportunity_id" dataCellStyle="Normal 3"/>
    <tableColumn id="2" xr3:uid="{EE35BBFC-18C2-4C96-BC00-B2CA3CDE9101}" name="opportunity_name" dataCellStyle="Normal 3"/>
    <tableColumn id="3" xr3:uid="{1FE25129-1B09-4C39-9BC9-7586A9E61430}" name="account_id" dataCellStyle="Normal 3"/>
    <tableColumn id="4" xr3:uid="{D8330535-DAEE-42B5-8ABA-18B041690B59}" name="primary_contact_id" dataCellStyle="Normal 3"/>
    <tableColumn id="5" xr3:uid="{34223E2B-0262-437B-8EED-CC82B3D5FB3D}" name="owner_id" dataCellStyle="Normal 3"/>
    <tableColumn id="6" xr3:uid="{F8FA61BF-D09F-4B36-8202-6ADD1D5E3BFF}" name="opportunity_type" dataCellStyle="Normal 3"/>
    <tableColumn id="7" xr3:uid="{32576903-7D87-4A9C-9067-3B03A6686E39}" name="lead_source" dataCellStyle="Normal 3"/>
    <tableColumn id="8" xr3:uid="{B84B833D-E990-43BC-93EE-DE3E2610BF9D}" name="created_at" dataDxfId="72" dataCellStyle="Normal 3"/>
    <tableColumn id="9" xr3:uid="{FBD0F01C-9B0F-4195-B19D-504238386652}" name="stage" dataCellStyle="Normal 3"/>
    <tableColumn id="10" xr3:uid="{9FC273BB-AE27-4BD7-AC56-E0C1F151824D}" name="stage_probability" dataCellStyle="Normal 3"/>
    <tableColumn id="11" xr3:uid="{81FA7BDC-E571-4DA2-84C0-D134DC227C32}" name="forecast_category" dataCellStyle="Normal 3"/>
    <tableColumn id="12" xr3:uid="{48289620-DF14-4947-9CEA-7765D9746BD0}" name="expected_close_date" dataDxfId="71" dataCellStyle="Normal 3"/>
    <tableColumn id="13" xr3:uid="{67BE0AFB-1711-410A-8612-13BBB6DF2700}" name="actual_close_date" dataDxfId="70" dataCellStyle="Normal 3"/>
    <tableColumn id="14" xr3:uid="{A19746EC-1D12-4754-978A-12019670334E}" name="next_step" dataCellStyle="Normal 3"/>
    <tableColumn id="15" xr3:uid="{AE29218C-B292-482B-A131-3D3BA655F666}" name="last_activity_date" dataDxfId="69" dataCellStyle="Normal 3"/>
    <tableColumn id="16" xr3:uid="{BBF2EF7C-BC40-4704-8C35-0F49B0D6A07F}" name="closed_lost_reason" dataCellStyle="Normal 3"/>
    <tableColumn id="17" xr3:uid="{37BD6ABA-C891-4250-AE00-7738B8888048}" name="list_arr" dataDxfId="68" dataCellStyle="Normal 3"/>
    <tableColumn id="18" xr3:uid="{81D93DCE-93EF-44D1-9548-A41910C9D14B}" name="discount_pct" dataDxfId="67" dataCellStyle="Normal 3"/>
    <tableColumn id="19" xr3:uid="{9F2FBAEE-687E-4069-92EC-C6B05487C689}" name="net_arr" dataDxfId="66" dataCellStyle="Normal 3"/>
    <tableColumn id="20" xr3:uid="{D697D15D-F90A-46BE-AC34-D957A63EDE7D}" name="contract_term_months" dataCellStyle="Normal 3"/>
    <tableColumn id="21" xr3:uid="{CC107D9A-10E6-49D1-B25F-26F12C0EED38}" name="subscription_tcv" dataDxfId="65" dataCellStyle="Normal 3"/>
    <tableColumn id="22" xr3:uid="{84200D7A-0B38-4249-ACED-26E05DBD507A}" name="implementation_fee_list" dataDxfId="64" dataCellStyle="Normal 3"/>
    <tableColumn id="23" xr3:uid="{BEABC7FE-E7F6-4A76-9310-4E455710F5BB}" name="implementation_discount_pct" dataDxfId="63" dataCellStyle="Normal 3"/>
    <tableColumn id="24" xr3:uid="{BA8C37B9-1EC2-42F3-8F96-C28D9A73414F}" name="implementation_fee_booked" dataDxfId="62" dataCellStyle="Normal 3"/>
    <tableColumn id="25" xr3:uid="{B1EEDBDB-2DDD-498F-9793-4F9684AC7FB4}" name="payment_terms" dataCellStyle="Normal 3"/>
    <tableColumn id="26" xr3:uid="{F3B4BC63-71E7-4A64-9C32-E1D6AE337FBC}" name="billing_schedule" dataCellStyle="Normal 3"/>
    <tableColumn id="27" xr3:uid="{F165447C-377E-4F03-9A5E-4A770B740D8B}" name="custom_pricing_flag" dataCellStyle="Normal 3"/>
    <tableColumn id="28" xr3:uid="{02F2324E-B6DD-4059-9C43-41885393A3F5}" name="nonstandard_contract_terms" dataCellStyle="Normal 3"/>
    <tableColumn id="29" xr3:uid="{47888EC4-4610-436F-83F0-0D63066ABF78}" name="deal_desk_required" dataCellStyle="Normal 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ABA630-D3F4-402C-85AA-DBE4D73823F1}" name="tblApprovals" displayName="tblApprovals" ref="A1:L126" totalsRowShown="0" headerRowDxfId="51" headerRowCellStyle="Normal 3" dataCellStyle="Normal 3">
  <autoFilter ref="A1:L126" xr:uid="{1FABA630-D3F4-402C-85AA-DBE4D73823F1}"/>
  <tableColumns count="12">
    <tableColumn id="1" xr3:uid="{CA317C47-F57C-4765-B561-3FFFACFAAA13}" name="approval_id" dataCellStyle="Normal 3"/>
    <tableColumn id="2" xr3:uid="{20ECBA84-F4EC-4037-87FB-01B2C71CAE2B}" name="opportunity_id" dataCellStyle="Normal 3"/>
    <tableColumn id="3" xr3:uid="{843FB01C-1A51-4A3A-81EA-148F36A478C0}" name="approval_type" dataCellStyle="Normal 3"/>
    <tableColumn id="4" xr3:uid="{BE625664-9766-4047-9E11-AB210D06B682}" name="requested_by_user_id" dataCellStyle="Normal 3"/>
    <tableColumn id="5" xr3:uid="{CB2D06B0-D6A8-4F88-9C2D-99BD2A107E9D}" name="approver_user_id" dataCellStyle="Normal 3"/>
    <tableColumn id="6" xr3:uid="{9509CE79-C152-4EE4-ADF5-C0C4CB2EF56C}" name="requested_at" dataDxfId="54" dataCellStyle="Normal 3"/>
    <tableColumn id="7" xr3:uid="{044915B1-4CBB-495C-B813-F9105001AF0A}" name="decision_at" dataDxfId="53" dataCellStyle="Normal 3"/>
    <tableColumn id="8" xr3:uid="{4F03CB16-12BF-4481-B6E1-FB593C397EE3}" name="approval_status" dataCellStyle="Normal 3"/>
    <tableColumn id="9" xr3:uid="{734E8743-6634-46B2-99E0-D8BFEE284C81}" name="requested_discount_pct" dataDxfId="52" dataCellStyle="Normal 3"/>
    <tableColumn id="10" xr3:uid="{A6DE2980-0875-4D4D-9C58-150B9D1B110F}" name="exception_details" dataCellStyle="Normal 3"/>
    <tableColumn id="11" xr3:uid="{B48677C8-85C9-4164-944A-2E4CA532F59A}" name="business_justification" dataCellStyle="Normal 3"/>
    <tableColumn id="12" xr3:uid="{DC991C7E-8298-42AA-A8B6-FE2A50C15F53}" name="approver_comments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tyler.bennett@asterpeak.example" TargetMode="External"/><Relationship Id="rId13" Type="http://schemas.openxmlformats.org/officeDocument/2006/relationships/hyperlink" Target="mailto:chloe.martin@asterpeak.example" TargetMode="External"/><Relationship Id="rId18" Type="http://schemas.openxmlformats.org/officeDocument/2006/relationships/hyperlink" Target="mailto:alex.turner@asterpeak.example" TargetMode="External"/><Relationship Id="rId26" Type="http://schemas.openxmlformats.org/officeDocument/2006/relationships/table" Target="../tables/table9.xml"/><Relationship Id="rId3" Type="http://schemas.openxmlformats.org/officeDocument/2006/relationships/hyperlink" Target="mailto:priya.shah@asterpeak.example" TargetMode="External"/><Relationship Id="rId21" Type="http://schemas.openxmlformats.org/officeDocument/2006/relationships/hyperlink" Target="mailto:mia.cooper@asterpeak.example" TargetMode="External"/><Relationship Id="rId7" Type="http://schemas.openxmlformats.org/officeDocument/2006/relationships/hyperlink" Target="mailto:nina.patel@asterpeak.example" TargetMode="External"/><Relationship Id="rId12" Type="http://schemas.openxmlformats.org/officeDocument/2006/relationships/hyperlink" Target="mailto:noah.ramirez@asterpeak.example" TargetMode="External"/><Relationship Id="rId17" Type="http://schemas.openxmlformats.org/officeDocument/2006/relationships/hyperlink" Target="mailto:olivia.reed@asterpeak.example" TargetMode="External"/><Relationship Id="rId25" Type="http://schemas.openxmlformats.org/officeDocument/2006/relationships/hyperlink" Target="mailto:natalie.evans@asterpeak.example" TargetMode="External"/><Relationship Id="rId2" Type="http://schemas.openxmlformats.org/officeDocument/2006/relationships/hyperlink" Target="mailto:daniel.ortiz@asterpeak.example" TargetMode="External"/><Relationship Id="rId16" Type="http://schemas.openxmlformats.org/officeDocument/2006/relationships/hyperlink" Target="mailto:caleb.morgan@asterpeak.example" TargetMode="External"/><Relationship Id="rId20" Type="http://schemas.openxmlformats.org/officeDocument/2006/relationships/hyperlink" Target="mailto:samuel.price@asterpeak.example" TargetMode="External"/><Relationship Id="rId1" Type="http://schemas.openxmlformats.org/officeDocument/2006/relationships/hyperlink" Target="mailto:maya.chen@asterpeak.example" TargetMode="External"/><Relationship Id="rId6" Type="http://schemas.openxmlformats.org/officeDocument/2006/relationships/hyperlink" Target="mailto:jordan.brooks@asterpeak.example" TargetMode="External"/><Relationship Id="rId11" Type="http://schemas.openxmlformats.org/officeDocument/2006/relationships/hyperlink" Target="mailto:lauren.hayes@asterpeak.example" TargetMode="External"/><Relationship Id="rId24" Type="http://schemas.openxmlformats.org/officeDocument/2006/relationships/hyperlink" Target="mailto:benjamin.clarke@asterpeak.example" TargetMode="External"/><Relationship Id="rId5" Type="http://schemas.openxmlformats.org/officeDocument/2006/relationships/hyperlink" Target="mailto:emily.carter@asterpeak.example" TargetMode="External"/><Relationship Id="rId15" Type="http://schemas.openxmlformats.org/officeDocument/2006/relationships/hyperlink" Target="mailto:sofia.nguyen@asterpeak.example" TargetMode="External"/><Relationship Id="rId23" Type="http://schemas.openxmlformats.org/officeDocument/2006/relationships/hyperlink" Target="mailto:ava.richardson@asterpeak.example" TargetMode="External"/><Relationship Id="rId10" Type="http://schemas.openxmlformats.org/officeDocument/2006/relationships/hyperlink" Target="mailto:andre.wilson@asterpeak.example" TargetMode="External"/><Relationship Id="rId19" Type="http://schemas.openxmlformats.org/officeDocument/2006/relationships/hyperlink" Target="mailto:grace.collins@asterpeak.example" TargetMode="External"/><Relationship Id="rId4" Type="http://schemas.openxmlformats.org/officeDocument/2006/relationships/hyperlink" Target="mailto:marcus.lee@asterpeak.example" TargetMode="External"/><Relationship Id="rId9" Type="http://schemas.openxmlformats.org/officeDocument/2006/relationships/hyperlink" Target="mailto:rachel.kim@asterpeak.example" TargetMode="External"/><Relationship Id="rId14" Type="http://schemas.openxmlformats.org/officeDocument/2006/relationships/hyperlink" Target="mailto:ethan.foster@asterpeak.example" TargetMode="External"/><Relationship Id="rId22" Type="http://schemas.openxmlformats.org/officeDocument/2006/relationships/hyperlink" Target="mailto:lucas.perry@asterpeak.example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A13FE-782E-4438-8998-528B3DBF2DB0}">
  <dimension ref="A1:F12"/>
  <sheetViews>
    <sheetView tabSelected="1" workbookViewId="0">
      <selection activeCell="C1" sqref="C1"/>
    </sheetView>
  </sheetViews>
  <sheetFormatPr defaultColWidth="37" defaultRowHeight="15"/>
  <cols>
    <col min="1" max="1" width="37.140625" bestFit="1" customWidth="1"/>
    <col min="2" max="2" width="10.85546875" bestFit="1" customWidth="1"/>
  </cols>
  <sheetData>
    <row r="1" spans="1:6">
      <c r="A1" s="42" t="s">
        <v>6550</v>
      </c>
      <c r="B1" s="42"/>
      <c r="C1" s="43"/>
      <c r="D1" s="43"/>
      <c r="E1" s="43"/>
      <c r="F1" s="43"/>
    </row>
    <row r="2" spans="1:6">
      <c r="A2" s="42" t="s">
        <v>6558</v>
      </c>
      <c r="B2" s="42"/>
    </row>
    <row r="3" spans="1:6">
      <c r="A3" t="s">
        <v>6551</v>
      </c>
      <c r="B3" s="46">
        <f>ROWS(tblAccountAudit[Account ID])</f>
        <v>325</v>
      </c>
    </row>
    <row r="4" spans="1:6">
      <c r="A4" t="s">
        <v>6552</v>
      </c>
      <c r="B4" s="47">
        <f>ROWS(tblLeadRouting[Lead ID])</f>
        <v>1300</v>
      </c>
    </row>
    <row r="5" spans="1:6">
      <c r="A5" t="s">
        <v>6553</v>
      </c>
      <c r="B5" s="46">
        <f>ROWS(tblDealDeskAudit[Opportunity ID])</f>
        <v>425</v>
      </c>
    </row>
    <row r="6" spans="1:6">
      <c r="A6" t="s">
        <v>6554</v>
      </c>
      <c r="B6" s="46">
        <f>COUNTIF(tblAccountAudit[Territory Status],"Wrong Territory")+COUNTIF(tblAccountAudit[Owner Status],"Misassigned")+COUNTIF(tblAccountAudit[Owner Status],"Unassigned")</f>
        <v>25</v>
      </c>
    </row>
    <row r="7" spans="1:6">
      <c r="A7" t="s">
        <v>6555</v>
      </c>
      <c r="B7" s="48">
        <f>COUNTIF(tblLeadRouting[Routing Status],"Routing Compatible")/ROWS(tblLeadRouting[Lead ID])</f>
        <v>0.87538461538461543</v>
      </c>
    </row>
    <row r="8" spans="1:6">
      <c r="A8" t="s">
        <v>6282</v>
      </c>
      <c r="B8" s="46">
        <f>COUNTIF(tblPipelineAudit[Pipeline Health],"Overdue")+COUNTIF(tblPipelineAudit[Pipeline Health],"Stale")+COUNTIF(tblPipelineAudit[Pipeline Health],"Stale + Overdue")</f>
        <v>53</v>
      </c>
    </row>
    <row r="9" spans="1:6">
      <c r="A9" t="s">
        <v>6556</v>
      </c>
      <c r="B9" s="49">
        <f>SUMIFS(tblPipelineAudit[Net ARR],tblPipelineAudit[Pipeline Health],"Overdue")+SUMIFS(tblPipelineAudit[Net ARR],tblPipelineAudit[Pipeline Health],"Stale")+SUMIFS(tblPipelineAudit[Net ARR],tblPipelineAudit[Pipeline Health],"Stale + Overdue")</f>
        <v>2050230</v>
      </c>
    </row>
    <row r="10" spans="1:6">
      <c r="A10" t="s">
        <v>6557</v>
      </c>
      <c r="B10" s="46" cm="1">
        <f t="array" ref="B10">SUMPRODUCT((tblPipelineAudit[Stage]&lt;&gt;"Closed Won")*(tblPipelineAudit[Stage]&lt;&gt;"Closed Lost")*(tblPipelineAudit[Critical Field Gap]&lt;&gt;"No Gap")*(LEN(tblPipelineAudit[Critical Field Gap])&gt;0))</f>
        <v>30</v>
      </c>
    </row>
    <row r="11" spans="1:6">
      <c r="A11" t="s">
        <v>6549</v>
      </c>
      <c r="B11" s="48">
        <f>(COUNTIF(tblDealDeskAudit[Flag Audit Status],"Correctly Flagged")+COUNTIF(tblDealDeskAudit[Flag Audit Status],"Correctly Not Flagged"))/ROWS(tblDealDeskAudit[Opportunity ID])</f>
        <v>0.97647058823529409</v>
      </c>
    </row>
    <row r="12" spans="1:6">
      <c r="A12" t="s">
        <v>6525</v>
      </c>
      <c r="B12" s="46">
        <f>COUNTIF(tblDealDeskAudit[Approval Evidence Status],"Missing Approval Evidence")</f>
        <v>89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41C2-348A-402E-BA93-ED7E1005B746}">
  <dimension ref="A1:Q326"/>
  <sheetViews>
    <sheetView topLeftCell="E1" workbookViewId="0">
      <pane ySplit="1" topLeftCell="A2" activePane="bottomLeft" state="frozen"/>
      <selection activeCell="E1" sqref="E1"/>
      <selection pane="bottomLeft" activeCell="F6" sqref="F6"/>
    </sheetView>
  </sheetViews>
  <sheetFormatPr defaultRowHeight="15"/>
  <cols>
    <col min="1" max="1" width="13" bestFit="1" customWidth="1"/>
    <col min="2" max="2" width="37.28515625" bestFit="1" customWidth="1"/>
    <col min="3" max="3" width="18.42578125" bestFit="1" customWidth="1"/>
    <col min="4" max="4" width="8" bestFit="1" customWidth="1"/>
    <col min="5" max="5" width="17.85546875" bestFit="1" customWidth="1"/>
    <col min="6" max="6" width="17.5703125" bestFit="1" customWidth="1"/>
    <col min="7" max="7" width="11.5703125" bestFit="1" customWidth="1"/>
    <col min="8" max="8" width="22.7109375" bestFit="1" customWidth="1"/>
    <col min="9" max="9" width="20.140625" bestFit="1" customWidth="1"/>
    <col min="10" max="10" width="26.85546875" bestFit="1" customWidth="1"/>
    <col min="11" max="11" width="20.7109375" bestFit="1" customWidth="1"/>
    <col min="12" max="12" width="17.5703125" bestFit="1" customWidth="1"/>
    <col min="13" max="13" width="17.28515625" bestFit="1" customWidth="1"/>
    <col min="14" max="14" width="15.42578125" bestFit="1" customWidth="1"/>
    <col min="16" max="16" width="34" bestFit="1" customWidth="1"/>
  </cols>
  <sheetData>
    <row r="1" spans="1:17">
      <c r="A1" t="s">
        <v>1226</v>
      </c>
      <c r="B1" t="s">
        <v>1227</v>
      </c>
      <c r="C1" t="s">
        <v>1228</v>
      </c>
      <c r="D1" t="s">
        <v>1229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1239</v>
      </c>
      <c r="P1" t="s">
        <v>1240</v>
      </c>
      <c r="Q1" t="s">
        <v>1249</v>
      </c>
    </row>
    <row r="2" spans="1:17">
      <c r="A2" t="s">
        <v>12</v>
      </c>
      <c r="B2" t="s">
        <v>13</v>
      </c>
      <c r="D2" t="s">
        <v>16</v>
      </c>
      <c r="E2" t="s">
        <v>17</v>
      </c>
      <c r="F2">
        <v>1</v>
      </c>
      <c r="G2" t="s">
        <v>18</v>
      </c>
      <c r="H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Missing Employee Count</v>
      </c>
      <c r="I2">
        <f>_xlfn.XLOOKUP(tblAccountAudit[[#This Row],[State]],tblStates[state_code],tblStates[territory_id],"Missing State")</f>
        <v>1</v>
      </c>
      <c r="J2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" t="str" cm="1">
        <f t="array" ref="K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  <c r="P2" t="s">
        <v>1241</v>
      </c>
      <c r="Q2">
        <f>COUNTBLANK(tblAccountAudit[Employee Count])</f>
        <v>6</v>
      </c>
    </row>
    <row r="3" spans="1:17">
      <c r="A3" t="s">
        <v>20</v>
      </c>
      <c r="B3" t="s">
        <v>21</v>
      </c>
      <c r="C3">
        <v>130</v>
      </c>
      <c r="D3" t="s">
        <v>23</v>
      </c>
      <c r="E3" t="s">
        <v>24</v>
      </c>
      <c r="F3">
        <v>2</v>
      </c>
      <c r="G3" t="s">
        <v>25</v>
      </c>
      <c r="H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">
        <f>_xlfn.XLOOKUP(tblAccountAudit[[#This Row],[State]],tblStates[state_code],tblStates[territory_id],"Missing State")</f>
        <v>2</v>
      </c>
      <c r="J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" t="str" cm="1">
        <f t="array" ref="K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  <c r="P3" t="s">
        <v>1242</v>
      </c>
      <c r="Q3">
        <f>COUNTIF(tblAccountAudit[Expected Segment],"Outside Target")+COUNTIF(tblAccountAudit[Expected Segment],"Management Review")</f>
        <v>9</v>
      </c>
    </row>
    <row r="4" spans="1:17">
      <c r="A4" t="s">
        <v>26</v>
      </c>
      <c r="B4" t="s">
        <v>27</v>
      </c>
      <c r="C4">
        <v>542</v>
      </c>
      <c r="D4" t="s">
        <v>16</v>
      </c>
      <c r="E4" t="s">
        <v>30</v>
      </c>
      <c r="F4">
        <v>1</v>
      </c>
      <c r="G4" t="s">
        <v>18</v>
      </c>
      <c r="H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4">
        <f>_xlfn.XLOOKUP(tblAccountAudit[[#This Row],[State]],tblStates[state_code],tblStates[territory_id],"Missing State")</f>
        <v>1</v>
      </c>
      <c r="J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4" t="str" cm="1">
        <f t="array" ref="K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  <c r="P4" t="s">
        <v>1247</v>
      </c>
      <c r="Q4">
        <f>COUNTBLANK(tblAccountAudit[Stored Territory])</f>
        <v>4</v>
      </c>
    </row>
    <row r="5" spans="1:17">
      <c r="A5" t="s">
        <v>31</v>
      </c>
      <c r="B5" t="s">
        <v>32</v>
      </c>
      <c r="C5">
        <v>595</v>
      </c>
      <c r="D5" t="s">
        <v>35</v>
      </c>
      <c r="E5" t="s">
        <v>30</v>
      </c>
      <c r="F5">
        <v>4</v>
      </c>
      <c r="G5" t="s">
        <v>36</v>
      </c>
      <c r="H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5">
        <f>_xlfn.XLOOKUP(tblAccountAudit[[#This Row],[State]],tblStates[state_code],tblStates[territory_id],"Missing State")</f>
        <v>4</v>
      </c>
      <c r="J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5" t="str" cm="1">
        <f t="array" ref="K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  <c r="P5" t="s">
        <v>1243</v>
      </c>
      <c r="Q5">
        <f>COUNTIF(tblAccountAudit[Territory Status],"Wrong Territory")</f>
        <v>10</v>
      </c>
    </row>
    <row r="6" spans="1:17">
      <c r="A6" t="s">
        <v>37</v>
      </c>
      <c r="B6" t="s">
        <v>38</v>
      </c>
      <c r="C6">
        <v>137</v>
      </c>
      <c r="D6" t="s">
        <v>41</v>
      </c>
      <c r="E6" t="s">
        <v>24</v>
      </c>
      <c r="F6">
        <v>2</v>
      </c>
      <c r="G6" t="s">
        <v>25</v>
      </c>
      <c r="H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6">
        <f>_xlfn.XLOOKUP(tblAccountAudit[[#This Row],[State]],tblStates[state_code],tblStates[territory_id],"Missing State")</f>
        <v>2</v>
      </c>
      <c r="J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6" t="str" cm="1">
        <f t="array" ref="K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  <c r="P6" t="s">
        <v>1248</v>
      </c>
      <c r="Q6">
        <f>COUNTBLANK(tblAccountAudit[State])</f>
        <v>4</v>
      </c>
    </row>
    <row r="7" spans="1:17">
      <c r="A7" t="s">
        <v>43</v>
      </c>
      <c r="B7" t="s">
        <v>44</v>
      </c>
      <c r="C7">
        <v>40</v>
      </c>
      <c r="D7" t="s">
        <v>46</v>
      </c>
      <c r="E7" t="s">
        <v>24</v>
      </c>
      <c r="F7">
        <v>1</v>
      </c>
      <c r="G7" t="s">
        <v>25</v>
      </c>
      <c r="H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7">
        <f>_xlfn.XLOOKUP(tblAccountAudit[[#This Row],[State]],tblStates[state_code],tblStates[territory_id],"Missing State")</f>
        <v>1</v>
      </c>
      <c r="J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7" t="str" cm="1">
        <f t="array" ref="K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  <c r="P7" t="s">
        <v>1244</v>
      </c>
      <c r="Q7">
        <f>COUNTIF(tblAccountAudit[Owner Status],"Misassigned")</f>
        <v>9</v>
      </c>
    </row>
    <row r="8" spans="1:17">
      <c r="A8" t="s">
        <v>47</v>
      </c>
      <c r="B8" t="s">
        <v>48</v>
      </c>
      <c r="C8">
        <v>310</v>
      </c>
      <c r="D8" t="s">
        <v>50</v>
      </c>
      <c r="E8" t="s">
        <v>30</v>
      </c>
      <c r="F8">
        <v>4</v>
      </c>
      <c r="G8" t="s">
        <v>36</v>
      </c>
      <c r="H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8">
        <f>_xlfn.XLOOKUP(tblAccountAudit[[#This Row],[State]],tblStates[state_code],tblStates[territory_id],"Missing State")</f>
        <v>4</v>
      </c>
      <c r="J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8" t="str" cm="1">
        <f t="array" ref="K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  <c r="P8" t="s">
        <v>1245</v>
      </c>
      <c r="Q8">
        <f>COUNTBLANK(tblAccountAudit[Owner ID])</f>
        <v>6</v>
      </c>
    </row>
    <row r="9" spans="1:17">
      <c r="A9" t="s">
        <v>51</v>
      </c>
      <c r="B9" t="s">
        <v>52</v>
      </c>
      <c r="C9">
        <v>738</v>
      </c>
      <c r="D9" t="s">
        <v>54</v>
      </c>
      <c r="E9" t="s">
        <v>30</v>
      </c>
      <c r="F9">
        <v>3</v>
      </c>
      <c r="G9" t="s">
        <v>55</v>
      </c>
      <c r="H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9">
        <f>_xlfn.XLOOKUP(tblAccountAudit[[#This Row],[State]],tblStates[state_code],tblStates[territory_id],"Missing State")</f>
        <v>3</v>
      </c>
      <c r="J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9" t="str" cm="1">
        <f t="array" ref="K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  <c r="P9" t="s">
        <v>1246</v>
      </c>
      <c r="Q9">
        <f>COUNTIF(tblAccountAudit[Segment Status],"Mismatch")</f>
        <v>0</v>
      </c>
    </row>
    <row r="10" spans="1:17">
      <c r="A10" t="s">
        <v>56</v>
      </c>
      <c r="B10" t="s">
        <v>57</v>
      </c>
      <c r="C10">
        <v>148</v>
      </c>
      <c r="D10" t="s">
        <v>50</v>
      </c>
      <c r="E10" t="s">
        <v>24</v>
      </c>
      <c r="F10">
        <v>4</v>
      </c>
      <c r="G10" t="s">
        <v>59</v>
      </c>
      <c r="H1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0">
        <f>_xlfn.XLOOKUP(tblAccountAudit[[#This Row],[State]],tblStates[state_code],tblStates[territory_id],"Missing State")</f>
        <v>4</v>
      </c>
      <c r="J1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0" t="str" cm="1">
        <f t="array" ref="K1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" spans="1:17">
      <c r="A11" t="s">
        <v>60</v>
      </c>
      <c r="B11" t="s">
        <v>61</v>
      </c>
      <c r="C11">
        <v>1255</v>
      </c>
      <c r="D11" t="s">
        <v>64</v>
      </c>
      <c r="E11" t="s">
        <v>17</v>
      </c>
      <c r="F11">
        <v>3</v>
      </c>
      <c r="G11" t="s">
        <v>55</v>
      </c>
      <c r="H1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1">
        <f>_xlfn.XLOOKUP(tblAccountAudit[[#This Row],[State]],tblStates[state_code],tblStates[territory_id],"Missing State")</f>
        <v>3</v>
      </c>
      <c r="J1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" t="str" cm="1">
        <f t="array" ref="K1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" spans="1:17">
      <c r="A12" t="s">
        <v>65</v>
      </c>
      <c r="B12" t="s">
        <v>66</v>
      </c>
      <c r="C12">
        <v>85</v>
      </c>
      <c r="D12" t="s">
        <v>68</v>
      </c>
      <c r="E12" t="s">
        <v>24</v>
      </c>
      <c r="F12">
        <v>3</v>
      </c>
      <c r="G12" t="s">
        <v>69</v>
      </c>
      <c r="H1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2">
        <f>_xlfn.XLOOKUP(tblAccountAudit[[#This Row],[State]],tblStates[state_code],tblStates[territory_id],"Missing State")</f>
        <v>3</v>
      </c>
      <c r="J1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2" t="str" cm="1">
        <f t="array" ref="K1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" spans="1:17">
      <c r="A13" t="s">
        <v>70</v>
      </c>
      <c r="B13" t="s">
        <v>71</v>
      </c>
      <c r="C13">
        <v>293</v>
      </c>
      <c r="D13" t="s">
        <v>16</v>
      </c>
      <c r="E13" t="s">
        <v>30</v>
      </c>
      <c r="F13">
        <v>1</v>
      </c>
      <c r="G13" t="s">
        <v>18</v>
      </c>
      <c r="H1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3">
        <f>_xlfn.XLOOKUP(tblAccountAudit[[#This Row],[State]],tblStates[state_code],tblStates[territory_id],"Missing State")</f>
        <v>1</v>
      </c>
      <c r="J1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3" t="str" cm="1">
        <f t="array" ref="K1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" spans="1:17">
      <c r="A14" t="s">
        <v>73</v>
      </c>
      <c r="B14" t="s">
        <v>74</v>
      </c>
      <c r="C14">
        <v>2018</v>
      </c>
      <c r="D14" t="s">
        <v>76</v>
      </c>
      <c r="E14" t="s">
        <v>17</v>
      </c>
      <c r="F14">
        <v>4</v>
      </c>
      <c r="H1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4">
        <f>_xlfn.XLOOKUP(tblAccountAudit[[#This Row],[State]],tblStates[state_code],tblStates[territory_id],"Missing State")</f>
        <v>4</v>
      </c>
      <c r="J1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4" t="str" cm="1">
        <f t="array" ref="K1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Unassigned</v>
      </c>
    </row>
    <row r="15" spans="1:17">
      <c r="A15" t="s">
        <v>77</v>
      </c>
      <c r="B15" t="s">
        <v>78</v>
      </c>
      <c r="C15">
        <v>1774</v>
      </c>
      <c r="D15" t="s">
        <v>81</v>
      </c>
      <c r="E15" t="s">
        <v>17</v>
      </c>
      <c r="F15">
        <v>2</v>
      </c>
      <c r="G15" t="s">
        <v>82</v>
      </c>
      <c r="H1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5">
        <f>_xlfn.XLOOKUP(tblAccountAudit[[#This Row],[State]],tblStates[state_code],tblStates[territory_id],"Missing State")</f>
        <v>2</v>
      </c>
      <c r="J1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5" t="str" cm="1">
        <f t="array" ref="K1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" spans="1:17">
      <c r="A16" t="s">
        <v>83</v>
      </c>
      <c r="B16" t="s">
        <v>84</v>
      </c>
      <c r="C16">
        <v>304</v>
      </c>
      <c r="D16" t="s">
        <v>50</v>
      </c>
      <c r="E16" t="s">
        <v>30</v>
      </c>
      <c r="F16">
        <v>4</v>
      </c>
      <c r="G16" t="s">
        <v>36</v>
      </c>
      <c r="H1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6">
        <f>_xlfn.XLOOKUP(tblAccountAudit[[#This Row],[State]],tblStates[state_code],tblStates[territory_id],"Missing State")</f>
        <v>4</v>
      </c>
      <c r="J1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6" t="str" cm="1">
        <f t="array" ref="K1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" spans="1:14">
      <c r="A17" t="s">
        <v>87</v>
      </c>
      <c r="B17" t="s">
        <v>88</v>
      </c>
      <c r="C17">
        <v>140</v>
      </c>
      <c r="D17" t="s">
        <v>90</v>
      </c>
      <c r="E17" t="s">
        <v>24</v>
      </c>
      <c r="F17">
        <v>1</v>
      </c>
      <c r="G17" t="s">
        <v>91</v>
      </c>
      <c r="H1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">
        <f>_xlfn.XLOOKUP(tblAccountAudit[[#This Row],[State]],tblStates[state_code],tblStates[territory_id],"Missing State")</f>
        <v>1</v>
      </c>
      <c r="J1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" t="str" cm="1">
        <f t="array" ref="K1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" spans="1:14">
      <c r="A18" t="s">
        <v>92</v>
      </c>
      <c r="B18" t="s">
        <v>93</v>
      </c>
      <c r="C18">
        <v>57</v>
      </c>
      <c r="D18" t="s">
        <v>95</v>
      </c>
      <c r="E18" t="s">
        <v>24</v>
      </c>
      <c r="F18">
        <v>1</v>
      </c>
      <c r="G18" t="s">
        <v>91</v>
      </c>
      <c r="H1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8">
        <f>_xlfn.XLOOKUP(tblAccountAudit[[#This Row],[State]],tblStates[state_code],tblStates[territory_id],"Missing State")</f>
        <v>1</v>
      </c>
      <c r="J1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8" t="str" cm="1">
        <f t="array" ref="K1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" spans="1:14">
      <c r="A19" t="s">
        <v>96</v>
      </c>
      <c r="B19" t="s">
        <v>97</v>
      </c>
      <c r="C19">
        <v>85</v>
      </c>
      <c r="D19" t="s">
        <v>99</v>
      </c>
      <c r="E19" t="s">
        <v>24</v>
      </c>
      <c r="F19">
        <v>4</v>
      </c>
      <c r="G19" t="s">
        <v>59</v>
      </c>
      <c r="H1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">
        <f>_xlfn.XLOOKUP(tblAccountAudit[[#This Row],[State]],tblStates[state_code],tblStates[territory_id],"Missing State")</f>
        <v>4</v>
      </c>
      <c r="J1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" t="str" cm="1">
        <f t="array" ref="K1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" spans="1:14">
      <c r="A20" t="s">
        <v>100</v>
      </c>
      <c r="B20" t="s">
        <v>101</v>
      </c>
      <c r="C20">
        <v>74</v>
      </c>
      <c r="D20" t="s">
        <v>35</v>
      </c>
      <c r="E20" t="s">
        <v>24</v>
      </c>
      <c r="F20">
        <v>4</v>
      </c>
      <c r="G20" t="s">
        <v>59</v>
      </c>
      <c r="H2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0">
        <f>_xlfn.XLOOKUP(tblAccountAudit[[#This Row],[State]],tblStates[state_code],tblStates[territory_id],"Missing State")</f>
        <v>4</v>
      </c>
      <c r="J2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0" t="str" cm="1">
        <f t="array" ref="K2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" spans="1:14">
      <c r="A21" t="s">
        <v>103</v>
      </c>
      <c r="B21" t="s">
        <v>104</v>
      </c>
      <c r="C21">
        <v>66</v>
      </c>
      <c r="D21" t="s">
        <v>68</v>
      </c>
      <c r="E21" t="s">
        <v>24</v>
      </c>
      <c r="F21">
        <v>3</v>
      </c>
      <c r="G21" t="s">
        <v>69</v>
      </c>
      <c r="H2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1">
        <f>_xlfn.XLOOKUP(tblAccountAudit[[#This Row],[State]],tblStates[state_code],tblStates[territory_id],"Missing State")</f>
        <v>3</v>
      </c>
      <c r="J2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1" t="str" cm="1">
        <f t="array" ref="K2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" spans="1:14">
      <c r="A22" t="s">
        <v>106</v>
      </c>
      <c r="B22" t="s">
        <v>107</v>
      </c>
      <c r="C22">
        <v>691</v>
      </c>
      <c r="D22" t="s">
        <v>95</v>
      </c>
      <c r="E22" t="s">
        <v>30</v>
      </c>
      <c r="F22">
        <v>1</v>
      </c>
      <c r="G22" t="s">
        <v>18</v>
      </c>
      <c r="H2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2">
        <f>_xlfn.XLOOKUP(tblAccountAudit[[#This Row],[State]],tblStates[state_code],tblStates[territory_id],"Missing State")</f>
        <v>1</v>
      </c>
      <c r="J2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2" t="str" cm="1">
        <f t="array" ref="K2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" spans="1:14">
      <c r="A23" t="s">
        <v>110</v>
      </c>
      <c r="B23" t="s">
        <v>111</v>
      </c>
      <c r="C23">
        <v>46</v>
      </c>
      <c r="D23" t="s">
        <v>81</v>
      </c>
      <c r="E23" t="s">
        <v>24</v>
      </c>
      <c r="F23">
        <v>2</v>
      </c>
      <c r="G23" t="s">
        <v>25</v>
      </c>
      <c r="H2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3">
        <f>_xlfn.XLOOKUP(tblAccountAudit[[#This Row],[State]],tblStates[state_code],tblStates[territory_id],"Missing State")</f>
        <v>2</v>
      </c>
      <c r="J2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3" t="str" cm="1">
        <f t="array" ref="K2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" spans="1:14">
      <c r="A24" t="s">
        <v>113</v>
      </c>
      <c r="B24" t="s">
        <v>114</v>
      </c>
      <c r="C24">
        <v>85</v>
      </c>
      <c r="D24" t="s">
        <v>116</v>
      </c>
      <c r="E24" t="s">
        <v>24</v>
      </c>
      <c r="F24">
        <v>2</v>
      </c>
      <c r="G24" t="s">
        <v>25</v>
      </c>
      <c r="H2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4">
        <f>_xlfn.XLOOKUP(tblAccountAudit[[#This Row],[State]],tblStates[state_code],tblStates[territory_id],"Missing State")</f>
        <v>2</v>
      </c>
      <c r="J2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4" t="str" cm="1">
        <f t="array" ref="K2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" spans="1:14">
      <c r="A25" t="s">
        <v>117</v>
      </c>
      <c r="B25" t="s">
        <v>118</v>
      </c>
      <c r="C25">
        <v>179</v>
      </c>
      <c r="D25" t="s">
        <v>120</v>
      </c>
      <c r="E25" t="s">
        <v>24</v>
      </c>
      <c r="F25">
        <v>2</v>
      </c>
      <c r="G25" t="s">
        <v>25</v>
      </c>
      <c r="H2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5">
        <f>_xlfn.XLOOKUP(tblAccountAudit[[#This Row],[State]],tblStates[state_code],tblStates[territory_id],"Missing State")</f>
        <v>2</v>
      </c>
      <c r="J2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5" t="str" cm="1">
        <f t="array" ref="K2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" spans="1:14">
      <c r="A26" t="s">
        <v>121</v>
      </c>
      <c r="B26" t="s">
        <v>122</v>
      </c>
      <c r="C26">
        <v>488</v>
      </c>
      <c r="D26" t="s">
        <v>81</v>
      </c>
      <c r="E26" t="s">
        <v>30</v>
      </c>
      <c r="F26">
        <v>2</v>
      </c>
      <c r="G26" t="s">
        <v>82</v>
      </c>
      <c r="H2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6">
        <f>_xlfn.XLOOKUP(tblAccountAudit[[#This Row],[State]],tblStates[state_code],tblStates[territory_id],"Missing State")</f>
        <v>2</v>
      </c>
      <c r="J2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6" t="str" cm="1">
        <f t="array" ref="K2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" spans="1:14">
      <c r="A27" t="s">
        <v>124</v>
      </c>
      <c r="B27" t="s">
        <v>125</v>
      </c>
      <c r="C27">
        <v>158</v>
      </c>
      <c r="D27" t="s">
        <v>127</v>
      </c>
      <c r="E27" t="s">
        <v>24</v>
      </c>
      <c r="F27">
        <v>3</v>
      </c>
      <c r="G27" t="s">
        <v>25</v>
      </c>
      <c r="H2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7">
        <f>_xlfn.XLOOKUP(tblAccountAudit[[#This Row],[State]],tblStates[state_code],tblStates[territory_id],"Missing State")</f>
        <v>2</v>
      </c>
      <c r="J2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7" t="str" cm="1">
        <f t="array" ref="K2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2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" spans="1:14">
      <c r="A28" t="s">
        <v>128</v>
      </c>
      <c r="B28" t="s">
        <v>129</v>
      </c>
      <c r="C28">
        <v>483</v>
      </c>
      <c r="D28" t="s">
        <v>64</v>
      </c>
      <c r="E28" t="s">
        <v>30</v>
      </c>
      <c r="F28">
        <v>3</v>
      </c>
      <c r="G28" t="s">
        <v>55</v>
      </c>
      <c r="H2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8">
        <f>_xlfn.XLOOKUP(tblAccountAudit[[#This Row],[State]],tblStates[state_code],tblStates[territory_id],"Missing State")</f>
        <v>3</v>
      </c>
      <c r="J2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" t="str" cm="1">
        <f t="array" ref="K2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" spans="1:14">
      <c r="A29" t="s">
        <v>131</v>
      </c>
      <c r="B29" t="s">
        <v>132</v>
      </c>
      <c r="C29">
        <v>386</v>
      </c>
      <c r="D29" t="s">
        <v>23</v>
      </c>
      <c r="E29" t="s">
        <v>30</v>
      </c>
      <c r="F29">
        <v>2</v>
      </c>
      <c r="G29" t="s">
        <v>82</v>
      </c>
      <c r="H2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">
        <f>_xlfn.XLOOKUP(tblAccountAudit[[#This Row],[State]],tblStates[state_code],tblStates[territory_id],"Missing State")</f>
        <v>2</v>
      </c>
      <c r="J2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" t="str" cm="1">
        <f t="array" ref="K2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" spans="1:14">
      <c r="A30" t="s">
        <v>134</v>
      </c>
      <c r="B30" t="s">
        <v>135</v>
      </c>
      <c r="C30">
        <v>19</v>
      </c>
      <c r="D30" t="s">
        <v>41</v>
      </c>
      <c r="F30">
        <v>2</v>
      </c>
      <c r="G30" t="s">
        <v>25</v>
      </c>
      <c r="H3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Outside Target</v>
      </c>
      <c r="I30">
        <f>_xlfn.XLOOKUP(tblAccountAudit[[#This Row],[State]],tblStates[state_code],tblStates[territory_id],"Missing State")</f>
        <v>2</v>
      </c>
      <c r="J30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30" t="str" cm="1">
        <f t="array" ref="K3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3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3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31" spans="1:14">
      <c r="A31" t="s">
        <v>137</v>
      </c>
      <c r="B31" t="s">
        <v>138</v>
      </c>
      <c r="C31">
        <v>2147</v>
      </c>
      <c r="D31" t="s">
        <v>140</v>
      </c>
      <c r="E31" t="s">
        <v>17</v>
      </c>
      <c r="F31">
        <v>2</v>
      </c>
      <c r="G31" t="s">
        <v>82</v>
      </c>
      <c r="H3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31">
        <f>_xlfn.XLOOKUP(tblAccountAudit[[#This Row],[State]],tblStates[state_code],tblStates[territory_id],"Missing State")</f>
        <v>2</v>
      </c>
      <c r="J3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" t="str" cm="1">
        <f t="array" ref="K3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3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" spans="1:14">
      <c r="A32" t="s">
        <v>142</v>
      </c>
      <c r="B32" t="s">
        <v>143</v>
      </c>
      <c r="C32">
        <v>79</v>
      </c>
      <c r="D32" t="s">
        <v>23</v>
      </c>
      <c r="E32" t="s">
        <v>24</v>
      </c>
      <c r="F32">
        <v>2</v>
      </c>
      <c r="G32" t="s">
        <v>25</v>
      </c>
      <c r="H3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2">
        <f>_xlfn.XLOOKUP(tblAccountAudit[[#This Row],[State]],tblStates[state_code],tblStates[territory_id],"Missing State")</f>
        <v>2</v>
      </c>
      <c r="J3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2" t="str" cm="1">
        <f t="array" ref="K3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3" spans="1:14">
      <c r="A33" t="s">
        <v>145</v>
      </c>
      <c r="B33" t="s">
        <v>146</v>
      </c>
      <c r="C33">
        <v>53</v>
      </c>
      <c r="D33" t="s">
        <v>50</v>
      </c>
      <c r="E33" t="s">
        <v>24</v>
      </c>
      <c r="F33">
        <v>4</v>
      </c>
      <c r="G33" t="s">
        <v>59</v>
      </c>
      <c r="H3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3">
        <f>_xlfn.XLOOKUP(tblAccountAudit[[#This Row],[State]],tblStates[state_code],tblStates[territory_id],"Missing State")</f>
        <v>4</v>
      </c>
      <c r="J3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3" t="str" cm="1">
        <f t="array" ref="K3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3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4" spans="1:14">
      <c r="A34" t="s">
        <v>148</v>
      </c>
      <c r="B34" t="s">
        <v>149</v>
      </c>
      <c r="C34">
        <v>402</v>
      </c>
      <c r="D34" t="s">
        <v>95</v>
      </c>
      <c r="E34" t="s">
        <v>30</v>
      </c>
      <c r="F34">
        <v>1</v>
      </c>
      <c r="G34" t="s">
        <v>18</v>
      </c>
      <c r="H3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4">
        <f>_xlfn.XLOOKUP(tblAccountAudit[[#This Row],[State]],tblStates[state_code],tblStates[territory_id],"Missing State")</f>
        <v>1</v>
      </c>
      <c r="J3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4" t="str" cm="1">
        <f t="array" ref="K3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3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5" spans="1:14">
      <c r="A35" t="s">
        <v>151</v>
      </c>
      <c r="B35" t="s">
        <v>152</v>
      </c>
      <c r="C35">
        <v>91</v>
      </c>
      <c r="D35" t="s">
        <v>154</v>
      </c>
      <c r="E35" t="s">
        <v>24</v>
      </c>
      <c r="F35">
        <v>2</v>
      </c>
      <c r="G35" t="s">
        <v>25</v>
      </c>
      <c r="H3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5">
        <f>_xlfn.XLOOKUP(tblAccountAudit[[#This Row],[State]],tblStates[state_code],tblStates[territory_id],"Missing State")</f>
        <v>2</v>
      </c>
      <c r="J3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5" t="str" cm="1">
        <f t="array" ref="K3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6" spans="1:14">
      <c r="A36" t="s">
        <v>155</v>
      </c>
      <c r="B36" t="s">
        <v>156</v>
      </c>
      <c r="C36">
        <v>43</v>
      </c>
      <c r="D36" t="s">
        <v>90</v>
      </c>
      <c r="E36" t="s">
        <v>24</v>
      </c>
      <c r="F36">
        <v>1</v>
      </c>
      <c r="G36" t="s">
        <v>91</v>
      </c>
      <c r="H3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6">
        <f>_xlfn.XLOOKUP(tblAccountAudit[[#This Row],[State]],tblStates[state_code],tblStates[territory_id],"Missing State")</f>
        <v>1</v>
      </c>
      <c r="J3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6" t="str" cm="1">
        <f t="array" ref="K3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3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7" spans="1:14">
      <c r="A37" t="s">
        <v>158</v>
      </c>
      <c r="B37" t="s">
        <v>159</v>
      </c>
      <c r="C37">
        <v>97</v>
      </c>
      <c r="D37" t="s">
        <v>161</v>
      </c>
      <c r="E37" t="s">
        <v>24</v>
      </c>
      <c r="F37">
        <v>4</v>
      </c>
      <c r="G37" t="s">
        <v>59</v>
      </c>
      <c r="H3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7">
        <f>_xlfn.XLOOKUP(tblAccountAudit[[#This Row],[State]],tblStates[state_code],tblStates[territory_id],"Missing State")</f>
        <v>4</v>
      </c>
      <c r="J3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7" t="str" cm="1">
        <f t="array" ref="K3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3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8" spans="1:14">
      <c r="A38" t="s">
        <v>162</v>
      </c>
      <c r="B38" t="s">
        <v>163</v>
      </c>
      <c r="C38">
        <v>121</v>
      </c>
      <c r="D38" t="s">
        <v>16</v>
      </c>
      <c r="E38" t="s">
        <v>24</v>
      </c>
      <c r="F38">
        <v>1</v>
      </c>
      <c r="G38" t="s">
        <v>91</v>
      </c>
      <c r="H3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8">
        <f>_xlfn.XLOOKUP(tblAccountAudit[[#This Row],[State]],tblStates[state_code],tblStates[territory_id],"Missing State")</f>
        <v>1</v>
      </c>
      <c r="J3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8" t="str" cm="1">
        <f t="array" ref="K3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3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9" spans="1:14">
      <c r="A39" t="s">
        <v>165</v>
      </c>
      <c r="B39" t="s">
        <v>166</v>
      </c>
      <c r="C39">
        <v>149</v>
      </c>
      <c r="D39" t="s">
        <v>120</v>
      </c>
      <c r="E39" t="s">
        <v>24</v>
      </c>
      <c r="F39">
        <v>2</v>
      </c>
      <c r="G39" t="s">
        <v>25</v>
      </c>
      <c r="H3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9">
        <f>_xlfn.XLOOKUP(tblAccountAudit[[#This Row],[State]],tblStates[state_code],tblStates[territory_id],"Missing State")</f>
        <v>2</v>
      </c>
      <c r="J3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9" t="str" cm="1">
        <f t="array" ref="K3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0" spans="1:14">
      <c r="A40" t="s">
        <v>168</v>
      </c>
      <c r="B40" t="s">
        <v>169</v>
      </c>
      <c r="C40">
        <v>41</v>
      </c>
      <c r="D40" t="s">
        <v>171</v>
      </c>
      <c r="E40" t="s">
        <v>24</v>
      </c>
      <c r="F40">
        <v>1</v>
      </c>
      <c r="G40" t="s">
        <v>91</v>
      </c>
      <c r="H4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40">
        <f>_xlfn.XLOOKUP(tblAccountAudit[[#This Row],[State]],tblStates[state_code],tblStates[territory_id],"Missing State")</f>
        <v>1</v>
      </c>
      <c r="J4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40" t="str" cm="1">
        <f t="array" ref="K4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4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1" spans="1:14">
      <c r="A41" t="s">
        <v>172</v>
      </c>
      <c r="B41" t="s">
        <v>173</v>
      </c>
      <c r="C41">
        <v>361</v>
      </c>
      <c r="D41" t="s">
        <v>154</v>
      </c>
      <c r="E41" t="s">
        <v>30</v>
      </c>
      <c r="F41">
        <v>2</v>
      </c>
      <c r="G41" t="s">
        <v>82</v>
      </c>
      <c r="H4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41">
        <f>_xlfn.XLOOKUP(tblAccountAudit[[#This Row],[State]],tblStates[state_code],tblStates[territory_id],"Missing State")</f>
        <v>2</v>
      </c>
      <c r="J4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41" t="str" cm="1">
        <f t="array" ref="K4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4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2" spans="1:14">
      <c r="A42" t="s">
        <v>175</v>
      </c>
      <c r="B42" t="s">
        <v>176</v>
      </c>
      <c r="C42">
        <v>98</v>
      </c>
      <c r="D42" t="s">
        <v>178</v>
      </c>
      <c r="E42" t="s">
        <v>24</v>
      </c>
      <c r="F42">
        <v>4</v>
      </c>
      <c r="G42" t="s">
        <v>59</v>
      </c>
      <c r="H4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42">
        <f>_xlfn.XLOOKUP(tblAccountAudit[[#This Row],[State]],tblStates[state_code],tblStates[territory_id],"Missing State")</f>
        <v>4</v>
      </c>
      <c r="J4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42" t="str" cm="1">
        <f t="array" ref="K4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4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3" spans="1:14">
      <c r="A43" t="s">
        <v>179</v>
      </c>
      <c r="B43" t="s">
        <v>180</v>
      </c>
      <c r="C43">
        <v>593</v>
      </c>
      <c r="D43" t="s">
        <v>182</v>
      </c>
      <c r="E43" t="s">
        <v>30</v>
      </c>
      <c r="F43">
        <v>4</v>
      </c>
      <c r="G43" t="s">
        <v>36</v>
      </c>
      <c r="H4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43">
        <f>_xlfn.XLOOKUP(tblAccountAudit[[#This Row],[State]],tblStates[state_code],tblStates[territory_id],"Missing State")</f>
        <v>4</v>
      </c>
      <c r="J4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43" t="str" cm="1">
        <f t="array" ref="K4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4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4" spans="1:14">
      <c r="A44" t="s">
        <v>183</v>
      </c>
      <c r="B44" t="s">
        <v>184</v>
      </c>
      <c r="C44">
        <v>128</v>
      </c>
      <c r="D44" t="s">
        <v>81</v>
      </c>
      <c r="E44" t="s">
        <v>24</v>
      </c>
      <c r="F44">
        <v>2</v>
      </c>
      <c r="G44" t="s">
        <v>25</v>
      </c>
      <c r="H4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44">
        <f>_xlfn.XLOOKUP(tblAccountAudit[[#This Row],[State]],tblStates[state_code],tblStates[territory_id],"Missing State")</f>
        <v>2</v>
      </c>
      <c r="J4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44" t="str" cm="1">
        <f t="array" ref="K4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4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5" spans="1:14">
      <c r="A45" t="s">
        <v>186</v>
      </c>
      <c r="B45" t="s">
        <v>187</v>
      </c>
      <c r="D45" t="s">
        <v>50</v>
      </c>
      <c r="E45" t="s">
        <v>30</v>
      </c>
      <c r="F45">
        <v>4</v>
      </c>
      <c r="G45" t="s">
        <v>36</v>
      </c>
      <c r="H4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Missing Employee Count</v>
      </c>
      <c r="I45">
        <f>_xlfn.XLOOKUP(tblAccountAudit[[#This Row],[State]],tblStates[state_code],tblStates[territory_id],"Missing State")</f>
        <v>4</v>
      </c>
      <c r="J45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45" t="str" cm="1">
        <f t="array" ref="K4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4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4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46" spans="1:14">
      <c r="A46" t="s">
        <v>189</v>
      </c>
      <c r="B46" t="s">
        <v>190</v>
      </c>
      <c r="C46">
        <v>5</v>
      </c>
      <c r="D46" t="s">
        <v>192</v>
      </c>
      <c r="G46" t="s">
        <v>91</v>
      </c>
      <c r="H4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Outside Target</v>
      </c>
      <c r="I46">
        <f>_xlfn.XLOOKUP(tblAccountAudit[[#This Row],[State]],tblStates[state_code],tblStates[territory_id],"Missing State")</f>
        <v>1</v>
      </c>
      <c r="J46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46" t="str" cm="1">
        <f t="array" ref="K4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4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4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Stored Territory</v>
      </c>
      <c r="N4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47" spans="1:14">
      <c r="A47" t="s">
        <v>193</v>
      </c>
      <c r="B47" t="s">
        <v>194</v>
      </c>
      <c r="C47">
        <v>64</v>
      </c>
      <c r="D47" t="s">
        <v>23</v>
      </c>
      <c r="E47" t="s">
        <v>24</v>
      </c>
      <c r="F47">
        <v>2</v>
      </c>
      <c r="G47" t="s">
        <v>25</v>
      </c>
      <c r="H4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47">
        <f>_xlfn.XLOOKUP(tblAccountAudit[[#This Row],[State]],tblStates[state_code],tblStates[territory_id],"Missing State")</f>
        <v>2</v>
      </c>
      <c r="J4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47" t="str" cm="1">
        <f t="array" ref="K4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4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8" spans="1:14">
      <c r="A48" t="s">
        <v>196</v>
      </c>
      <c r="B48" t="s">
        <v>197</v>
      </c>
      <c r="C48">
        <v>93</v>
      </c>
      <c r="D48" t="s">
        <v>35</v>
      </c>
      <c r="E48" t="s">
        <v>24</v>
      </c>
      <c r="F48">
        <v>4</v>
      </c>
      <c r="G48" t="s">
        <v>59</v>
      </c>
      <c r="H4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48">
        <f>_xlfn.XLOOKUP(tblAccountAudit[[#This Row],[State]],tblStates[state_code],tblStates[territory_id],"Missing State")</f>
        <v>4</v>
      </c>
      <c r="J4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48" t="str" cm="1">
        <f t="array" ref="K4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4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49" spans="1:14">
      <c r="A49" t="s">
        <v>199</v>
      </c>
      <c r="B49" t="s">
        <v>200</v>
      </c>
      <c r="C49">
        <v>56</v>
      </c>
      <c r="D49" t="s">
        <v>192</v>
      </c>
      <c r="E49" t="s">
        <v>24</v>
      </c>
      <c r="F49">
        <v>1</v>
      </c>
      <c r="G49" t="s">
        <v>91</v>
      </c>
      <c r="H4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49">
        <f>_xlfn.XLOOKUP(tblAccountAudit[[#This Row],[State]],tblStates[state_code],tblStates[territory_id],"Missing State")</f>
        <v>1</v>
      </c>
      <c r="J4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49" t="str" cm="1">
        <f t="array" ref="K4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4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4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4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0" spans="1:14">
      <c r="A50" t="s">
        <v>202</v>
      </c>
      <c r="B50" t="s">
        <v>203</v>
      </c>
      <c r="C50">
        <v>79</v>
      </c>
      <c r="D50" t="s">
        <v>205</v>
      </c>
      <c r="E50" t="s">
        <v>24</v>
      </c>
      <c r="F50">
        <v>3</v>
      </c>
      <c r="G50" t="s">
        <v>59</v>
      </c>
      <c r="H5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50">
        <f>_xlfn.XLOOKUP(tblAccountAudit[[#This Row],[State]],tblStates[state_code],tblStates[territory_id],"Missing State")</f>
        <v>4</v>
      </c>
      <c r="J5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50" t="str" cm="1">
        <f t="array" ref="K5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5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5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1" spans="1:14">
      <c r="A51" t="s">
        <v>206</v>
      </c>
      <c r="B51" t="s">
        <v>207</v>
      </c>
      <c r="C51">
        <v>141</v>
      </c>
      <c r="D51" t="s">
        <v>68</v>
      </c>
      <c r="E51" t="s">
        <v>24</v>
      </c>
      <c r="F51">
        <v>3</v>
      </c>
      <c r="G51" t="s">
        <v>69</v>
      </c>
      <c r="H5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51">
        <f>_xlfn.XLOOKUP(tblAccountAudit[[#This Row],[State]],tblStates[state_code],tblStates[territory_id],"Missing State")</f>
        <v>3</v>
      </c>
      <c r="J5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51" t="str" cm="1">
        <f t="array" ref="K5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5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2" spans="1:14">
      <c r="A52" t="s">
        <v>209</v>
      </c>
      <c r="B52" t="s">
        <v>210</v>
      </c>
      <c r="C52">
        <v>622</v>
      </c>
      <c r="D52" t="s">
        <v>212</v>
      </c>
      <c r="E52" t="s">
        <v>30</v>
      </c>
      <c r="F52">
        <v>3</v>
      </c>
      <c r="G52" t="s">
        <v>55</v>
      </c>
      <c r="H5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52">
        <f>_xlfn.XLOOKUP(tblAccountAudit[[#This Row],[State]],tblStates[state_code],tblStates[territory_id],"Missing State")</f>
        <v>3</v>
      </c>
      <c r="J5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52" t="str" cm="1">
        <f t="array" ref="K5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5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3" spans="1:14">
      <c r="A53" t="s">
        <v>213</v>
      </c>
      <c r="B53" t="s">
        <v>214</v>
      </c>
      <c r="C53">
        <v>1801</v>
      </c>
      <c r="D53" t="s">
        <v>216</v>
      </c>
      <c r="E53" t="s">
        <v>17</v>
      </c>
      <c r="F53">
        <v>1</v>
      </c>
      <c r="G53" t="s">
        <v>18</v>
      </c>
      <c r="H5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53">
        <f>_xlfn.XLOOKUP(tblAccountAudit[[#This Row],[State]],tblStates[state_code],tblStates[territory_id],"Missing State")</f>
        <v>1</v>
      </c>
      <c r="J5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53" t="str" cm="1">
        <f t="array" ref="K5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5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4" spans="1:14">
      <c r="A54" t="s">
        <v>217</v>
      </c>
      <c r="B54" t="s">
        <v>218</v>
      </c>
      <c r="C54">
        <v>126</v>
      </c>
      <c r="D54" t="s">
        <v>120</v>
      </c>
      <c r="E54" t="s">
        <v>24</v>
      </c>
      <c r="F54">
        <v>2</v>
      </c>
      <c r="G54" t="s">
        <v>25</v>
      </c>
      <c r="H5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54">
        <f>_xlfn.XLOOKUP(tblAccountAudit[[#This Row],[State]],tblStates[state_code],tblStates[territory_id],"Missing State")</f>
        <v>2</v>
      </c>
      <c r="J5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54" t="str" cm="1">
        <f t="array" ref="K5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5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5" spans="1:14">
      <c r="A55" t="s">
        <v>220</v>
      </c>
      <c r="B55" t="s">
        <v>221</v>
      </c>
      <c r="C55">
        <v>586</v>
      </c>
      <c r="D55" t="s">
        <v>223</v>
      </c>
      <c r="E55" t="s">
        <v>30</v>
      </c>
      <c r="F55">
        <v>1</v>
      </c>
      <c r="G55" t="s">
        <v>18</v>
      </c>
      <c r="H5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55">
        <f>_xlfn.XLOOKUP(tblAccountAudit[[#This Row],[State]],tblStates[state_code],tblStates[territory_id],"Missing State")</f>
        <v>1</v>
      </c>
      <c r="J5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55" t="str" cm="1">
        <f t="array" ref="K5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5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6" spans="1:14">
      <c r="A56" t="s">
        <v>224</v>
      </c>
      <c r="B56" t="s">
        <v>225</v>
      </c>
      <c r="C56">
        <v>657</v>
      </c>
      <c r="D56" t="s">
        <v>226</v>
      </c>
      <c r="E56" t="s">
        <v>30</v>
      </c>
      <c r="F56">
        <v>3</v>
      </c>
      <c r="G56" t="s">
        <v>55</v>
      </c>
      <c r="H5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56">
        <f>_xlfn.XLOOKUP(tblAccountAudit[[#This Row],[State]],tblStates[state_code],tblStates[territory_id],"Missing State")</f>
        <v>3</v>
      </c>
      <c r="J5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56" t="str" cm="1">
        <f t="array" ref="K5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5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7" spans="1:14">
      <c r="A57" t="s">
        <v>227</v>
      </c>
      <c r="B57" t="s">
        <v>228</v>
      </c>
      <c r="C57">
        <v>1885</v>
      </c>
      <c r="D57" t="s">
        <v>50</v>
      </c>
      <c r="E57" t="s">
        <v>17</v>
      </c>
      <c r="F57">
        <v>4</v>
      </c>
      <c r="G57" t="s">
        <v>36</v>
      </c>
      <c r="H5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57">
        <f>_xlfn.XLOOKUP(tblAccountAudit[[#This Row],[State]],tblStates[state_code],tblStates[territory_id],"Missing State")</f>
        <v>4</v>
      </c>
      <c r="J5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57" t="str" cm="1">
        <f t="array" ref="K5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5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8" spans="1:14">
      <c r="A58" t="s">
        <v>230</v>
      </c>
      <c r="B58" t="s">
        <v>231</v>
      </c>
      <c r="C58">
        <v>113</v>
      </c>
      <c r="D58" t="s">
        <v>95</v>
      </c>
      <c r="E58" t="s">
        <v>24</v>
      </c>
      <c r="F58">
        <v>1</v>
      </c>
      <c r="G58" t="s">
        <v>91</v>
      </c>
      <c r="H5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58">
        <f>_xlfn.XLOOKUP(tblAccountAudit[[#This Row],[State]],tblStates[state_code],tblStates[territory_id],"Missing State")</f>
        <v>1</v>
      </c>
      <c r="J5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58" t="str" cm="1">
        <f t="array" ref="K5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5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59" spans="1:14">
      <c r="A59" t="s">
        <v>233</v>
      </c>
      <c r="B59" t="s">
        <v>234</v>
      </c>
      <c r="C59">
        <v>126</v>
      </c>
      <c r="D59" t="s">
        <v>236</v>
      </c>
      <c r="E59" t="s">
        <v>24</v>
      </c>
      <c r="F59">
        <v>1</v>
      </c>
      <c r="G59" t="s">
        <v>69</v>
      </c>
      <c r="H5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59">
        <f>_xlfn.XLOOKUP(tblAccountAudit[[#This Row],[State]],tblStates[state_code],tblStates[territory_id],"Missing State")</f>
        <v>1</v>
      </c>
      <c r="J5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59" t="str" cm="1">
        <f t="array" ref="K5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5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5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5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60" spans="1:14">
      <c r="A60" t="s">
        <v>237</v>
      </c>
      <c r="B60" t="s">
        <v>238</v>
      </c>
      <c r="D60" t="s">
        <v>54</v>
      </c>
      <c r="E60" t="s">
        <v>24</v>
      </c>
      <c r="F60">
        <v>3</v>
      </c>
      <c r="G60" t="s">
        <v>69</v>
      </c>
      <c r="H6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Missing Employee Count</v>
      </c>
      <c r="I60">
        <f>_xlfn.XLOOKUP(tblAccountAudit[[#This Row],[State]],tblStates[state_code],tblStates[territory_id],"Missing State")</f>
        <v>3</v>
      </c>
      <c r="J60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60" t="str" cm="1">
        <f t="array" ref="K6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6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6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61" spans="1:14">
      <c r="A61" t="s">
        <v>240</v>
      </c>
      <c r="B61" t="s">
        <v>241</v>
      </c>
      <c r="C61">
        <v>462</v>
      </c>
      <c r="D61" t="s">
        <v>54</v>
      </c>
      <c r="E61" t="s">
        <v>30</v>
      </c>
      <c r="F61">
        <v>3</v>
      </c>
      <c r="G61" t="s">
        <v>55</v>
      </c>
      <c r="H6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61">
        <f>_xlfn.XLOOKUP(tblAccountAudit[[#This Row],[State]],tblStates[state_code],tblStates[territory_id],"Missing State")</f>
        <v>3</v>
      </c>
      <c r="J6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1" t="str" cm="1">
        <f t="array" ref="K6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6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2" spans="1:14">
      <c r="A62" t="s">
        <v>243</v>
      </c>
      <c r="B62" t="s">
        <v>244</v>
      </c>
      <c r="C62">
        <v>59</v>
      </c>
      <c r="D62" t="s">
        <v>154</v>
      </c>
      <c r="E62" t="s">
        <v>24</v>
      </c>
      <c r="F62">
        <v>2</v>
      </c>
      <c r="G62" t="s">
        <v>25</v>
      </c>
      <c r="H6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62">
        <f>_xlfn.XLOOKUP(tblAccountAudit[[#This Row],[State]],tblStates[state_code],tblStates[territory_id],"Missing State")</f>
        <v>2</v>
      </c>
      <c r="J6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62" t="str" cm="1">
        <f t="array" ref="K6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6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3" spans="1:14">
      <c r="A63" t="s">
        <v>246</v>
      </c>
      <c r="B63" t="s">
        <v>247</v>
      </c>
      <c r="C63">
        <v>2096</v>
      </c>
      <c r="D63" t="s">
        <v>249</v>
      </c>
      <c r="E63" t="s">
        <v>17</v>
      </c>
      <c r="F63">
        <v>4</v>
      </c>
      <c r="G63" t="s">
        <v>36</v>
      </c>
      <c r="H6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63">
        <f>_xlfn.XLOOKUP(tblAccountAudit[[#This Row],[State]],tblStates[state_code],tblStates[territory_id],"Missing State")</f>
        <v>4</v>
      </c>
      <c r="J6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3" t="str" cm="1">
        <f t="array" ref="K6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6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4" spans="1:14">
      <c r="A64" t="s">
        <v>250</v>
      </c>
      <c r="B64" t="s">
        <v>251</v>
      </c>
      <c r="C64">
        <v>502</v>
      </c>
      <c r="D64" t="s">
        <v>154</v>
      </c>
      <c r="E64" t="s">
        <v>30</v>
      </c>
      <c r="F64">
        <v>2</v>
      </c>
      <c r="G64" t="s">
        <v>82</v>
      </c>
      <c r="H6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64">
        <f>_xlfn.XLOOKUP(tblAccountAudit[[#This Row],[State]],tblStates[state_code],tblStates[territory_id],"Missing State")</f>
        <v>2</v>
      </c>
      <c r="J6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4" t="str" cm="1">
        <f t="array" ref="K6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6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5" spans="1:14">
      <c r="A65" t="s">
        <v>253</v>
      </c>
      <c r="B65" t="s">
        <v>254</v>
      </c>
      <c r="C65">
        <v>770</v>
      </c>
      <c r="D65" t="s">
        <v>178</v>
      </c>
      <c r="E65" t="s">
        <v>30</v>
      </c>
      <c r="F65">
        <v>4</v>
      </c>
      <c r="G65" t="s">
        <v>36</v>
      </c>
      <c r="H6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65">
        <f>_xlfn.XLOOKUP(tblAccountAudit[[#This Row],[State]],tblStates[state_code],tblStates[territory_id],"Missing State")</f>
        <v>4</v>
      </c>
      <c r="J6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5" t="str" cm="1">
        <f t="array" ref="K6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6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6" spans="1:14">
      <c r="A66" t="s">
        <v>256</v>
      </c>
      <c r="B66" t="s">
        <v>257</v>
      </c>
      <c r="C66">
        <v>154</v>
      </c>
      <c r="D66" t="s">
        <v>120</v>
      </c>
      <c r="E66" t="s">
        <v>24</v>
      </c>
      <c r="F66">
        <v>2</v>
      </c>
      <c r="G66" t="s">
        <v>25</v>
      </c>
      <c r="H6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66">
        <f>_xlfn.XLOOKUP(tblAccountAudit[[#This Row],[State]],tblStates[state_code],tblStates[territory_id],"Missing State")</f>
        <v>2</v>
      </c>
      <c r="J6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66" t="str" cm="1">
        <f t="array" ref="K6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6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7" spans="1:14">
      <c r="A67" t="s">
        <v>259</v>
      </c>
      <c r="B67" t="s">
        <v>260</v>
      </c>
      <c r="C67">
        <v>641</v>
      </c>
      <c r="D67" t="s">
        <v>81</v>
      </c>
      <c r="E67" t="s">
        <v>30</v>
      </c>
      <c r="F67">
        <v>2</v>
      </c>
      <c r="G67" t="s">
        <v>55</v>
      </c>
      <c r="H6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67">
        <f>_xlfn.XLOOKUP(tblAccountAudit[[#This Row],[State]],tblStates[state_code],tblStates[territory_id],"Missing State")</f>
        <v>2</v>
      </c>
      <c r="J6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7" t="str" cm="1">
        <f t="array" ref="K6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6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68" spans="1:14">
      <c r="A68" t="s">
        <v>262</v>
      </c>
      <c r="B68" t="s">
        <v>263</v>
      </c>
      <c r="C68">
        <v>873</v>
      </c>
      <c r="D68" t="s">
        <v>50</v>
      </c>
      <c r="E68" t="s">
        <v>30</v>
      </c>
      <c r="F68">
        <v>4</v>
      </c>
      <c r="G68" t="s">
        <v>36</v>
      </c>
      <c r="H6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68">
        <f>_xlfn.XLOOKUP(tblAccountAudit[[#This Row],[State]],tblStates[state_code],tblStates[territory_id],"Missing State")</f>
        <v>4</v>
      </c>
      <c r="J6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8" t="str" cm="1">
        <f t="array" ref="K6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6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69" spans="1:14">
      <c r="A69" t="s">
        <v>265</v>
      </c>
      <c r="B69" t="s">
        <v>266</v>
      </c>
      <c r="C69">
        <v>718</v>
      </c>
      <c r="D69" t="s">
        <v>23</v>
      </c>
      <c r="E69" t="s">
        <v>30</v>
      </c>
      <c r="F69">
        <v>2</v>
      </c>
      <c r="G69" t="s">
        <v>82</v>
      </c>
      <c r="H6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69">
        <f>_xlfn.XLOOKUP(tblAccountAudit[[#This Row],[State]],tblStates[state_code],tblStates[territory_id],"Missing State")</f>
        <v>2</v>
      </c>
      <c r="J6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69" t="str" cm="1">
        <f t="array" ref="K6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6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6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6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0" spans="1:14">
      <c r="A70" t="s">
        <v>267</v>
      </c>
      <c r="B70" t="s">
        <v>268</v>
      </c>
      <c r="C70">
        <v>125</v>
      </c>
      <c r="D70" t="s">
        <v>99</v>
      </c>
      <c r="E70" t="s">
        <v>24</v>
      </c>
      <c r="F70">
        <v>4</v>
      </c>
      <c r="G70" t="s">
        <v>59</v>
      </c>
      <c r="H7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70">
        <f>_xlfn.XLOOKUP(tblAccountAudit[[#This Row],[State]],tblStates[state_code],tblStates[territory_id],"Missing State")</f>
        <v>4</v>
      </c>
      <c r="J7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70" t="str" cm="1">
        <f t="array" ref="K7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7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1" spans="1:14">
      <c r="A71" t="s">
        <v>270</v>
      </c>
      <c r="B71" t="s">
        <v>271</v>
      </c>
      <c r="C71">
        <v>121</v>
      </c>
      <c r="D71" t="s">
        <v>64</v>
      </c>
      <c r="E71" t="s">
        <v>24</v>
      </c>
      <c r="F71">
        <v>3</v>
      </c>
      <c r="G71" t="s">
        <v>69</v>
      </c>
      <c r="H7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71">
        <f>_xlfn.XLOOKUP(tblAccountAudit[[#This Row],[State]],tblStates[state_code],tblStates[territory_id],"Missing State")</f>
        <v>3</v>
      </c>
      <c r="J7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71" t="str" cm="1">
        <f t="array" ref="K7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7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2" spans="1:14">
      <c r="A72" t="s">
        <v>273</v>
      </c>
      <c r="B72" t="s">
        <v>274</v>
      </c>
      <c r="C72">
        <v>864</v>
      </c>
      <c r="D72" t="s">
        <v>64</v>
      </c>
      <c r="E72" t="s">
        <v>30</v>
      </c>
      <c r="F72">
        <v>3</v>
      </c>
      <c r="G72" t="s">
        <v>55</v>
      </c>
      <c r="H7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72">
        <f>_xlfn.XLOOKUP(tblAccountAudit[[#This Row],[State]],tblStates[state_code],tblStates[territory_id],"Missing State")</f>
        <v>3</v>
      </c>
      <c r="J7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72" t="str" cm="1">
        <f t="array" ref="K7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7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3" spans="1:14">
      <c r="A73" t="s">
        <v>276</v>
      </c>
      <c r="B73" t="s">
        <v>277</v>
      </c>
      <c r="C73">
        <v>288</v>
      </c>
      <c r="D73" t="s">
        <v>68</v>
      </c>
      <c r="E73" t="s">
        <v>30</v>
      </c>
      <c r="F73">
        <v>3</v>
      </c>
      <c r="G73" t="s">
        <v>55</v>
      </c>
      <c r="H7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73">
        <f>_xlfn.XLOOKUP(tblAccountAudit[[#This Row],[State]],tblStates[state_code],tblStates[territory_id],"Missing State")</f>
        <v>3</v>
      </c>
      <c r="J7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73" t="str" cm="1">
        <f t="array" ref="K7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7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4" spans="1:14">
      <c r="A74" t="s">
        <v>279</v>
      </c>
      <c r="B74" t="s">
        <v>280</v>
      </c>
      <c r="C74">
        <v>93</v>
      </c>
      <c r="D74" t="s">
        <v>116</v>
      </c>
      <c r="E74" t="s">
        <v>24</v>
      </c>
      <c r="F74">
        <v>2</v>
      </c>
      <c r="G74" t="s">
        <v>25</v>
      </c>
      <c r="H7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74">
        <f>_xlfn.XLOOKUP(tblAccountAudit[[#This Row],[State]],tblStates[state_code],tblStates[territory_id],"Missing State")</f>
        <v>2</v>
      </c>
      <c r="J7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74" t="str" cm="1">
        <f t="array" ref="K7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7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5" spans="1:14">
      <c r="A75" t="s">
        <v>282</v>
      </c>
      <c r="B75" t="s">
        <v>283</v>
      </c>
      <c r="C75">
        <v>303</v>
      </c>
      <c r="D75" t="s">
        <v>285</v>
      </c>
      <c r="E75" t="s">
        <v>30</v>
      </c>
      <c r="F75">
        <v>4</v>
      </c>
      <c r="G75" t="s">
        <v>36</v>
      </c>
      <c r="H7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75">
        <f>_xlfn.XLOOKUP(tblAccountAudit[[#This Row],[State]],tblStates[state_code],tblStates[territory_id],"Missing State")</f>
        <v>4</v>
      </c>
      <c r="J7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75" t="str" cm="1">
        <f t="array" ref="K7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7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6" spans="1:14">
      <c r="A76" t="s">
        <v>286</v>
      </c>
      <c r="B76" t="s">
        <v>287</v>
      </c>
      <c r="C76">
        <v>73</v>
      </c>
      <c r="D76" t="s">
        <v>68</v>
      </c>
      <c r="E76" t="s">
        <v>24</v>
      </c>
      <c r="F76">
        <v>3</v>
      </c>
      <c r="G76" t="s">
        <v>69</v>
      </c>
      <c r="H7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76">
        <f>_xlfn.XLOOKUP(tblAccountAudit[[#This Row],[State]],tblStates[state_code],tblStates[territory_id],"Missing State")</f>
        <v>3</v>
      </c>
      <c r="J7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76" t="str" cm="1">
        <f t="array" ref="K7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7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7" spans="1:14">
      <c r="A77" t="s">
        <v>289</v>
      </c>
      <c r="B77" t="s">
        <v>290</v>
      </c>
      <c r="C77">
        <v>87</v>
      </c>
      <c r="D77" t="s">
        <v>127</v>
      </c>
      <c r="E77" t="s">
        <v>24</v>
      </c>
      <c r="F77">
        <v>2</v>
      </c>
      <c r="G77" t="s">
        <v>25</v>
      </c>
      <c r="H7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77">
        <f>_xlfn.XLOOKUP(tblAccountAudit[[#This Row],[State]],tblStates[state_code],tblStates[territory_id],"Missing State")</f>
        <v>2</v>
      </c>
      <c r="J7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77" t="str" cm="1">
        <f t="array" ref="K7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7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8" spans="1:14">
      <c r="A78" t="s">
        <v>292</v>
      </c>
      <c r="B78" t="s">
        <v>293</v>
      </c>
      <c r="C78">
        <v>497</v>
      </c>
      <c r="D78" t="s">
        <v>295</v>
      </c>
      <c r="E78" t="s">
        <v>30</v>
      </c>
      <c r="F78">
        <v>2</v>
      </c>
      <c r="G78" t="s">
        <v>82</v>
      </c>
      <c r="H7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78">
        <f>_xlfn.XLOOKUP(tblAccountAudit[[#This Row],[State]],tblStates[state_code],tblStates[territory_id],"Missing State")</f>
        <v>2</v>
      </c>
      <c r="J7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78" t="str" cm="1">
        <f t="array" ref="K7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7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79" spans="1:14">
      <c r="A79" t="s">
        <v>296</v>
      </c>
      <c r="B79" t="s">
        <v>297</v>
      </c>
      <c r="C79">
        <v>586</v>
      </c>
      <c r="D79" t="s">
        <v>178</v>
      </c>
      <c r="E79" t="s">
        <v>30</v>
      </c>
      <c r="F79">
        <v>4</v>
      </c>
      <c r="G79" t="s">
        <v>36</v>
      </c>
      <c r="H7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79">
        <f>_xlfn.XLOOKUP(tblAccountAudit[[#This Row],[State]],tblStates[state_code],tblStates[territory_id],"Missing State")</f>
        <v>4</v>
      </c>
      <c r="J7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79" t="str" cm="1">
        <f t="array" ref="K7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7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7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7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0" spans="1:14">
      <c r="A80" t="s">
        <v>299</v>
      </c>
      <c r="B80" t="s">
        <v>300</v>
      </c>
      <c r="C80">
        <v>37</v>
      </c>
      <c r="D80" t="s">
        <v>16</v>
      </c>
      <c r="E80" t="s">
        <v>24</v>
      </c>
      <c r="F80">
        <v>1</v>
      </c>
      <c r="G80" t="s">
        <v>91</v>
      </c>
      <c r="H8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80">
        <f>_xlfn.XLOOKUP(tblAccountAudit[[#This Row],[State]],tblStates[state_code],tblStates[territory_id],"Missing State")</f>
        <v>1</v>
      </c>
      <c r="J8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80" t="str" cm="1">
        <f t="array" ref="K8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8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1" spans="1:14">
      <c r="A81" t="s">
        <v>302</v>
      </c>
      <c r="B81" t="s">
        <v>303</v>
      </c>
      <c r="C81">
        <v>707</v>
      </c>
      <c r="D81" t="s">
        <v>249</v>
      </c>
      <c r="E81" t="s">
        <v>30</v>
      </c>
      <c r="F81">
        <v>4</v>
      </c>
      <c r="G81" t="s">
        <v>36</v>
      </c>
      <c r="H8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81">
        <f>_xlfn.XLOOKUP(tblAccountAudit[[#This Row],[State]],tblStates[state_code],tblStates[territory_id],"Missing State")</f>
        <v>4</v>
      </c>
      <c r="J8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81" t="str" cm="1">
        <f t="array" ref="K8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8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2" spans="1:14">
      <c r="A82" t="s">
        <v>305</v>
      </c>
      <c r="B82" t="s">
        <v>306</v>
      </c>
      <c r="C82">
        <v>787</v>
      </c>
      <c r="D82" t="s">
        <v>64</v>
      </c>
      <c r="E82" t="s">
        <v>30</v>
      </c>
      <c r="F82">
        <v>3</v>
      </c>
      <c r="G82" t="s">
        <v>18</v>
      </c>
      <c r="H8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82">
        <f>_xlfn.XLOOKUP(tblAccountAudit[[#This Row],[State]],tblStates[state_code],tblStates[territory_id],"Missing State")</f>
        <v>3</v>
      </c>
      <c r="J8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82" t="str" cm="1">
        <f t="array" ref="K8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8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83" spans="1:14">
      <c r="A83" t="s">
        <v>308</v>
      </c>
      <c r="B83" t="s">
        <v>309</v>
      </c>
      <c r="C83">
        <v>67</v>
      </c>
      <c r="D83" t="s">
        <v>16</v>
      </c>
      <c r="E83" t="s">
        <v>24</v>
      </c>
      <c r="F83">
        <v>1</v>
      </c>
      <c r="G83" t="s">
        <v>91</v>
      </c>
      <c r="H8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83">
        <f>_xlfn.XLOOKUP(tblAccountAudit[[#This Row],[State]],tblStates[state_code],tblStates[territory_id],"Missing State")</f>
        <v>1</v>
      </c>
      <c r="J8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83" t="str" cm="1">
        <f t="array" ref="K8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8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4" spans="1:14">
      <c r="A84" t="s">
        <v>311</v>
      </c>
      <c r="B84" t="s">
        <v>312</v>
      </c>
      <c r="C84">
        <v>238</v>
      </c>
      <c r="D84" t="s">
        <v>35</v>
      </c>
      <c r="E84" t="s">
        <v>30</v>
      </c>
      <c r="F84">
        <v>4</v>
      </c>
      <c r="G84" t="s">
        <v>36</v>
      </c>
      <c r="H8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84">
        <f>_xlfn.XLOOKUP(tblAccountAudit[[#This Row],[State]],tblStates[state_code],tblStates[territory_id],"Missing State")</f>
        <v>4</v>
      </c>
      <c r="J8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84" t="str" cm="1">
        <f t="array" ref="K8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8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5" spans="1:14">
      <c r="A85" t="s">
        <v>314</v>
      </c>
      <c r="B85" t="s">
        <v>315</v>
      </c>
      <c r="C85">
        <v>663</v>
      </c>
      <c r="D85" t="s">
        <v>81</v>
      </c>
      <c r="E85" t="s">
        <v>30</v>
      </c>
      <c r="F85">
        <v>1</v>
      </c>
      <c r="G85" t="s">
        <v>82</v>
      </c>
      <c r="H8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85">
        <f>_xlfn.XLOOKUP(tblAccountAudit[[#This Row],[State]],tblStates[state_code],tblStates[territory_id],"Missing State")</f>
        <v>2</v>
      </c>
      <c r="J8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85" t="str" cm="1">
        <f t="array" ref="K8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8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8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6" spans="1:14">
      <c r="A86" t="s">
        <v>317</v>
      </c>
      <c r="B86" t="s">
        <v>318</v>
      </c>
      <c r="C86">
        <v>104</v>
      </c>
      <c r="D86" t="s">
        <v>95</v>
      </c>
      <c r="E86" t="s">
        <v>24</v>
      </c>
      <c r="F86">
        <v>1</v>
      </c>
      <c r="G86" t="s">
        <v>91</v>
      </c>
      <c r="H8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86">
        <f>_xlfn.XLOOKUP(tblAccountAudit[[#This Row],[State]],tblStates[state_code],tblStates[territory_id],"Missing State")</f>
        <v>1</v>
      </c>
      <c r="J8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86" t="str" cm="1">
        <f t="array" ref="K8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8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7" spans="1:14">
      <c r="A87" t="s">
        <v>320</v>
      </c>
      <c r="B87" t="s">
        <v>321</v>
      </c>
      <c r="C87">
        <v>402</v>
      </c>
      <c r="D87" t="s">
        <v>323</v>
      </c>
      <c r="E87" t="s">
        <v>30</v>
      </c>
      <c r="F87">
        <v>2</v>
      </c>
      <c r="G87" t="s">
        <v>82</v>
      </c>
      <c r="H8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87">
        <f>_xlfn.XLOOKUP(tblAccountAudit[[#This Row],[State]],tblStates[state_code],tblStates[territory_id],"Missing State")</f>
        <v>2</v>
      </c>
      <c r="J8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87" t="str" cm="1">
        <f t="array" ref="K8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8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8" spans="1:14">
      <c r="A88" t="s">
        <v>324</v>
      </c>
      <c r="B88" t="s">
        <v>325</v>
      </c>
      <c r="C88">
        <v>86</v>
      </c>
      <c r="D88" t="s">
        <v>216</v>
      </c>
      <c r="E88" t="s">
        <v>24</v>
      </c>
      <c r="F88">
        <v>1</v>
      </c>
      <c r="G88" t="s">
        <v>91</v>
      </c>
      <c r="H8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88">
        <f>_xlfn.XLOOKUP(tblAccountAudit[[#This Row],[State]],tblStates[state_code],tblStates[territory_id],"Missing State")</f>
        <v>1</v>
      </c>
      <c r="J8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88" t="str" cm="1">
        <f t="array" ref="K8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8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89" spans="1:14">
      <c r="A89" t="s">
        <v>327</v>
      </c>
      <c r="B89" t="s">
        <v>328</v>
      </c>
      <c r="C89">
        <v>80</v>
      </c>
      <c r="D89" t="s">
        <v>16</v>
      </c>
      <c r="E89" t="s">
        <v>24</v>
      </c>
      <c r="F89">
        <v>1</v>
      </c>
      <c r="G89" t="s">
        <v>91</v>
      </c>
      <c r="H8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89">
        <f>_xlfn.XLOOKUP(tblAccountAudit[[#This Row],[State]],tblStates[state_code],tblStates[territory_id],"Missing State")</f>
        <v>1</v>
      </c>
      <c r="J8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89" t="str" cm="1">
        <f t="array" ref="K8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8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8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8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0" spans="1:14">
      <c r="A90" t="s">
        <v>330</v>
      </c>
      <c r="B90" t="s">
        <v>331</v>
      </c>
      <c r="C90">
        <v>358</v>
      </c>
      <c r="D90" t="s">
        <v>16</v>
      </c>
      <c r="E90" t="s">
        <v>30</v>
      </c>
      <c r="F90">
        <v>1</v>
      </c>
      <c r="G90" t="s">
        <v>18</v>
      </c>
      <c r="H9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90">
        <f>_xlfn.XLOOKUP(tblAccountAudit[[#This Row],[State]],tblStates[state_code],tblStates[territory_id],"Missing State")</f>
        <v>1</v>
      </c>
      <c r="J9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90" t="str" cm="1">
        <f t="array" ref="K9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9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1" spans="1:14">
      <c r="A91" t="s">
        <v>333</v>
      </c>
      <c r="B91" t="s">
        <v>334</v>
      </c>
      <c r="C91">
        <v>95</v>
      </c>
      <c r="D91" t="s">
        <v>41</v>
      </c>
      <c r="E91" t="s">
        <v>24</v>
      </c>
      <c r="F91">
        <v>2</v>
      </c>
      <c r="G91" t="s">
        <v>25</v>
      </c>
      <c r="H9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91">
        <f>_xlfn.XLOOKUP(tblAccountAudit[[#This Row],[State]],tblStates[state_code],tblStates[territory_id],"Missing State")</f>
        <v>2</v>
      </c>
      <c r="J9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91" t="str" cm="1">
        <f t="array" ref="K9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9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2" spans="1:14">
      <c r="A92" t="s">
        <v>336</v>
      </c>
      <c r="B92" t="s">
        <v>337</v>
      </c>
      <c r="C92">
        <v>165</v>
      </c>
      <c r="D92" t="s">
        <v>339</v>
      </c>
      <c r="E92" t="s">
        <v>24</v>
      </c>
      <c r="F92">
        <v>3</v>
      </c>
      <c r="G92" t="s">
        <v>69</v>
      </c>
      <c r="H9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92">
        <f>_xlfn.XLOOKUP(tblAccountAudit[[#This Row],[State]],tblStates[state_code],tblStates[territory_id],"Missing State")</f>
        <v>3</v>
      </c>
      <c r="J9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92" t="str" cm="1">
        <f t="array" ref="K9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9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3" spans="1:14">
      <c r="A93" t="s">
        <v>340</v>
      </c>
      <c r="B93" t="s">
        <v>341</v>
      </c>
      <c r="C93">
        <v>391</v>
      </c>
      <c r="D93" t="s">
        <v>41</v>
      </c>
      <c r="E93" t="s">
        <v>30</v>
      </c>
      <c r="F93">
        <v>2</v>
      </c>
      <c r="G93" t="s">
        <v>82</v>
      </c>
      <c r="H9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93">
        <f>_xlfn.XLOOKUP(tblAccountAudit[[#This Row],[State]],tblStates[state_code],tblStates[territory_id],"Missing State")</f>
        <v>2</v>
      </c>
      <c r="J9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93" t="str" cm="1">
        <f t="array" ref="K9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9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4" spans="1:14">
      <c r="A94" t="s">
        <v>342</v>
      </c>
      <c r="B94" t="s">
        <v>343</v>
      </c>
      <c r="C94">
        <v>34</v>
      </c>
      <c r="D94" t="s">
        <v>68</v>
      </c>
      <c r="E94" t="s">
        <v>24</v>
      </c>
      <c r="F94">
        <v>3</v>
      </c>
      <c r="G94" t="s">
        <v>69</v>
      </c>
      <c r="H9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94">
        <f>_xlfn.XLOOKUP(tblAccountAudit[[#This Row],[State]],tblStates[state_code],tblStates[territory_id],"Missing State")</f>
        <v>3</v>
      </c>
      <c r="J9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94" t="str" cm="1">
        <f t="array" ref="K9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9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5" spans="1:14">
      <c r="A95" t="s">
        <v>345</v>
      </c>
      <c r="B95" t="s">
        <v>346</v>
      </c>
      <c r="C95">
        <v>166</v>
      </c>
      <c r="D95" t="s">
        <v>192</v>
      </c>
      <c r="E95" t="s">
        <v>24</v>
      </c>
      <c r="F95">
        <v>1</v>
      </c>
      <c r="G95" t="s">
        <v>91</v>
      </c>
      <c r="H9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95">
        <f>_xlfn.XLOOKUP(tblAccountAudit[[#This Row],[State]],tblStates[state_code],tblStates[territory_id],"Missing State")</f>
        <v>1</v>
      </c>
      <c r="J9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95" t="str" cm="1">
        <f t="array" ref="K9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9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6" spans="1:14">
      <c r="A96" t="s">
        <v>348</v>
      </c>
      <c r="B96" t="s">
        <v>349</v>
      </c>
      <c r="C96">
        <v>900</v>
      </c>
      <c r="D96" t="s">
        <v>178</v>
      </c>
      <c r="E96" t="s">
        <v>30</v>
      </c>
      <c r="F96">
        <v>4</v>
      </c>
      <c r="G96" t="s">
        <v>36</v>
      </c>
      <c r="H9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96">
        <f>_xlfn.XLOOKUP(tblAccountAudit[[#This Row],[State]],tblStates[state_code],tblStates[territory_id],"Missing State")</f>
        <v>4</v>
      </c>
      <c r="J9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96" t="str" cm="1">
        <f t="array" ref="K9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9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7" spans="1:14">
      <c r="A97" t="s">
        <v>351</v>
      </c>
      <c r="B97" t="s">
        <v>352</v>
      </c>
      <c r="C97">
        <v>123</v>
      </c>
      <c r="D97" t="s">
        <v>226</v>
      </c>
      <c r="E97" t="s">
        <v>24</v>
      </c>
      <c r="F97">
        <v>3</v>
      </c>
      <c r="G97" t="s">
        <v>69</v>
      </c>
      <c r="H9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97">
        <f>_xlfn.XLOOKUP(tblAccountAudit[[#This Row],[State]],tblStates[state_code],tblStates[territory_id],"Missing State")</f>
        <v>3</v>
      </c>
      <c r="J9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97" t="str" cm="1">
        <f t="array" ref="K9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9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8" spans="1:14">
      <c r="A98" t="s">
        <v>354</v>
      </c>
      <c r="B98" t="s">
        <v>355</v>
      </c>
      <c r="C98">
        <v>725</v>
      </c>
      <c r="D98" t="s">
        <v>54</v>
      </c>
      <c r="E98" t="s">
        <v>30</v>
      </c>
      <c r="F98">
        <v>1</v>
      </c>
      <c r="G98" t="s">
        <v>55</v>
      </c>
      <c r="H9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98">
        <f>_xlfn.XLOOKUP(tblAccountAudit[[#This Row],[State]],tblStates[state_code],tblStates[territory_id],"Missing State")</f>
        <v>3</v>
      </c>
      <c r="J9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98" t="str" cm="1">
        <f t="array" ref="K9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9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9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99" spans="1:14">
      <c r="A99" t="s">
        <v>357</v>
      </c>
      <c r="B99" t="s">
        <v>358</v>
      </c>
      <c r="C99">
        <v>2073</v>
      </c>
      <c r="D99" t="s">
        <v>16</v>
      </c>
      <c r="E99" t="s">
        <v>17</v>
      </c>
      <c r="F99">
        <v>1</v>
      </c>
      <c r="G99" t="s">
        <v>18</v>
      </c>
      <c r="H9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99">
        <f>_xlfn.XLOOKUP(tblAccountAudit[[#This Row],[State]],tblStates[state_code],tblStates[territory_id],"Missing State")</f>
        <v>1</v>
      </c>
      <c r="J9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99" t="str" cm="1">
        <f t="array" ref="K9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9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9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9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0" spans="1:14">
      <c r="A100" t="s">
        <v>360</v>
      </c>
      <c r="B100" t="s">
        <v>361</v>
      </c>
      <c r="C100">
        <v>87</v>
      </c>
      <c r="D100" t="s">
        <v>178</v>
      </c>
      <c r="E100" t="s">
        <v>24</v>
      </c>
      <c r="F100">
        <v>4</v>
      </c>
      <c r="G100" t="s">
        <v>59</v>
      </c>
      <c r="H10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00">
        <f>_xlfn.XLOOKUP(tblAccountAudit[[#This Row],[State]],tblStates[state_code],tblStates[territory_id],"Missing State")</f>
        <v>4</v>
      </c>
      <c r="J10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00" t="str" cm="1">
        <f t="array" ref="K10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0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1" spans="1:14">
      <c r="A101" t="s">
        <v>363</v>
      </c>
      <c r="B101" t="s">
        <v>364</v>
      </c>
      <c r="C101">
        <v>1136</v>
      </c>
      <c r="D101" t="s">
        <v>366</v>
      </c>
      <c r="E101" t="s">
        <v>17</v>
      </c>
      <c r="F101">
        <v>1</v>
      </c>
      <c r="G101" t="s">
        <v>18</v>
      </c>
      <c r="H10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01">
        <f>_xlfn.XLOOKUP(tblAccountAudit[[#This Row],[State]],tblStates[state_code],tblStates[territory_id],"Missing State")</f>
        <v>1</v>
      </c>
      <c r="J10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01" t="str" cm="1">
        <f t="array" ref="K10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0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2" spans="1:14">
      <c r="A102" t="s">
        <v>367</v>
      </c>
      <c r="B102" t="s">
        <v>368</v>
      </c>
      <c r="C102">
        <v>100</v>
      </c>
      <c r="D102" t="s">
        <v>68</v>
      </c>
      <c r="E102" t="s">
        <v>24</v>
      </c>
      <c r="F102">
        <v>3</v>
      </c>
      <c r="G102" t="s">
        <v>69</v>
      </c>
      <c r="H10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02">
        <f>_xlfn.XLOOKUP(tblAccountAudit[[#This Row],[State]],tblStates[state_code],tblStates[territory_id],"Missing State")</f>
        <v>3</v>
      </c>
      <c r="J10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02" t="str" cm="1">
        <f t="array" ref="K10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0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3" spans="1:14">
      <c r="A103" t="s">
        <v>370</v>
      </c>
      <c r="B103" t="s">
        <v>371</v>
      </c>
      <c r="C103">
        <v>2097</v>
      </c>
      <c r="D103" t="s">
        <v>366</v>
      </c>
      <c r="E103" t="s">
        <v>17</v>
      </c>
      <c r="F103">
        <v>1</v>
      </c>
      <c r="G103" t="s">
        <v>18</v>
      </c>
      <c r="H10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03">
        <f>_xlfn.XLOOKUP(tblAccountAudit[[#This Row],[State]],tblStates[state_code],tblStates[territory_id],"Missing State")</f>
        <v>1</v>
      </c>
      <c r="J10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03" t="str" cm="1">
        <f t="array" ref="K10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0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4" spans="1:14">
      <c r="A104" t="s">
        <v>373</v>
      </c>
      <c r="B104" t="s">
        <v>374</v>
      </c>
      <c r="C104">
        <v>504</v>
      </c>
      <c r="D104" t="s">
        <v>54</v>
      </c>
      <c r="E104" t="s">
        <v>30</v>
      </c>
      <c r="F104">
        <v>3</v>
      </c>
      <c r="G104" t="s">
        <v>82</v>
      </c>
      <c r="H10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04">
        <f>_xlfn.XLOOKUP(tblAccountAudit[[#This Row],[State]],tblStates[state_code],tblStates[territory_id],"Missing State")</f>
        <v>3</v>
      </c>
      <c r="J10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04" t="str" cm="1">
        <f t="array" ref="K10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0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105" spans="1:14">
      <c r="A105" t="s">
        <v>376</v>
      </c>
      <c r="B105" t="s">
        <v>377</v>
      </c>
      <c r="C105">
        <v>104</v>
      </c>
      <c r="D105" t="s">
        <v>116</v>
      </c>
      <c r="E105" t="s">
        <v>24</v>
      </c>
      <c r="F105">
        <v>2</v>
      </c>
      <c r="G105" t="s">
        <v>25</v>
      </c>
      <c r="H10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05">
        <f>_xlfn.XLOOKUP(tblAccountAudit[[#This Row],[State]],tblStates[state_code],tblStates[territory_id],"Missing State")</f>
        <v>2</v>
      </c>
      <c r="J10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05" t="str" cm="1">
        <f t="array" ref="K10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0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6" spans="1:14">
      <c r="A106" t="s">
        <v>379</v>
      </c>
      <c r="B106" t="s">
        <v>380</v>
      </c>
      <c r="C106">
        <v>139</v>
      </c>
      <c r="D106" t="s">
        <v>50</v>
      </c>
      <c r="E106" t="s">
        <v>24</v>
      </c>
      <c r="F106">
        <v>4</v>
      </c>
      <c r="G106" t="s">
        <v>59</v>
      </c>
      <c r="H10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06">
        <f>_xlfn.XLOOKUP(tblAccountAudit[[#This Row],[State]],tblStates[state_code],tblStates[territory_id],"Missing State")</f>
        <v>4</v>
      </c>
      <c r="J10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06" t="str" cm="1">
        <f t="array" ref="K10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0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7" spans="1:14">
      <c r="A107" t="s">
        <v>382</v>
      </c>
      <c r="B107" t="s">
        <v>383</v>
      </c>
      <c r="C107">
        <v>609</v>
      </c>
      <c r="D107" t="s">
        <v>385</v>
      </c>
      <c r="E107" t="s">
        <v>30</v>
      </c>
      <c r="F107">
        <v>1</v>
      </c>
      <c r="G107" t="s">
        <v>18</v>
      </c>
      <c r="H10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07">
        <f>_xlfn.XLOOKUP(tblAccountAudit[[#This Row],[State]],tblStates[state_code],tblStates[territory_id],"Missing State")</f>
        <v>1</v>
      </c>
      <c r="J10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07" t="str" cm="1">
        <f t="array" ref="K10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0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08" spans="1:14">
      <c r="A108" t="s">
        <v>386</v>
      </c>
      <c r="B108" t="s">
        <v>387</v>
      </c>
      <c r="C108">
        <v>19</v>
      </c>
      <c r="D108" t="s">
        <v>16</v>
      </c>
      <c r="F108">
        <v>1</v>
      </c>
      <c r="G108" t="s">
        <v>91</v>
      </c>
      <c r="H10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Outside Target</v>
      </c>
      <c r="I108">
        <f>_xlfn.XLOOKUP(tblAccountAudit[[#This Row],[State]],tblStates[state_code],tblStates[territory_id],"Missing State")</f>
        <v>1</v>
      </c>
      <c r="J108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108" t="str" cm="1">
        <f t="array" ref="K10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10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10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109" spans="1:14">
      <c r="A109" t="s">
        <v>389</v>
      </c>
      <c r="B109" t="s">
        <v>390</v>
      </c>
      <c r="C109">
        <v>75</v>
      </c>
      <c r="D109" t="s">
        <v>64</v>
      </c>
      <c r="E109" t="s">
        <v>24</v>
      </c>
      <c r="F109">
        <v>3</v>
      </c>
      <c r="G109" t="s">
        <v>69</v>
      </c>
      <c r="H10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09">
        <f>_xlfn.XLOOKUP(tblAccountAudit[[#This Row],[State]],tblStates[state_code],tblStates[territory_id],"Missing State")</f>
        <v>3</v>
      </c>
      <c r="J10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09" t="str" cm="1">
        <f t="array" ref="K10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0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0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0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0" spans="1:14">
      <c r="A110" t="s">
        <v>392</v>
      </c>
      <c r="B110" t="s">
        <v>393</v>
      </c>
      <c r="C110">
        <v>1191</v>
      </c>
      <c r="D110" t="s">
        <v>127</v>
      </c>
      <c r="E110" t="s">
        <v>17</v>
      </c>
      <c r="F110">
        <v>2</v>
      </c>
      <c r="G110" t="s">
        <v>82</v>
      </c>
      <c r="H11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10">
        <f>_xlfn.XLOOKUP(tblAccountAudit[[#This Row],[State]],tblStates[state_code],tblStates[territory_id],"Missing State")</f>
        <v>2</v>
      </c>
      <c r="J11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0" t="str" cm="1">
        <f t="array" ref="K11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1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1" spans="1:14">
      <c r="A111" t="s">
        <v>395</v>
      </c>
      <c r="B111" t="s">
        <v>396</v>
      </c>
      <c r="C111">
        <v>49</v>
      </c>
      <c r="D111" t="s">
        <v>140</v>
      </c>
      <c r="E111" t="s">
        <v>24</v>
      </c>
      <c r="F111">
        <v>2</v>
      </c>
      <c r="G111" t="s">
        <v>25</v>
      </c>
      <c r="H11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11">
        <f>_xlfn.XLOOKUP(tblAccountAudit[[#This Row],[State]],tblStates[state_code],tblStates[territory_id],"Missing State")</f>
        <v>2</v>
      </c>
      <c r="J11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11" t="str" cm="1">
        <f t="array" ref="K11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1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2" spans="1:14">
      <c r="A112" t="s">
        <v>398</v>
      </c>
      <c r="B112" t="s">
        <v>399</v>
      </c>
      <c r="C112">
        <v>553</v>
      </c>
      <c r="D112" t="s">
        <v>50</v>
      </c>
      <c r="E112" t="s">
        <v>30</v>
      </c>
      <c r="F112">
        <v>4</v>
      </c>
      <c r="G112" t="s">
        <v>36</v>
      </c>
      <c r="H11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12">
        <f>_xlfn.XLOOKUP(tblAccountAudit[[#This Row],[State]],tblStates[state_code],tblStates[territory_id],"Missing State")</f>
        <v>4</v>
      </c>
      <c r="J11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2" t="str" cm="1">
        <f t="array" ref="K11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1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3" spans="1:14">
      <c r="A113" t="s">
        <v>401</v>
      </c>
      <c r="B113" t="s">
        <v>402</v>
      </c>
      <c r="C113">
        <v>3048</v>
      </c>
      <c r="D113" t="s">
        <v>404</v>
      </c>
      <c r="F113">
        <v>2</v>
      </c>
      <c r="G113" t="s">
        <v>82</v>
      </c>
      <c r="H11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Management Review</v>
      </c>
      <c r="I113">
        <f>_xlfn.XLOOKUP(tblAccountAudit[[#This Row],[State]],tblStates[state_code],tblStates[territory_id],"Missing State")</f>
        <v>2</v>
      </c>
      <c r="J113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113" t="str" cm="1">
        <f t="array" ref="K11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11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11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114" spans="1:14">
      <c r="A114" t="s">
        <v>405</v>
      </c>
      <c r="B114" t="s">
        <v>406</v>
      </c>
      <c r="C114">
        <v>1806</v>
      </c>
      <c r="D114" t="s">
        <v>408</v>
      </c>
      <c r="E114" t="s">
        <v>17</v>
      </c>
      <c r="F114">
        <v>3</v>
      </c>
      <c r="G114" t="s">
        <v>55</v>
      </c>
      <c r="H11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14">
        <f>_xlfn.XLOOKUP(tblAccountAudit[[#This Row],[State]],tblStates[state_code],tblStates[territory_id],"Missing State")</f>
        <v>3</v>
      </c>
      <c r="J11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4" t="str" cm="1">
        <f t="array" ref="K11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1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5" spans="1:14">
      <c r="A115" t="s">
        <v>409</v>
      </c>
      <c r="B115" t="s">
        <v>410</v>
      </c>
      <c r="C115">
        <v>135</v>
      </c>
      <c r="D115" t="s">
        <v>68</v>
      </c>
      <c r="E115" t="s">
        <v>24</v>
      </c>
      <c r="F115">
        <v>3</v>
      </c>
      <c r="G115" t="s">
        <v>69</v>
      </c>
      <c r="H11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15">
        <f>_xlfn.XLOOKUP(tblAccountAudit[[#This Row],[State]],tblStates[state_code],tblStates[territory_id],"Missing State")</f>
        <v>3</v>
      </c>
      <c r="J11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15" t="str" cm="1">
        <f t="array" ref="K11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1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6" spans="1:14">
      <c r="A116" t="s">
        <v>412</v>
      </c>
      <c r="B116" t="s">
        <v>413</v>
      </c>
      <c r="C116">
        <v>1879</v>
      </c>
      <c r="D116" t="s">
        <v>415</v>
      </c>
      <c r="E116" t="s">
        <v>17</v>
      </c>
      <c r="F116">
        <v>3</v>
      </c>
      <c r="G116" t="s">
        <v>55</v>
      </c>
      <c r="H11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16">
        <f>_xlfn.XLOOKUP(tblAccountAudit[[#This Row],[State]],tblStates[state_code],tblStates[territory_id],"Missing State")</f>
        <v>3</v>
      </c>
      <c r="J11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6" t="str" cm="1">
        <f t="array" ref="K11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1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7" spans="1:14">
      <c r="A117" t="s">
        <v>416</v>
      </c>
      <c r="B117" t="s">
        <v>417</v>
      </c>
      <c r="C117">
        <v>529</v>
      </c>
      <c r="D117" t="s">
        <v>216</v>
      </c>
      <c r="E117" t="s">
        <v>30</v>
      </c>
      <c r="F117">
        <v>1</v>
      </c>
      <c r="G117" t="s">
        <v>18</v>
      </c>
      <c r="H11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17">
        <f>_xlfn.XLOOKUP(tblAccountAudit[[#This Row],[State]],tblStates[state_code],tblStates[territory_id],"Missing State")</f>
        <v>1</v>
      </c>
      <c r="J11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7" t="str" cm="1">
        <f t="array" ref="K11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1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8" spans="1:14">
      <c r="A118" t="s">
        <v>419</v>
      </c>
      <c r="B118" t="s">
        <v>420</v>
      </c>
      <c r="C118">
        <v>485</v>
      </c>
      <c r="D118" t="s">
        <v>16</v>
      </c>
      <c r="E118" t="s">
        <v>30</v>
      </c>
      <c r="F118">
        <v>1</v>
      </c>
      <c r="G118" t="s">
        <v>18</v>
      </c>
      <c r="H11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18">
        <f>_xlfn.XLOOKUP(tblAccountAudit[[#This Row],[State]],tblStates[state_code],tblStates[territory_id],"Missing State")</f>
        <v>1</v>
      </c>
      <c r="J11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18" t="str" cm="1">
        <f t="array" ref="K11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1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19" spans="1:14">
      <c r="A119" t="s">
        <v>422</v>
      </c>
      <c r="B119" t="s">
        <v>423</v>
      </c>
      <c r="C119">
        <v>67</v>
      </c>
      <c r="D119" t="s">
        <v>16</v>
      </c>
      <c r="E119" t="s">
        <v>24</v>
      </c>
      <c r="F119">
        <v>1</v>
      </c>
      <c r="G119" t="s">
        <v>91</v>
      </c>
      <c r="H11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19">
        <f>_xlfn.XLOOKUP(tblAccountAudit[[#This Row],[State]],tblStates[state_code],tblStates[territory_id],"Missing State")</f>
        <v>1</v>
      </c>
      <c r="J11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19" t="str" cm="1">
        <f t="array" ref="K11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1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1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1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0" spans="1:14">
      <c r="A120" t="s">
        <v>425</v>
      </c>
      <c r="B120" t="s">
        <v>426</v>
      </c>
      <c r="C120">
        <v>69</v>
      </c>
      <c r="D120" t="s">
        <v>95</v>
      </c>
      <c r="E120" t="s">
        <v>24</v>
      </c>
      <c r="F120">
        <v>1</v>
      </c>
      <c r="G120" t="s">
        <v>91</v>
      </c>
      <c r="H12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20">
        <f>_xlfn.XLOOKUP(tblAccountAudit[[#This Row],[State]],tblStates[state_code],tblStates[territory_id],"Missing State")</f>
        <v>1</v>
      </c>
      <c r="J12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20" t="str" cm="1">
        <f t="array" ref="K12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2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1" spans="1:14">
      <c r="A121" t="s">
        <v>428</v>
      </c>
      <c r="B121" t="s">
        <v>429</v>
      </c>
      <c r="C121">
        <v>490</v>
      </c>
      <c r="D121" t="s">
        <v>285</v>
      </c>
      <c r="E121" t="s">
        <v>30</v>
      </c>
      <c r="F121">
        <v>4</v>
      </c>
      <c r="G121" t="s">
        <v>36</v>
      </c>
      <c r="H12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21">
        <f>_xlfn.XLOOKUP(tblAccountAudit[[#This Row],[State]],tblStates[state_code],tblStates[territory_id],"Missing State")</f>
        <v>4</v>
      </c>
      <c r="J12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21" t="str" cm="1">
        <f t="array" ref="K12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2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2" spans="1:14">
      <c r="A122" t="s">
        <v>431</v>
      </c>
      <c r="B122" t="s">
        <v>432</v>
      </c>
      <c r="C122">
        <v>261</v>
      </c>
      <c r="D122" t="s">
        <v>205</v>
      </c>
      <c r="E122" t="s">
        <v>30</v>
      </c>
      <c r="F122">
        <v>4</v>
      </c>
      <c r="G122" t="s">
        <v>36</v>
      </c>
      <c r="H12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22">
        <f>_xlfn.XLOOKUP(tblAccountAudit[[#This Row],[State]],tblStates[state_code],tblStates[territory_id],"Missing State")</f>
        <v>4</v>
      </c>
      <c r="J12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22" t="str" cm="1">
        <f t="array" ref="K12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2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3" spans="1:14">
      <c r="A123" t="s">
        <v>434</v>
      </c>
      <c r="B123" t="s">
        <v>435</v>
      </c>
      <c r="C123">
        <v>1398</v>
      </c>
      <c r="D123" t="s">
        <v>116</v>
      </c>
      <c r="E123" t="s">
        <v>17</v>
      </c>
      <c r="F123">
        <v>2</v>
      </c>
      <c r="G123" t="s">
        <v>82</v>
      </c>
      <c r="H12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23">
        <f>_xlfn.XLOOKUP(tblAccountAudit[[#This Row],[State]],tblStates[state_code],tblStates[territory_id],"Missing State")</f>
        <v>2</v>
      </c>
      <c r="J12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23" t="str" cm="1">
        <f t="array" ref="K12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2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4" spans="1:14">
      <c r="A124" t="s">
        <v>437</v>
      </c>
      <c r="B124" t="s">
        <v>438</v>
      </c>
      <c r="C124">
        <v>662</v>
      </c>
      <c r="D124" t="s">
        <v>440</v>
      </c>
      <c r="E124" t="s">
        <v>30</v>
      </c>
      <c r="F124">
        <v>2</v>
      </c>
      <c r="G124" t="s">
        <v>55</v>
      </c>
      <c r="H12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24">
        <f>_xlfn.XLOOKUP(tblAccountAudit[[#This Row],[State]],tblStates[state_code],tblStates[territory_id],"Missing State")</f>
        <v>3</v>
      </c>
      <c r="J12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24" t="str" cm="1">
        <f t="array" ref="K12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2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12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5" spans="1:14">
      <c r="A125" t="s">
        <v>441</v>
      </c>
      <c r="B125" t="s">
        <v>442</v>
      </c>
      <c r="C125">
        <v>577</v>
      </c>
      <c r="D125" t="s">
        <v>216</v>
      </c>
      <c r="E125" t="s">
        <v>30</v>
      </c>
      <c r="F125">
        <v>1</v>
      </c>
      <c r="G125" t="s">
        <v>18</v>
      </c>
      <c r="H12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25">
        <f>_xlfn.XLOOKUP(tblAccountAudit[[#This Row],[State]],tblStates[state_code],tblStates[territory_id],"Missing State")</f>
        <v>1</v>
      </c>
      <c r="J12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25" t="str" cm="1">
        <f t="array" ref="K12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2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6" spans="1:14">
      <c r="A126" t="s">
        <v>444</v>
      </c>
      <c r="B126" t="s">
        <v>445</v>
      </c>
      <c r="C126">
        <v>76</v>
      </c>
      <c r="D126" t="s">
        <v>99</v>
      </c>
      <c r="E126" t="s">
        <v>24</v>
      </c>
      <c r="F126">
        <v>4</v>
      </c>
      <c r="G126" t="s">
        <v>59</v>
      </c>
      <c r="H12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26">
        <f>_xlfn.XLOOKUP(tblAccountAudit[[#This Row],[State]],tblStates[state_code],tblStates[territory_id],"Missing State")</f>
        <v>4</v>
      </c>
      <c r="J12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26" t="str" cm="1">
        <f t="array" ref="K12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2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7" spans="1:14">
      <c r="A127" t="s">
        <v>447</v>
      </c>
      <c r="B127" t="s">
        <v>448</v>
      </c>
      <c r="C127">
        <v>160</v>
      </c>
      <c r="D127" t="s">
        <v>16</v>
      </c>
      <c r="E127" t="s">
        <v>24</v>
      </c>
      <c r="F127">
        <v>1</v>
      </c>
      <c r="G127" t="s">
        <v>91</v>
      </c>
      <c r="H12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27">
        <f>_xlfn.XLOOKUP(tblAccountAudit[[#This Row],[State]],tblStates[state_code],tblStates[territory_id],"Missing State")</f>
        <v>1</v>
      </c>
      <c r="J12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27" t="str" cm="1">
        <f t="array" ref="K12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2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8" spans="1:14">
      <c r="A128" t="s">
        <v>450</v>
      </c>
      <c r="B128" t="s">
        <v>451</v>
      </c>
      <c r="C128">
        <v>582</v>
      </c>
      <c r="D128" t="s">
        <v>68</v>
      </c>
      <c r="E128" t="s">
        <v>30</v>
      </c>
      <c r="F128">
        <v>4</v>
      </c>
      <c r="G128" t="s">
        <v>55</v>
      </c>
      <c r="H12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28">
        <f>_xlfn.XLOOKUP(tblAccountAudit[[#This Row],[State]],tblStates[state_code],tblStates[territory_id],"Missing State")</f>
        <v>3</v>
      </c>
      <c r="J12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28" t="str" cm="1">
        <f t="array" ref="K12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2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12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29" spans="1:14">
      <c r="A129" t="s">
        <v>453</v>
      </c>
      <c r="B129" t="s">
        <v>454</v>
      </c>
      <c r="C129">
        <v>162</v>
      </c>
      <c r="D129" t="s">
        <v>205</v>
      </c>
      <c r="E129" t="s">
        <v>24</v>
      </c>
      <c r="F129">
        <v>4</v>
      </c>
      <c r="G129" t="s">
        <v>59</v>
      </c>
      <c r="H12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29">
        <f>_xlfn.XLOOKUP(tblAccountAudit[[#This Row],[State]],tblStates[state_code],tblStates[territory_id],"Missing State")</f>
        <v>4</v>
      </c>
      <c r="J12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29" t="str" cm="1">
        <f t="array" ref="K12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2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2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2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0" spans="1:14">
      <c r="A130" t="s">
        <v>456</v>
      </c>
      <c r="B130" t="s">
        <v>457</v>
      </c>
      <c r="C130">
        <v>97</v>
      </c>
      <c r="D130" t="s">
        <v>295</v>
      </c>
      <c r="E130" t="s">
        <v>24</v>
      </c>
      <c r="F130">
        <v>2</v>
      </c>
      <c r="G130" t="s">
        <v>25</v>
      </c>
      <c r="H13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30">
        <f>_xlfn.XLOOKUP(tblAccountAudit[[#This Row],[State]],tblStates[state_code],tblStates[territory_id],"Missing State")</f>
        <v>2</v>
      </c>
      <c r="J13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30" t="str" cm="1">
        <f t="array" ref="K13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3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1" spans="1:14">
      <c r="A131" t="s">
        <v>459</v>
      </c>
      <c r="B131" t="s">
        <v>460</v>
      </c>
      <c r="C131">
        <v>115</v>
      </c>
      <c r="D131" t="s">
        <v>41</v>
      </c>
      <c r="E131" t="s">
        <v>24</v>
      </c>
      <c r="F131">
        <v>2</v>
      </c>
      <c r="G131" t="s">
        <v>25</v>
      </c>
      <c r="H13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31">
        <f>_xlfn.XLOOKUP(tblAccountAudit[[#This Row],[State]],tblStates[state_code],tblStates[territory_id],"Missing State")</f>
        <v>2</v>
      </c>
      <c r="J13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31" t="str" cm="1">
        <f t="array" ref="K13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3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2" spans="1:14">
      <c r="A132" t="s">
        <v>462</v>
      </c>
      <c r="B132" t="s">
        <v>463</v>
      </c>
      <c r="C132">
        <v>48</v>
      </c>
      <c r="D132" t="s">
        <v>323</v>
      </c>
      <c r="E132" t="s">
        <v>24</v>
      </c>
      <c r="F132">
        <v>1</v>
      </c>
      <c r="G132" t="s">
        <v>25</v>
      </c>
      <c r="H13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32">
        <f>_xlfn.XLOOKUP(tblAccountAudit[[#This Row],[State]],tblStates[state_code],tblStates[territory_id],"Missing State")</f>
        <v>2</v>
      </c>
      <c r="J13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32" t="str" cm="1">
        <f t="array" ref="K13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3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13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3" spans="1:14">
      <c r="A133" t="s">
        <v>465</v>
      </c>
      <c r="B133" t="s">
        <v>466</v>
      </c>
      <c r="C133">
        <v>735</v>
      </c>
      <c r="D133" t="s">
        <v>216</v>
      </c>
      <c r="E133" t="s">
        <v>30</v>
      </c>
      <c r="F133">
        <v>1</v>
      </c>
      <c r="G133" t="s">
        <v>18</v>
      </c>
      <c r="H13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33">
        <f>_xlfn.XLOOKUP(tblAccountAudit[[#This Row],[State]],tblStates[state_code],tblStates[territory_id],"Missing State")</f>
        <v>1</v>
      </c>
      <c r="J13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33" t="str" cm="1">
        <f t="array" ref="K13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3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4" spans="1:14">
      <c r="A134" t="s">
        <v>467</v>
      </c>
      <c r="B134" t="s">
        <v>468</v>
      </c>
      <c r="C134">
        <v>805</v>
      </c>
      <c r="D134" t="s">
        <v>16</v>
      </c>
      <c r="E134" t="s">
        <v>30</v>
      </c>
      <c r="F134">
        <v>1</v>
      </c>
      <c r="G134" t="s">
        <v>18</v>
      </c>
      <c r="H13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34">
        <f>_xlfn.XLOOKUP(tblAccountAudit[[#This Row],[State]],tblStates[state_code],tblStates[territory_id],"Missing State")</f>
        <v>1</v>
      </c>
      <c r="J13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34" t="str" cm="1">
        <f t="array" ref="K13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3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5" spans="1:14">
      <c r="A135" t="s">
        <v>470</v>
      </c>
      <c r="B135" t="s">
        <v>471</v>
      </c>
      <c r="C135">
        <v>56</v>
      </c>
      <c r="E135" t="s">
        <v>24</v>
      </c>
      <c r="F135">
        <v>1</v>
      </c>
      <c r="G135" t="s">
        <v>91</v>
      </c>
      <c r="H13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35" t="str">
        <f>_xlfn.XLOOKUP(tblAccountAudit[[#This Row],[State]],tblStates[state_code],tblStates[territory_id],"Missing State")</f>
        <v>Missing State</v>
      </c>
      <c r="J13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35" t="str" cm="1">
        <f t="array" ref="K13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13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State</v>
      </c>
      <c r="N13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136" spans="1:14">
      <c r="A136" t="s">
        <v>473</v>
      </c>
      <c r="B136" t="s">
        <v>474</v>
      </c>
      <c r="C136">
        <v>112</v>
      </c>
      <c r="D136" t="s">
        <v>16</v>
      </c>
      <c r="E136" t="s">
        <v>24</v>
      </c>
      <c r="F136">
        <v>1</v>
      </c>
      <c r="G136" t="s">
        <v>91</v>
      </c>
      <c r="H13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36">
        <f>_xlfn.XLOOKUP(tblAccountAudit[[#This Row],[State]],tblStates[state_code],tblStates[territory_id],"Missing State")</f>
        <v>1</v>
      </c>
      <c r="J13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36" t="str" cm="1">
        <f t="array" ref="K13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3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7" spans="1:14">
      <c r="A137" t="s">
        <v>476</v>
      </c>
      <c r="B137" t="s">
        <v>477</v>
      </c>
      <c r="C137">
        <v>842</v>
      </c>
      <c r="D137" t="s">
        <v>140</v>
      </c>
      <c r="E137" t="s">
        <v>30</v>
      </c>
      <c r="F137">
        <v>2</v>
      </c>
      <c r="G137" t="s">
        <v>82</v>
      </c>
      <c r="H13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37">
        <f>_xlfn.XLOOKUP(tblAccountAudit[[#This Row],[State]],tblStates[state_code],tblStates[territory_id],"Missing State")</f>
        <v>2</v>
      </c>
      <c r="J13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37" t="str" cm="1">
        <f t="array" ref="K13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3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8" spans="1:14">
      <c r="A138" t="s">
        <v>479</v>
      </c>
      <c r="B138" t="s">
        <v>480</v>
      </c>
      <c r="C138">
        <v>299</v>
      </c>
      <c r="D138" t="s">
        <v>54</v>
      </c>
      <c r="E138" t="s">
        <v>30</v>
      </c>
      <c r="F138">
        <v>3</v>
      </c>
      <c r="G138" t="s">
        <v>55</v>
      </c>
      <c r="H13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38">
        <f>_xlfn.XLOOKUP(tblAccountAudit[[#This Row],[State]],tblStates[state_code],tblStates[territory_id],"Missing State")</f>
        <v>3</v>
      </c>
      <c r="J13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38" t="str" cm="1">
        <f t="array" ref="K13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3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39" spans="1:14">
      <c r="A139" t="s">
        <v>482</v>
      </c>
      <c r="B139" t="s">
        <v>483</v>
      </c>
      <c r="C139">
        <v>122</v>
      </c>
      <c r="D139" t="s">
        <v>205</v>
      </c>
      <c r="E139" t="s">
        <v>24</v>
      </c>
      <c r="F139">
        <v>4</v>
      </c>
      <c r="G139" t="s">
        <v>59</v>
      </c>
      <c r="H13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39">
        <f>_xlfn.XLOOKUP(tblAccountAudit[[#This Row],[State]],tblStates[state_code],tblStates[territory_id],"Missing State")</f>
        <v>4</v>
      </c>
      <c r="J13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39" t="str" cm="1">
        <f t="array" ref="K13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3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3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3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0" spans="1:14">
      <c r="A140" t="s">
        <v>485</v>
      </c>
      <c r="B140" t="s">
        <v>486</v>
      </c>
      <c r="C140">
        <v>731</v>
      </c>
      <c r="D140" t="s">
        <v>408</v>
      </c>
      <c r="E140" t="s">
        <v>30</v>
      </c>
      <c r="F140">
        <v>3</v>
      </c>
      <c r="G140" t="s">
        <v>55</v>
      </c>
      <c r="H14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40">
        <f>_xlfn.XLOOKUP(tblAccountAudit[[#This Row],[State]],tblStates[state_code],tblStates[territory_id],"Missing State")</f>
        <v>3</v>
      </c>
      <c r="J14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40" t="str" cm="1">
        <f t="array" ref="K14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4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1" spans="1:14">
      <c r="A141" t="s">
        <v>488</v>
      </c>
      <c r="B141" t="s">
        <v>489</v>
      </c>
      <c r="C141">
        <v>1642</v>
      </c>
      <c r="D141" t="s">
        <v>50</v>
      </c>
      <c r="E141" t="s">
        <v>17</v>
      </c>
      <c r="F141">
        <v>4</v>
      </c>
      <c r="G141" t="s">
        <v>36</v>
      </c>
      <c r="H14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41">
        <f>_xlfn.XLOOKUP(tblAccountAudit[[#This Row],[State]],tblStates[state_code],tblStates[territory_id],"Missing State")</f>
        <v>4</v>
      </c>
      <c r="J14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41" t="str" cm="1">
        <f t="array" ref="K14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4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2" spans="1:14">
      <c r="A142" t="s">
        <v>491</v>
      </c>
      <c r="B142" t="s">
        <v>492</v>
      </c>
      <c r="C142">
        <v>2121</v>
      </c>
      <c r="D142" t="s">
        <v>16</v>
      </c>
      <c r="E142" t="s">
        <v>17</v>
      </c>
      <c r="F142">
        <v>1</v>
      </c>
      <c r="G142" t="s">
        <v>18</v>
      </c>
      <c r="H14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42">
        <f>_xlfn.XLOOKUP(tblAccountAudit[[#This Row],[State]],tblStates[state_code],tblStates[territory_id],"Missing State")</f>
        <v>1</v>
      </c>
      <c r="J14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42" t="str" cm="1">
        <f t="array" ref="K14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4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3" spans="1:14">
      <c r="A143" t="s">
        <v>494</v>
      </c>
      <c r="B143" t="s">
        <v>495</v>
      </c>
      <c r="C143">
        <v>349</v>
      </c>
      <c r="D143" t="s">
        <v>50</v>
      </c>
      <c r="E143" t="s">
        <v>30</v>
      </c>
      <c r="F143">
        <v>4</v>
      </c>
      <c r="G143" t="s">
        <v>36</v>
      </c>
      <c r="H14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43">
        <f>_xlfn.XLOOKUP(tblAccountAudit[[#This Row],[State]],tblStates[state_code],tblStates[territory_id],"Missing State")</f>
        <v>4</v>
      </c>
      <c r="J14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43" t="str" cm="1">
        <f t="array" ref="K14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4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4" spans="1:14">
      <c r="A144" t="s">
        <v>497</v>
      </c>
      <c r="B144" t="s">
        <v>498</v>
      </c>
      <c r="C144">
        <v>162</v>
      </c>
      <c r="D144" t="s">
        <v>50</v>
      </c>
      <c r="E144" t="s">
        <v>24</v>
      </c>
      <c r="F144">
        <v>4</v>
      </c>
      <c r="G144" t="s">
        <v>59</v>
      </c>
      <c r="H14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44">
        <f>_xlfn.XLOOKUP(tblAccountAudit[[#This Row],[State]],tblStates[state_code],tblStates[territory_id],"Missing State")</f>
        <v>4</v>
      </c>
      <c r="J14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44" t="str" cm="1">
        <f t="array" ref="K14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4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5" spans="1:14">
      <c r="A145" t="s">
        <v>500</v>
      </c>
      <c r="B145" t="s">
        <v>501</v>
      </c>
      <c r="C145">
        <v>150</v>
      </c>
      <c r="D145" t="s">
        <v>81</v>
      </c>
      <c r="E145" t="s">
        <v>24</v>
      </c>
      <c r="F145">
        <v>2</v>
      </c>
      <c r="G145" t="s">
        <v>25</v>
      </c>
      <c r="H14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45">
        <f>_xlfn.XLOOKUP(tblAccountAudit[[#This Row],[State]],tblStates[state_code],tblStates[territory_id],"Missing State")</f>
        <v>2</v>
      </c>
      <c r="J14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45" t="str" cm="1">
        <f t="array" ref="K14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4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6" spans="1:14">
      <c r="A146" t="s">
        <v>503</v>
      </c>
      <c r="B146" t="s">
        <v>504</v>
      </c>
      <c r="C146">
        <v>87</v>
      </c>
      <c r="D146" t="s">
        <v>140</v>
      </c>
      <c r="E146" t="s">
        <v>24</v>
      </c>
      <c r="F146">
        <v>2</v>
      </c>
      <c r="G146" t="s">
        <v>25</v>
      </c>
      <c r="H14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46">
        <f>_xlfn.XLOOKUP(tblAccountAudit[[#This Row],[State]],tblStates[state_code],tblStates[territory_id],"Missing State")</f>
        <v>2</v>
      </c>
      <c r="J14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46" t="str" cm="1">
        <f t="array" ref="K14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4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7" spans="1:14">
      <c r="A147" t="s">
        <v>506</v>
      </c>
      <c r="B147" t="s">
        <v>507</v>
      </c>
      <c r="C147">
        <v>744</v>
      </c>
      <c r="D147" t="s">
        <v>226</v>
      </c>
      <c r="E147" t="s">
        <v>30</v>
      </c>
      <c r="F147">
        <v>3</v>
      </c>
      <c r="G147" t="s">
        <v>55</v>
      </c>
      <c r="H14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47">
        <f>_xlfn.XLOOKUP(tblAccountAudit[[#This Row],[State]],tblStates[state_code],tblStates[territory_id],"Missing State")</f>
        <v>3</v>
      </c>
      <c r="J14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47" t="str" cm="1">
        <f t="array" ref="K14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4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8" spans="1:14">
      <c r="A148" t="s">
        <v>509</v>
      </c>
      <c r="B148" t="s">
        <v>510</v>
      </c>
      <c r="C148">
        <v>82</v>
      </c>
      <c r="D148" t="s">
        <v>50</v>
      </c>
      <c r="E148" t="s">
        <v>24</v>
      </c>
      <c r="F148">
        <v>4</v>
      </c>
      <c r="G148" t="s">
        <v>59</v>
      </c>
      <c r="H14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48">
        <f>_xlfn.XLOOKUP(tblAccountAudit[[#This Row],[State]],tblStates[state_code],tblStates[territory_id],"Missing State")</f>
        <v>4</v>
      </c>
      <c r="J14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48" t="str" cm="1">
        <f t="array" ref="K14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4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49" spans="1:14">
      <c r="A149" t="s">
        <v>512</v>
      </c>
      <c r="B149" t="s">
        <v>513</v>
      </c>
      <c r="C149">
        <v>124</v>
      </c>
      <c r="D149" t="s">
        <v>323</v>
      </c>
      <c r="E149" t="s">
        <v>24</v>
      </c>
      <c r="F149">
        <v>2</v>
      </c>
      <c r="G149" t="s">
        <v>25</v>
      </c>
      <c r="H14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49">
        <f>_xlfn.XLOOKUP(tblAccountAudit[[#This Row],[State]],tblStates[state_code],tblStates[territory_id],"Missing State")</f>
        <v>2</v>
      </c>
      <c r="J14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49" t="str" cm="1">
        <f t="array" ref="K14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4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4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4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0" spans="1:14">
      <c r="A150" t="s">
        <v>515</v>
      </c>
      <c r="B150" t="s">
        <v>516</v>
      </c>
      <c r="C150">
        <v>65</v>
      </c>
      <c r="D150" t="s">
        <v>81</v>
      </c>
      <c r="E150" t="s">
        <v>24</v>
      </c>
      <c r="F150">
        <v>2</v>
      </c>
      <c r="G150" t="s">
        <v>25</v>
      </c>
      <c r="H15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0">
        <f>_xlfn.XLOOKUP(tblAccountAudit[[#This Row],[State]],tblStates[state_code],tblStates[territory_id],"Missing State")</f>
        <v>2</v>
      </c>
      <c r="J15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0" t="str" cm="1">
        <f t="array" ref="K15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5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1" spans="1:14">
      <c r="A151" t="s">
        <v>518</v>
      </c>
      <c r="B151" t="s">
        <v>519</v>
      </c>
      <c r="C151">
        <v>115</v>
      </c>
      <c r="D151" t="s">
        <v>16</v>
      </c>
      <c r="E151" t="s">
        <v>24</v>
      </c>
      <c r="F151">
        <v>1</v>
      </c>
      <c r="G151" t="s">
        <v>91</v>
      </c>
      <c r="H15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1">
        <f>_xlfn.XLOOKUP(tblAccountAudit[[#This Row],[State]],tblStates[state_code],tblStates[territory_id],"Missing State")</f>
        <v>1</v>
      </c>
      <c r="J15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1" t="str" cm="1">
        <f t="array" ref="K15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5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2" spans="1:14">
      <c r="A152" t="s">
        <v>521</v>
      </c>
      <c r="B152" t="s">
        <v>522</v>
      </c>
      <c r="C152">
        <v>69</v>
      </c>
      <c r="D152" t="s">
        <v>178</v>
      </c>
      <c r="E152" t="s">
        <v>24</v>
      </c>
      <c r="F152">
        <v>4</v>
      </c>
      <c r="G152" t="s">
        <v>59</v>
      </c>
      <c r="H15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2">
        <f>_xlfn.XLOOKUP(tblAccountAudit[[#This Row],[State]],tblStates[state_code],tblStates[territory_id],"Missing State")</f>
        <v>4</v>
      </c>
      <c r="J15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2" t="str" cm="1">
        <f t="array" ref="K15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5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3" spans="1:14">
      <c r="A153" t="s">
        <v>524</v>
      </c>
      <c r="B153" t="s">
        <v>525</v>
      </c>
      <c r="C153">
        <v>1073</v>
      </c>
      <c r="D153" t="s">
        <v>50</v>
      </c>
      <c r="E153" t="s">
        <v>17</v>
      </c>
      <c r="F153">
        <v>4</v>
      </c>
      <c r="G153" t="s">
        <v>36</v>
      </c>
      <c r="H15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53">
        <f>_xlfn.XLOOKUP(tblAccountAudit[[#This Row],[State]],tblStates[state_code],tblStates[territory_id],"Missing State")</f>
        <v>4</v>
      </c>
      <c r="J15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53" t="str" cm="1">
        <f t="array" ref="K15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5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4" spans="1:14">
      <c r="A154" t="s">
        <v>527</v>
      </c>
      <c r="B154" t="s">
        <v>528</v>
      </c>
      <c r="C154">
        <v>71</v>
      </c>
      <c r="D154" t="s">
        <v>295</v>
      </c>
      <c r="E154" t="s">
        <v>24</v>
      </c>
      <c r="F154">
        <v>2</v>
      </c>
      <c r="G154" t="s">
        <v>25</v>
      </c>
      <c r="H15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4">
        <f>_xlfn.XLOOKUP(tblAccountAudit[[#This Row],[State]],tblStates[state_code],tblStates[territory_id],"Missing State")</f>
        <v>2</v>
      </c>
      <c r="J15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4" t="str" cm="1">
        <f t="array" ref="K15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5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5" spans="1:14">
      <c r="A155" t="s">
        <v>530</v>
      </c>
      <c r="B155" t="s">
        <v>531</v>
      </c>
      <c r="C155">
        <v>47</v>
      </c>
      <c r="D155" t="s">
        <v>154</v>
      </c>
      <c r="E155" t="s">
        <v>24</v>
      </c>
      <c r="F155">
        <v>2</v>
      </c>
      <c r="G155" t="s">
        <v>25</v>
      </c>
      <c r="H15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5">
        <f>_xlfn.XLOOKUP(tblAccountAudit[[#This Row],[State]],tblStates[state_code],tblStates[territory_id],"Missing State")</f>
        <v>2</v>
      </c>
      <c r="J15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5" t="str" cm="1">
        <f t="array" ref="K15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5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6" spans="1:14">
      <c r="A156" t="s">
        <v>533</v>
      </c>
      <c r="B156" t="s">
        <v>534</v>
      </c>
      <c r="C156">
        <v>235</v>
      </c>
      <c r="D156" t="s">
        <v>236</v>
      </c>
      <c r="E156" t="s">
        <v>30</v>
      </c>
      <c r="F156">
        <v>1</v>
      </c>
      <c r="G156" t="s">
        <v>18</v>
      </c>
      <c r="H15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56">
        <f>_xlfn.XLOOKUP(tblAccountAudit[[#This Row],[State]],tblStates[state_code],tblStates[territory_id],"Missing State")</f>
        <v>1</v>
      </c>
      <c r="J15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56" t="str" cm="1">
        <f t="array" ref="K15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5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7" spans="1:14">
      <c r="A157" t="s">
        <v>536</v>
      </c>
      <c r="B157" t="s">
        <v>537</v>
      </c>
      <c r="C157">
        <v>513</v>
      </c>
      <c r="D157" t="s">
        <v>95</v>
      </c>
      <c r="E157" t="s">
        <v>30</v>
      </c>
      <c r="F157">
        <v>1</v>
      </c>
      <c r="G157" t="s">
        <v>18</v>
      </c>
      <c r="H15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57">
        <f>_xlfn.XLOOKUP(tblAccountAudit[[#This Row],[State]],tblStates[state_code],tblStates[territory_id],"Missing State")</f>
        <v>1</v>
      </c>
      <c r="J15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57" t="str" cm="1">
        <f t="array" ref="K15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5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58" spans="1:14">
      <c r="A158" t="s">
        <v>539</v>
      </c>
      <c r="B158" t="s">
        <v>540</v>
      </c>
      <c r="C158">
        <v>163</v>
      </c>
      <c r="D158" t="s">
        <v>95</v>
      </c>
      <c r="E158" t="s">
        <v>24</v>
      </c>
      <c r="F158">
        <v>1</v>
      </c>
      <c r="G158" t="s">
        <v>69</v>
      </c>
      <c r="H15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8">
        <f>_xlfn.XLOOKUP(tblAccountAudit[[#This Row],[State]],tblStates[state_code],tblStates[territory_id],"Missing State")</f>
        <v>1</v>
      </c>
      <c r="J15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8" t="str" cm="1">
        <f t="array" ref="K15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5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159" spans="1:14">
      <c r="A159" t="s">
        <v>542</v>
      </c>
      <c r="B159" t="s">
        <v>543</v>
      </c>
      <c r="C159">
        <v>154</v>
      </c>
      <c r="D159" t="s">
        <v>99</v>
      </c>
      <c r="E159" t="s">
        <v>24</v>
      </c>
      <c r="F159">
        <v>4</v>
      </c>
      <c r="G159" t="s">
        <v>59</v>
      </c>
      <c r="H15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59">
        <f>_xlfn.XLOOKUP(tblAccountAudit[[#This Row],[State]],tblStates[state_code],tblStates[territory_id],"Missing State")</f>
        <v>4</v>
      </c>
      <c r="J15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59" t="str" cm="1">
        <f t="array" ref="K15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5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5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5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0" spans="1:14">
      <c r="A160" t="s">
        <v>545</v>
      </c>
      <c r="B160" t="s">
        <v>546</v>
      </c>
      <c r="C160">
        <v>127</v>
      </c>
      <c r="D160" t="s">
        <v>212</v>
      </c>
      <c r="E160" t="s">
        <v>24</v>
      </c>
      <c r="F160">
        <v>3</v>
      </c>
      <c r="H16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0">
        <f>_xlfn.XLOOKUP(tblAccountAudit[[#This Row],[State]],tblStates[state_code],tblStates[territory_id],"Missing State")</f>
        <v>3</v>
      </c>
      <c r="J16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0" t="str" cm="1">
        <f t="array" ref="K16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6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Unassigned</v>
      </c>
    </row>
    <row r="161" spans="1:14">
      <c r="A161" t="s">
        <v>548</v>
      </c>
      <c r="B161" t="s">
        <v>549</v>
      </c>
      <c r="C161">
        <v>323</v>
      </c>
      <c r="D161" t="s">
        <v>249</v>
      </c>
      <c r="E161" t="s">
        <v>30</v>
      </c>
      <c r="F161">
        <v>4</v>
      </c>
      <c r="G161" t="s">
        <v>36</v>
      </c>
      <c r="H16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61">
        <f>_xlfn.XLOOKUP(tblAccountAudit[[#This Row],[State]],tblStates[state_code],tblStates[territory_id],"Missing State")</f>
        <v>4</v>
      </c>
      <c r="J16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61" t="str" cm="1">
        <f t="array" ref="K16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6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2" spans="1:14">
      <c r="A162" t="s">
        <v>551</v>
      </c>
      <c r="B162" t="s">
        <v>552</v>
      </c>
      <c r="C162">
        <v>61</v>
      </c>
      <c r="D162" t="s">
        <v>16</v>
      </c>
      <c r="E162" t="s">
        <v>24</v>
      </c>
      <c r="F162">
        <v>1</v>
      </c>
      <c r="G162" t="s">
        <v>91</v>
      </c>
      <c r="H16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2">
        <f>_xlfn.XLOOKUP(tblAccountAudit[[#This Row],[State]],tblStates[state_code],tblStates[territory_id],"Missing State")</f>
        <v>1</v>
      </c>
      <c r="J16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2" t="str" cm="1">
        <f t="array" ref="K16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6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3" spans="1:14">
      <c r="A163" t="s">
        <v>554</v>
      </c>
      <c r="B163" t="s">
        <v>555</v>
      </c>
      <c r="C163">
        <v>67</v>
      </c>
      <c r="D163" t="s">
        <v>120</v>
      </c>
      <c r="E163" t="s">
        <v>24</v>
      </c>
      <c r="F163">
        <v>2</v>
      </c>
      <c r="G163" t="s">
        <v>25</v>
      </c>
      <c r="H16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3">
        <f>_xlfn.XLOOKUP(tblAccountAudit[[#This Row],[State]],tblStates[state_code],tblStates[territory_id],"Missing State")</f>
        <v>2</v>
      </c>
      <c r="J16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3" t="str" cm="1">
        <f t="array" ref="K16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6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4" spans="1:14">
      <c r="A164" t="s">
        <v>557</v>
      </c>
      <c r="B164" t="s">
        <v>558</v>
      </c>
      <c r="C164">
        <v>105</v>
      </c>
      <c r="D164" t="s">
        <v>560</v>
      </c>
      <c r="E164" t="s">
        <v>24</v>
      </c>
      <c r="F164">
        <v>2</v>
      </c>
      <c r="G164" t="s">
        <v>25</v>
      </c>
      <c r="H16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4">
        <f>_xlfn.XLOOKUP(tblAccountAudit[[#This Row],[State]],tblStates[state_code],tblStates[territory_id],"Missing State")</f>
        <v>2</v>
      </c>
      <c r="J16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4" t="str" cm="1">
        <f t="array" ref="K16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6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5" spans="1:14">
      <c r="A165" t="s">
        <v>561</v>
      </c>
      <c r="B165" t="s">
        <v>562</v>
      </c>
      <c r="C165">
        <v>142</v>
      </c>
      <c r="D165" t="s">
        <v>54</v>
      </c>
      <c r="E165" t="s">
        <v>24</v>
      </c>
      <c r="F165">
        <v>3</v>
      </c>
      <c r="G165" t="s">
        <v>69</v>
      </c>
      <c r="H16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5">
        <f>_xlfn.XLOOKUP(tblAccountAudit[[#This Row],[State]],tblStates[state_code],tblStates[territory_id],"Missing State")</f>
        <v>3</v>
      </c>
      <c r="J16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5" t="str" cm="1">
        <f t="array" ref="K16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6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6" spans="1:14">
      <c r="A166" t="s">
        <v>564</v>
      </c>
      <c r="B166" t="s">
        <v>565</v>
      </c>
      <c r="C166">
        <v>48</v>
      </c>
      <c r="D166" t="s">
        <v>54</v>
      </c>
      <c r="E166" t="s">
        <v>24</v>
      </c>
      <c r="G166" t="s">
        <v>69</v>
      </c>
      <c r="H16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6">
        <f>_xlfn.XLOOKUP(tblAccountAudit[[#This Row],[State]],tblStates[state_code],tblStates[territory_id],"Missing State")</f>
        <v>3</v>
      </c>
      <c r="J16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6" t="str" cm="1">
        <f t="array" ref="K16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6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Stored Territory</v>
      </c>
      <c r="N16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7" spans="1:14">
      <c r="A167" t="s">
        <v>567</v>
      </c>
      <c r="B167" t="s">
        <v>568</v>
      </c>
      <c r="C167">
        <v>59</v>
      </c>
      <c r="D167" t="s">
        <v>226</v>
      </c>
      <c r="E167" t="s">
        <v>24</v>
      </c>
      <c r="F167">
        <v>3</v>
      </c>
      <c r="G167" t="s">
        <v>69</v>
      </c>
      <c r="H16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7">
        <f>_xlfn.XLOOKUP(tblAccountAudit[[#This Row],[State]],tblStates[state_code],tblStates[territory_id],"Missing State")</f>
        <v>3</v>
      </c>
      <c r="J16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7" t="str" cm="1">
        <f t="array" ref="K16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6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8" spans="1:14">
      <c r="A168" t="s">
        <v>570</v>
      </c>
      <c r="B168" t="s">
        <v>571</v>
      </c>
      <c r="C168">
        <v>112</v>
      </c>
      <c r="D168" t="s">
        <v>16</v>
      </c>
      <c r="E168" t="s">
        <v>24</v>
      </c>
      <c r="F168">
        <v>1</v>
      </c>
      <c r="G168" t="s">
        <v>91</v>
      </c>
      <c r="H16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68">
        <f>_xlfn.XLOOKUP(tblAccountAudit[[#This Row],[State]],tblStates[state_code],tblStates[territory_id],"Missing State")</f>
        <v>1</v>
      </c>
      <c r="J16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68" t="str" cm="1">
        <f t="array" ref="K16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6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69" spans="1:14">
      <c r="A169" t="s">
        <v>573</v>
      </c>
      <c r="B169" t="s">
        <v>574</v>
      </c>
      <c r="C169">
        <v>693</v>
      </c>
      <c r="D169" t="s">
        <v>576</v>
      </c>
      <c r="E169" t="s">
        <v>30</v>
      </c>
      <c r="F169">
        <v>2</v>
      </c>
      <c r="G169" t="s">
        <v>82</v>
      </c>
      <c r="H16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69">
        <f>_xlfn.XLOOKUP(tblAccountAudit[[#This Row],[State]],tblStates[state_code],tblStates[territory_id],"Missing State")</f>
        <v>2</v>
      </c>
      <c r="J16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69" t="str" cm="1">
        <f t="array" ref="K16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6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6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6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0" spans="1:14">
      <c r="A170" t="s">
        <v>577</v>
      </c>
      <c r="B170" t="s">
        <v>578</v>
      </c>
      <c r="C170">
        <v>148</v>
      </c>
      <c r="D170" t="s">
        <v>205</v>
      </c>
      <c r="E170" t="s">
        <v>24</v>
      </c>
      <c r="F170">
        <v>4</v>
      </c>
      <c r="G170" t="s">
        <v>59</v>
      </c>
      <c r="H17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0">
        <f>_xlfn.XLOOKUP(tblAccountAudit[[#This Row],[State]],tblStates[state_code],tblStates[territory_id],"Missing State")</f>
        <v>4</v>
      </c>
      <c r="J17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0" t="str" cm="1">
        <f t="array" ref="K17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7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1" spans="1:14">
      <c r="A171" t="s">
        <v>580</v>
      </c>
      <c r="B171" t="s">
        <v>581</v>
      </c>
      <c r="C171">
        <v>382</v>
      </c>
      <c r="D171" t="s">
        <v>54</v>
      </c>
      <c r="E171" t="s">
        <v>30</v>
      </c>
      <c r="F171">
        <v>3</v>
      </c>
      <c r="G171" t="s">
        <v>55</v>
      </c>
      <c r="H17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71">
        <f>_xlfn.XLOOKUP(tblAccountAudit[[#This Row],[State]],tblStates[state_code],tblStates[territory_id],"Missing State")</f>
        <v>3</v>
      </c>
      <c r="J17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71" t="str" cm="1">
        <f t="array" ref="K17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7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2" spans="1:14">
      <c r="A172" t="s">
        <v>583</v>
      </c>
      <c r="B172" t="s">
        <v>584</v>
      </c>
      <c r="C172">
        <v>365</v>
      </c>
      <c r="D172" t="s">
        <v>249</v>
      </c>
      <c r="E172" t="s">
        <v>30</v>
      </c>
      <c r="F172">
        <v>4</v>
      </c>
      <c r="G172" t="s">
        <v>36</v>
      </c>
      <c r="H17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72">
        <f>_xlfn.XLOOKUP(tblAccountAudit[[#This Row],[State]],tblStates[state_code],tblStates[territory_id],"Missing State")</f>
        <v>4</v>
      </c>
      <c r="J17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72" t="str" cm="1">
        <f t="array" ref="K17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17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3" spans="1:14">
      <c r="A173" t="s">
        <v>586</v>
      </c>
      <c r="B173" t="s">
        <v>587</v>
      </c>
      <c r="C173">
        <v>2058</v>
      </c>
      <c r="D173" t="s">
        <v>154</v>
      </c>
      <c r="E173" t="s">
        <v>17</v>
      </c>
      <c r="F173">
        <v>2</v>
      </c>
      <c r="G173" t="s">
        <v>82</v>
      </c>
      <c r="H17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73">
        <f>_xlfn.XLOOKUP(tblAccountAudit[[#This Row],[State]],tblStates[state_code],tblStates[territory_id],"Missing State")</f>
        <v>2</v>
      </c>
      <c r="J17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73" t="str" cm="1">
        <f t="array" ref="K17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7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4" spans="1:14">
      <c r="A174" t="s">
        <v>589</v>
      </c>
      <c r="B174" t="s">
        <v>590</v>
      </c>
      <c r="C174">
        <v>113</v>
      </c>
      <c r="D174" t="s">
        <v>50</v>
      </c>
      <c r="E174" t="s">
        <v>24</v>
      </c>
      <c r="F174">
        <v>4</v>
      </c>
      <c r="G174" t="s">
        <v>59</v>
      </c>
      <c r="H17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4">
        <f>_xlfn.XLOOKUP(tblAccountAudit[[#This Row],[State]],tblStates[state_code],tblStates[territory_id],"Missing State")</f>
        <v>4</v>
      </c>
      <c r="J17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4" t="str" cm="1">
        <f t="array" ref="K17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7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5" spans="1:14">
      <c r="A175" t="s">
        <v>592</v>
      </c>
      <c r="B175" t="s">
        <v>593</v>
      </c>
      <c r="C175">
        <v>76</v>
      </c>
      <c r="D175" t="s">
        <v>16</v>
      </c>
      <c r="E175" t="s">
        <v>24</v>
      </c>
      <c r="F175">
        <v>1</v>
      </c>
      <c r="G175" t="s">
        <v>91</v>
      </c>
      <c r="H17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5">
        <f>_xlfn.XLOOKUP(tblAccountAudit[[#This Row],[State]],tblStates[state_code],tblStates[territory_id],"Missing State")</f>
        <v>1</v>
      </c>
      <c r="J17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5" t="str" cm="1">
        <f t="array" ref="K17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7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6" spans="1:14">
      <c r="A176" t="s">
        <v>595</v>
      </c>
      <c r="B176" t="s">
        <v>596</v>
      </c>
      <c r="C176">
        <v>164</v>
      </c>
      <c r="D176" t="s">
        <v>23</v>
      </c>
      <c r="E176" t="s">
        <v>24</v>
      </c>
      <c r="F176">
        <v>2</v>
      </c>
      <c r="G176" t="s">
        <v>25</v>
      </c>
      <c r="H17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6">
        <f>_xlfn.XLOOKUP(tblAccountAudit[[#This Row],[State]],tblStates[state_code],tblStates[territory_id],"Missing State")</f>
        <v>2</v>
      </c>
      <c r="J17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6" t="str" cm="1">
        <f t="array" ref="K17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7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7" spans="1:14">
      <c r="A177" t="s">
        <v>598</v>
      </c>
      <c r="B177" t="s">
        <v>599</v>
      </c>
      <c r="C177">
        <v>131</v>
      </c>
      <c r="D177" t="s">
        <v>81</v>
      </c>
      <c r="E177" t="s">
        <v>24</v>
      </c>
      <c r="F177">
        <v>2</v>
      </c>
      <c r="G177" t="s">
        <v>25</v>
      </c>
      <c r="H17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7">
        <f>_xlfn.XLOOKUP(tblAccountAudit[[#This Row],[State]],tblStates[state_code],tblStates[territory_id],"Missing State")</f>
        <v>2</v>
      </c>
      <c r="J17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7" t="str" cm="1">
        <f t="array" ref="K17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7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8" spans="1:14">
      <c r="A178" t="s">
        <v>600</v>
      </c>
      <c r="B178" t="s">
        <v>601</v>
      </c>
      <c r="C178">
        <v>129</v>
      </c>
      <c r="D178" t="s">
        <v>154</v>
      </c>
      <c r="E178" t="s">
        <v>24</v>
      </c>
      <c r="F178">
        <v>2</v>
      </c>
      <c r="G178" t="s">
        <v>25</v>
      </c>
      <c r="H17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8">
        <f>_xlfn.XLOOKUP(tblAccountAudit[[#This Row],[State]],tblStates[state_code],tblStates[territory_id],"Missing State")</f>
        <v>2</v>
      </c>
      <c r="J17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8" t="str" cm="1">
        <f t="array" ref="K17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7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79" spans="1:14">
      <c r="A179" t="s">
        <v>603</v>
      </c>
      <c r="B179" t="s">
        <v>604</v>
      </c>
      <c r="C179">
        <v>65</v>
      </c>
      <c r="D179" t="s">
        <v>120</v>
      </c>
      <c r="E179" t="s">
        <v>24</v>
      </c>
      <c r="F179">
        <v>2</v>
      </c>
      <c r="G179" t="s">
        <v>25</v>
      </c>
      <c r="H17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79">
        <f>_xlfn.XLOOKUP(tblAccountAudit[[#This Row],[State]],tblStates[state_code],tblStates[territory_id],"Missing State")</f>
        <v>2</v>
      </c>
      <c r="J17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79" t="str" cm="1">
        <f t="array" ref="K17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7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7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7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0" spans="1:14">
      <c r="A180" t="s">
        <v>606</v>
      </c>
      <c r="B180" t="s">
        <v>607</v>
      </c>
      <c r="C180">
        <v>226</v>
      </c>
      <c r="D180" t="s">
        <v>226</v>
      </c>
      <c r="E180" t="s">
        <v>30</v>
      </c>
      <c r="F180">
        <v>3</v>
      </c>
      <c r="G180" t="s">
        <v>55</v>
      </c>
      <c r="H18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80">
        <f>_xlfn.XLOOKUP(tblAccountAudit[[#This Row],[State]],tblStates[state_code],tblStates[territory_id],"Missing State")</f>
        <v>3</v>
      </c>
      <c r="J18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80" t="str" cm="1">
        <f t="array" ref="K18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8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1" spans="1:14">
      <c r="A181" t="s">
        <v>609</v>
      </c>
      <c r="B181" t="s">
        <v>610</v>
      </c>
      <c r="C181">
        <v>57</v>
      </c>
      <c r="D181" t="s">
        <v>323</v>
      </c>
      <c r="E181" t="s">
        <v>24</v>
      </c>
      <c r="F181">
        <v>2</v>
      </c>
      <c r="G181" t="s">
        <v>25</v>
      </c>
      <c r="H18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81">
        <f>_xlfn.XLOOKUP(tblAccountAudit[[#This Row],[State]],tblStates[state_code],tblStates[territory_id],"Missing State")</f>
        <v>2</v>
      </c>
      <c r="J18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81" t="str" cm="1">
        <f t="array" ref="K18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8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2" spans="1:14">
      <c r="A182" t="s">
        <v>612</v>
      </c>
      <c r="B182" t="s">
        <v>613</v>
      </c>
      <c r="C182">
        <v>447</v>
      </c>
      <c r="D182" t="s">
        <v>140</v>
      </c>
      <c r="E182" t="s">
        <v>30</v>
      </c>
      <c r="F182">
        <v>2</v>
      </c>
      <c r="G182" t="s">
        <v>82</v>
      </c>
      <c r="H18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82">
        <f>_xlfn.XLOOKUP(tblAccountAudit[[#This Row],[State]],tblStates[state_code],tblStates[territory_id],"Missing State")</f>
        <v>2</v>
      </c>
      <c r="J18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82" t="str" cm="1">
        <f t="array" ref="K18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8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3" spans="1:14">
      <c r="A183" t="s">
        <v>615</v>
      </c>
      <c r="B183" t="s">
        <v>616</v>
      </c>
      <c r="C183">
        <v>1224</v>
      </c>
      <c r="D183" t="s">
        <v>16</v>
      </c>
      <c r="E183" t="s">
        <v>17</v>
      </c>
      <c r="F183">
        <v>1</v>
      </c>
      <c r="G183" t="s">
        <v>18</v>
      </c>
      <c r="H18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183">
        <f>_xlfn.XLOOKUP(tblAccountAudit[[#This Row],[State]],tblStates[state_code],tblStates[territory_id],"Missing State")</f>
        <v>1</v>
      </c>
      <c r="J18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83" t="str" cm="1">
        <f t="array" ref="K18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8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4" spans="1:14">
      <c r="A184" t="s">
        <v>617</v>
      </c>
      <c r="B184" t="s">
        <v>618</v>
      </c>
      <c r="C184">
        <v>632</v>
      </c>
      <c r="D184" t="s">
        <v>81</v>
      </c>
      <c r="E184" t="s">
        <v>30</v>
      </c>
      <c r="F184">
        <v>2</v>
      </c>
      <c r="G184" t="s">
        <v>82</v>
      </c>
      <c r="H18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84">
        <f>_xlfn.XLOOKUP(tblAccountAudit[[#This Row],[State]],tblStates[state_code],tblStates[territory_id],"Missing State")</f>
        <v>2</v>
      </c>
      <c r="J18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84" t="str" cm="1">
        <f t="array" ref="K18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18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5" spans="1:14">
      <c r="A185" t="s">
        <v>620</v>
      </c>
      <c r="B185" t="s">
        <v>621</v>
      </c>
      <c r="C185">
        <v>130</v>
      </c>
      <c r="D185" t="s">
        <v>226</v>
      </c>
      <c r="E185" t="s">
        <v>24</v>
      </c>
      <c r="F185">
        <v>3</v>
      </c>
      <c r="G185" t="s">
        <v>69</v>
      </c>
      <c r="H18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85">
        <f>_xlfn.XLOOKUP(tblAccountAudit[[#This Row],[State]],tblStates[state_code],tblStates[territory_id],"Missing State")</f>
        <v>3</v>
      </c>
      <c r="J18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85" t="str" cm="1">
        <f t="array" ref="K18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8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6" spans="1:14">
      <c r="A186" t="s">
        <v>623</v>
      </c>
      <c r="B186" t="s">
        <v>624</v>
      </c>
      <c r="C186">
        <v>96</v>
      </c>
      <c r="D186" t="s">
        <v>16</v>
      </c>
      <c r="E186" t="s">
        <v>24</v>
      </c>
      <c r="F186">
        <v>1</v>
      </c>
      <c r="G186" t="s">
        <v>91</v>
      </c>
      <c r="H18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86">
        <f>_xlfn.XLOOKUP(tblAccountAudit[[#This Row],[State]],tblStates[state_code],tblStates[territory_id],"Missing State")</f>
        <v>1</v>
      </c>
      <c r="J18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86" t="str" cm="1">
        <f t="array" ref="K18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8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7" spans="1:14">
      <c r="A187" t="s">
        <v>626</v>
      </c>
      <c r="B187" t="s">
        <v>627</v>
      </c>
      <c r="C187">
        <v>516</v>
      </c>
      <c r="D187" t="s">
        <v>16</v>
      </c>
      <c r="E187" t="s">
        <v>30</v>
      </c>
      <c r="F187">
        <v>1</v>
      </c>
      <c r="G187" t="s">
        <v>18</v>
      </c>
      <c r="H18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87">
        <f>_xlfn.XLOOKUP(tblAccountAudit[[#This Row],[State]],tblStates[state_code],tblStates[territory_id],"Missing State")</f>
        <v>1</v>
      </c>
      <c r="J18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87" t="str" cm="1">
        <f t="array" ref="K18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18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88" spans="1:14">
      <c r="A188" t="s">
        <v>629</v>
      </c>
      <c r="B188" t="s">
        <v>630</v>
      </c>
      <c r="C188">
        <v>356</v>
      </c>
      <c r="D188" t="s">
        <v>64</v>
      </c>
      <c r="E188" t="s">
        <v>30</v>
      </c>
      <c r="F188">
        <v>3</v>
      </c>
      <c r="G188" t="s">
        <v>18</v>
      </c>
      <c r="H18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88">
        <f>_xlfn.XLOOKUP(tblAccountAudit[[#This Row],[State]],tblStates[state_code],tblStates[territory_id],"Missing State")</f>
        <v>3</v>
      </c>
      <c r="J18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88" t="str" cm="1">
        <f t="array" ref="K18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8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189" spans="1:14">
      <c r="A189" t="s">
        <v>632</v>
      </c>
      <c r="B189" t="s">
        <v>633</v>
      </c>
      <c r="C189">
        <v>162</v>
      </c>
      <c r="D189" t="s">
        <v>635</v>
      </c>
      <c r="E189" t="s">
        <v>24</v>
      </c>
      <c r="F189">
        <v>4</v>
      </c>
      <c r="G189" t="s">
        <v>59</v>
      </c>
      <c r="H18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89">
        <f>_xlfn.XLOOKUP(tblAccountAudit[[#This Row],[State]],tblStates[state_code],tblStates[territory_id],"Missing State")</f>
        <v>4</v>
      </c>
      <c r="J18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89" t="str" cm="1">
        <f t="array" ref="K18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8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8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8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0" spans="1:14">
      <c r="A190" t="s">
        <v>636</v>
      </c>
      <c r="B190" t="s">
        <v>637</v>
      </c>
      <c r="C190">
        <v>344</v>
      </c>
      <c r="D190" t="s">
        <v>638</v>
      </c>
      <c r="E190" t="s">
        <v>30</v>
      </c>
      <c r="F190">
        <v>3</v>
      </c>
      <c r="G190" t="s">
        <v>55</v>
      </c>
      <c r="H19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90">
        <f>_xlfn.XLOOKUP(tblAccountAudit[[#This Row],[State]],tblStates[state_code],tblStates[territory_id],"Missing State")</f>
        <v>3</v>
      </c>
      <c r="J19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90" t="str" cm="1">
        <f t="array" ref="K19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9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1" spans="1:14">
      <c r="A191" t="s">
        <v>639</v>
      </c>
      <c r="B191" t="s">
        <v>640</v>
      </c>
      <c r="C191">
        <v>693</v>
      </c>
      <c r="E191" t="s">
        <v>30</v>
      </c>
      <c r="F191">
        <v>2</v>
      </c>
      <c r="G191" t="s">
        <v>82</v>
      </c>
      <c r="H19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91" t="str">
        <f>_xlfn.XLOOKUP(tblAccountAudit[[#This Row],[State]],tblStates[state_code],tblStates[territory_id],"Missing State")</f>
        <v>Missing State</v>
      </c>
      <c r="J19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91" t="str" cm="1">
        <f t="array" ref="K19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19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State</v>
      </c>
      <c r="N19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192" spans="1:14">
      <c r="A192" t="s">
        <v>642</v>
      </c>
      <c r="B192" t="s">
        <v>643</v>
      </c>
      <c r="C192">
        <v>45</v>
      </c>
      <c r="D192" t="s">
        <v>81</v>
      </c>
      <c r="E192" t="s">
        <v>24</v>
      </c>
      <c r="F192">
        <v>2</v>
      </c>
      <c r="G192" t="s">
        <v>25</v>
      </c>
      <c r="H19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2">
        <f>_xlfn.XLOOKUP(tblAccountAudit[[#This Row],[State]],tblStates[state_code],tblStates[territory_id],"Missing State")</f>
        <v>2</v>
      </c>
      <c r="J19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2" t="str" cm="1">
        <f t="array" ref="K19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9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3" spans="1:14">
      <c r="A193" t="s">
        <v>645</v>
      </c>
      <c r="B193" t="s">
        <v>646</v>
      </c>
      <c r="C193">
        <v>170</v>
      </c>
      <c r="D193" t="s">
        <v>161</v>
      </c>
      <c r="E193" t="s">
        <v>24</v>
      </c>
      <c r="F193">
        <v>4</v>
      </c>
      <c r="G193" t="s">
        <v>59</v>
      </c>
      <c r="H19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3">
        <f>_xlfn.XLOOKUP(tblAccountAudit[[#This Row],[State]],tblStates[state_code],tblStates[territory_id],"Missing State")</f>
        <v>4</v>
      </c>
      <c r="J19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3" t="str" cm="1">
        <f t="array" ref="K19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19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4" spans="1:14">
      <c r="A194" t="s">
        <v>648</v>
      </c>
      <c r="B194" t="s">
        <v>649</v>
      </c>
      <c r="C194">
        <v>141</v>
      </c>
      <c r="D194" t="s">
        <v>216</v>
      </c>
      <c r="E194" t="s">
        <v>24</v>
      </c>
      <c r="F194">
        <v>1</v>
      </c>
      <c r="G194" t="s">
        <v>91</v>
      </c>
      <c r="H19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4">
        <f>_xlfn.XLOOKUP(tblAccountAudit[[#This Row],[State]],tblStates[state_code],tblStates[territory_id],"Missing State")</f>
        <v>1</v>
      </c>
      <c r="J19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4" t="str" cm="1">
        <f t="array" ref="K19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19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5" spans="1:14">
      <c r="A195" t="s">
        <v>651</v>
      </c>
      <c r="B195" t="s">
        <v>652</v>
      </c>
      <c r="C195">
        <v>119</v>
      </c>
      <c r="D195" t="s">
        <v>23</v>
      </c>
      <c r="E195" t="s">
        <v>24</v>
      </c>
      <c r="F195">
        <v>2</v>
      </c>
      <c r="G195" t="s">
        <v>25</v>
      </c>
      <c r="H19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5">
        <f>_xlfn.XLOOKUP(tblAccountAudit[[#This Row],[State]],tblStates[state_code],tblStates[territory_id],"Missing State")</f>
        <v>2</v>
      </c>
      <c r="J19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5" t="str" cm="1">
        <f t="array" ref="K19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9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6" spans="1:14">
      <c r="A196" t="s">
        <v>654</v>
      </c>
      <c r="B196" t="s">
        <v>655</v>
      </c>
      <c r="C196">
        <v>111</v>
      </c>
      <c r="D196" t="s">
        <v>560</v>
      </c>
      <c r="E196" t="s">
        <v>24</v>
      </c>
      <c r="F196">
        <v>2</v>
      </c>
      <c r="G196" t="s">
        <v>25</v>
      </c>
      <c r="H19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6">
        <f>_xlfn.XLOOKUP(tblAccountAudit[[#This Row],[State]],tblStates[state_code],tblStates[territory_id],"Missing State")</f>
        <v>2</v>
      </c>
      <c r="J19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6" t="str" cm="1">
        <f t="array" ref="K19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9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7" spans="1:14">
      <c r="A197" t="s">
        <v>657</v>
      </c>
      <c r="B197" t="s">
        <v>658</v>
      </c>
      <c r="C197">
        <v>512</v>
      </c>
      <c r="D197" t="s">
        <v>64</v>
      </c>
      <c r="E197" t="s">
        <v>30</v>
      </c>
      <c r="F197">
        <v>3</v>
      </c>
      <c r="G197" t="s">
        <v>55</v>
      </c>
      <c r="H19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197">
        <f>_xlfn.XLOOKUP(tblAccountAudit[[#This Row],[State]],tblStates[state_code],tblStates[territory_id],"Missing State")</f>
        <v>3</v>
      </c>
      <c r="J19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197" t="str" cm="1">
        <f t="array" ref="K19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19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8" spans="1:14">
      <c r="A198" t="s">
        <v>660</v>
      </c>
      <c r="B198" t="s">
        <v>661</v>
      </c>
      <c r="C198">
        <v>74</v>
      </c>
      <c r="D198" t="s">
        <v>68</v>
      </c>
      <c r="E198" t="s">
        <v>24</v>
      </c>
      <c r="F198">
        <v>3</v>
      </c>
      <c r="G198" t="s">
        <v>69</v>
      </c>
      <c r="H19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8">
        <f>_xlfn.XLOOKUP(tblAccountAudit[[#This Row],[State]],tblStates[state_code],tblStates[territory_id],"Missing State")</f>
        <v>3</v>
      </c>
      <c r="J19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8" t="str" cm="1">
        <f t="array" ref="K19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19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199" spans="1:14">
      <c r="A199" t="s">
        <v>663</v>
      </c>
      <c r="B199" t="s">
        <v>664</v>
      </c>
      <c r="C199">
        <v>80</v>
      </c>
      <c r="D199" t="s">
        <v>127</v>
      </c>
      <c r="E199" t="s">
        <v>24</v>
      </c>
      <c r="F199">
        <v>2</v>
      </c>
      <c r="G199" t="s">
        <v>25</v>
      </c>
      <c r="H19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199">
        <f>_xlfn.XLOOKUP(tblAccountAudit[[#This Row],[State]],tblStates[state_code],tblStates[territory_id],"Missing State")</f>
        <v>2</v>
      </c>
      <c r="J19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199" t="str" cm="1">
        <f t="array" ref="K19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19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19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19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0" spans="1:14">
      <c r="A200" t="s">
        <v>666</v>
      </c>
      <c r="B200" t="s">
        <v>667</v>
      </c>
      <c r="C200">
        <v>83</v>
      </c>
      <c r="D200" t="s">
        <v>226</v>
      </c>
      <c r="E200" t="s">
        <v>24</v>
      </c>
      <c r="F200">
        <v>3</v>
      </c>
      <c r="G200" t="s">
        <v>69</v>
      </c>
      <c r="H20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00">
        <f>_xlfn.XLOOKUP(tblAccountAudit[[#This Row],[State]],tblStates[state_code],tblStates[territory_id],"Missing State")</f>
        <v>3</v>
      </c>
      <c r="J20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00" t="str" cm="1">
        <f t="array" ref="K20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0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1" spans="1:14">
      <c r="A201" t="s">
        <v>669</v>
      </c>
      <c r="B201" t="s">
        <v>670</v>
      </c>
      <c r="C201">
        <v>135</v>
      </c>
      <c r="E201" t="s">
        <v>24</v>
      </c>
      <c r="F201">
        <v>2</v>
      </c>
      <c r="G201" t="s">
        <v>25</v>
      </c>
      <c r="H20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01" t="str">
        <f>_xlfn.XLOOKUP(tblAccountAudit[[#This Row],[State]],tblStates[state_code],tblStates[territory_id],"Missing State")</f>
        <v>Missing State</v>
      </c>
      <c r="J20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01" t="str" cm="1">
        <f t="array" ref="K20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0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State</v>
      </c>
      <c r="N20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02" spans="1:14">
      <c r="A202" t="s">
        <v>672</v>
      </c>
      <c r="B202" t="s">
        <v>673</v>
      </c>
      <c r="C202">
        <v>38</v>
      </c>
      <c r="D202" t="s">
        <v>50</v>
      </c>
      <c r="E202" t="s">
        <v>24</v>
      </c>
      <c r="F202">
        <v>4</v>
      </c>
      <c r="G202" t="s">
        <v>59</v>
      </c>
      <c r="H20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02">
        <f>_xlfn.XLOOKUP(tblAccountAudit[[#This Row],[State]],tblStates[state_code],tblStates[territory_id],"Missing State")</f>
        <v>4</v>
      </c>
      <c r="J20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02" t="str" cm="1">
        <f t="array" ref="K20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0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3" spans="1:14">
      <c r="A203" t="s">
        <v>675</v>
      </c>
      <c r="B203" t="s">
        <v>676</v>
      </c>
      <c r="C203">
        <v>447</v>
      </c>
      <c r="D203" t="s">
        <v>41</v>
      </c>
      <c r="E203" t="s">
        <v>30</v>
      </c>
      <c r="F203">
        <v>2</v>
      </c>
      <c r="G203" t="s">
        <v>82</v>
      </c>
      <c r="H20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03">
        <f>_xlfn.XLOOKUP(tblAccountAudit[[#This Row],[State]],tblStates[state_code],tblStates[territory_id],"Missing State")</f>
        <v>2</v>
      </c>
      <c r="J20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03" t="str" cm="1">
        <f t="array" ref="K20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0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4" spans="1:14">
      <c r="A204" t="s">
        <v>677</v>
      </c>
      <c r="B204" t="s">
        <v>678</v>
      </c>
      <c r="C204">
        <v>1296</v>
      </c>
      <c r="D204" t="s">
        <v>226</v>
      </c>
      <c r="E204" t="s">
        <v>17</v>
      </c>
      <c r="F204">
        <v>3</v>
      </c>
      <c r="G204" t="s">
        <v>55</v>
      </c>
      <c r="H20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04">
        <f>_xlfn.XLOOKUP(tblAccountAudit[[#This Row],[State]],tblStates[state_code],tblStates[territory_id],"Missing State")</f>
        <v>3</v>
      </c>
      <c r="J20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04" t="str" cm="1">
        <f t="array" ref="K20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0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5" spans="1:14">
      <c r="A205" t="s">
        <v>680</v>
      </c>
      <c r="B205" t="s">
        <v>681</v>
      </c>
      <c r="C205">
        <v>3247</v>
      </c>
      <c r="D205" t="s">
        <v>23</v>
      </c>
      <c r="F205">
        <v>2</v>
      </c>
      <c r="G205" t="s">
        <v>82</v>
      </c>
      <c r="H20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Management Review</v>
      </c>
      <c r="I205">
        <f>_xlfn.XLOOKUP(tblAccountAudit[[#This Row],[State]],tblStates[state_code],tblStates[territory_id],"Missing State")</f>
        <v>2</v>
      </c>
      <c r="J205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05" t="str" cm="1">
        <f t="array" ref="K20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0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0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06" spans="1:14">
      <c r="A206" t="s">
        <v>682</v>
      </c>
      <c r="B206" t="s">
        <v>683</v>
      </c>
      <c r="C206">
        <v>367</v>
      </c>
      <c r="D206" t="s">
        <v>50</v>
      </c>
      <c r="E206" t="s">
        <v>30</v>
      </c>
      <c r="F206">
        <v>4</v>
      </c>
      <c r="G206" t="s">
        <v>36</v>
      </c>
      <c r="H20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06">
        <f>_xlfn.XLOOKUP(tblAccountAudit[[#This Row],[State]],tblStates[state_code],tblStates[territory_id],"Missing State")</f>
        <v>4</v>
      </c>
      <c r="J20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06" t="str" cm="1">
        <f t="array" ref="K20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0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7" spans="1:14">
      <c r="A207" t="s">
        <v>685</v>
      </c>
      <c r="B207" t="s">
        <v>686</v>
      </c>
      <c r="C207">
        <v>89</v>
      </c>
      <c r="D207" t="s">
        <v>140</v>
      </c>
      <c r="E207" t="s">
        <v>24</v>
      </c>
      <c r="F207">
        <v>2</v>
      </c>
      <c r="G207" t="s">
        <v>25</v>
      </c>
      <c r="H20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07">
        <f>_xlfn.XLOOKUP(tblAccountAudit[[#This Row],[State]],tblStates[state_code],tblStates[territory_id],"Missing State")</f>
        <v>2</v>
      </c>
      <c r="J20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07" t="str" cm="1">
        <f t="array" ref="K20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0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8" spans="1:14">
      <c r="A208" t="s">
        <v>688</v>
      </c>
      <c r="B208" t="s">
        <v>689</v>
      </c>
      <c r="C208">
        <v>476</v>
      </c>
      <c r="D208" t="s">
        <v>140</v>
      </c>
      <c r="E208" t="s">
        <v>30</v>
      </c>
      <c r="F208">
        <v>2</v>
      </c>
      <c r="G208" t="s">
        <v>82</v>
      </c>
      <c r="H20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08">
        <f>_xlfn.XLOOKUP(tblAccountAudit[[#This Row],[State]],tblStates[state_code],tblStates[territory_id],"Missing State")</f>
        <v>2</v>
      </c>
      <c r="J20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08" t="str" cm="1">
        <f t="array" ref="K20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0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09" spans="1:14">
      <c r="A209" t="s">
        <v>691</v>
      </c>
      <c r="B209" t="s">
        <v>692</v>
      </c>
      <c r="C209">
        <v>83</v>
      </c>
      <c r="D209" t="s">
        <v>140</v>
      </c>
      <c r="E209" t="s">
        <v>24</v>
      </c>
      <c r="F209">
        <v>2</v>
      </c>
      <c r="G209" t="s">
        <v>25</v>
      </c>
      <c r="H20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09">
        <f>_xlfn.XLOOKUP(tblAccountAudit[[#This Row],[State]],tblStates[state_code],tblStates[territory_id],"Missing State")</f>
        <v>2</v>
      </c>
      <c r="J20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09" t="str" cm="1">
        <f t="array" ref="K20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0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0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0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0" spans="1:14">
      <c r="A210" t="s">
        <v>694</v>
      </c>
      <c r="B210" t="s">
        <v>695</v>
      </c>
      <c r="C210">
        <v>1557</v>
      </c>
      <c r="D210" t="s">
        <v>366</v>
      </c>
      <c r="E210" t="s">
        <v>17</v>
      </c>
      <c r="F210">
        <v>1</v>
      </c>
      <c r="G210" t="s">
        <v>18</v>
      </c>
      <c r="H21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10">
        <f>_xlfn.XLOOKUP(tblAccountAudit[[#This Row],[State]],tblStates[state_code],tblStates[territory_id],"Missing State")</f>
        <v>1</v>
      </c>
      <c r="J21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10" t="str" cm="1">
        <f t="array" ref="K21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1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1" spans="1:14">
      <c r="A211" t="s">
        <v>697</v>
      </c>
      <c r="B211" t="s">
        <v>698</v>
      </c>
      <c r="C211">
        <v>3773</v>
      </c>
      <c r="D211" t="s">
        <v>295</v>
      </c>
      <c r="F211">
        <v>2</v>
      </c>
      <c r="G211" t="s">
        <v>82</v>
      </c>
      <c r="H21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Management Review</v>
      </c>
      <c r="I211">
        <f>_xlfn.XLOOKUP(tblAccountAudit[[#This Row],[State]],tblStates[state_code],tblStates[territory_id],"Missing State")</f>
        <v>2</v>
      </c>
      <c r="J211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11" t="str" cm="1">
        <f t="array" ref="K21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1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1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12" spans="1:14">
      <c r="A212" t="s">
        <v>700</v>
      </c>
      <c r="B212" t="s">
        <v>701</v>
      </c>
      <c r="D212" t="s">
        <v>68</v>
      </c>
      <c r="E212" t="s">
        <v>30</v>
      </c>
      <c r="F212">
        <v>3</v>
      </c>
      <c r="G212" t="s">
        <v>55</v>
      </c>
      <c r="H21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Missing Employee Count</v>
      </c>
      <c r="I212">
        <f>_xlfn.XLOOKUP(tblAccountAudit[[#This Row],[State]],tblStates[state_code],tblStates[territory_id],"Missing State")</f>
        <v>3</v>
      </c>
      <c r="J212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12" t="str" cm="1">
        <f t="array" ref="K21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1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1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13" spans="1:14">
      <c r="A213" t="s">
        <v>703</v>
      </c>
      <c r="B213" t="s">
        <v>704</v>
      </c>
      <c r="C213">
        <v>93</v>
      </c>
      <c r="D213" t="s">
        <v>23</v>
      </c>
      <c r="E213" t="s">
        <v>24</v>
      </c>
      <c r="F213">
        <v>4</v>
      </c>
      <c r="G213" t="s">
        <v>25</v>
      </c>
      <c r="H21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13">
        <f>_xlfn.XLOOKUP(tblAccountAudit[[#This Row],[State]],tblStates[state_code],tblStates[territory_id],"Missing State")</f>
        <v>2</v>
      </c>
      <c r="J21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13" t="str" cm="1">
        <f t="array" ref="K21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1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21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4" spans="1:14">
      <c r="A214" t="s">
        <v>706</v>
      </c>
      <c r="B214" t="s">
        <v>707</v>
      </c>
      <c r="C214">
        <v>2605</v>
      </c>
      <c r="D214" t="s">
        <v>440</v>
      </c>
      <c r="F214">
        <v>3</v>
      </c>
      <c r="G214" t="s">
        <v>55</v>
      </c>
      <c r="H21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Management Review</v>
      </c>
      <c r="I214">
        <f>_xlfn.XLOOKUP(tblAccountAudit[[#This Row],[State]],tblStates[state_code],tblStates[territory_id],"Missing State")</f>
        <v>3</v>
      </c>
      <c r="J214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14" t="str" cm="1">
        <f t="array" ref="K21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1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1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15" spans="1:14">
      <c r="A215" t="s">
        <v>709</v>
      </c>
      <c r="B215" t="s">
        <v>710</v>
      </c>
      <c r="C215">
        <v>55</v>
      </c>
      <c r="D215" t="s">
        <v>366</v>
      </c>
      <c r="E215" t="s">
        <v>24</v>
      </c>
      <c r="F215">
        <v>1</v>
      </c>
      <c r="G215" t="s">
        <v>91</v>
      </c>
      <c r="H21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15">
        <f>_xlfn.XLOOKUP(tblAccountAudit[[#This Row],[State]],tblStates[state_code],tblStates[territory_id],"Missing State")</f>
        <v>1</v>
      </c>
      <c r="J21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15" t="str" cm="1">
        <f t="array" ref="K21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1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6" spans="1:14">
      <c r="A216" t="s">
        <v>712</v>
      </c>
      <c r="B216" t="s">
        <v>713</v>
      </c>
      <c r="C216">
        <v>91</v>
      </c>
      <c r="D216" t="s">
        <v>16</v>
      </c>
      <c r="E216" t="s">
        <v>24</v>
      </c>
      <c r="F216">
        <v>1</v>
      </c>
      <c r="G216" t="s">
        <v>91</v>
      </c>
      <c r="H21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16">
        <f>_xlfn.XLOOKUP(tblAccountAudit[[#This Row],[State]],tblStates[state_code],tblStates[territory_id],"Missing State")</f>
        <v>1</v>
      </c>
      <c r="J21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16" t="str" cm="1">
        <f t="array" ref="K21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1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7" spans="1:14">
      <c r="A217" t="s">
        <v>715</v>
      </c>
      <c r="B217" t="s">
        <v>716</v>
      </c>
      <c r="C217">
        <v>370</v>
      </c>
      <c r="D217" t="s">
        <v>638</v>
      </c>
      <c r="E217" t="s">
        <v>30</v>
      </c>
      <c r="F217">
        <v>3</v>
      </c>
      <c r="G217" t="s">
        <v>55</v>
      </c>
      <c r="H21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17">
        <f>_xlfn.XLOOKUP(tblAccountAudit[[#This Row],[State]],tblStates[state_code],tblStates[territory_id],"Missing State")</f>
        <v>3</v>
      </c>
      <c r="J21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17" t="str" cm="1">
        <f t="array" ref="K21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1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8" spans="1:14">
      <c r="A218" t="s">
        <v>717</v>
      </c>
      <c r="B218" t="s">
        <v>718</v>
      </c>
      <c r="C218">
        <v>1329</v>
      </c>
      <c r="D218" t="s">
        <v>81</v>
      </c>
      <c r="E218" t="s">
        <v>17</v>
      </c>
      <c r="F218">
        <v>2</v>
      </c>
      <c r="G218" t="s">
        <v>82</v>
      </c>
      <c r="H21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18">
        <f>_xlfn.XLOOKUP(tblAccountAudit[[#This Row],[State]],tblStates[state_code],tblStates[territory_id],"Missing State")</f>
        <v>2</v>
      </c>
      <c r="J21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18" t="str" cm="1">
        <f t="array" ref="K21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1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19" spans="1:14">
      <c r="A219" t="s">
        <v>720</v>
      </c>
      <c r="B219" t="s">
        <v>721</v>
      </c>
      <c r="C219">
        <v>130</v>
      </c>
      <c r="D219" t="s">
        <v>440</v>
      </c>
      <c r="E219" t="s">
        <v>24</v>
      </c>
      <c r="F219">
        <v>3</v>
      </c>
      <c r="G219" t="s">
        <v>69</v>
      </c>
      <c r="H21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19">
        <f>_xlfn.XLOOKUP(tblAccountAudit[[#This Row],[State]],tblStates[state_code],tblStates[territory_id],"Missing State")</f>
        <v>3</v>
      </c>
      <c r="J21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19" t="str" cm="1">
        <f t="array" ref="K21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1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1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1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0" spans="1:14">
      <c r="A220" t="s">
        <v>723</v>
      </c>
      <c r="B220" t="s">
        <v>724</v>
      </c>
      <c r="C220">
        <v>1910</v>
      </c>
      <c r="D220" t="s">
        <v>205</v>
      </c>
      <c r="E220" t="s">
        <v>17</v>
      </c>
      <c r="F220">
        <v>4</v>
      </c>
      <c r="G220" t="s">
        <v>36</v>
      </c>
      <c r="H22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20">
        <f>_xlfn.XLOOKUP(tblAccountAudit[[#This Row],[State]],tblStates[state_code],tblStates[territory_id],"Missing State")</f>
        <v>4</v>
      </c>
      <c r="J22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20" t="str" cm="1">
        <f t="array" ref="K22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2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1" spans="1:14">
      <c r="A221" t="s">
        <v>726</v>
      </c>
      <c r="B221" t="s">
        <v>727</v>
      </c>
      <c r="C221">
        <v>3090</v>
      </c>
      <c r="D221" t="s">
        <v>50</v>
      </c>
      <c r="G221" t="s">
        <v>36</v>
      </c>
      <c r="H22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Management Review</v>
      </c>
      <c r="I221">
        <f>_xlfn.XLOOKUP(tblAccountAudit[[#This Row],[State]],tblStates[state_code],tblStates[territory_id],"Missing State")</f>
        <v>4</v>
      </c>
      <c r="J221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21" t="str" cm="1">
        <f t="array" ref="K22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2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2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Stored Territory</v>
      </c>
      <c r="N22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22" spans="1:14">
      <c r="A222" t="s">
        <v>729</v>
      </c>
      <c r="B222" t="s">
        <v>730</v>
      </c>
      <c r="C222">
        <v>365</v>
      </c>
      <c r="D222" t="s">
        <v>236</v>
      </c>
      <c r="E222" t="s">
        <v>30</v>
      </c>
      <c r="F222">
        <v>1</v>
      </c>
      <c r="H22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22">
        <f>_xlfn.XLOOKUP(tblAccountAudit[[#This Row],[State]],tblStates[state_code],tblStates[territory_id],"Missing State")</f>
        <v>1</v>
      </c>
      <c r="J22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22" t="str" cm="1">
        <f t="array" ref="K22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2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Unassigned</v>
      </c>
    </row>
    <row r="223" spans="1:14">
      <c r="A223" t="s">
        <v>731</v>
      </c>
      <c r="B223" t="s">
        <v>732</v>
      </c>
      <c r="C223">
        <v>61</v>
      </c>
      <c r="D223" t="s">
        <v>50</v>
      </c>
      <c r="E223" t="s">
        <v>24</v>
      </c>
      <c r="F223">
        <v>4</v>
      </c>
      <c r="G223" t="s">
        <v>59</v>
      </c>
      <c r="H22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23">
        <f>_xlfn.XLOOKUP(tblAccountAudit[[#This Row],[State]],tblStates[state_code],tblStates[territory_id],"Missing State")</f>
        <v>4</v>
      </c>
      <c r="J22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23" t="str" cm="1">
        <f t="array" ref="K22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2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4" spans="1:14">
      <c r="A224" t="s">
        <v>734</v>
      </c>
      <c r="B224" t="s">
        <v>735</v>
      </c>
      <c r="C224">
        <v>1862</v>
      </c>
      <c r="D224" t="s">
        <v>226</v>
      </c>
      <c r="E224" t="s">
        <v>17</v>
      </c>
      <c r="F224">
        <v>3</v>
      </c>
      <c r="G224" t="s">
        <v>55</v>
      </c>
      <c r="H22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24">
        <f>_xlfn.XLOOKUP(tblAccountAudit[[#This Row],[State]],tblStates[state_code],tblStates[territory_id],"Missing State")</f>
        <v>3</v>
      </c>
      <c r="J22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24" t="str" cm="1">
        <f t="array" ref="K22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2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5" spans="1:14">
      <c r="A225" t="s">
        <v>737</v>
      </c>
      <c r="B225" t="s">
        <v>738</v>
      </c>
      <c r="C225">
        <v>134</v>
      </c>
      <c r="D225" t="s">
        <v>236</v>
      </c>
      <c r="E225" t="s">
        <v>24</v>
      </c>
      <c r="F225">
        <v>1</v>
      </c>
      <c r="G225" t="s">
        <v>91</v>
      </c>
      <c r="H22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25">
        <f>_xlfn.XLOOKUP(tblAccountAudit[[#This Row],[State]],tblStates[state_code],tblStates[territory_id],"Missing State")</f>
        <v>1</v>
      </c>
      <c r="J22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25" t="str" cm="1">
        <f t="array" ref="K22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2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6" spans="1:14">
      <c r="A226" t="s">
        <v>739</v>
      </c>
      <c r="B226" t="s">
        <v>740</v>
      </c>
      <c r="C226">
        <v>2214</v>
      </c>
      <c r="D226" t="s">
        <v>99</v>
      </c>
      <c r="E226" t="s">
        <v>17</v>
      </c>
      <c r="F226">
        <v>4</v>
      </c>
      <c r="G226" t="s">
        <v>36</v>
      </c>
      <c r="H22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26">
        <f>_xlfn.XLOOKUP(tblAccountAudit[[#This Row],[State]],tblStates[state_code],tblStates[territory_id],"Missing State")</f>
        <v>4</v>
      </c>
      <c r="J22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26" t="str" cm="1">
        <f t="array" ref="K22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2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7" spans="1:14">
      <c r="A227" t="s">
        <v>742</v>
      </c>
      <c r="B227" t="s">
        <v>743</v>
      </c>
      <c r="C227">
        <v>122</v>
      </c>
      <c r="D227" t="s">
        <v>16</v>
      </c>
      <c r="E227" t="s">
        <v>24</v>
      </c>
      <c r="F227">
        <v>1</v>
      </c>
      <c r="G227" t="s">
        <v>91</v>
      </c>
      <c r="H22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27">
        <f>_xlfn.XLOOKUP(tblAccountAudit[[#This Row],[State]],tblStates[state_code],tblStates[territory_id],"Missing State")</f>
        <v>1</v>
      </c>
      <c r="J22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27" t="str" cm="1">
        <f t="array" ref="K22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2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8" spans="1:14">
      <c r="A228" t="s">
        <v>745</v>
      </c>
      <c r="B228" t="s">
        <v>746</v>
      </c>
      <c r="C228">
        <v>56</v>
      </c>
      <c r="D228" t="s">
        <v>366</v>
      </c>
      <c r="E228" t="s">
        <v>24</v>
      </c>
      <c r="F228">
        <v>1</v>
      </c>
      <c r="G228" t="s">
        <v>91</v>
      </c>
      <c r="H22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28">
        <f>_xlfn.XLOOKUP(tblAccountAudit[[#This Row],[State]],tblStates[state_code],tblStates[territory_id],"Missing State")</f>
        <v>1</v>
      </c>
      <c r="J22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28" t="str" cm="1">
        <f t="array" ref="K22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2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29" spans="1:14">
      <c r="A229" t="s">
        <v>748</v>
      </c>
      <c r="B229" t="s">
        <v>749</v>
      </c>
      <c r="C229">
        <v>695</v>
      </c>
      <c r="D229" t="s">
        <v>50</v>
      </c>
      <c r="E229" t="s">
        <v>30</v>
      </c>
      <c r="F229">
        <v>4</v>
      </c>
      <c r="G229" t="s">
        <v>36</v>
      </c>
      <c r="H22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29">
        <f>_xlfn.XLOOKUP(tblAccountAudit[[#This Row],[State]],tblStates[state_code],tblStates[territory_id],"Missing State")</f>
        <v>4</v>
      </c>
      <c r="J22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29" t="str" cm="1">
        <f t="array" ref="K22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2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2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2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0" spans="1:14">
      <c r="A230" t="s">
        <v>751</v>
      </c>
      <c r="B230" t="s">
        <v>752</v>
      </c>
      <c r="C230">
        <v>174</v>
      </c>
      <c r="D230" t="s">
        <v>23</v>
      </c>
      <c r="E230" t="s">
        <v>24</v>
      </c>
      <c r="F230">
        <v>2</v>
      </c>
      <c r="G230" t="s">
        <v>25</v>
      </c>
      <c r="H23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30">
        <f>_xlfn.XLOOKUP(tblAccountAudit[[#This Row],[State]],tblStates[state_code],tblStates[territory_id],"Missing State")</f>
        <v>2</v>
      </c>
      <c r="J23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30" t="str" cm="1">
        <f t="array" ref="K23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3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1" spans="1:14">
      <c r="A231" t="s">
        <v>754</v>
      </c>
      <c r="B231" t="s">
        <v>755</v>
      </c>
      <c r="C231">
        <v>1853</v>
      </c>
      <c r="D231" t="s">
        <v>212</v>
      </c>
      <c r="E231" t="s">
        <v>17</v>
      </c>
      <c r="F231">
        <v>3</v>
      </c>
      <c r="G231" t="s">
        <v>55</v>
      </c>
      <c r="H23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31">
        <f>_xlfn.XLOOKUP(tblAccountAudit[[#This Row],[State]],tblStates[state_code],tblStates[territory_id],"Missing State")</f>
        <v>3</v>
      </c>
      <c r="J231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31" t="str" cm="1">
        <f t="array" ref="K23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3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2" spans="1:14">
      <c r="A232" t="s">
        <v>757</v>
      </c>
      <c r="B232" t="s">
        <v>758</v>
      </c>
      <c r="C232">
        <v>517</v>
      </c>
      <c r="D232" t="s">
        <v>339</v>
      </c>
      <c r="E232" t="s">
        <v>30</v>
      </c>
      <c r="F232">
        <v>3</v>
      </c>
      <c r="G232" t="s">
        <v>55</v>
      </c>
      <c r="H23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32">
        <f>_xlfn.XLOOKUP(tblAccountAudit[[#This Row],[State]],tblStates[state_code],tblStates[territory_id],"Missing State")</f>
        <v>3</v>
      </c>
      <c r="J23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32" t="str" cm="1">
        <f t="array" ref="K23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3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3" spans="1:14">
      <c r="A233" t="s">
        <v>760</v>
      </c>
      <c r="B233" t="s">
        <v>761</v>
      </c>
      <c r="C233">
        <v>421</v>
      </c>
      <c r="D233" t="s">
        <v>415</v>
      </c>
      <c r="E233" t="s">
        <v>30</v>
      </c>
      <c r="F233">
        <v>3</v>
      </c>
      <c r="G233" t="s">
        <v>55</v>
      </c>
      <c r="H23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33">
        <f>_xlfn.XLOOKUP(tblAccountAudit[[#This Row],[State]],tblStates[state_code],tblStates[territory_id],"Missing State")</f>
        <v>3</v>
      </c>
      <c r="J23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33" t="str" cm="1">
        <f t="array" ref="K23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3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4" spans="1:14">
      <c r="A234" t="s">
        <v>763</v>
      </c>
      <c r="B234" t="s">
        <v>764</v>
      </c>
      <c r="C234">
        <v>441</v>
      </c>
      <c r="D234" t="s">
        <v>68</v>
      </c>
      <c r="E234" t="s">
        <v>30</v>
      </c>
      <c r="F234">
        <v>3</v>
      </c>
      <c r="G234" t="s">
        <v>55</v>
      </c>
      <c r="H23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34">
        <f>_xlfn.XLOOKUP(tblAccountAudit[[#This Row],[State]],tblStates[state_code],tblStates[territory_id],"Missing State")</f>
        <v>3</v>
      </c>
      <c r="J23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34" t="str" cm="1">
        <f t="array" ref="K23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3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5" spans="1:14">
      <c r="A235" t="s">
        <v>766</v>
      </c>
      <c r="B235" t="s">
        <v>767</v>
      </c>
      <c r="C235">
        <v>131</v>
      </c>
      <c r="D235" t="s">
        <v>16</v>
      </c>
      <c r="E235" t="s">
        <v>24</v>
      </c>
      <c r="F235">
        <v>1</v>
      </c>
      <c r="G235" t="s">
        <v>91</v>
      </c>
      <c r="H23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35">
        <f>_xlfn.XLOOKUP(tblAccountAudit[[#This Row],[State]],tblStates[state_code],tblStates[territory_id],"Missing State")</f>
        <v>1</v>
      </c>
      <c r="J23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35" t="str" cm="1">
        <f t="array" ref="K23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3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6" spans="1:14">
      <c r="A236" t="s">
        <v>769</v>
      </c>
      <c r="B236" t="s">
        <v>770</v>
      </c>
      <c r="C236">
        <v>89</v>
      </c>
      <c r="D236" t="s">
        <v>154</v>
      </c>
      <c r="E236" t="s">
        <v>24</v>
      </c>
      <c r="F236">
        <v>2</v>
      </c>
      <c r="G236" t="s">
        <v>25</v>
      </c>
      <c r="H23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36">
        <f>_xlfn.XLOOKUP(tblAccountAudit[[#This Row],[State]],tblStates[state_code],tblStates[territory_id],"Missing State")</f>
        <v>2</v>
      </c>
      <c r="J23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36" t="str" cm="1">
        <f t="array" ref="K23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3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7" spans="1:14">
      <c r="A237" t="s">
        <v>772</v>
      </c>
      <c r="B237" t="s">
        <v>773</v>
      </c>
      <c r="C237">
        <v>73</v>
      </c>
      <c r="D237" t="s">
        <v>236</v>
      </c>
      <c r="E237" t="s">
        <v>24</v>
      </c>
      <c r="F237">
        <v>1</v>
      </c>
      <c r="G237" t="s">
        <v>91</v>
      </c>
      <c r="H23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37">
        <f>_xlfn.XLOOKUP(tblAccountAudit[[#This Row],[State]],tblStates[state_code],tblStates[territory_id],"Missing State")</f>
        <v>1</v>
      </c>
      <c r="J23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37" t="str" cm="1">
        <f t="array" ref="K23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3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8" spans="1:14">
      <c r="A238" t="s">
        <v>774</v>
      </c>
      <c r="B238" t="s">
        <v>775</v>
      </c>
      <c r="C238">
        <v>283</v>
      </c>
      <c r="D238" t="s">
        <v>366</v>
      </c>
      <c r="E238" t="s">
        <v>30</v>
      </c>
      <c r="F238">
        <v>1</v>
      </c>
      <c r="G238" t="s">
        <v>18</v>
      </c>
      <c r="H23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38">
        <f>_xlfn.XLOOKUP(tblAccountAudit[[#This Row],[State]],tblStates[state_code],tblStates[territory_id],"Missing State")</f>
        <v>1</v>
      </c>
      <c r="J23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38" t="str" cm="1">
        <f t="array" ref="K23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3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39" spans="1:14">
      <c r="A239" t="s">
        <v>777</v>
      </c>
      <c r="B239" t="s">
        <v>778</v>
      </c>
      <c r="C239">
        <v>169</v>
      </c>
      <c r="D239" t="s">
        <v>120</v>
      </c>
      <c r="E239" t="s">
        <v>24</v>
      </c>
      <c r="F239">
        <v>2</v>
      </c>
      <c r="G239" t="s">
        <v>25</v>
      </c>
      <c r="H23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39">
        <f>_xlfn.XLOOKUP(tblAccountAudit[[#This Row],[State]],tblStates[state_code],tblStates[territory_id],"Missing State")</f>
        <v>2</v>
      </c>
      <c r="J23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39" t="str" cm="1">
        <f t="array" ref="K23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3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3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3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0" spans="1:14">
      <c r="A240" t="s">
        <v>780</v>
      </c>
      <c r="B240" t="s">
        <v>781</v>
      </c>
      <c r="C240">
        <v>398</v>
      </c>
      <c r="D240" t="s">
        <v>99</v>
      </c>
      <c r="E240" t="s">
        <v>30</v>
      </c>
      <c r="F240">
        <v>4</v>
      </c>
      <c r="H24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40">
        <f>_xlfn.XLOOKUP(tblAccountAudit[[#This Row],[State]],tblStates[state_code],tblStates[territory_id],"Missing State")</f>
        <v>4</v>
      </c>
      <c r="J24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40" t="str" cm="1">
        <f t="array" ref="K24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4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Unassigned</v>
      </c>
    </row>
    <row r="241" spans="1:14">
      <c r="A241" t="s">
        <v>783</v>
      </c>
      <c r="B241" t="s">
        <v>784</v>
      </c>
      <c r="C241">
        <v>121</v>
      </c>
      <c r="D241" t="s">
        <v>120</v>
      </c>
      <c r="E241" t="s">
        <v>24</v>
      </c>
      <c r="F241">
        <v>2</v>
      </c>
      <c r="H24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41">
        <f>_xlfn.XLOOKUP(tblAccountAudit[[#This Row],[State]],tblStates[state_code],tblStates[territory_id],"Missing State")</f>
        <v>2</v>
      </c>
      <c r="J24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41" t="str" cm="1">
        <f t="array" ref="K24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4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Unassigned</v>
      </c>
    </row>
    <row r="242" spans="1:14">
      <c r="A242" t="s">
        <v>786</v>
      </c>
      <c r="B242" t="s">
        <v>787</v>
      </c>
      <c r="C242">
        <v>68</v>
      </c>
      <c r="D242" t="s">
        <v>226</v>
      </c>
      <c r="E242" t="s">
        <v>24</v>
      </c>
      <c r="F242">
        <v>3</v>
      </c>
      <c r="G242" t="s">
        <v>69</v>
      </c>
      <c r="H24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42">
        <f>_xlfn.XLOOKUP(tblAccountAudit[[#This Row],[State]],tblStates[state_code],tblStates[territory_id],"Missing State")</f>
        <v>3</v>
      </c>
      <c r="J24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42" t="str" cm="1">
        <f t="array" ref="K24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4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3" spans="1:14">
      <c r="A243" t="s">
        <v>789</v>
      </c>
      <c r="B243" t="s">
        <v>790</v>
      </c>
      <c r="C243">
        <v>55</v>
      </c>
      <c r="D243" t="s">
        <v>205</v>
      </c>
      <c r="E243" t="s">
        <v>24</v>
      </c>
      <c r="F243">
        <v>4</v>
      </c>
      <c r="G243" t="s">
        <v>59</v>
      </c>
      <c r="H24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43">
        <f>_xlfn.XLOOKUP(tblAccountAudit[[#This Row],[State]],tblStates[state_code],tblStates[territory_id],"Missing State")</f>
        <v>4</v>
      </c>
      <c r="J24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43" t="str" cm="1">
        <f t="array" ref="K24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4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4" spans="1:14">
      <c r="A244" t="s">
        <v>792</v>
      </c>
      <c r="B244" t="s">
        <v>793</v>
      </c>
      <c r="C244">
        <v>145</v>
      </c>
      <c r="D244" t="s">
        <v>16</v>
      </c>
      <c r="E244" t="s">
        <v>24</v>
      </c>
      <c r="F244">
        <v>1</v>
      </c>
      <c r="G244" t="s">
        <v>91</v>
      </c>
      <c r="H24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44">
        <f>_xlfn.XLOOKUP(tblAccountAudit[[#This Row],[State]],tblStates[state_code],tblStates[territory_id],"Missing State")</f>
        <v>1</v>
      </c>
      <c r="J24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44" t="str" cm="1">
        <f t="array" ref="K24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4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5" spans="1:14">
      <c r="A245" t="s">
        <v>795</v>
      </c>
      <c r="B245" t="s">
        <v>796</v>
      </c>
      <c r="C245">
        <v>61</v>
      </c>
      <c r="D245" t="s">
        <v>560</v>
      </c>
      <c r="E245" t="s">
        <v>24</v>
      </c>
      <c r="F245">
        <v>2</v>
      </c>
      <c r="G245" t="s">
        <v>25</v>
      </c>
      <c r="H24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45">
        <f>_xlfn.XLOOKUP(tblAccountAudit[[#This Row],[State]],tblStates[state_code],tblStates[territory_id],"Missing State")</f>
        <v>2</v>
      </c>
      <c r="J24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45" t="str" cm="1">
        <f t="array" ref="K24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4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6" spans="1:14">
      <c r="A246" t="s">
        <v>798</v>
      </c>
      <c r="B246" t="s">
        <v>799</v>
      </c>
      <c r="D246" t="s">
        <v>35</v>
      </c>
      <c r="E246" t="s">
        <v>17</v>
      </c>
      <c r="F246">
        <v>4</v>
      </c>
      <c r="G246" t="s">
        <v>36</v>
      </c>
      <c r="H24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Missing Employee Count</v>
      </c>
      <c r="I246">
        <f>_xlfn.XLOOKUP(tblAccountAudit[[#This Row],[State]],tblStates[state_code],tblStates[territory_id],"Missing State")</f>
        <v>4</v>
      </c>
      <c r="J246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246" t="str" cm="1">
        <f t="array" ref="K24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4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24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47" spans="1:14">
      <c r="A247" t="s">
        <v>801</v>
      </c>
      <c r="B247" t="s">
        <v>802</v>
      </c>
      <c r="C247">
        <v>2013</v>
      </c>
      <c r="D247" t="s">
        <v>249</v>
      </c>
      <c r="E247" t="s">
        <v>17</v>
      </c>
      <c r="F247">
        <v>4</v>
      </c>
      <c r="G247" t="s">
        <v>36</v>
      </c>
      <c r="H24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47">
        <f>_xlfn.XLOOKUP(tblAccountAudit[[#This Row],[State]],tblStates[state_code],tblStates[territory_id],"Missing State")</f>
        <v>4</v>
      </c>
      <c r="J24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47" t="str" cm="1">
        <f t="array" ref="K24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4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8" spans="1:14">
      <c r="A248" t="s">
        <v>803</v>
      </c>
      <c r="B248" t="s">
        <v>804</v>
      </c>
      <c r="C248">
        <v>826</v>
      </c>
      <c r="D248" t="s">
        <v>192</v>
      </c>
      <c r="E248" t="s">
        <v>30</v>
      </c>
      <c r="F248">
        <v>1</v>
      </c>
      <c r="G248" t="s">
        <v>18</v>
      </c>
      <c r="H24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48">
        <f>_xlfn.XLOOKUP(tblAccountAudit[[#This Row],[State]],tblStates[state_code],tblStates[territory_id],"Missing State")</f>
        <v>1</v>
      </c>
      <c r="J24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48" t="str" cm="1">
        <f t="array" ref="K24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4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49" spans="1:14">
      <c r="A249" t="s">
        <v>806</v>
      </c>
      <c r="B249" t="s">
        <v>807</v>
      </c>
      <c r="C249">
        <v>754</v>
      </c>
      <c r="D249" t="s">
        <v>205</v>
      </c>
      <c r="E249" t="s">
        <v>30</v>
      </c>
      <c r="F249">
        <v>4</v>
      </c>
      <c r="G249" t="s">
        <v>36</v>
      </c>
      <c r="H24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49">
        <f>_xlfn.XLOOKUP(tblAccountAudit[[#This Row],[State]],tblStates[state_code],tblStates[territory_id],"Missing State")</f>
        <v>4</v>
      </c>
      <c r="J24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49" t="str" cm="1">
        <f t="array" ref="K24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4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4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4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0" spans="1:14">
      <c r="A250" t="s">
        <v>809</v>
      </c>
      <c r="B250" t="s">
        <v>810</v>
      </c>
      <c r="C250">
        <v>377</v>
      </c>
      <c r="D250" t="s">
        <v>81</v>
      </c>
      <c r="E250" t="s">
        <v>30</v>
      </c>
      <c r="F250">
        <v>2</v>
      </c>
      <c r="G250" t="s">
        <v>82</v>
      </c>
      <c r="H25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50">
        <f>_xlfn.XLOOKUP(tblAccountAudit[[#This Row],[State]],tblStates[state_code],tblStates[territory_id],"Missing State")</f>
        <v>2</v>
      </c>
      <c r="J25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50" t="str" cm="1">
        <f t="array" ref="K25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5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1" spans="1:14">
      <c r="A251" t="s">
        <v>812</v>
      </c>
      <c r="B251" t="s">
        <v>813</v>
      </c>
      <c r="C251">
        <v>52</v>
      </c>
      <c r="D251" t="s">
        <v>50</v>
      </c>
      <c r="E251" t="s">
        <v>24</v>
      </c>
      <c r="F251">
        <v>4</v>
      </c>
      <c r="G251" t="s">
        <v>59</v>
      </c>
      <c r="H25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51">
        <f>_xlfn.XLOOKUP(tblAccountAudit[[#This Row],[State]],tblStates[state_code],tblStates[territory_id],"Missing State")</f>
        <v>4</v>
      </c>
      <c r="J25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51" t="str" cm="1">
        <f t="array" ref="K25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5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2" spans="1:14">
      <c r="A252" t="s">
        <v>815</v>
      </c>
      <c r="B252" t="s">
        <v>816</v>
      </c>
      <c r="C252">
        <v>59</v>
      </c>
      <c r="D252" t="s">
        <v>50</v>
      </c>
      <c r="E252" t="s">
        <v>24</v>
      </c>
      <c r="F252">
        <v>4</v>
      </c>
      <c r="G252" t="s">
        <v>59</v>
      </c>
      <c r="H25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52">
        <f>_xlfn.XLOOKUP(tblAccountAudit[[#This Row],[State]],tblStates[state_code],tblStates[territory_id],"Missing State")</f>
        <v>4</v>
      </c>
      <c r="J25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52" t="str" cm="1">
        <f t="array" ref="K25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5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3" spans="1:14">
      <c r="A253" t="s">
        <v>818</v>
      </c>
      <c r="B253" t="s">
        <v>819</v>
      </c>
      <c r="C253">
        <v>48</v>
      </c>
      <c r="D253" t="s">
        <v>68</v>
      </c>
      <c r="E253" t="s">
        <v>24</v>
      </c>
      <c r="F253">
        <v>3</v>
      </c>
      <c r="G253" t="s">
        <v>69</v>
      </c>
      <c r="H25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53">
        <f>_xlfn.XLOOKUP(tblAccountAudit[[#This Row],[State]],tblStates[state_code],tblStates[territory_id],"Missing State")</f>
        <v>3</v>
      </c>
      <c r="J25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53" t="str" cm="1">
        <f t="array" ref="K25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5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4" spans="1:14">
      <c r="A254" t="s">
        <v>821</v>
      </c>
      <c r="B254" t="s">
        <v>822</v>
      </c>
      <c r="C254">
        <v>211</v>
      </c>
      <c r="D254" t="s">
        <v>23</v>
      </c>
      <c r="E254" t="s">
        <v>30</v>
      </c>
      <c r="F254">
        <v>2</v>
      </c>
      <c r="G254" t="s">
        <v>82</v>
      </c>
      <c r="H25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54">
        <f>_xlfn.XLOOKUP(tblAccountAudit[[#This Row],[State]],tblStates[state_code],tblStates[territory_id],"Missing State")</f>
        <v>2</v>
      </c>
      <c r="J25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54" t="str" cm="1">
        <f t="array" ref="K25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5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5" spans="1:14">
      <c r="A255" t="s">
        <v>824</v>
      </c>
      <c r="B255" t="s">
        <v>825</v>
      </c>
      <c r="C255">
        <v>2169</v>
      </c>
      <c r="D255" t="s">
        <v>90</v>
      </c>
      <c r="E255" t="s">
        <v>17</v>
      </c>
      <c r="F255">
        <v>1</v>
      </c>
      <c r="G255" t="s">
        <v>18</v>
      </c>
      <c r="H25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55">
        <f>_xlfn.XLOOKUP(tblAccountAudit[[#This Row],[State]],tblStates[state_code],tblStates[territory_id],"Missing State")</f>
        <v>1</v>
      </c>
      <c r="J25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55" t="str" cm="1">
        <f t="array" ref="K25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5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6" spans="1:14">
      <c r="A256" t="s">
        <v>827</v>
      </c>
      <c r="B256" t="s">
        <v>828</v>
      </c>
      <c r="C256">
        <v>532</v>
      </c>
      <c r="D256" t="s">
        <v>50</v>
      </c>
      <c r="E256" t="s">
        <v>30</v>
      </c>
      <c r="F256">
        <v>4</v>
      </c>
      <c r="G256" t="s">
        <v>36</v>
      </c>
      <c r="H25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56">
        <f>_xlfn.XLOOKUP(tblAccountAudit[[#This Row],[State]],tblStates[state_code],tblStates[territory_id],"Missing State")</f>
        <v>4</v>
      </c>
      <c r="J25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56" t="str" cm="1">
        <f t="array" ref="K25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5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7" spans="1:14">
      <c r="A257" t="s">
        <v>830</v>
      </c>
      <c r="B257" t="s">
        <v>831</v>
      </c>
      <c r="C257">
        <v>55</v>
      </c>
      <c r="D257" t="s">
        <v>81</v>
      </c>
      <c r="E257" t="s">
        <v>24</v>
      </c>
      <c r="F257">
        <v>2</v>
      </c>
      <c r="G257" t="s">
        <v>25</v>
      </c>
      <c r="H25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57">
        <f>_xlfn.XLOOKUP(tblAccountAudit[[#This Row],[State]],tblStates[state_code],tblStates[territory_id],"Missing State")</f>
        <v>2</v>
      </c>
      <c r="J25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57" t="str" cm="1">
        <f t="array" ref="K25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5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8" spans="1:14">
      <c r="A258" t="s">
        <v>832</v>
      </c>
      <c r="B258" t="s">
        <v>833</v>
      </c>
      <c r="C258">
        <v>895</v>
      </c>
      <c r="D258" t="s">
        <v>68</v>
      </c>
      <c r="E258" t="s">
        <v>30</v>
      </c>
      <c r="F258">
        <v>3</v>
      </c>
      <c r="G258" t="s">
        <v>55</v>
      </c>
      <c r="H25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58">
        <f>_xlfn.XLOOKUP(tblAccountAudit[[#This Row],[State]],tblStates[state_code],tblStates[territory_id],"Missing State")</f>
        <v>3</v>
      </c>
      <c r="J25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58" t="str" cm="1">
        <f t="array" ref="K25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5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59" spans="1:14">
      <c r="A259" t="s">
        <v>834</v>
      </c>
      <c r="B259" t="s">
        <v>835</v>
      </c>
      <c r="C259">
        <v>711</v>
      </c>
      <c r="D259" t="s">
        <v>16</v>
      </c>
      <c r="E259" t="s">
        <v>30</v>
      </c>
      <c r="F259">
        <v>1</v>
      </c>
      <c r="G259" t="s">
        <v>36</v>
      </c>
      <c r="H25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59">
        <f>_xlfn.XLOOKUP(tblAccountAudit[[#This Row],[State]],tblStates[state_code],tblStates[territory_id],"Missing State")</f>
        <v>1</v>
      </c>
      <c r="J25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59" t="str" cm="1">
        <f t="array" ref="K25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5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5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5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260" spans="1:14">
      <c r="A260" t="s">
        <v>837</v>
      </c>
      <c r="B260" t="s">
        <v>838</v>
      </c>
      <c r="C260">
        <v>733</v>
      </c>
      <c r="D260" t="s">
        <v>154</v>
      </c>
      <c r="E260" t="s">
        <v>30</v>
      </c>
      <c r="F260">
        <v>3</v>
      </c>
      <c r="G260" t="s">
        <v>82</v>
      </c>
      <c r="H26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60">
        <f>_xlfn.XLOOKUP(tblAccountAudit[[#This Row],[State]],tblStates[state_code],tblStates[territory_id],"Missing State")</f>
        <v>2</v>
      </c>
      <c r="J26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60" t="str" cm="1">
        <f t="array" ref="K26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6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26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1" spans="1:14">
      <c r="A261" t="s">
        <v>840</v>
      </c>
      <c r="B261" t="s">
        <v>841</v>
      </c>
      <c r="C261">
        <v>106</v>
      </c>
      <c r="D261" t="s">
        <v>192</v>
      </c>
      <c r="E261" t="s">
        <v>24</v>
      </c>
      <c r="F261">
        <v>1</v>
      </c>
      <c r="G261" t="s">
        <v>91</v>
      </c>
      <c r="H26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1">
        <f>_xlfn.XLOOKUP(tblAccountAudit[[#This Row],[State]],tblStates[state_code],tblStates[territory_id],"Missing State")</f>
        <v>1</v>
      </c>
      <c r="J26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1" t="str" cm="1">
        <f t="array" ref="K26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6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2" spans="1:14">
      <c r="A262" t="s">
        <v>843</v>
      </c>
      <c r="B262" t="s">
        <v>844</v>
      </c>
      <c r="C262">
        <v>308</v>
      </c>
      <c r="D262" t="s">
        <v>50</v>
      </c>
      <c r="E262" t="s">
        <v>30</v>
      </c>
      <c r="F262">
        <v>1</v>
      </c>
      <c r="G262" t="s">
        <v>36</v>
      </c>
      <c r="H26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62">
        <f>_xlfn.XLOOKUP(tblAccountAudit[[#This Row],[State]],tblStates[state_code],tblStates[territory_id],"Missing State")</f>
        <v>4</v>
      </c>
      <c r="J26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62" t="str" cm="1">
        <f t="array" ref="K26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6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Wrong Territory</v>
      </c>
      <c r="N26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3" spans="1:14">
      <c r="A263" t="s">
        <v>846</v>
      </c>
      <c r="B263" t="s">
        <v>847</v>
      </c>
      <c r="C263">
        <v>127</v>
      </c>
      <c r="D263" t="s">
        <v>16</v>
      </c>
      <c r="E263" t="s">
        <v>24</v>
      </c>
      <c r="F263">
        <v>1</v>
      </c>
      <c r="G263" t="s">
        <v>91</v>
      </c>
      <c r="H26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3">
        <f>_xlfn.XLOOKUP(tblAccountAudit[[#This Row],[State]],tblStates[state_code],tblStates[territory_id],"Missing State")</f>
        <v>1</v>
      </c>
      <c r="J263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3" t="str" cm="1">
        <f t="array" ref="K26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6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4" spans="1:14">
      <c r="A264" t="s">
        <v>849</v>
      </c>
      <c r="B264" t="s">
        <v>850</v>
      </c>
      <c r="C264">
        <v>180</v>
      </c>
      <c r="D264" t="s">
        <v>35</v>
      </c>
      <c r="E264" t="s">
        <v>24</v>
      </c>
      <c r="F264">
        <v>4</v>
      </c>
      <c r="G264" t="s">
        <v>59</v>
      </c>
      <c r="H26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4">
        <f>_xlfn.XLOOKUP(tblAccountAudit[[#This Row],[State]],tblStates[state_code],tblStates[territory_id],"Missing State")</f>
        <v>4</v>
      </c>
      <c r="J26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4" t="str" cm="1">
        <f t="array" ref="K26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6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5" spans="1:14">
      <c r="A265" t="s">
        <v>852</v>
      </c>
      <c r="B265" t="s">
        <v>853</v>
      </c>
      <c r="C265">
        <v>89</v>
      </c>
      <c r="E265" t="s">
        <v>24</v>
      </c>
      <c r="F265">
        <v>3</v>
      </c>
      <c r="G265" t="s">
        <v>69</v>
      </c>
      <c r="H26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5" t="str">
        <f>_xlfn.XLOOKUP(tblAccountAudit[[#This Row],[State]],tblStates[state_code],tblStates[territory_id],"Missing State")</f>
        <v>Missing State</v>
      </c>
      <c r="J26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5" t="str" cm="1">
        <f t="array" ref="K26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26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State</v>
      </c>
      <c r="N26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266" spans="1:14">
      <c r="A266" t="s">
        <v>855</v>
      </c>
      <c r="B266" t="s">
        <v>856</v>
      </c>
      <c r="C266">
        <v>146</v>
      </c>
      <c r="D266" t="s">
        <v>178</v>
      </c>
      <c r="E266" t="s">
        <v>24</v>
      </c>
      <c r="F266">
        <v>4</v>
      </c>
      <c r="G266" t="s">
        <v>59</v>
      </c>
      <c r="H26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6">
        <f>_xlfn.XLOOKUP(tblAccountAudit[[#This Row],[State]],tblStates[state_code],tblStates[territory_id],"Missing State")</f>
        <v>4</v>
      </c>
      <c r="J26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6" t="str" cm="1">
        <f t="array" ref="K26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6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7" spans="1:14">
      <c r="A267" t="s">
        <v>858</v>
      </c>
      <c r="B267" t="s">
        <v>859</v>
      </c>
      <c r="C267">
        <v>1448</v>
      </c>
      <c r="D267" t="s">
        <v>68</v>
      </c>
      <c r="E267" t="s">
        <v>17</v>
      </c>
      <c r="F267">
        <v>3</v>
      </c>
      <c r="H26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67">
        <f>_xlfn.XLOOKUP(tblAccountAudit[[#This Row],[State]],tblStates[state_code],tblStates[territory_id],"Missing State")</f>
        <v>3</v>
      </c>
      <c r="J26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67" t="str" cm="1">
        <f t="array" ref="K26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6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Unassigned</v>
      </c>
    </row>
    <row r="268" spans="1:14">
      <c r="A268" t="s">
        <v>861</v>
      </c>
      <c r="B268" t="s">
        <v>862</v>
      </c>
      <c r="C268">
        <v>147</v>
      </c>
      <c r="D268" t="s">
        <v>16</v>
      </c>
      <c r="E268" t="s">
        <v>24</v>
      </c>
      <c r="F268">
        <v>1</v>
      </c>
      <c r="G268" t="s">
        <v>91</v>
      </c>
      <c r="H26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8">
        <f>_xlfn.XLOOKUP(tblAccountAudit[[#This Row],[State]],tblStates[state_code],tblStates[territory_id],"Missing State")</f>
        <v>1</v>
      </c>
      <c r="J26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8" t="str" cm="1">
        <f t="array" ref="K26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6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69" spans="1:14">
      <c r="A269" t="s">
        <v>864</v>
      </c>
      <c r="B269" t="s">
        <v>865</v>
      </c>
      <c r="C269">
        <v>87</v>
      </c>
      <c r="D269" t="s">
        <v>50</v>
      </c>
      <c r="E269" t="s">
        <v>24</v>
      </c>
      <c r="F269">
        <v>4</v>
      </c>
      <c r="G269" t="s">
        <v>59</v>
      </c>
      <c r="H26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69">
        <f>_xlfn.XLOOKUP(tblAccountAudit[[#This Row],[State]],tblStates[state_code],tblStates[territory_id],"Missing State")</f>
        <v>4</v>
      </c>
      <c r="J26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69" t="str" cm="1">
        <f t="array" ref="K26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6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6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6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0" spans="1:14">
      <c r="A270" t="s">
        <v>867</v>
      </c>
      <c r="B270" t="s">
        <v>868</v>
      </c>
      <c r="C270">
        <v>306</v>
      </c>
      <c r="D270" t="s">
        <v>171</v>
      </c>
      <c r="E270" t="s">
        <v>30</v>
      </c>
      <c r="F270">
        <v>1</v>
      </c>
      <c r="G270" t="s">
        <v>18</v>
      </c>
      <c r="H27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70">
        <f>_xlfn.XLOOKUP(tblAccountAudit[[#This Row],[State]],tblStates[state_code],tblStates[territory_id],"Missing State")</f>
        <v>1</v>
      </c>
      <c r="J27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70" t="str" cm="1">
        <f t="array" ref="K27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7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1" spans="1:14">
      <c r="A271" t="s">
        <v>870</v>
      </c>
      <c r="B271" t="s">
        <v>871</v>
      </c>
      <c r="C271">
        <v>143</v>
      </c>
      <c r="D271" t="s">
        <v>16</v>
      </c>
      <c r="E271" t="s">
        <v>24</v>
      </c>
      <c r="F271">
        <v>1</v>
      </c>
      <c r="G271" t="s">
        <v>91</v>
      </c>
      <c r="H27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71">
        <f>_xlfn.XLOOKUP(tblAccountAudit[[#This Row],[State]],tblStates[state_code],tblStates[territory_id],"Missing State")</f>
        <v>1</v>
      </c>
      <c r="J27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71" t="str" cm="1">
        <f t="array" ref="K27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7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2" spans="1:14">
      <c r="A272" t="s">
        <v>873</v>
      </c>
      <c r="B272" t="s">
        <v>874</v>
      </c>
      <c r="C272">
        <v>37</v>
      </c>
      <c r="D272" t="s">
        <v>50</v>
      </c>
      <c r="E272" t="s">
        <v>24</v>
      </c>
      <c r="F272">
        <v>4</v>
      </c>
      <c r="G272" t="s">
        <v>59</v>
      </c>
      <c r="H27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72">
        <f>_xlfn.XLOOKUP(tblAccountAudit[[#This Row],[State]],tblStates[state_code],tblStates[territory_id],"Missing State")</f>
        <v>4</v>
      </c>
      <c r="J27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72" t="str" cm="1">
        <f t="array" ref="K27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7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3" spans="1:14">
      <c r="A273" t="s">
        <v>876</v>
      </c>
      <c r="B273" t="s">
        <v>877</v>
      </c>
      <c r="C273">
        <v>587</v>
      </c>
      <c r="D273" t="s">
        <v>23</v>
      </c>
      <c r="E273" t="s">
        <v>30</v>
      </c>
      <c r="F273">
        <v>2</v>
      </c>
      <c r="G273" t="s">
        <v>82</v>
      </c>
      <c r="H27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73">
        <f>_xlfn.XLOOKUP(tblAccountAudit[[#This Row],[State]],tblStates[state_code],tblStates[territory_id],"Missing State")</f>
        <v>2</v>
      </c>
      <c r="J27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73" t="str" cm="1">
        <f t="array" ref="K27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7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4" spans="1:14">
      <c r="A274" t="s">
        <v>879</v>
      </c>
      <c r="B274" t="s">
        <v>880</v>
      </c>
      <c r="C274">
        <v>82</v>
      </c>
      <c r="D274" t="s">
        <v>226</v>
      </c>
      <c r="E274" t="s">
        <v>24</v>
      </c>
      <c r="F274">
        <v>3</v>
      </c>
      <c r="G274" t="s">
        <v>69</v>
      </c>
      <c r="H27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74">
        <f>_xlfn.XLOOKUP(tblAccountAudit[[#This Row],[State]],tblStates[state_code],tblStates[territory_id],"Missing State")</f>
        <v>3</v>
      </c>
      <c r="J27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74" t="str" cm="1">
        <f t="array" ref="K27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7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5" spans="1:14">
      <c r="A275" t="s">
        <v>882</v>
      </c>
      <c r="B275" t="s">
        <v>883</v>
      </c>
      <c r="C275">
        <v>2368</v>
      </c>
      <c r="D275" t="s">
        <v>236</v>
      </c>
      <c r="E275" t="s">
        <v>17</v>
      </c>
      <c r="F275">
        <v>1</v>
      </c>
      <c r="G275" t="s">
        <v>18</v>
      </c>
      <c r="H27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75">
        <f>_xlfn.XLOOKUP(tblAccountAudit[[#This Row],[State]],tblStates[state_code],tblStates[territory_id],"Missing State")</f>
        <v>1</v>
      </c>
      <c r="J27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75" t="str" cm="1">
        <f t="array" ref="K27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7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6" spans="1:14">
      <c r="A276" t="s">
        <v>885</v>
      </c>
      <c r="B276" t="s">
        <v>886</v>
      </c>
      <c r="C276">
        <v>97</v>
      </c>
      <c r="D276" t="s">
        <v>81</v>
      </c>
      <c r="E276" t="s">
        <v>24</v>
      </c>
      <c r="F276">
        <v>2</v>
      </c>
      <c r="G276" t="s">
        <v>25</v>
      </c>
      <c r="H27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76">
        <f>_xlfn.XLOOKUP(tblAccountAudit[[#This Row],[State]],tblStates[state_code],tblStates[territory_id],"Missing State")</f>
        <v>2</v>
      </c>
      <c r="J27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76" t="str" cm="1">
        <f t="array" ref="K27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7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7" spans="1:14">
      <c r="A277" t="s">
        <v>888</v>
      </c>
      <c r="B277" t="s">
        <v>889</v>
      </c>
      <c r="C277">
        <v>713</v>
      </c>
      <c r="D277" t="s">
        <v>68</v>
      </c>
      <c r="E277" t="s">
        <v>30</v>
      </c>
      <c r="F277">
        <v>3</v>
      </c>
      <c r="G277" t="s">
        <v>55</v>
      </c>
      <c r="H27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77">
        <f>_xlfn.XLOOKUP(tblAccountAudit[[#This Row],[State]],tblStates[state_code],tblStates[territory_id],"Missing State")</f>
        <v>3</v>
      </c>
      <c r="J27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77" t="str" cm="1">
        <f t="array" ref="K27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7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8" spans="1:14">
      <c r="A278" t="s">
        <v>891</v>
      </c>
      <c r="B278" t="s">
        <v>892</v>
      </c>
      <c r="C278">
        <v>761</v>
      </c>
      <c r="D278" t="s">
        <v>81</v>
      </c>
      <c r="E278" t="s">
        <v>30</v>
      </c>
      <c r="F278">
        <v>2</v>
      </c>
      <c r="G278" t="s">
        <v>82</v>
      </c>
      <c r="H27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78">
        <f>_xlfn.XLOOKUP(tblAccountAudit[[#This Row],[State]],tblStates[state_code],tblStates[territory_id],"Missing State")</f>
        <v>2</v>
      </c>
      <c r="J27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78" t="str" cm="1">
        <f t="array" ref="K27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7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79" spans="1:14">
      <c r="A279" t="s">
        <v>894</v>
      </c>
      <c r="B279" t="s">
        <v>895</v>
      </c>
      <c r="C279">
        <v>879</v>
      </c>
      <c r="D279" t="s">
        <v>295</v>
      </c>
      <c r="E279" t="s">
        <v>30</v>
      </c>
      <c r="F279">
        <v>2</v>
      </c>
      <c r="G279" t="s">
        <v>82</v>
      </c>
      <c r="H27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79">
        <f>_xlfn.XLOOKUP(tblAccountAudit[[#This Row],[State]],tblStates[state_code],tblStates[territory_id],"Missing State")</f>
        <v>2</v>
      </c>
      <c r="J27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79" t="str" cm="1">
        <f t="array" ref="K27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7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7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7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0" spans="1:14">
      <c r="A280" t="s">
        <v>897</v>
      </c>
      <c r="B280" t="s">
        <v>898</v>
      </c>
      <c r="C280">
        <v>618</v>
      </c>
      <c r="D280" t="s">
        <v>408</v>
      </c>
      <c r="E280" t="s">
        <v>30</v>
      </c>
      <c r="F280">
        <v>3</v>
      </c>
      <c r="G280" t="s">
        <v>55</v>
      </c>
      <c r="H28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80">
        <f>_xlfn.XLOOKUP(tblAccountAudit[[#This Row],[State]],tblStates[state_code],tblStates[territory_id],"Missing State")</f>
        <v>3</v>
      </c>
      <c r="J28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0" t="str" cm="1">
        <f t="array" ref="K28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8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1" spans="1:14">
      <c r="A281" t="s">
        <v>900</v>
      </c>
      <c r="B281" t="s">
        <v>901</v>
      </c>
      <c r="C281">
        <v>114</v>
      </c>
      <c r="D281" t="s">
        <v>68</v>
      </c>
      <c r="E281" t="s">
        <v>24</v>
      </c>
      <c r="F281">
        <v>3</v>
      </c>
      <c r="G281" t="s">
        <v>69</v>
      </c>
      <c r="H28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81">
        <f>_xlfn.XLOOKUP(tblAccountAudit[[#This Row],[State]],tblStates[state_code],tblStates[territory_id],"Missing State")</f>
        <v>3</v>
      </c>
      <c r="J28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81" t="str" cm="1">
        <f t="array" ref="K28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USR007</v>
      </c>
      <c r="L28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2" spans="1:14">
      <c r="A282" t="s">
        <v>903</v>
      </c>
      <c r="B282" t="s">
        <v>904</v>
      </c>
      <c r="C282">
        <v>123</v>
      </c>
      <c r="D282" t="s">
        <v>178</v>
      </c>
      <c r="E282" t="s">
        <v>24</v>
      </c>
      <c r="G282" t="s">
        <v>59</v>
      </c>
      <c r="H28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82">
        <f>_xlfn.XLOOKUP(tblAccountAudit[[#This Row],[State]],tblStates[state_code],tblStates[territory_id],"Missing State")</f>
        <v>4</v>
      </c>
      <c r="J282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82" t="str" cm="1">
        <f t="array" ref="K28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8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Missing Stored Territory</v>
      </c>
      <c r="N28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3" spans="1:14">
      <c r="A283" t="s">
        <v>906</v>
      </c>
      <c r="B283" t="s">
        <v>907</v>
      </c>
      <c r="C283">
        <v>2011</v>
      </c>
      <c r="D283" t="s">
        <v>154</v>
      </c>
      <c r="E283" t="s">
        <v>17</v>
      </c>
      <c r="F283">
        <v>2</v>
      </c>
      <c r="G283" t="s">
        <v>82</v>
      </c>
      <c r="H28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83">
        <f>_xlfn.XLOOKUP(tblAccountAudit[[#This Row],[State]],tblStates[state_code],tblStates[territory_id],"Missing State")</f>
        <v>2</v>
      </c>
      <c r="J28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3" t="str" cm="1">
        <f t="array" ref="K28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8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4" spans="1:14">
      <c r="A284" t="s">
        <v>909</v>
      </c>
      <c r="B284" t="s">
        <v>910</v>
      </c>
      <c r="C284">
        <v>34</v>
      </c>
      <c r="D284" t="s">
        <v>23</v>
      </c>
      <c r="E284" t="s">
        <v>24</v>
      </c>
      <c r="F284">
        <v>2</v>
      </c>
      <c r="G284" t="s">
        <v>25</v>
      </c>
      <c r="H28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84">
        <f>_xlfn.XLOOKUP(tblAccountAudit[[#This Row],[State]],tblStates[state_code],tblStates[territory_id],"Missing State")</f>
        <v>2</v>
      </c>
      <c r="J284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84" t="str" cm="1">
        <f t="array" ref="K28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28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5" spans="1:14">
      <c r="A285" t="s">
        <v>912</v>
      </c>
      <c r="B285" t="s">
        <v>913</v>
      </c>
      <c r="C285">
        <v>542</v>
      </c>
      <c r="D285" t="s">
        <v>236</v>
      </c>
      <c r="E285" t="s">
        <v>30</v>
      </c>
      <c r="F285">
        <v>1</v>
      </c>
      <c r="G285" t="s">
        <v>18</v>
      </c>
      <c r="H28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85">
        <f>_xlfn.XLOOKUP(tblAccountAudit[[#This Row],[State]],tblStates[state_code],tblStates[territory_id],"Missing State")</f>
        <v>1</v>
      </c>
      <c r="J28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5" t="str" cm="1">
        <f t="array" ref="K28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8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6" spans="1:14">
      <c r="A286" t="s">
        <v>915</v>
      </c>
      <c r="B286" t="s">
        <v>916</v>
      </c>
      <c r="C286">
        <v>259</v>
      </c>
      <c r="D286" t="s">
        <v>440</v>
      </c>
      <c r="E286" t="s">
        <v>30</v>
      </c>
      <c r="F286">
        <v>3</v>
      </c>
      <c r="G286" t="s">
        <v>55</v>
      </c>
      <c r="H28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86">
        <f>_xlfn.XLOOKUP(tblAccountAudit[[#This Row],[State]],tblStates[state_code],tblStates[territory_id],"Missing State")</f>
        <v>3</v>
      </c>
      <c r="J28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6" t="str" cm="1">
        <f t="array" ref="K28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8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7" spans="1:14">
      <c r="A287" t="s">
        <v>918</v>
      </c>
      <c r="B287" t="s">
        <v>919</v>
      </c>
      <c r="C287">
        <v>1561</v>
      </c>
      <c r="D287" t="s">
        <v>50</v>
      </c>
      <c r="E287" t="s">
        <v>17</v>
      </c>
      <c r="F287">
        <v>4</v>
      </c>
      <c r="G287" t="s">
        <v>36</v>
      </c>
      <c r="H28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87">
        <f>_xlfn.XLOOKUP(tblAccountAudit[[#This Row],[State]],tblStates[state_code],tblStates[territory_id],"Missing State")</f>
        <v>4</v>
      </c>
      <c r="J28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7" t="str" cm="1">
        <f t="array" ref="K28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8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8" spans="1:14">
      <c r="A288" t="s">
        <v>921</v>
      </c>
      <c r="B288" t="s">
        <v>922</v>
      </c>
      <c r="C288">
        <v>130</v>
      </c>
      <c r="D288" t="s">
        <v>50</v>
      </c>
      <c r="E288" t="s">
        <v>24</v>
      </c>
      <c r="F288">
        <v>4</v>
      </c>
      <c r="G288" t="s">
        <v>59</v>
      </c>
      <c r="H28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88">
        <f>_xlfn.XLOOKUP(tblAccountAudit[[#This Row],[State]],tblStates[state_code],tblStates[territory_id],"Missing State")</f>
        <v>4</v>
      </c>
      <c r="J28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88" t="str" cm="1">
        <f t="array" ref="K28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8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89" spans="1:14">
      <c r="A289" t="s">
        <v>924</v>
      </c>
      <c r="B289" t="s">
        <v>925</v>
      </c>
      <c r="C289">
        <v>2306</v>
      </c>
      <c r="D289" t="s">
        <v>205</v>
      </c>
      <c r="E289" t="s">
        <v>17</v>
      </c>
      <c r="F289">
        <v>4</v>
      </c>
      <c r="G289" t="s">
        <v>36</v>
      </c>
      <c r="H28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289">
        <f>_xlfn.XLOOKUP(tblAccountAudit[[#This Row],[State]],tblStates[state_code],tblStates[territory_id],"Missing State")</f>
        <v>4</v>
      </c>
      <c r="J28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89" t="str" cm="1">
        <f t="array" ref="K28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8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8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8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0" spans="1:14">
      <c r="A290" t="s">
        <v>927</v>
      </c>
      <c r="B290" t="s">
        <v>928</v>
      </c>
      <c r="C290">
        <v>125</v>
      </c>
      <c r="D290" t="s">
        <v>192</v>
      </c>
      <c r="E290" t="s">
        <v>24</v>
      </c>
      <c r="F290">
        <v>1</v>
      </c>
      <c r="G290" t="s">
        <v>91</v>
      </c>
      <c r="H29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90">
        <f>_xlfn.XLOOKUP(tblAccountAudit[[#This Row],[State]],tblStates[state_code],tblStates[territory_id],"Missing State")</f>
        <v>1</v>
      </c>
      <c r="J29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90" t="str" cm="1">
        <f t="array" ref="K29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29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1" spans="1:14">
      <c r="A291" t="s">
        <v>930</v>
      </c>
      <c r="B291" t="s">
        <v>931</v>
      </c>
      <c r="C291">
        <v>67</v>
      </c>
      <c r="D291" t="s">
        <v>249</v>
      </c>
      <c r="E291" t="s">
        <v>24</v>
      </c>
      <c r="F291">
        <v>4</v>
      </c>
      <c r="G291" t="s">
        <v>59</v>
      </c>
      <c r="H29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91">
        <f>_xlfn.XLOOKUP(tblAccountAudit[[#This Row],[State]],tblStates[state_code],tblStates[territory_id],"Missing State")</f>
        <v>4</v>
      </c>
      <c r="J29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91" t="str" cm="1">
        <f t="array" ref="K29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9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2" spans="1:14">
      <c r="A292" t="s">
        <v>933</v>
      </c>
      <c r="B292" t="s">
        <v>934</v>
      </c>
      <c r="C292">
        <v>259</v>
      </c>
      <c r="D292" t="s">
        <v>120</v>
      </c>
      <c r="E292" t="s">
        <v>30</v>
      </c>
      <c r="F292">
        <v>2</v>
      </c>
      <c r="G292" t="s">
        <v>82</v>
      </c>
      <c r="H29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2">
        <f>_xlfn.XLOOKUP(tblAccountAudit[[#This Row],[State]],tblStates[state_code],tblStates[territory_id],"Missing State")</f>
        <v>2</v>
      </c>
      <c r="J29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2" t="str" cm="1">
        <f t="array" ref="K29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9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3" spans="1:14">
      <c r="A293" t="s">
        <v>936</v>
      </c>
      <c r="B293" t="s">
        <v>937</v>
      </c>
      <c r="C293">
        <v>701</v>
      </c>
      <c r="D293" t="s">
        <v>205</v>
      </c>
      <c r="E293" t="s">
        <v>30</v>
      </c>
      <c r="F293">
        <v>4</v>
      </c>
      <c r="G293" t="s">
        <v>36</v>
      </c>
      <c r="H29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3">
        <f>_xlfn.XLOOKUP(tblAccountAudit[[#This Row],[State]],tblStates[state_code],tblStates[territory_id],"Missing State")</f>
        <v>4</v>
      </c>
      <c r="J29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3" t="str" cm="1">
        <f t="array" ref="K29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9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4" spans="1:14">
      <c r="A294" t="s">
        <v>939</v>
      </c>
      <c r="B294" t="s">
        <v>940</v>
      </c>
      <c r="C294">
        <v>612</v>
      </c>
      <c r="D294" t="s">
        <v>205</v>
      </c>
      <c r="E294" t="s">
        <v>30</v>
      </c>
      <c r="F294">
        <v>4</v>
      </c>
      <c r="G294" t="s">
        <v>36</v>
      </c>
      <c r="H29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4">
        <f>_xlfn.XLOOKUP(tblAccountAudit[[#This Row],[State]],tblStates[state_code],tblStates[territory_id],"Missing State")</f>
        <v>4</v>
      </c>
      <c r="J29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4" t="str" cm="1">
        <f t="array" ref="K29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9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5" spans="1:14">
      <c r="A295" t="s">
        <v>942</v>
      </c>
      <c r="B295" t="s">
        <v>943</v>
      </c>
      <c r="C295">
        <v>783</v>
      </c>
      <c r="D295" t="s">
        <v>192</v>
      </c>
      <c r="E295" t="s">
        <v>30</v>
      </c>
      <c r="F295">
        <v>1</v>
      </c>
      <c r="G295" t="s">
        <v>55</v>
      </c>
      <c r="H29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5">
        <f>_xlfn.XLOOKUP(tblAccountAudit[[#This Row],[State]],tblStates[state_code],tblStates[territory_id],"Missing State")</f>
        <v>1</v>
      </c>
      <c r="J29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5" t="str" cm="1">
        <f t="array" ref="K29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29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Misassigned</v>
      </c>
    </row>
    <row r="296" spans="1:14">
      <c r="A296" t="s">
        <v>945</v>
      </c>
      <c r="B296" t="s">
        <v>946</v>
      </c>
      <c r="C296">
        <v>452</v>
      </c>
      <c r="D296" t="s">
        <v>81</v>
      </c>
      <c r="E296" t="s">
        <v>30</v>
      </c>
      <c r="F296">
        <v>2</v>
      </c>
      <c r="G296" t="s">
        <v>82</v>
      </c>
      <c r="H29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6">
        <f>_xlfn.XLOOKUP(tblAccountAudit[[#This Row],[State]],tblStates[state_code],tblStates[territory_id],"Missing State")</f>
        <v>2</v>
      </c>
      <c r="J29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6" t="str" cm="1">
        <f t="array" ref="K29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29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7" spans="1:14">
      <c r="A297" t="s">
        <v>948</v>
      </c>
      <c r="B297" t="s">
        <v>949</v>
      </c>
      <c r="C297">
        <v>437</v>
      </c>
      <c r="D297" t="s">
        <v>50</v>
      </c>
      <c r="E297" t="s">
        <v>30</v>
      </c>
      <c r="F297">
        <v>4</v>
      </c>
      <c r="G297" t="s">
        <v>36</v>
      </c>
      <c r="H29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7">
        <f>_xlfn.XLOOKUP(tblAccountAudit[[#This Row],[State]],tblStates[state_code],tblStates[territory_id],"Missing State")</f>
        <v>4</v>
      </c>
      <c r="J29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7" t="str" cm="1">
        <f t="array" ref="K29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29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8" spans="1:14">
      <c r="A298" t="s">
        <v>951</v>
      </c>
      <c r="B298" t="s">
        <v>952</v>
      </c>
      <c r="C298">
        <v>93</v>
      </c>
      <c r="D298" t="s">
        <v>35</v>
      </c>
      <c r="E298" t="s">
        <v>24</v>
      </c>
      <c r="F298">
        <v>4</v>
      </c>
      <c r="G298" t="s">
        <v>59</v>
      </c>
      <c r="H29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298">
        <f>_xlfn.XLOOKUP(tblAccountAudit[[#This Row],[State]],tblStates[state_code],tblStates[territory_id],"Missing State")</f>
        <v>4</v>
      </c>
      <c r="J29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298" t="str" cm="1">
        <f t="array" ref="K29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29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299" spans="1:14">
      <c r="A299" t="s">
        <v>954</v>
      </c>
      <c r="B299" t="s">
        <v>955</v>
      </c>
      <c r="C299">
        <v>510</v>
      </c>
      <c r="D299" t="s">
        <v>440</v>
      </c>
      <c r="E299" t="s">
        <v>30</v>
      </c>
      <c r="F299">
        <v>3</v>
      </c>
      <c r="G299" t="s">
        <v>55</v>
      </c>
      <c r="H29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299">
        <f>_xlfn.XLOOKUP(tblAccountAudit[[#This Row],[State]],tblStates[state_code],tblStates[territory_id],"Missing State")</f>
        <v>3</v>
      </c>
      <c r="J299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299" t="str" cm="1">
        <f t="array" ref="K29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29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29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29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0" spans="1:14">
      <c r="A300" t="s">
        <v>957</v>
      </c>
      <c r="B300" t="s">
        <v>958</v>
      </c>
      <c r="C300">
        <v>52</v>
      </c>
      <c r="D300" t="s">
        <v>576</v>
      </c>
      <c r="E300" t="s">
        <v>24</v>
      </c>
      <c r="F300">
        <v>2</v>
      </c>
      <c r="G300" t="s">
        <v>25</v>
      </c>
      <c r="H30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0">
        <f>_xlfn.XLOOKUP(tblAccountAudit[[#This Row],[State]],tblStates[state_code],tblStates[territory_id],"Missing State")</f>
        <v>2</v>
      </c>
      <c r="J300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0" t="str" cm="1">
        <f t="array" ref="K30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0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1" spans="1:14">
      <c r="A301" t="s">
        <v>960</v>
      </c>
      <c r="B301" t="s">
        <v>961</v>
      </c>
      <c r="C301">
        <v>60</v>
      </c>
      <c r="D301" t="s">
        <v>116</v>
      </c>
      <c r="E301" t="s">
        <v>24</v>
      </c>
      <c r="F301">
        <v>2</v>
      </c>
      <c r="G301" t="s">
        <v>25</v>
      </c>
      <c r="H30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1">
        <f>_xlfn.XLOOKUP(tblAccountAudit[[#This Row],[State]],tblStates[state_code],tblStates[territory_id],"Missing State")</f>
        <v>2</v>
      </c>
      <c r="J30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1" t="str" cm="1">
        <f t="array" ref="K30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0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2" spans="1:14">
      <c r="A302" t="s">
        <v>963</v>
      </c>
      <c r="B302" t="s">
        <v>964</v>
      </c>
      <c r="C302">
        <v>314</v>
      </c>
      <c r="D302" t="s">
        <v>285</v>
      </c>
      <c r="E302" t="s">
        <v>30</v>
      </c>
      <c r="F302">
        <v>4</v>
      </c>
      <c r="G302" t="s">
        <v>36</v>
      </c>
      <c r="H30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02">
        <f>_xlfn.XLOOKUP(tblAccountAudit[[#This Row],[State]],tblStates[state_code],tblStates[territory_id],"Missing State")</f>
        <v>4</v>
      </c>
      <c r="J30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02" t="str" cm="1">
        <f t="array" ref="K30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30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3" spans="1:14">
      <c r="A303" t="s">
        <v>966</v>
      </c>
      <c r="B303" t="s">
        <v>967</v>
      </c>
      <c r="C303">
        <v>569</v>
      </c>
      <c r="D303" t="s">
        <v>50</v>
      </c>
      <c r="E303" t="s">
        <v>30</v>
      </c>
      <c r="F303">
        <v>4</v>
      </c>
      <c r="G303" t="s">
        <v>36</v>
      </c>
      <c r="H30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03">
        <f>_xlfn.XLOOKUP(tblAccountAudit[[#This Row],[State]],tblStates[state_code],tblStates[territory_id],"Missing State")</f>
        <v>4</v>
      </c>
      <c r="J30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03" t="str" cm="1">
        <f t="array" ref="K30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30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4" spans="1:14">
      <c r="A304" t="s">
        <v>969</v>
      </c>
      <c r="B304" t="s">
        <v>970</v>
      </c>
      <c r="C304">
        <v>362</v>
      </c>
      <c r="D304" t="s">
        <v>440</v>
      </c>
      <c r="E304" t="s">
        <v>30</v>
      </c>
      <c r="F304">
        <v>3</v>
      </c>
      <c r="G304" t="s">
        <v>55</v>
      </c>
      <c r="H30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04">
        <f>_xlfn.XLOOKUP(tblAccountAudit[[#This Row],[State]],tblStates[state_code],tblStates[territory_id],"Missing State")</f>
        <v>3</v>
      </c>
      <c r="J30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04" t="str" cm="1">
        <f t="array" ref="K30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30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5" spans="1:14">
      <c r="A305" t="s">
        <v>972</v>
      </c>
      <c r="B305" t="s">
        <v>973</v>
      </c>
      <c r="C305">
        <v>176</v>
      </c>
      <c r="D305" t="s">
        <v>182</v>
      </c>
      <c r="E305" t="s">
        <v>24</v>
      </c>
      <c r="F305">
        <v>4</v>
      </c>
      <c r="G305" t="s">
        <v>59</v>
      </c>
      <c r="H30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5">
        <f>_xlfn.XLOOKUP(tblAccountAudit[[#This Row],[State]],tblStates[state_code],tblStates[territory_id],"Missing State")</f>
        <v>4</v>
      </c>
      <c r="J305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5" t="str" cm="1">
        <f t="array" ref="K30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USR008</v>
      </c>
      <c r="L30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6" spans="1:14">
      <c r="A306" t="s">
        <v>975</v>
      </c>
      <c r="B306" t="s">
        <v>976</v>
      </c>
      <c r="C306">
        <v>117</v>
      </c>
      <c r="D306" t="s">
        <v>81</v>
      </c>
      <c r="E306" t="s">
        <v>24</v>
      </c>
      <c r="F306">
        <v>2</v>
      </c>
      <c r="G306" t="s">
        <v>25</v>
      </c>
      <c r="H30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6">
        <f>_xlfn.XLOOKUP(tblAccountAudit[[#This Row],[State]],tblStates[state_code],tblStates[territory_id],"Missing State")</f>
        <v>2</v>
      </c>
      <c r="J30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6" t="str" cm="1">
        <f t="array" ref="K30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0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7" spans="1:14">
      <c r="A307" t="s">
        <v>977</v>
      </c>
      <c r="B307" t="s">
        <v>978</v>
      </c>
      <c r="C307">
        <v>111</v>
      </c>
      <c r="D307" t="s">
        <v>116</v>
      </c>
      <c r="E307" t="s">
        <v>24</v>
      </c>
      <c r="F307">
        <v>2</v>
      </c>
      <c r="G307" t="s">
        <v>25</v>
      </c>
      <c r="H30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7">
        <f>_xlfn.XLOOKUP(tblAccountAudit[[#This Row],[State]],tblStates[state_code],tblStates[territory_id],"Missing State")</f>
        <v>2</v>
      </c>
      <c r="J307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7" t="str" cm="1">
        <f t="array" ref="K30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0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8" spans="1:14">
      <c r="A308" t="s">
        <v>980</v>
      </c>
      <c r="B308" t="s">
        <v>981</v>
      </c>
      <c r="C308">
        <v>89</v>
      </c>
      <c r="D308" t="s">
        <v>140</v>
      </c>
      <c r="E308" t="s">
        <v>24</v>
      </c>
      <c r="F308">
        <v>2</v>
      </c>
      <c r="G308" t="s">
        <v>25</v>
      </c>
      <c r="H30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8">
        <f>_xlfn.XLOOKUP(tblAccountAudit[[#This Row],[State]],tblStates[state_code],tblStates[territory_id],"Missing State")</f>
        <v>2</v>
      </c>
      <c r="J308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8" t="str" cm="1">
        <f t="array" ref="K30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0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09" spans="1:14">
      <c r="A309" t="s">
        <v>983</v>
      </c>
      <c r="B309" t="s">
        <v>984</v>
      </c>
      <c r="C309">
        <v>139</v>
      </c>
      <c r="D309" t="s">
        <v>140</v>
      </c>
      <c r="E309" t="s">
        <v>24</v>
      </c>
      <c r="F309">
        <v>2</v>
      </c>
      <c r="G309" t="s">
        <v>25</v>
      </c>
      <c r="H30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09">
        <f>_xlfn.XLOOKUP(tblAccountAudit[[#This Row],[State]],tblStates[state_code],tblStates[territory_id],"Missing State")</f>
        <v>2</v>
      </c>
      <c r="J30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09" t="str" cm="1">
        <f t="array" ref="K30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0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0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0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0" spans="1:14">
      <c r="A310" t="s">
        <v>986</v>
      </c>
      <c r="B310" t="s">
        <v>987</v>
      </c>
      <c r="C310">
        <v>3289</v>
      </c>
      <c r="D310" t="s">
        <v>140</v>
      </c>
      <c r="F310">
        <v>2</v>
      </c>
      <c r="G310" t="s">
        <v>82</v>
      </c>
      <c r="H31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Management Review</v>
      </c>
      <c r="I310">
        <f>_xlfn.XLOOKUP(tblAccountAudit[[#This Row],[State]],tblStates[state_code],tblStates[territory_id],"Missing State")</f>
        <v>2</v>
      </c>
      <c r="J310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310" t="str" cm="1">
        <f t="array" ref="K31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31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31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311" spans="1:14">
      <c r="A311" t="s">
        <v>989</v>
      </c>
      <c r="B311" t="s">
        <v>990</v>
      </c>
      <c r="C311">
        <v>74</v>
      </c>
      <c r="D311" t="s">
        <v>95</v>
      </c>
      <c r="E311" t="s">
        <v>24</v>
      </c>
      <c r="F311">
        <v>1</v>
      </c>
      <c r="G311" t="s">
        <v>91</v>
      </c>
      <c r="H31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11">
        <f>_xlfn.XLOOKUP(tblAccountAudit[[#This Row],[State]],tblStates[state_code],tblStates[territory_id],"Missing State")</f>
        <v>1</v>
      </c>
      <c r="J31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11" t="str" cm="1">
        <f t="array" ref="K31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USR005</v>
      </c>
      <c r="L31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2" spans="1:14">
      <c r="A312" t="s">
        <v>992</v>
      </c>
      <c r="B312" t="s">
        <v>993</v>
      </c>
      <c r="C312">
        <v>652</v>
      </c>
      <c r="D312" t="s">
        <v>120</v>
      </c>
      <c r="E312" t="s">
        <v>30</v>
      </c>
      <c r="F312">
        <v>2</v>
      </c>
      <c r="G312" t="s">
        <v>82</v>
      </c>
      <c r="H31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12">
        <f>_xlfn.XLOOKUP(tblAccountAudit[[#This Row],[State]],tblStates[state_code],tblStates[territory_id],"Missing State")</f>
        <v>2</v>
      </c>
      <c r="J31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2" t="str" cm="1">
        <f t="array" ref="K31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31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3" spans="1:14">
      <c r="A313" t="s">
        <v>995</v>
      </c>
      <c r="B313" t="s">
        <v>996</v>
      </c>
      <c r="C313">
        <v>1669</v>
      </c>
      <c r="D313" t="s">
        <v>23</v>
      </c>
      <c r="E313" t="s">
        <v>17</v>
      </c>
      <c r="F313">
        <v>2</v>
      </c>
      <c r="G313" t="s">
        <v>82</v>
      </c>
      <c r="H31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313">
        <f>_xlfn.XLOOKUP(tblAccountAudit[[#This Row],[State]],tblStates[state_code],tblStates[territory_id],"Missing State")</f>
        <v>2</v>
      </c>
      <c r="J31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3" t="str" cm="1">
        <f t="array" ref="K31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31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4" spans="1:14">
      <c r="A314" t="s">
        <v>998</v>
      </c>
      <c r="B314" t="s">
        <v>999</v>
      </c>
      <c r="C314">
        <v>590</v>
      </c>
      <c r="D314" t="s">
        <v>192</v>
      </c>
      <c r="E314" t="s">
        <v>30</v>
      </c>
      <c r="F314">
        <v>1</v>
      </c>
      <c r="G314" t="s">
        <v>18</v>
      </c>
      <c r="H31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14">
        <f>_xlfn.XLOOKUP(tblAccountAudit[[#This Row],[State]],tblStates[state_code],tblStates[territory_id],"Missing State")</f>
        <v>1</v>
      </c>
      <c r="J314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4" t="str" cm="1">
        <f t="array" ref="K31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31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5" spans="1:14">
      <c r="A315" t="s">
        <v>1001</v>
      </c>
      <c r="B315" t="s">
        <v>1002</v>
      </c>
      <c r="C315">
        <v>474</v>
      </c>
      <c r="D315" t="s">
        <v>95</v>
      </c>
      <c r="E315" t="s">
        <v>30</v>
      </c>
      <c r="F315">
        <v>1</v>
      </c>
      <c r="G315" t="s">
        <v>18</v>
      </c>
      <c r="H31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15">
        <f>_xlfn.XLOOKUP(tblAccountAudit[[#This Row],[State]],tblStates[state_code],tblStates[territory_id],"Missing State")</f>
        <v>1</v>
      </c>
      <c r="J31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5" t="str" cm="1">
        <f t="array" ref="K31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31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6" spans="1:14">
      <c r="A316" t="s">
        <v>1004</v>
      </c>
      <c r="B316" t="s">
        <v>1005</v>
      </c>
      <c r="C316">
        <v>549</v>
      </c>
      <c r="D316" t="s">
        <v>16</v>
      </c>
      <c r="E316" t="s">
        <v>30</v>
      </c>
      <c r="F316">
        <v>1</v>
      </c>
      <c r="G316" t="s">
        <v>18</v>
      </c>
      <c r="H31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16">
        <f>_xlfn.XLOOKUP(tblAccountAudit[[#This Row],[State]],tblStates[state_code],tblStates[territory_id],"Missing State")</f>
        <v>1</v>
      </c>
      <c r="J316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6" t="str" cm="1">
        <f t="array" ref="K31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31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7" spans="1:14">
      <c r="A317" t="s">
        <v>1007</v>
      </c>
      <c r="B317" t="s">
        <v>1008</v>
      </c>
      <c r="C317">
        <v>303</v>
      </c>
      <c r="D317" t="s">
        <v>295</v>
      </c>
      <c r="E317" t="s">
        <v>30</v>
      </c>
      <c r="F317">
        <v>2</v>
      </c>
      <c r="G317" t="s">
        <v>82</v>
      </c>
      <c r="H317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17">
        <f>_xlfn.XLOOKUP(tblAccountAudit[[#This Row],[State]],tblStates[state_code],tblStates[territory_id],"Missing State")</f>
        <v>2</v>
      </c>
      <c r="J317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7" t="str" cm="1">
        <f t="array" ref="K317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USR010</v>
      </c>
      <c r="L317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7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7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8" spans="1:14">
      <c r="A318" t="s">
        <v>1010</v>
      </c>
      <c r="B318" t="s">
        <v>1011</v>
      </c>
      <c r="C318">
        <v>567</v>
      </c>
      <c r="D318" t="s">
        <v>285</v>
      </c>
      <c r="E318" t="s">
        <v>30</v>
      </c>
      <c r="F318">
        <v>4</v>
      </c>
      <c r="G318" t="s">
        <v>36</v>
      </c>
      <c r="H318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18">
        <f>_xlfn.XLOOKUP(tblAccountAudit[[#This Row],[State]],tblStates[state_code],tblStates[territory_id],"Missing State")</f>
        <v>4</v>
      </c>
      <c r="J318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18" t="str" cm="1">
        <f t="array" ref="K318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318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8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8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19" spans="1:14">
      <c r="A319" t="s">
        <v>1013</v>
      </c>
      <c r="B319" t="s">
        <v>1014</v>
      </c>
      <c r="C319">
        <v>56</v>
      </c>
      <c r="D319" t="s">
        <v>41</v>
      </c>
      <c r="E319" t="s">
        <v>24</v>
      </c>
      <c r="F319">
        <v>2</v>
      </c>
      <c r="G319" t="s">
        <v>25</v>
      </c>
      <c r="H319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19">
        <f>_xlfn.XLOOKUP(tblAccountAudit[[#This Row],[State]],tblStates[state_code],tblStates[territory_id],"Missing State")</f>
        <v>2</v>
      </c>
      <c r="J319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19" t="str" cm="1">
        <f t="array" ref="K319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19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19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19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0" spans="1:14">
      <c r="A320" t="s">
        <v>1016</v>
      </c>
      <c r="B320" t="s">
        <v>1017</v>
      </c>
      <c r="C320">
        <v>587</v>
      </c>
      <c r="D320" t="s">
        <v>50</v>
      </c>
      <c r="E320" t="s">
        <v>30</v>
      </c>
      <c r="F320">
        <v>4</v>
      </c>
      <c r="G320" t="s">
        <v>36</v>
      </c>
      <c r="H320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Mid-Market</v>
      </c>
      <c r="I320">
        <f>_xlfn.XLOOKUP(tblAccountAudit[[#This Row],[State]],tblStates[state_code],tblStates[territory_id],"Missing State")</f>
        <v>4</v>
      </c>
      <c r="J320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20" t="str" cm="1">
        <f t="array" ref="K320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320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0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0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1" spans="1:14">
      <c r="A321" t="s">
        <v>1019</v>
      </c>
      <c r="B321" t="s">
        <v>1020</v>
      </c>
      <c r="C321">
        <v>138</v>
      </c>
      <c r="D321" t="s">
        <v>81</v>
      </c>
      <c r="E321" t="s">
        <v>24</v>
      </c>
      <c r="F321">
        <v>2</v>
      </c>
      <c r="G321" t="s">
        <v>25</v>
      </c>
      <c r="H321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21">
        <f>_xlfn.XLOOKUP(tblAccountAudit[[#This Row],[State]],tblStates[state_code],tblStates[territory_id],"Missing State")</f>
        <v>2</v>
      </c>
      <c r="J321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21" t="str" cm="1">
        <f t="array" ref="K321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21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1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1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2" spans="1:14">
      <c r="A322" t="s">
        <v>1022</v>
      </c>
      <c r="B322" t="s">
        <v>1023</v>
      </c>
      <c r="C322">
        <v>1783</v>
      </c>
      <c r="D322" t="s">
        <v>440</v>
      </c>
      <c r="E322" t="s">
        <v>17</v>
      </c>
      <c r="F322">
        <v>3</v>
      </c>
      <c r="G322" t="s">
        <v>55</v>
      </c>
      <c r="H322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322">
        <f>_xlfn.XLOOKUP(tblAccountAudit[[#This Row],[State]],tblStates[state_code],tblStates[territory_id],"Missing State")</f>
        <v>3</v>
      </c>
      <c r="J322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22" t="str" cm="1">
        <f t="array" ref="K322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USR011</v>
      </c>
      <c r="L322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2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2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3" spans="1:14">
      <c r="A323" t="s">
        <v>1025</v>
      </c>
      <c r="B323" t="s">
        <v>1026</v>
      </c>
      <c r="C323">
        <v>1510</v>
      </c>
      <c r="D323" t="s">
        <v>95</v>
      </c>
      <c r="E323" t="s">
        <v>17</v>
      </c>
      <c r="F323">
        <v>1</v>
      </c>
      <c r="G323" t="s">
        <v>18</v>
      </c>
      <c r="H323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323">
        <f>_xlfn.XLOOKUP(tblAccountAudit[[#This Row],[State]],tblStates[state_code],tblStates[territory_id],"Missing State")</f>
        <v>1</v>
      </c>
      <c r="J323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23" t="str" cm="1">
        <f t="array" ref="K323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USR009</v>
      </c>
      <c r="L323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3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3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4" spans="1:14">
      <c r="A324" t="s">
        <v>1028</v>
      </c>
      <c r="B324" t="s">
        <v>1029</v>
      </c>
      <c r="D324" t="s">
        <v>46</v>
      </c>
      <c r="E324" t="s">
        <v>24</v>
      </c>
      <c r="F324">
        <v>1</v>
      </c>
      <c r="G324" t="s">
        <v>91</v>
      </c>
      <c r="H324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Missing Employee Count</v>
      </c>
      <c r="I324">
        <f>_xlfn.XLOOKUP(tblAccountAudit[[#This Row],[State]],tblStates[state_code],tblStates[territory_id],"Missing State")</f>
        <v>1</v>
      </c>
      <c r="J324" t="str">
        <f>IF(tblAccountAudit[[#This Row],[Expected Segment]]="SMB","SMB",IF(OR(tblAccountAudit[[#This Row],[Expected Segment]]="Mid-Market",tblAccountAudit[[#This Row],[Expected Segment]]="Upper Mid-Market"),"MM","Needs Review"))</f>
        <v>Needs Review</v>
      </c>
      <c r="K324" t="str" cm="1">
        <f t="array" ref="K324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Needs Review</v>
      </c>
      <c r="L324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Needs Review</v>
      </c>
      <c r="M324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4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Needs Review</v>
      </c>
    </row>
    <row r="325" spans="1:14">
      <c r="A325" t="s">
        <v>1031</v>
      </c>
      <c r="B325" t="s">
        <v>1032</v>
      </c>
      <c r="C325">
        <v>1614</v>
      </c>
      <c r="D325" t="s">
        <v>1034</v>
      </c>
      <c r="E325" t="s">
        <v>17</v>
      </c>
      <c r="F325">
        <v>4</v>
      </c>
      <c r="G325" t="s">
        <v>36</v>
      </c>
      <c r="H325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Upper Mid-Market</v>
      </c>
      <c r="I325">
        <f>_xlfn.XLOOKUP(tblAccountAudit[[#This Row],[State]],tblStates[state_code],tblStates[territory_id],"Missing State")</f>
        <v>4</v>
      </c>
      <c r="J325" t="str">
        <f>IF(tblAccountAudit[[#This Row],[Expected Segment]]="SMB","SMB",IF(OR(tblAccountAudit[[#This Row],[Expected Segment]]="Mid-Market",tblAccountAudit[[#This Row],[Expected Segment]]="Upper Mid-Market"),"MM","Needs Review"))</f>
        <v>MM</v>
      </c>
      <c r="K325" t="str" cm="1">
        <f t="array" ref="K325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USR012</v>
      </c>
      <c r="L325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5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5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  <row r="326" spans="1:14">
      <c r="A326" t="s">
        <v>1035</v>
      </c>
      <c r="B326" t="s">
        <v>1036</v>
      </c>
      <c r="C326">
        <v>39</v>
      </c>
      <c r="D326" t="s">
        <v>81</v>
      </c>
      <c r="E326" t="s">
        <v>24</v>
      </c>
      <c r="F326">
        <v>2</v>
      </c>
      <c r="G326" t="s">
        <v>25</v>
      </c>
      <c r="H326" t="str">
        <f>IF(tblAccountAudit[[#This Row],[Employee Count]]="","Missing Employee Count",IF(tblAccountAudit[[#This Row],[Employee Count]]&lt;20,"Outside Target",IF(tblAccountAudit[[#This Row],[Employee Count]]&lt;200,"SMB",IF(tblAccountAudit[[#This Row],[Employee Count]]&lt;1000,"Mid-Market",IF(tblAccountAudit[[#This Row],[Employee Count]]&lt;2500,"Upper Mid-Market","Management Review")))))</f>
        <v>SMB</v>
      </c>
      <c r="I326">
        <f>_xlfn.XLOOKUP(tblAccountAudit[[#This Row],[State]],tblStates[state_code],tblStates[territory_id],"Missing State")</f>
        <v>2</v>
      </c>
      <c r="J326" t="str">
        <f>IF(tblAccountAudit[[#This Row],[Expected Segment]]="SMB","SMB",IF(OR(tblAccountAudit[[#This Row],[Expected Segment]]="Mid-Market",tblAccountAudit[[#This Row],[Expected Segment]]="Upper Mid-Market"),"MM","Needs Review"))</f>
        <v>SMB</v>
      </c>
      <c r="K326" t="str" cm="1">
        <f t="array" ref="K326">IFERROR(_xlfn.XLOOKUP(1,(tblUsers[territory_id]=tblAccountAudit[[#This Row],[Expected Territory]])*(tblUsers[segment]=tblAccountAudit[[#This Row],[Expected Owner Segment]])*ISNUMBER(SEARCH("Account Executive",tblUsers[job_title])),tblUsers[user_id]),"Needs Review")</f>
        <v>USR006</v>
      </c>
      <c r="L326" t="str">
        <f>IF(OR(tblAccountAudit[[#This Row],[Expected Segment]]="Outside Target",tblAccountAudit[[#This Row],[Expected Segment]]="Management Review",tblAccountAudit[[#This Row],[Expected Segment]]="Missing Employee Count"),"Needs Review",IF(tblAccountAudit[[#This Row],[Stored Segment]]=tblAccountAudit[[#This Row],[Expected Segment]],"Correct","Mismatch"))</f>
        <v>Correct</v>
      </c>
      <c r="M326" t="str">
        <f>IF(tblAccountAudit[[#This Row],[Expected Territory]]="Missing State","Missing State",IF(tblAccountAudit[[#This Row],[Stored Territory]]="","Missing Stored Territory",IF(tblAccountAudit[[#This Row],[Stored Territory]]=tblAccountAudit[[#This Row],[Expected Territory]],"Correct","Wrong Territory")))</f>
        <v>Correct</v>
      </c>
      <c r="N326" t="str">
        <f>IF(tblAccountAudit[[#This Row],[Owner ID]]="","Unassigned",IF(OR(tblAccountAudit[[#This Row],[Expected Owner ID]]="Needs Review",tblAccountAudit[[#This Row],[Expected Owner Segment]]="Needs Review"),"Needs Review",IF(tblAccountAudit[[#This Row],[Owner ID]]=tblAccountAudit[[#This Row],[Expected Owner ID]],"Correct","Misassigned")))</f>
        <v>Correct</v>
      </c>
    </row>
  </sheetData>
  <conditionalFormatting sqref="L1:L1048576">
    <cfRule type="containsText" dxfId="31" priority="10" operator="containsText" text="Needs Review">
      <formula>NOT(ISERROR(SEARCH("Needs Review",L1)))</formula>
    </cfRule>
    <cfRule type="containsText" dxfId="30" priority="11" operator="containsText" text="Mismatch">
      <formula>NOT(ISERROR(SEARCH("Mismatch",L1)))</formula>
    </cfRule>
  </conditionalFormatting>
  <conditionalFormatting sqref="L1:M1048576">
    <cfRule type="containsText" dxfId="29" priority="6" operator="containsText" text="Correct">
      <formula>NOT(ISERROR(SEARCH("Correct",L1)))</formula>
    </cfRule>
  </conditionalFormatting>
  <conditionalFormatting sqref="M1:M1048576">
    <cfRule type="containsText" dxfId="28" priority="5" operator="containsText" text="Missing State">
      <formula>NOT(ISERROR(SEARCH("Missing State",M1)))</formula>
    </cfRule>
    <cfRule type="containsText" dxfId="27" priority="7" operator="containsText" text="Missing Stored Territory">
      <formula>NOT(ISERROR(SEARCH("Missing Stored Territory",M1)))</formula>
    </cfRule>
    <cfRule type="containsText" dxfId="26" priority="8" operator="containsText" text="Wrong Territory">
      <formula>NOT(ISERROR(SEARCH("Wrong Territory",M1)))</formula>
    </cfRule>
  </conditionalFormatting>
  <conditionalFormatting sqref="N1:N1048576">
    <cfRule type="containsText" dxfId="25" priority="1" operator="containsText" text="Correct">
      <formula>NOT(ISERROR(SEARCH("Correct",N1)))</formula>
    </cfRule>
    <cfRule type="containsText" dxfId="24" priority="2" operator="containsText" text="Needs Review">
      <formula>NOT(ISERROR(SEARCH("Needs Review",N1)))</formula>
    </cfRule>
    <cfRule type="containsText" dxfId="23" priority="3" operator="containsText" text="Unassigned">
      <formula>NOT(ISERROR(SEARCH("Unassigned",N1)))</formula>
    </cfRule>
    <cfRule type="containsText" dxfId="22" priority="4" operator="containsText" text="Misassigned">
      <formula>NOT(ISERROR(SEARCH("Misassigned",N1)))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87F00-B9D4-4C07-853E-B7795387E192}">
  <dimension ref="A1:N1301"/>
  <sheetViews>
    <sheetView workbookViewId="0">
      <pane ySplit="1" topLeftCell="A2" activePane="bottomLeft" state="frozen"/>
      <selection pane="bottomLeft" activeCell="D13" sqref="D13"/>
    </sheetView>
  </sheetViews>
  <sheetFormatPr defaultRowHeight="15"/>
  <cols>
    <col min="1" max="1" width="10" bestFit="1" customWidth="1"/>
    <col min="2" max="2" width="37.28515625" bestFit="1" customWidth="1"/>
    <col min="3" max="3" width="16.85546875" bestFit="1" customWidth="1"/>
    <col min="4" max="4" width="8" bestFit="1" customWidth="1"/>
    <col min="5" max="5" width="11.5703125" bestFit="1" customWidth="1"/>
    <col min="6" max="6" width="23.140625" bestFit="1" customWidth="1"/>
    <col min="7" max="7" width="22.28515625" bestFit="1" customWidth="1"/>
    <col min="8" max="8" width="27.5703125" bestFit="1" customWidth="1"/>
    <col min="9" max="9" width="14.7109375" bestFit="1" customWidth="1"/>
    <col min="10" max="10" width="14.5703125" bestFit="1" customWidth="1"/>
    <col min="11" max="11" width="22.42578125" bestFit="1" customWidth="1"/>
    <col min="13" max="13" width="22.42578125" bestFit="1" customWidth="1"/>
  </cols>
  <sheetData>
    <row r="1" spans="1:14">
      <c r="A1" t="s">
        <v>5619</v>
      </c>
      <c r="B1" t="s">
        <v>5620</v>
      </c>
      <c r="C1" t="s">
        <v>5621</v>
      </c>
      <c r="D1" t="s">
        <v>1229</v>
      </c>
      <c r="E1" t="s">
        <v>1232</v>
      </c>
      <c r="F1" t="s">
        <v>1235</v>
      </c>
      <c r="G1" t="s">
        <v>1234</v>
      </c>
      <c r="H1" t="s">
        <v>5622</v>
      </c>
      <c r="I1" t="s">
        <v>5623</v>
      </c>
      <c r="J1" t="s">
        <v>5624</v>
      </c>
      <c r="K1" t="s">
        <v>5625</v>
      </c>
      <c r="M1" t="s">
        <v>1240</v>
      </c>
      <c r="N1" t="s">
        <v>1249</v>
      </c>
    </row>
    <row r="2" spans="1:14">
      <c r="A2" t="s">
        <v>1266</v>
      </c>
      <c r="B2" t="s">
        <v>355</v>
      </c>
      <c r="C2" t="s">
        <v>30</v>
      </c>
      <c r="D2" t="s">
        <v>54</v>
      </c>
      <c r="E2" t="s">
        <v>55</v>
      </c>
      <c r="F2" t="str">
        <f>IF(C2="SMB","SMB",IF(OR(C2="Mid-Market",C2="Upper Mid-Market"),"MM","Needs Review - Segment"))</f>
        <v>MM</v>
      </c>
      <c r="G2">
        <f>_xlfn.XLOOKUP(D2,tblStates[state_code],tblStates[territory_id],"Needs Review - Territory")</f>
        <v>3</v>
      </c>
      <c r="H2" t="str">
        <f>IF(E2="","",_xlfn.XLOOKUP(E2,tblUsers[user_id],tblUsers[job_title],"Owner Not Found"))</f>
        <v>Mid-Market Account Executive</v>
      </c>
      <c r="I2" t="str">
        <f>IF(E2="","",_xlfn.XLOOKUP(E2,tblUsers[user_id],tblUsers[segment],"Owner Not Found"))</f>
        <v>MM</v>
      </c>
      <c r="J2">
        <f>IF(E2="","",_xlfn.XLOOKUP(E2,tblUsers[user_id],tblUsers[territory_id],"Owner Not Found"))</f>
        <v>3</v>
      </c>
      <c r="K2" t="str">
        <f>IF(E2="","Unassigned",IF(F2="Needs Review - Segment","Needs Review - Segment",IF(G2="Needs Review - Territory","Needs Review - Territory",IF(I2&lt;&gt;F2,"Wrong Segment",IF(AND(ISNUMBER(SEARCH("Account Executive",H2)),J2&lt;&gt;G2),"Wrong AE Territory",IF(OR(ISNUMBER(SEARCH("Account Executive",H2)),H2="Sales Development Representative"),"Routing Compatible","Unexpected Owner Role"))))))</f>
        <v>Routing Compatible</v>
      </c>
      <c r="M2" t="s">
        <v>5626</v>
      </c>
      <c r="N2">
        <f>COUNTIF(tblLeadRouting[Routing Status],"Routing Compatible")</f>
        <v>1138</v>
      </c>
    </row>
    <row r="3" spans="1:14">
      <c r="A3" t="s">
        <v>1276</v>
      </c>
      <c r="B3" t="s">
        <v>358</v>
      </c>
      <c r="C3" t="s">
        <v>17</v>
      </c>
      <c r="D3" t="s">
        <v>16</v>
      </c>
      <c r="E3" t="s">
        <v>18</v>
      </c>
      <c r="F3" t="str">
        <f t="shared" ref="F3:F66" si="0">IF(C3="SMB","SMB",IF(OR(C3="Mid-Market",C3="Upper Mid-Market"),"MM","Needs Review - Segment"))</f>
        <v>MM</v>
      </c>
      <c r="G3">
        <f>_xlfn.XLOOKUP(D3,tblStates[state_code],tblStates[territory_id],"Needs Review - Territory")</f>
        <v>1</v>
      </c>
      <c r="H3" t="str">
        <f>IF(E3="","",_xlfn.XLOOKUP(E3,tblUsers[user_id],tblUsers[job_title],"Owner Not Found"))</f>
        <v>Mid-Market Account Executive</v>
      </c>
      <c r="I3" t="str">
        <f>IF(E3="","",_xlfn.XLOOKUP(E3,tblUsers[user_id],tblUsers[segment],"Owner Not Found"))</f>
        <v>MM</v>
      </c>
      <c r="J3">
        <f>IF(E3="","",_xlfn.XLOOKUP(E3,tblUsers[user_id],tblUsers[territory_id],"Owner Not Found"))</f>
        <v>1</v>
      </c>
      <c r="K3" t="str">
        <f t="shared" ref="K3:K66" si="1">IF(E3="","Unassigned",IF(F3="Needs Review - Segment","Needs Review - Segment",IF(G3="Needs Review - Territory","Needs Review - Territory",IF(I3&lt;&gt;F3,"Wrong Segment",IF(AND(ISNUMBER(SEARCH("Account Executive",H3)),J3&lt;&gt;G3),"Wrong AE Territory",IF(OR(ISNUMBER(SEARCH("Account Executive",H3)),H3="Sales Development Representative"),"Routing Compatible","Unexpected Owner Role"))))))</f>
        <v>Routing Compatible</v>
      </c>
      <c r="M3" t="s">
        <v>5627</v>
      </c>
      <c r="N3">
        <f>COUNTIF(tblLeadRouting[Routing Status],"Unassigned")</f>
        <v>65</v>
      </c>
    </row>
    <row r="4" spans="1:14">
      <c r="A4" t="s">
        <v>1283</v>
      </c>
      <c r="B4" t="s">
        <v>874</v>
      </c>
      <c r="C4" t="s">
        <v>24</v>
      </c>
      <c r="D4" t="s">
        <v>50</v>
      </c>
      <c r="E4" t="s">
        <v>59</v>
      </c>
      <c r="F4" t="str">
        <f t="shared" si="0"/>
        <v>SMB</v>
      </c>
      <c r="G4">
        <f>_xlfn.XLOOKUP(D4,tblStates[state_code],tblStates[territory_id],"Needs Review - Territory")</f>
        <v>4</v>
      </c>
      <c r="H4" t="str">
        <f>IF(E4="","",_xlfn.XLOOKUP(E4,tblUsers[user_id],tblUsers[job_title],"Owner Not Found"))</f>
        <v>SMB Account Executive</v>
      </c>
      <c r="I4" t="str">
        <f>IF(E4="","",_xlfn.XLOOKUP(E4,tblUsers[user_id],tblUsers[segment],"Owner Not Found"))</f>
        <v>SMB</v>
      </c>
      <c r="J4">
        <f>IF(E4="","",_xlfn.XLOOKUP(E4,tblUsers[user_id],tblUsers[territory_id],"Owner Not Found"))</f>
        <v>4</v>
      </c>
      <c r="K4" t="str">
        <f t="shared" si="1"/>
        <v>Routing Compatible</v>
      </c>
      <c r="M4" t="s">
        <v>5628</v>
      </c>
      <c r="N4">
        <f>COUNTIF(tblLeadRouting[Routing Status],"Wrong AE Territory")</f>
        <v>50</v>
      </c>
    </row>
    <row r="5" spans="1:14">
      <c r="A5" t="s">
        <v>1290</v>
      </c>
      <c r="B5" t="s">
        <v>721</v>
      </c>
      <c r="C5" t="s">
        <v>24</v>
      </c>
      <c r="D5" t="s">
        <v>440</v>
      </c>
      <c r="E5" t="s">
        <v>69</v>
      </c>
      <c r="F5" t="str">
        <f t="shared" si="0"/>
        <v>SMB</v>
      </c>
      <c r="G5">
        <f>_xlfn.XLOOKUP(D5,tblStates[state_code],tblStates[territory_id],"Needs Review - Territory")</f>
        <v>3</v>
      </c>
      <c r="H5" t="str">
        <f>IF(E5="","",_xlfn.XLOOKUP(E5,tblUsers[user_id],tblUsers[job_title],"Owner Not Found"))</f>
        <v>SMB Account Executive</v>
      </c>
      <c r="I5" t="str">
        <f>IF(E5="","",_xlfn.XLOOKUP(E5,tblUsers[user_id],tblUsers[segment],"Owner Not Found"))</f>
        <v>SMB</v>
      </c>
      <c r="J5">
        <f>IF(E5="","",_xlfn.XLOOKUP(E5,tblUsers[user_id],tblUsers[territory_id],"Owner Not Found"))</f>
        <v>3</v>
      </c>
      <c r="K5" t="str">
        <f t="shared" si="1"/>
        <v>Routing Compatible</v>
      </c>
      <c r="M5" t="s">
        <v>5629</v>
      </c>
      <c r="N5">
        <f>COUNTIF(tblLeadRouting[Routing Status],"Wrong Segment")</f>
        <v>27</v>
      </c>
    </row>
    <row r="6" spans="1:14">
      <c r="A6" t="s">
        <v>1298</v>
      </c>
      <c r="B6" t="s">
        <v>266</v>
      </c>
      <c r="C6" t="s">
        <v>30</v>
      </c>
      <c r="D6" t="s">
        <v>23</v>
      </c>
      <c r="E6" t="s">
        <v>82</v>
      </c>
      <c r="F6" t="str">
        <f t="shared" si="0"/>
        <v>MM</v>
      </c>
      <c r="G6">
        <f>_xlfn.XLOOKUP(D6,tblStates[state_code],tblStates[territory_id],"Needs Review - Territory")</f>
        <v>2</v>
      </c>
      <c r="H6" t="str">
        <f>IF(E6="","",_xlfn.XLOOKUP(E6,tblUsers[user_id],tblUsers[job_title],"Owner Not Found"))</f>
        <v>Mid-Market Account Executive</v>
      </c>
      <c r="I6" t="str">
        <f>IF(E6="","",_xlfn.XLOOKUP(E6,tblUsers[user_id],tblUsers[segment],"Owner Not Found"))</f>
        <v>MM</v>
      </c>
      <c r="J6">
        <f>IF(E6="","",_xlfn.XLOOKUP(E6,tblUsers[user_id],tblUsers[territory_id],"Owner Not Found"))</f>
        <v>2</v>
      </c>
      <c r="K6" t="str">
        <f t="shared" si="1"/>
        <v>Routing Compatible</v>
      </c>
      <c r="M6" t="s">
        <v>5630</v>
      </c>
      <c r="N6">
        <f>COUNTIF(tblLeadRouting[Routing Status],"Needs Review - Territory")</f>
        <v>13</v>
      </c>
    </row>
    <row r="7" spans="1:14">
      <c r="A7" t="s">
        <v>1305</v>
      </c>
      <c r="B7" t="s">
        <v>978</v>
      </c>
      <c r="C7" t="s">
        <v>24</v>
      </c>
      <c r="D7" t="s">
        <v>116</v>
      </c>
      <c r="E7" t="s">
        <v>25</v>
      </c>
      <c r="F7" t="str">
        <f t="shared" si="0"/>
        <v>SMB</v>
      </c>
      <c r="G7">
        <f>_xlfn.XLOOKUP(D7,tblStates[state_code],tblStates[territory_id],"Needs Review - Territory")</f>
        <v>2</v>
      </c>
      <c r="H7" t="str">
        <f>IF(E7="","",_xlfn.XLOOKUP(E7,tblUsers[user_id],tblUsers[job_title],"Owner Not Found"))</f>
        <v>SMB Account Executive</v>
      </c>
      <c r="I7" t="str">
        <f>IF(E7="","",_xlfn.XLOOKUP(E7,tblUsers[user_id],tblUsers[segment],"Owner Not Found"))</f>
        <v>SMB</v>
      </c>
      <c r="J7">
        <f>IF(E7="","",_xlfn.XLOOKUP(E7,tblUsers[user_id],tblUsers[territory_id],"Owner Not Found"))</f>
        <v>2</v>
      </c>
      <c r="K7" t="str">
        <f t="shared" si="1"/>
        <v>Routing Compatible</v>
      </c>
      <c r="M7" t="s">
        <v>5631</v>
      </c>
      <c r="N7">
        <f>COUNTIF(tblLeadRouting[Routing Status],"Needs Review - Segment")</f>
        <v>7</v>
      </c>
    </row>
    <row r="8" spans="1:14">
      <c r="A8" t="s">
        <v>1312</v>
      </c>
      <c r="B8" t="s">
        <v>1002</v>
      </c>
      <c r="C8" t="s">
        <v>30</v>
      </c>
      <c r="D8" t="s">
        <v>95</v>
      </c>
      <c r="E8" t="s">
        <v>18</v>
      </c>
      <c r="F8" t="str">
        <f t="shared" si="0"/>
        <v>MM</v>
      </c>
      <c r="G8">
        <f>_xlfn.XLOOKUP(D8,tblStates[state_code],tblStates[territory_id],"Needs Review - Territory")</f>
        <v>1</v>
      </c>
      <c r="H8" t="str">
        <f>IF(E8="","",_xlfn.XLOOKUP(E8,tblUsers[user_id],tblUsers[job_title],"Owner Not Found"))</f>
        <v>Mid-Market Account Executive</v>
      </c>
      <c r="I8" t="str">
        <f>IF(E8="","",_xlfn.XLOOKUP(E8,tblUsers[user_id],tblUsers[segment],"Owner Not Found"))</f>
        <v>MM</v>
      </c>
      <c r="J8">
        <f>IF(E8="","",_xlfn.XLOOKUP(E8,tblUsers[user_id],tblUsers[territory_id],"Owner Not Found"))</f>
        <v>1</v>
      </c>
      <c r="K8" t="str">
        <f t="shared" si="1"/>
        <v>Routing Compatible</v>
      </c>
      <c r="M8" t="s">
        <v>5632</v>
      </c>
      <c r="N8">
        <f>COUNTIF(tblLeadRouting[Routing Status],"Unexpected Owner Role")</f>
        <v>0</v>
      </c>
    </row>
    <row r="9" spans="1:14">
      <c r="A9" t="s">
        <v>1319</v>
      </c>
      <c r="B9" t="s">
        <v>704</v>
      </c>
      <c r="C9" t="s">
        <v>24</v>
      </c>
      <c r="D9" t="s">
        <v>23</v>
      </c>
      <c r="E9" t="s">
        <v>25</v>
      </c>
      <c r="F9" t="str">
        <f t="shared" si="0"/>
        <v>SMB</v>
      </c>
      <c r="G9">
        <f>_xlfn.XLOOKUP(D9,tblStates[state_code],tblStates[territory_id],"Needs Review - Territory")</f>
        <v>2</v>
      </c>
      <c r="H9" t="str">
        <f>IF(E9="","",_xlfn.XLOOKUP(E9,tblUsers[user_id],tblUsers[job_title],"Owner Not Found"))</f>
        <v>SMB Account Executive</v>
      </c>
      <c r="I9" t="str">
        <f>IF(E9="","",_xlfn.XLOOKUP(E9,tblUsers[user_id],tblUsers[segment],"Owner Not Found"))</f>
        <v>SMB</v>
      </c>
      <c r="J9">
        <f>IF(E9="","",_xlfn.XLOOKUP(E9,tblUsers[user_id],tblUsers[territory_id],"Owner Not Found"))</f>
        <v>2</v>
      </c>
      <c r="K9" t="str">
        <f t="shared" si="1"/>
        <v>Routing Compatible</v>
      </c>
      <c r="M9" t="s">
        <v>5633</v>
      </c>
      <c r="N9">
        <f>ROWS(tblLeadRouting[Lead ID])</f>
        <v>1300</v>
      </c>
    </row>
    <row r="10" spans="1:14">
      <c r="A10" t="s">
        <v>1325</v>
      </c>
      <c r="B10" t="s">
        <v>451</v>
      </c>
      <c r="C10" t="s">
        <v>30</v>
      </c>
      <c r="D10" t="s">
        <v>68</v>
      </c>
      <c r="E10" t="s">
        <v>55</v>
      </c>
      <c r="F10" t="str">
        <f t="shared" si="0"/>
        <v>MM</v>
      </c>
      <c r="G10">
        <f>_xlfn.XLOOKUP(D10,tblStates[state_code],tblStates[territory_id],"Needs Review - Territory")</f>
        <v>3</v>
      </c>
      <c r="H10" t="str">
        <f>IF(E10="","",_xlfn.XLOOKUP(E10,tblUsers[user_id],tblUsers[job_title],"Owner Not Found"))</f>
        <v>Mid-Market Account Executive</v>
      </c>
      <c r="I10" t="str">
        <f>IF(E10="","",_xlfn.XLOOKUP(E10,tblUsers[user_id],tblUsers[segment],"Owner Not Found"))</f>
        <v>MM</v>
      </c>
      <c r="J10">
        <f>IF(E10="","",_xlfn.XLOOKUP(E10,tblUsers[user_id],tblUsers[territory_id],"Owner Not Found"))</f>
        <v>3</v>
      </c>
      <c r="K10" t="str">
        <f t="shared" si="1"/>
        <v>Routing Compatible</v>
      </c>
    </row>
    <row r="11" spans="1:14">
      <c r="A11" t="s">
        <v>1329</v>
      </c>
      <c r="B11" t="s">
        <v>247</v>
      </c>
      <c r="C11" t="s">
        <v>17</v>
      </c>
      <c r="D11" t="s">
        <v>249</v>
      </c>
      <c r="E11" t="s">
        <v>36</v>
      </c>
      <c r="F11" t="str">
        <f t="shared" si="0"/>
        <v>MM</v>
      </c>
      <c r="G11">
        <f>_xlfn.XLOOKUP(D11,tblStates[state_code],tblStates[territory_id],"Needs Review - Territory")</f>
        <v>4</v>
      </c>
      <c r="H11" t="str">
        <f>IF(E11="","",_xlfn.XLOOKUP(E11,tblUsers[user_id],tblUsers[job_title],"Owner Not Found"))</f>
        <v>Mid-Market Account Executive</v>
      </c>
      <c r="I11" t="str">
        <f>IF(E11="","",_xlfn.XLOOKUP(E11,tblUsers[user_id],tblUsers[segment],"Owner Not Found"))</f>
        <v>MM</v>
      </c>
      <c r="J11">
        <f>IF(E11="","",_xlfn.XLOOKUP(E11,tblUsers[user_id],tblUsers[territory_id],"Owner Not Found"))</f>
        <v>4</v>
      </c>
      <c r="K11" t="str">
        <f t="shared" si="1"/>
        <v>Routing Compatible</v>
      </c>
    </row>
    <row r="12" spans="1:14">
      <c r="A12" t="s">
        <v>1335</v>
      </c>
      <c r="B12" t="s">
        <v>593</v>
      </c>
      <c r="C12" t="s">
        <v>24</v>
      </c>
      <c r="D12" t="s">
        <v>16</v>
      </c>
      <c r="E12" t="s">
        <v>91</v>
      </c>
      <c r="F12" t="str">
        <f t="shared" si="0"/>
        <v>SMB</v>
      </c>
      <c r="G12">
        <f>_xlfn.XLOOKUP(D12,tblStates[state_code],tblStates[territory_id],"Needs Review - Territory")</f>
        <v>1</v>
      </c>
      <c r="H12" t="str">
        <f>IF(E12="","",_xlfn.XLOOKUP(E12,tblUsers[user_id],tblUsers[job_title],"Owner Not Found"))</f>
        <v>SMB Account Executive</v>
      </c>
      <c r="I12" t="str">
        <f>IF(E12="","",_xlfn.XLOOKUP(E12,tblUsers[user_id],tblUsers[segment],"Owner Not Found"))</f>
        <v>SMB</v>
      </c>
      <c r="J12">
        <f>IF(E12="","",_xlfn.XLOOKUP(E12,tblUsers[user_id],tblUsers[territory_id],"Owner Not Found"))</f>
        <v>1</v>
      </c>
      <c r="K12" t="str">
        <f t="shared" si="1"/>
        <v>Routing Compatible</v>
      </c>
    </row>
    <row r="13" spans="1:14">
      <c r="A13" t="s">
        <v>1341</v>
      </c>
      <c r="B13" t="s">
        <v>283</v>
      </c>
      <c r="C13" t="s">
        <v>30</v>
      </c>
      <c r="D13" t="s">
        <v>285</v>
      </c>
      <c r="E13" t="s">
        <v>36</v>
      </c>
      <c r="F13" t="str">
        <f t="shared" si="0"/>
        <v>MM</v>
      </c>
      <c r="G13">
        <f>_xlfn.XLOOKUP(D13,tblStates[state_code],tblStates[territory_id],"Needs Review - Territory")</f>
        <v>4</v>
      </c>
      <c r="H13" t="str">
        <f>IF(E13="","",_xlfn.XLOOKUP(E13,tblUsers[user_id],tblUsers[job_title],"Owner Not Found"))</f>
        <v>Mid-Market Account Executive</v>
      </c>
      <c r="I13" t="str">
        <f>IF(E13="","",_xlfn.XLOOKUP(E13,tblUsers[user_id],tblUsers[segment],"Owner Not Found"))</f>
        <v>MM</v>
      </c>
      <c r="J13">
        <f>IF(E13="","",_xlfn.XLOOKUP(E13,tblUsers[user_id],tblUsers[territory_id],"Owner Not Found"))</f>
        <v>4</v>
      </c>
      <c r="K13" t="str">
        <f t="shared" si="1"/>
        <v>Routing Compatible</v>
      </c>
    </row>
    <row r="14" spans="1:14">
      <c r="A14" t="s">
        <v>1347</v>
      </c>
      <c r="B14" t="s">
        <v>976</v>
      </c>
      <c r="C14" t="s">
        <v>24</v>
      </c>
      <c r="D14" t="s">
        <v>81</v>
      </c>
      <c r="E14" t="s">
        <v>25</v>
      </c>
      <c r="F14" t="str">
        <f t="shared" si="0"/>
        <v>SMB</v>
      </c>
      <c r="G14">
        <f>_xlfn.XLOOKUP(D14,tblStates[state_code],tblStates[territory_id],"Needs Review - Territory")</f>
        <v>2</v>
      </c>
      <c r="H14" t="str">
        <f>IF(E14="","",_xlfn.XLOOKUP(E14,tblUsers[user_id],tblUsers[job_title],"Owner Not Found"))</f>
        <v>SMB Account Executive</v>
      </c>
      <c r="I14" t="str">
        <f>IF(E14="","",_xlfn.XLOOKUP(E14,tblUsers[user_id],tblUsers[segment],"Owner Not Found"))</f>
        <v>SMB</v>
      </c>
      <c r="J14">
        <f>IF(E14="","",_xlfn.XLOOKUP(E14,tblUsers[user_id],tblUsers[territory_id],"Owner Not Found"))</f>
        <v>2</v>
      </c>
      <c r="K14" t="str">
        <f t="shared" si="1"/>
        <v>Routing Compatible</v>
      </c>
    </row>
    <row r="15" spans="1:14">
      <c r="A15" t="s">
        <v>1351</v>
      </c>
      <c r="B15" t="s">
        <v>417</v>
      </c>
      <c r="C15" t="s">
        <v>30</v>
      </c>
      <c r="D15" t="s">
        <v>216</v>
      </c>
      <c r="E15" t="s">
        <v>18</v>
      </c>
      <c r="F15" t="str">
        <f t="shared" si="0"/>
        <v>MM</v>
      </c>
      <c r="G15">
        <f>_xlfn.XLOOKUP(D15,tblStates[state_code],tblStates[territory_id],"Needs Review - Territory")</f>
        <v>1</v>
      </c>
      <c r="H15" t="str">
        <f>IF(E15="","",_xlfn.XLOOKUP(E15,tblUsers[user_id],tblUsers[job_title],"Owner Not Found"))</f>
        <v>Mid-Market Account Executive</v>
      </c>
      <c r="I15" t="str">
        <f>IF(E15="","",_xlfn.XLOOKUP(E15,tblUsers[user_id],tblUsers[segment],"Owner Not Found"))</f>
        <v>MM</v>
      </c>
      <c r="J15">
        <f>IF(E15="","",_xlfn.XLOOKUP(E15,tblUsers[user_id],tblUsers[territory_id],"Owner Not Found"))</f>
        <v>1</v>
      </c>
      <c r="K15" t="str">
        <f t="shared" si="1"/>
        <v>Routing Compatible</v>
      </c>
    </row>
    <row r="16" spans="1:14">
      <c r="A16" t="s">
        <v>1357</v>
      </c>
      <c r="B16" t="s">
        <v>616</v>
      </c>
      <c r="C16" t="s">
        <v>17</v>
      </c>
      <c r="D16" t="s">
        <v>16</v>
      </c>
      <c r="E16" t="s">
        <v>18</v>
      </c>
      <c r="F16" t="str">
        <f t="shared" si="0"/>
        <v>MM</v>
      </c>
      <c r="G16">
        <f>_xlfn.XLOOKUP(D16,tblStates[state_code],tblStates[territory_id],"Needs Review - Territory")</f>
        <v>1</v>
      </c>
      <c r="H16" t="str">
        <f>IF(E16="","",_xlfn.XLOOKUP(E16,tblUsers[user_id],tblUsers[job_title],"Owner Not Found"))</f>
        <v>Mid-Market Account Executive</v>
      </c>
      <c r="I16" t="str">
        <f>IF(E16="","",_xlfn.XLOOKUP(E16,tblUsers[user_id],tblUsers[segment],"Owner Not Found"))</f>
        <v>MM</v>
      </c>
      <c r="J16">
        <f>IF(E16="","",_xlfn.XLOOKUP(E16,tblUsers[user_id],tblUsers[territory_id],"Owner Not Found"))</f>
        <v>1</v>
      </c>
      <c r="K16" t="str">
        <f t="shared" si="1"/>
        <v>Routing Compatible</v>
      </c>
    </row>
    <row r="17" spans="1:11">
      <c r="A17" t="s">
        <v>1363</v>
      </c>
      <c r="B17" t="s">
        <v>578</v>
      </c>
      <c r="C17" t="s">
        <v>24</v>
      </c>
      <c r="D17" t="s">
        <v>205</v>
      </c>
      <c r="E17" t="s">
        <v>59</v>
      </c>
      <c r="F17" t="str">
        <f t="shared" si="0"/>
        <v>SMB</v>
      </c>
      <c r="G17">
        <f>_xlfn.XLOOKUP(D17,tblStates[state_code],tblStates[territory_id],"Needs Review - Territory")</f>
        <v>4</v>
      </c>
      <c r="H17" t="str">
        <f>IF(E17="","",_xlfn.XLOOKUP(E17,tblUsers[user_id],tblUsers[job_title],"Owner Not Found"))</f>
        <v>SMB Account Executive</v>
      </c>
      <c r="I17" t="str">
        <f>IF(E17="","",_xlfn.XLOOKUP(E17,tblUsers[user_id],tblUsers[segment],"Owner Not Found"))</f>
        <v>SMB</v>
      </c>
      <c r="J17">
        <f>IF(E17="","",_xlfn.XLOOKUP(E17,tblUsers[user_id],tblUsers[territory_id],"Owner Not Found"))</f>
        <v>4</v>
      </c>
      <c r="K17" t="str">
        <f t="shared" si="1"/>
        <v>Routing Compatible</v>
      </c>
    </row>
    <row r="18" spans="1:11">
      <c r="A18" t="s">
        <v>1370</v>
      </c>
      <c r="B18" t="s">
        <v>364</v>
      </c>
      <c r="C18" t="s">
        <v>17</v>
      </c>
      <c r="D18" t="s">
        <v>366</v>
      </c>
      <c r="E18" t="s">
        <v>18</v>
      </c>
      <c r="F18" t="str">
        <f t="shared" si="0"/>
        <v>MM</v>
      </c>
      <c r="G18">
        <f>_xlfn.XLOOKUP(D18,tblStates[state_code],tblStates[territory_id],"Needs Review - Territory")</f>
        <v>1</v>
      </c>
      <c r="H18" t="str">
        <f>IF(E18="","",_xlfn.XLOOKUP(E18,tblUsers[user_id],tblUsers[job_title],"Owner Not Found"))</f>
        <v>Mid-Market Account Executive</v>
      </c>
      <c r="I18" t="str">
        <f>IF(E18="","",_xlfn.XLOOKUP(E18,tblUsers[user_id],tblUsers[segment],"Owner Not Found"))</f>
        <v>MM</v>
      </c>
      <c r="J18">
        <f>IF(E18="","",_xlfn.XLOOKUP(E18,tblUsers[user_id],tblUsers[territory_id],"Owner Not Found"))</f>
        <v>1</v>
      </c>
      <c r="K18" t="str">
        <f t="shared" si="1"/>
        <v>Routing Compatible</v>
      </c>
    </row>
    <row r="19" spans="1:11">
      <c r="A19" t="s">
        <v>1376</v>
      </c>
      <c r="B19" t="s">
        <v>231</v>
      </c>
      <c r="C19" t="s">
        <v>24</v>
      </c>
      <c r="D19" t="s">
        <v>95</v>
      </c>
      <c r="E19" t="s">
        <v>91</v>
      </c>
      <c r="F19" t="str">
        <f t="shared" si="0"/>
        <v>SMB</v>
      </c>
      <c r="G19">
        <f>_xlfn.XLOOKUP(D19,tblStates[state_code],tblStates[territory_id],"Needs Review - Territory")</f>
        <v>1</v>
      </c>
      <c r="H19" t="str">
        <f>IF(E19="","",_xlfn.XLOOKUP(E19,tblUsers[user_id],tblUsers[job_title],"Owner Not Found"))</f>
        <v>SMB Account Executive</v>
      </c>
      <c r="I19" t="str">
        <f>IF(E19="","",_xlfn.XLOOKUP(E19,tblUsers[user_id],tblUsers[segment],"Owner Not Found"))</f>
        <v>SMB</v>
      </c>
      <c r="J19">
        <f>IF(E19="","",_xlfn.XLOOKUP(E19,tblUsers[user_id],tblUsers[territory_id],"Owner Not Found"))</f>
        <v>1</v>
      </c>
      <c r="K19" t="str">
        <f t="shared" si="1"/>
        <v>Routing Compatible</v>
      </c>
    </row>
    <row r="20" spans="1:11">
      <c r="A20" t="s">
        <v>1383</v>
      </c>
      <c r="B20" t="s">
        <v>483</v>
      </c>
      <c r="C20" t="s">
        <v>24</v>
      </c>
      <c r="D20" t="s">
        <v>205</v>
      </c>
      <c r="E20" t="s">
        <v>59</v>
      </c>
      <c r="F20" t="str">
        <f t="shared" si="0"/>
        <v>SMB</v>
      </c>
      <c r="G20">
        <f>_xlfn.XLOOKUP(D20,tblStates[state_code],tblStates[territory_id],"Needs Review - Territory")</f>
        <v>4</v>
      </c>
      <c r="H20" t="str">
        <f>IF(E20="","",_xlfn.XLOOKUP(E20,tblUsers[user_id],tblUsers[job_title],"Owner Not Found"))</f>
        <v>SMB Account Executive</v>
      </c>
      <c r="I20" t="str">
        <f>IF(E20="","",_xlfn.XLOOKUP(E20,tblUsers[user_id],tblUsers[segment],"Owner Not Found"))</f>
        <v>SMB</v>
      </c>
      <c r="J20">
        <f>IF(E20="","",_xlfn.XLOOKUP(E20,tblUsers[user_id],tblUsers[territory_id],"Owner Not Found"))</f>
        <v>4</v>
      </c>
      <c r="K20" t="str">
        <f t="shared" si="1"/>
        <v>Routing Compatible</v>
      </c>
    </row>
    <row r="21" spans="1:11">
      <c r="A21" t="s">
        <v>1389</v>
      </c>
      <c r="B21" t="s">
        <v>495</v>
      </c>
      <c r="C21" t="s">
        <v>30</v>
      </c>
      <c r="D21" t="s">
        <v>50</v>
      </c>
      <c r="E21" t="s">
        <v>36</v>
      </c>
      <c r="F21" t="str">
        <f t="shared" si="0"/>
        <v>MM</v>
      </c>
      <c r="G21">
        <f>_xlfn.XLOOKUP(D21,tblStates[state_code],tblStates[territory_id],"Needs Review - Territory")</f>
        <v>4</v>
      </c>
      <c r="H21" t="str">
        <f>IF(E21="","",_xlfn.XLOOKUP(E21,tblUsers[user_id],tblUsers[job_title],"Owner Not Found"))</f>
        <v>Mid-Market Account Executive</v>
      </c>
      <c r="I21" t="str">
        <f>IF(E21="","",_xlfn.XLOOKUP(E21,tblUsers[user_id],tblUsers[segment],"Owner Not Found"))</f>
        <v>MM</v>
      </c>
      <c r="J21">
        <f>IF(E21="","",_xlfn.XLOOKUP(E21,tblUsers[user_id],tblUsers[territory_id],"Owner Not Found"))</f>
        <v>4</v>
      </c>
      <c r="K21" t="str">
        <f t="shared" si="1"/>
        <v>Routing Compatible</v>
      </c>
    </row>
    <row r="22" spans="1:11">
      <c r="A22" t="s">
        <v>1395</v>
      </c>
      <c r="B22" t="s">
        <v>358</v>
      </c>
      <c r="C22" t="s">
        <v>17</v>
      </c>
      <c r="D22" t="s">
        <v>16</v>
      </c>
      <c r="E22" t="s">
        <v>18</v>
      </c>
      <c r="F22" t="str">
        <f t="shared" si="0"/>
        <v>MM</v>
      </c>
      <c r="G22">
        <f>_xlfn.XLOOKUP(D22,tblStates[state_code],tblStates[territory_id],"Needs Review - Territory")</f>
        <v>1</v>
      </c>
      <c r="H22" t="str">
        <f>IF(E22="","",_xlfn.XLOOKUP(E22,tblUsers[user_id],tblUsers[job_title],"Owner Not Found"))</f>
        <v>Mid-Market Account Executive</v>
      </c>
      <c r="I22" t="str">
        <f>IF(E22="","",_xlfn.XLOOKUP(E22,tblUsers[user_id],tblUsers[segment],"Owner Not Found"))</f>
        <v>MM</v>
      </c>
      <c r="J22">
        <f>IF(E22="","",_xlfn.XLOOKUP(E22,tblUsers[user_id],tblUsers[territory_id],"Owner Not Found"))</f>
        <v>1</v>
      </c>
      <c r="K22" t="str">
        <f t="shared" si="1"/>
        <v>Routing Compatible</v>
      </c>
    </row>
    <row r="23" spans="1:11">
      <c r="A23" t="s">
        <v>1402</v>
      </c>
      <c r="B23" t="s">
        <v>138</v>
      </c>
      <c r="C23" t="s">
        <v>17</v>
      </c>
      <c r="D23" t="s">
        <v>140</v>
      </c>
      <c r="E23" t="s">
        <v>82</v>
      </c>
      <c r="F23" t="str">
        <f t="shared" si="0"/>
        <v>MM</v>
      </c>
      <c r="G23">
        <f>_xlfn.XLOOKUP(D23,tblStates[state_code],tblStates[territory_id],"Needs Review - Territory")</f>
        <v>2</v>
      </c>
      <c r="H23" t="str">
        <f>IF(E23="","",_xlfn.XLOOKUP(E23,tblUsers[user_id],tblUsers[job_title],"Owner Not Found"))</f>
        <v>Mid-Market Account Executive</v>
      </c>
      <c r="I23" t="str">
        <f>IF(E23="","",_xlfn.XLOOKUP(E23,tblUsers[user_id],tblUsers[segment],"Owner Not Found"))</f>
        <v>MM</v>
      </c>
      <c r="J23">
        <f>IF(E23="","",_xlfn.XLOOKUP(E23,tblUsers[user_id],tblUsers[territory_id],"Owner Not Found"))</f>
        <v>2</v>
      </c>
      <c r="K23" t="str">
        <f t="shared" si="1"/>
        <v>Routing Compatible</v>
      </c>
    </row>
    <row r="24" spans="1:11">
      <c r="A24" t="s">
        <v>1409</v>
      </c>
      <c r="B24" t="s">
        <v>1029</v>
      </c>
      <c r="C24" t="s">
        <v>24</v>
      </c>
      <c r="D24" t="s">
        <v>46</v>
      </c>
      <c r="E24" t="s">
        <v>91</v>
      </c>
      <c r="F24" t="str">
        <f t="shared" si="0"/>
        <v>SMB</v>
      </c>
      <c r="G24">
        <f>_xlfn.XLOOKUP(D24,tblStates[state_code],tblStates[territory_id],"Needs Review - Territory")</f>
        <v>1</v>
      </c>
      <c r="H24" t="str">
        <f>IF(E24="","",_xlfn.XLOOKUP(E24,tblUsers[user_id],tblUsers[job_title],"Owner Not Found"))</f>
        <v>SMB Account Executive</v>
      </c>
      <c r="I24" t="str">
        <f>IF(E24="","",_xlfn.XLOOKUP(E24,tblUsers[user_id],tblUsers[segment],"Owner Not Found"))</f>
        <v>SMB</v>
      </c>
      <c r="J24">
        <f>IF(E24="","",_xlfn.XLOOKUP(E24,tblUsers[user_id],tblUsers[territory_id],"Owner Not Found"))</f>
        <v>1</v>
      </c>
      <c r="K24" t="str">
        <f t="shared" si="1"/>
        <v>Routing Compatible</v>
      </c>
    </row>
    <row r="25" spans="1:11">
      <c r="A25" t="s">
        <v>1416</v>
      </c>
      <c r="B25" t="s">
        <v>698</v>
      </c>
      <c r="D25" t="s">
        <v>295</v>
      </c>
      <c r="E25" t="s">
        <v>82</v>
      </c>
      <c r="F25" t="str">
        <f t="shared" si="0"/>
        <v>Needs Review - Segment</v>
      </c>
      <c r="G25">
        <f>_xlfn.XLOOKUP(D25,tblStates[state_code],tblStates[territory_id],"Needs Review - Territory")</f>
        <v>2</v>
      </c>
      <c r="H25" t="str">
        <f>IF(E25="","",_xlfn.XLOOKUP(E25,tblUsers[user_id],tblUsers[job_title],"Owner Not Found"))</f>
        <v>Mid-Market Account Executive</v>
      </c>
      <c r="I25" t="str">
        <f>IF(E25="","",_xlfn.XLOOKUP(E25,tblUsers[user_id],tblUsers[segment],"Owner Not Found"))</f>
        <v>MM</v>
      </c>
      <c r="J25">
        <f>IF(E25="","",_xlfn.XLOOKUP(E25,tblUsers[user_id],tblUsers[territory_id],"Owner Not Found"))</f>
        <v>2</v>
      </c>
      <c r="K25" t="str">
        <f t="shared" si="1"/>
        <v>Needs Review - Segment</v>
      </c>
    </row>
    <row r="26" spans="1:11">
      <c r="A26" t="s">
        <v>1423</v>
      </c>
      <c r="B26" t="s">
        <v>214</v>
      </c>
      <c r="C26" t="s">
        <v>17</v>
      </c>
      <c r="D26" t="s">
        <v>216</v>
      </c>
      <c r="E26" t="s">
        <v>18</v>
      </c>
      <c r="F26" t="str">
        <f t="shared" si="0"/>
        <v>MM</v>
      </c>
      <c r="G26">
        <f>_xlfn.XLOOKUP(D26,tblStates[state_code],tblStates[territory_id],"Needs Review - Territory")</f>
        <v>1</v>
      </c>
      <c r="H26" t="str">
        <f>IF(E26="","",_xlfn.XLOOKUP(E26,tblUsers[user_id],tblUsers[job_title],"Owner Not Found"))</f>
        <v>Mid-Market Account Executive</v>
      </c>
      <c r="I26" t="str">
        <f>IF(E26="","",_xlfn.XLOOKUP(E26,tblUsers[user_id],tblUsers[segment],"Owner Not Found"))</f>
        <v>MM</v>
      </c>
      <c r="J26">
        <f>IF(E26="","",_xlfn.XLOOKUP(E26,tblUsers[user_id],tblUsers[territory_id],"Owner Not Found"))</f>
        <v>1</v>
      </c>
      <c r="K26" t="str">
        <f t="shared" si="1"/>
        <v>Routing Compatible</v>
      </c>
    </row>
    <row r="27" spans="1:11">
      <c r="A27" t="s">
        <v>1430</v>
      </c>
      <c r="B27" t="s">
        <v>492</v>
      </c>
      <c r="C27" t="s">
        <v>17</v>
      </c>
      <c r="D27" t="s">
        <v>16</v>
      </c>
      <c r="E27" t="s">
        <v>18</v>
      </c>
      <c r="F27" t="str">
        <f t="shared" si="0"/>
        <v>MM</v>
      </c>
      <c r="G27">
        <f>_xlfn.XLOOKUP(D27,tblStates[state_code],tblStates[territory_id],"Needs Review - Territory")</f>
        <v>1</v>
      </c>
      <c r="H27" t="str">
        <f>IF(E27="","",_xlfn.XLOOKUP(E27,tblUsers[user_id],tblUsers[job_title],"Owner Not Found"))</f>
        <v>Mid-Market Account Executive</v>
      </c>
      <c r="I27" t="str">
        <f>IF(E27="","",_xlfn.XLOOKUP(E27,tblUsers[user_id],tblUsers[segment],"Owner Not Found"))</f>
        <v>MM</v>
      </c>
      <c r="J27">
        <f>IF(E27="","",_xlfn.XLOOKUP(E27,tblUsers[user_id],tblUsers[territory_id],"Owner Not Found"))</f>
        <v>1</v>
      </c>
      <c r="K27" t="str">
        <f t="shared" si="1"/>
        <v>Routing Compatible</v>
      </c>
    </row>
    <row r="28" spans="1:11">
      <c r="A28" t="s">
        <v>1435</v>
      </c>
      <c r="B28" t="s">
        <v>743</v>
      </c>
      <c r="C28" t="s">
        <v>24</v>
      </c>
      <c r="D28" t="s">
        <v>16</v>
      </c>
      <c r="E28" t="s">
        <v>91</v>
      </c>
      <c r="F28" t="str">
        <f t="shared" si="0"/>
        <v>SMB</v>
      </c>
      <c r="G28">
        <f>_xlfn.XLOOKUP(D28,tblStates[state_code],tblStates[territory_id],"Needs Review - Territory")</f>
        <v>1</v>
      </c>
      <c r="H28" t="str">
        <f>IF(E28="","",_xlfn.XLOOKUP(E28,tblUsers[user_id],tblUsers[job_title],"Owner Not Found"))</f>
        <v>SMB Account Executive</v>
      </c>
      <c r="I28" t="str">
        <f>IF(E28="","",_xlfn.XLOOKUP(E28,tblUsers[user_id],tblUsers[segment],"Owner Not Found"))</f>
        <v>SMB</v>
      </c>
      <c r="J28">
        <f>IF(E28="","",_xlfn.XLOOKUP(E28,tblUsers[user_id],tblUsers[territory_id],"Owner Not Found"))</f>
        <v>1</v>
      </c>
      <c r="K28" t="str">
        <f t="shared" si="1"/>
        <v>Routing Compatible</v>
      </c>
    </row>
    <row r="29" spans="1:11">
      <c r="A29" t="s">
        <v>1440</v>
      </c>
      <c r="B29" t="s">
        <v>337</v>
      </c>
      <c r="C29" t="s">
        <v>24</v>
      </c>
      <c r="D29" t="s">
        <v>339</v>
      </c>
      <c r="E29" t="s">
        <v>69</v>
      </c>
      <c r="F29" t="str">
        <f t="shared" si="0"/>
        <v>SMB</v>
      </c>
      <c r="G29">
        <f>_xlfn.XLOOKUP(D29,tblStates[state_code],tblStates[territory_id],"Needs Review - Territory")</f>
        <v>3</v>
      </c>
      <c r="H29" t="str">
        <f>IF(E29="","",_xlfn.XLOOKUP(E29,tblUsers[user_id],tblUsers[job_title],"Owner Not Found"))</f>
        <v>SMB Account Executive</v>
      </c>
      <c r="I29" t="str">
        <f>IF(E29="","",_xlfn.XLOOKUP(E29,tblUsers[user_id],tblUsers[segment],"Owner Not Found"))</f>
        <v>SMB</v>
      </c>
      <c r="J29">
        <f>IF(E29="","",_xlfn.XLOOKUP(E29,tblUsers[user_id],tblUsers[territory_id],"Owner Not Found"))</f>
        <v>3</v>
      </c>
      <c r="K29" t="str">
        <f t="shared" si="1"/>
        <v>Routing Compatible</v>
      </c>
    </row>
    <row r="30" spans="1:11">
      <c r="A30" t="s">
        <v>1445</v>
      </c>
      <c r="B30" t="s">
        <v>190</v>
      </c>
      <c r="D30" t="s">
        <v>192</v>
      </c>
      <c r="E30" t="s">
        <v>91</v>
      </c>
      <c r="F30" t="str">
        <f t="shared" si="0"/>
        <v>Needs Review - Segment</v>
      </c>
      <c r="G30">
        <f>_xlfn.XLOOKUP(D30,tblStates[state_code],tblStates[territory_id],"Needs Review - Territory")</f>
        <v>1</v>
      </c>
      <c r="H30" t="str">
        <f>IF(E30="","",_xlfn.XLOOKUP(E30,tblUsers[user_id],tblUsers[job_title],"Owner Not Found"))</f>
        <v>SMB Account Executive</v>
      </c>
      <c r="I30" t="str">
        <f>IF(E30="","",_xlfn.XLOOKUP(E30,tblUsers[user_id],tblUsers[segment],"Owner Not Found"))</f>
        <v>SMB</v>
      </c>
      <c r="J30">
        <f>IF(E30="","",_xlfn.XLOOKUP(E30,tblUsers[user_id],tblUsers[territory_id],"Owner Not Found"))</f>
        <v>1</v>
      </c>
      <c r="K30" t="str">
        <f t="shared" si="1"/>
        <v>Needs Review - Segment</v>
      </c>
    </row>
    <row r="31" spans="1:11">
      <c r="A31" t="s">
        <v>1451</v>
      </c>
      <c r="B31" t="s">
        <v>1005</v>
      </c>
      <c r="C31" t="s">
        <v>30</v>
      </c>
      <c r="D31" t="s">
        <v>16</v>
      </c>
      <c r="E31" t="s">
        <v>18</v>
      </c>
      <c r="F31" t="str">
        <f t="shared" si="0"/>
        <v>MM</v>
      </c>
      <c r="G31">
        <f>_xlfn.XLOOKUP(D31,tblStates[state_code],tblStates[territory_id],"Needs Review - Territory")</f>
        <v>1</v>
      </c>
      <c r="H31" t="str">
        <f>IF(E31="","",_xlfn.XLOOKUP(E31,tblUsers[user_id],tblUsers[job_title],"Owner Not Found"))</f>
        <v>Mid-Market Account Executive</v>
      </c>
      <c r="I31" t="str">
        <f>IF(E31="","",_xlfn.XLOOKUP(E31,tblUsers[user_id],tblUsers[segment],"Owner Not Found"))</f>
        <v>MM</v>
      </c>
      <c r="J31">
        <f>IF(E31="","",_xlfn.XLOOKUP(E31,tblUsers[user_id],tblUsers[territory_id],"Owner Not Found"))</f>
        <v>1</v>
      </c>
      <c r="K31" t="str">
        <f t="shared" si="1"/>
        <v>Routing Compatible</v>
      </c>
    </row>
    <row r="32" spans="1:11">
      <c r="A32" t="s">
        <v>1455</v>
      </c>
      <c r="B32" t="s">
        <v>251</v>
      </c>
      <c r="C32" t="s">
        <v>30</v>
      </c>
      <c r="D32" t="s">
        <v>154</v>
      </c>
      <c r="E32" t="s">
        <v>82</v>
      </c>
      <c r="F32" t="str">
        <f t="shared" si="0"/>
        <v>MM</v>
      </c>
      <c r="G32">
        <f>_xlfn.XLOOKUP(D32,tblStates[state_code],tblStates[territory_id],"Needs Review - Territory")</f>
        <v>2</v>
      </c>
      <c r="H32" t="str">
        <f>IF(E32="","",_xlfn.XLOOKUP(E32,tblUsers[user_id],tblUsers[job_title],"Owner Not Found"))</f>
        <v>Mid-Market Account Executive</v>
      </c>
      <c r="I32" t="str">
        <f>IF(E32="","",_xlfn.XLOOKUP(E32,tblUsers[user_id],tblUsers[segment],"Owner Not Found"))</f>
        <v>MM</v>
      </c>
      <c r="J32">
        <f>IF(E32="","",_xlfn.XLOOKUP(E32,tblUsers[user_id],tblUsers[territory_id],"Owner Not Found"))</f>
        <v>2</v>
      </c>
      <c r="K32" t="str">
        <f t="shared" si="1"/>
        <v>Routing Compatible</v>
      </c>
    </row>
    <row r="33" spans="1:11">
      <c r="A33" t="s">
        <v>1461</v>
      </c>
      <c r="B33" t="s">
        <v>724</v>
      </c>
      <c r="C33" t="s">
        <v>17</v>
      </c>
      <c r="D33" t="s">
        <v>205</v>
      </c>
      <c r="E33" t="s">
        <v>36</v>
      </c>
      <c r="F33" t="str">
        <f t="shared" si="0"/>
        <v>MM</v>
      </c>
      <c r="G33">
        <f>_xlfn.XLOOKUP(D33,tblStates[state_code],tblStates[territory_id],"Needs Review - Territory")</f>
        <v>4</v>
      </c>
      <c r="H33" t="str">
        <f>IF(E33="","",_xlfn.XLOOKUP(E33,tblUsers[user_id],tblUsers[job_title],"Owner Not Found"))</f>
        <v>Mid-Market Account Executive</v>
      </c>
      <c r="I33" t="str">
        <f>IF(E33="","",_xlfn.XLOOKUP(E33,tblUsers[user_id],tblUsers[segment],"Owner Not Found"))</f>
        <v>MM</v>
      </c>
      <c r="J33">
        <f>IF(E33="","",_xlfn.XLOOKUP(E33,tblUsers[user_id],tblUsers[territory_id],"Owner Not Found"))</f>
        <v>4</v>
      </c>
      <c r="K33" t="str">
        <f t="shared" si="1"/>
        <v>Routing Compatible</v>
      </c>
    </row>
    <row r="34" spans="1:11">
      <c r="A34" t="s">
        <v>1467</v>
      </c>
      <c r="B34" t="s">
        <v>107</v>
      </c>
      <c r="C34" t="s">
        <v>30</v>
      </c>
      <c r="D34" t="s">
        <v>95</v>
      </c>
      <c r="E34" t="s">
        <v>18</v>
      </c>
      <c r="F34" t="str">
        <f t="shared" si="0"/>
        <v>MM</v>
      </c>
      <c r="G34">
        <f>_xlfn.XLOOKUP(D34,tblStates[state_code],tblStates[territory_id],"Needs Review - Territory")</f>
        <v>1</v>
      </c>
      <c r="H34" t="str">
        <f>IF(E34="","",_xlfn.XLOOKUP(E34,tblUsers[user_id],tblUsers[job_title],"Owner Not Found"))</f>
        <v>Mid-Market Account Executive</v>
      </c>
      <c r="I34" t="str">
        <f>IF(E34="","",_xlfn.XLOOKUP(E34,tblUsers[user_id],tblUsers[segment],"Owner Not Found"))</f>
        <v>MM</v>
      </c>
      <c r="J34">
        <f>IF(E34="","",_xlfn.XLOOKUP(E34,tblUsers[user_id],tblUsers[territory_id],"Owner Not Found"))</f>
        <v>1</v>
      </c>
      <c r="K34" t="str">
        <f t="shared" si="1"/>
        <v>Routing Compatible</v>
      </c>
    </row>
    <row r="35" spans="1:11">
      <c r="A35" t="s">
        <v>1473</v>
      </c>
      <c r="B35" t="s">
        <v>221</v>
      </c>
      <c r="C35" t="s">
        <v>30</v>
      </c>
      <c r="D35" t="s">
        <v>223</v>
      </c>
      <c r="E35" t="s">
        <v>18</v>
      </c>
      <c r="F35" t="str">
        <f t="shared" si="0"/>
        <v>MM</v>
      </c>
      <c r="G35">
        <f>_xlfn.XLOOKUP(D35,tblStates[state_code],tblStates[territory_id],"Needs Review - Territory")</f>
        <v>1</v>
      </c>
      <c r="H35" t="str">
        <f>IF(E35="","",_xlfn.XLOOKUP(E35,tblUsers[user_id],tblUsers[job_title],"Owner Not Found"))</f>
        <v>Mid-Market Account Executive</v>
      </c>
      <c r="I35" t="str">
        <f>IF(E35="","",_xlfn.XLOOKUP(E35,tblUsers[user_id],tblUsers[segment],"Owner Not Found"))</f>
        <v>MM</v>
      </c>
      <c r="J35">
        <f>IF(E35="","",_xlfn.XLOOKUP(E35,tblUsers[user_id],tblUsers[territory_id],"Owner Not Found"))</f>
        <v>1</v>
      </c>
      <c r="K35" t="str">
        <f t="shared" si="1"/>
        <v>Routing Compatible</v>
      </c>
    </row>
    <row r="36" spans="1:11">
      <c r="A36" t="s">
        <v>1480</v>
      </c>
      <c r="B36" t="s">
        <v>234</v>
      </c>
      <c r="C36" t="s">
        <v>24</v>
      </c>
      <c r="D36" t="s">
        <v>236</v>
      </c>
      <c r="E36" t="s">
        <v>69</v>
      </c>
      <c r="F36" t="str">
        <f t="shared" si="0"/>
        <v>SMB</v>
      </c>
      <c r="G36">
        <f>_xlfn.XLOOKUP(D36,tblStates[state_code],tblStates[territory_id],"Needs Review - Territory")</f>
        <v>1</v>
      </c>
      <c r="H36" t="str">
        <f>IF(E36="","",_xlfn.XLOOKUP(E36,tblUsers[user_id],tblUsers[job_title],"Owner Not Found"))</f>
        <v>SMB Account Executive</v>
      </c>
      <c r="I36" t="str">
        <f>IF(E36="","",_xlfn.XLOOKUP(E36,tblUsers[user_id],tblUsers[segment],"Owner Not Found"))</f>
        <v>SMB</v>
      </c>
      <c r="J36">
        <f>IF(E36="","",_xlfn.XLOOKUP(E36,tblUsers[user_id],tblUsers[territory_id],"Owner Not Found"))</f>
        <v>3</v>
      </c>
      <c r="K36" t="str">
        <f t="shared" si="1"/>
        <v>Wrong AE Territory</v>
      </c>
    </row>
    <row r="37" spans="1:11">
      <c r="A37" t="s">
        <v>1484</v>
      </c>
      <c r="B37" t="s">
        <v>341</v>
      </c>
      <c r="C37" t="s">
        <v>30</v>
      </c>
      <c r="D37" t="s">
        <v>41</v>
      </c>
      <c r="E37" t="s">
        <v>82</v>
      </c>
      <c r="F37" t="str">
        <f t="shared" si="0"/>
        <v>MM</v>
      </c>
      <c r="G37">
        <f>_xlfn.XLOOKUP(D37,tblStates[state_code],tblStates[territory_id],"Needs Review - Territory")</f>
        <v>2</v>
      </c>
      <c r="H37" t="str">
        <f>IF(E37="","",_xlfn.XLOOKUP(E37,tblUsers[user_id],tblUsers[job_title],"Owner Not Found"))</f>
        <v>Mid-Market Account Executive</v>
      </c>
      <c r="I37" t="str">
        <f>IF(E37="","",_xlfn.XLOOKUP(E37,tblUsers[user_id],tblUsers[segment],"Owner Not Found"))</f>
        <v>MM</v>
      </c>
      <c r="J37">
        <f>IF(E37="","",_xlfn.XLOOKUP(E37,tblUsers[user_id],tblUsers[territory_id],"Owner Not Found"))</f>
        <v>2</v>
      </c>
      <c r="K37" t="str">
        <f t="shared" si="1"/>
        <v>Routing Compatible</v>
      </c>
    </row>
    <row r="38" spans="1:11">
      <c r="A38" t="s">
        <v>1489</v>
      </c>
      <c r="B38" t="s">
        <v>122</v>
      </c>
      <c r="C38" t="s">
        <v>30</v>
      </c>
      <c r="D38" t="s">
        <v>81</v>
      </c>
      <c r="E38" t="s">
        <v>82</v>
      </c>
      <c r="F38" t="str">
        <f t="shared" si="0"/>
        <v>MM</v>
      </c>
      <c r="G38">
        <f>_xlfn.XLOOKUP(D38,tblStates[state_code],tblStates[territory_id],"Needs Review - Territory")</f>
        <v>2</v>
      </c>
      <c r="H38" t="str">
        <f>IF(E38="","",_xlfn.XLOOKUP(E38,tblUsers[user_id],tblUsers[job_title],"Owner Not Found"))</f>
        <v>Mid-Market Account Executive</v>
      </c>
      <c r="I38" t="str">
        <f>IF(E38="","",_xlfn.XLOOKUP(E38,tblUsers[user_id],tblUsers[segment],"Owner Not Found"))</f>
        <v>MM</v>
      </c>
      <c r="J38">
        <f>IF(E38="","",_xlfn.XLOOKUP(E38,tblUsers[user_id],tblUsers[territory_id],"Owner Not Found"))</f>
        <v>2</v>
      </c>
      <c r="K38" t="str">
        <f t="shared" si="1"/>
        <v>Routing Compatible</v>
      </c>
    </row>
    <row r="39" spans="1:11">
      <c r="A39" t="s">
        <v>1493</v>
      </c>
      <c r="B39" t="s">
        <v>813</v>
      </c>
      <c r="C39" t="s">
        <v>24</v>
      </c>
      <c r="D39" t="s">
        <v>50</v>
      </c>
      <c r="E39" t="s">
        <v>59</v>
      </c>
      <c r="F39" t="str">
        <f t="shared" si="0"/>
        <v>SMB</v>
      </c>
      <c r="G39">
        <f>_xlfn.XLOOKUP(D39,tblStates[state_code],tblStates[territory_id],"Needs Review - Territory")</f>
        <v>4</v>
      </c>
      <c r="H39" t="str">
        <f>IF(E39="","",_xlfn.XLOOKUP(E39,tblUsers[user_id],tblUsers[job_title],"Owner Not Found"))</f>
        <v>SMB Account Executive</v>
      </c>
      <c r="I39" t="str">
        <f>IF(E39="","",_xlfn.XLOOKUP(E39,tblUsers[user_id],tblUsers[segment],"Owner Not Found"))</f>
        <v>SMB</v>
      </c>
      <c r="J39">
        <f>IF(E39="","",_xlfn.XLOOKUP(E39,tblUsers[user_id],tblUsers[territory_id],"Owner Not Found"))</f>
        <v>4</v>
      </c>
      <c r="K39" t="str">
        <f t="shared" si="1"/>
        <v>Routing Compatible</v>
      </c>
    </row>
    <row r="40" spans="1:11">
      <c r="A40" t="s">
        <v>1499</v>
      </c>
      <c r="B40" t="s">
        <v>949</v>
      </c>
      <c r="C40" t="s">
        <v>30</v>
      </c>
      <c r="D40" t="s">
        <v>50</v>
      </c>
      <c r="E40" t="s">
        <v>36</v>
      </c>
      <c r="F40" t="str">
        <f t="shared" si="0"/>
        <v>MM</v>
      </c>
      <c r="G40">
        <f>_xlfn.XLOOKUP(D40,tblStates[state_code],tblStates[territory_id],"Needs Review - Territory")</f>
        <v>4</v>
      </c>
      <c r="H40" t="str">
        <f>IF(E40="","",_xlfn.XLOOKUP(E40,tblUsers[user_id],tblUsers[job_title],"Owner Not Found"))</f>
        <v>Mid-Market Account Executive</v>
      </c>
      <c r="I40" t="str">
        <f>IF(E40="","",_xlfn.XLOOKUP(E40,tblUsers[user_id],tblUsers[segment],"Owner Not Found"))</f>
        <v>MM</v>
      </c>
      <c r="J40">
        <f>IF(E40="","",_xlfn.XLOOKUP(E40,tblUsers[user_id],tblUsers[territory_id],"Owner Not Found"))</f>
        <v>4</v>
      </c>
      <c r="K40" t="str">
        <f t="shared" si="1"/>
        <v>Routing Compatible</v>
      </c>
    </row>
    <row r="41" spans="1:11">
      <c r="A41" t="s">
        <v>1504</v>
      </c>
      <c r="B41" t="s">
        <v>442</v>
      </c>
      <c r="C41" t="s">
        <v>30</v>
      </c>
      <c r="D41" t="s">
        <v>216</v>
      </c>
      <c r="E41" t="s">
        <v>18</v>
      </c>
      <c r="F41" t="str">
        <f t="shared" si="0"/>
        <v>MM</v>
      </c>
      <c r="G41">
        <f>_xlfn.XLOOKUP(D41,tblStates[state_code],tblStates[territory_id],"Needs Review - Territory")</f>
        <v>1</v>
      </c>
      <c r="H41" t="str">
        <f>IF(E41="","",_xlfn.XLOOKUP(E41,tblUsers[user_id],tblUsers[job_title],"Owner Not Found"))</f>
        <v>Mid-Market Account Executive</v>
      </c>
      <c r="I41" t="str">
        <f>IF(E41="","",_xlfn.XLOOKUP(E41,tblUsers[user_id],tblUsers[segment],"Owner Not Found"))</f>
        <v>MM</v>
      </c>
      <c r="J41">
        <f>IF(E41="","",_xlfn.XLOOKUP(E41,tblUsers[user_id],tblUsers[territory_id],"Owner Not Found"))</f>
        <v>1</v>
      </c>
      <c r="K41" t="str">
        <f t="shared" si="1"/>
        <v>Routing Compatible</v>
      </c>
    </row>
    <row r="42" spans="1:11">
      <c r="A42" t="s">
        <v>1509</v>
      </c>
      <c r="B42" t="s">
        <v>787</v>
      </c>
      <c r="C42" t="s">
        <v>24</v>
      </c>
      <c r="D42" t="s">
        <v>226</v>
      </c>
      <c r="E42" t="s">
        <v>69</v>
      </c>
      <c r="F42" t="str">
        <f t="shared" si="0"/>
        <v>SMB</v>
      </c>
      <c r="G42">
        <f>_xlfn.XLOOKUP(D42,tblStates[state_code],tblStates[territory_id],"Needs Review - Territory")</f>
        <v>3</v>
      </c>
      <c r="H42" t="str">
        <f>IF(E42="","",_xlfn.XLOOKUP(E42,tblUsers[user_id],tblUsers[job_title],"Owner Not Found"))</f>
        <v>SMB Account Executive</v>
      </c>
      <c r="I42" t="str">
        <f>IF(E42="","",_xlfn.XLOOKUP(E42,tblUsers[user_id],tblUsers[segment],"Owner Not Found"))</f>
        <v>SMB</v>
      </c>
      <c r="J42">
        <f>IF(E42="","",_xlfn.XLOOKUP(E42,tblUsers[user_id],tblUsers[territory_id],"Owner Not Found"))</f>
        <v>3</v>
      </c>
      <c r="K42" t="str">
        <f t="shared" si="1"/>
        <v>Routing Compatible</v>
      </c>
    </row>
    <row r="43" spans="1:11">
      <c r="A43" t="s">
        <v>1514</v>
      </c>
      <c r="B43" t="s">
        <v>516</v>
      </c>
      <c r="C43" t="s">
        <v>24</v>
      </c>
      <c r="D43" t="s">
        <v>81</v>
      </c>
      <c r="E43" t="s">
        <v>25</v>
      </c>
      <c r="F43" t="str">
        <f t="shared" si="0"/>
        <v>SMB</v>
      </c>
      <c r="G43">
        <f>_xlfn.XLOOKUP(D43,tblStates[state_code],tblStates[territory_id],"Needs Review - Territory")</f>
        <v>2</v>
      </c>
      <c r="H43" t="str">
        <f>IF(E43="","",_xlfn.XLOOKUP(E43,tblUsers[user_id],tblUsers[job_title],"Owner Not Found"))</f>
        <v>SMB Account Executive</v>
      </c>
      <c r="I43" t="str">
        <f>IF(E43="","",_xlfn.XLOOKUP(E43,tblUsers[user_id],tblUsers[segment],"Owner Not Found"))</f>
        <v>SMB</v>
      </c>
      <c r="J43">
        <f>IF(E43="","",_xlfn.XLOOKUP(E43,tblUsers[user_id],tblUsers[territory_id],"Owner Not Found"))</f>
        <v>2</v>
      </c>
      <c r="K43" t="str">
        <f t="shared" si="1"/>
        <v>Routing Compatible</v>
      </c>
    </row>
    <row r="44" spans="1:11">
      <c r="A44" t="s">
        <v>1520</v>
      </c>
      <c r="B44" t="s">
        <v>146</v>
      </c>
      <c r="C44" t="s">
        <v>24</v>
      </c>
      <c r="D44" t="s">
        <v>50</v>
      </c>
      <c r="E44" t="s">
        <v>59</v>
      </c>
      <c r="F44" t="str">
        <f t="shared" si="0"/>
        <v>SMB</v>
      </c>
      <c r="G44">
        <f>_xlfn.XLOOKUP(D44,tblStates[state_code],tblStates[territory_id],"Needs Review - Territory")</f>
        <v>4</v>
      </c>
      <c r="H44" t="str">
        <f>IF(E44="","",_xlfn.XLOOKUP(E44,tblUsers[user_id],tblUsers[job_title],"Owner Not Found"))</f>
        <v>SMB Account Executive</v>
      </c>
      <c r="I44" t="str">
        <f>IF(E44="","",_xlfn.XLOOKUP(E44,tblUsers[user_id],tblUsers[segment],"Owner Not Found"))</f>
        <v>SMB</v>
      </c>
      <c r="J44">
        <f>IF(E44="","",_xlfn.XLOOKUP(E44,tblUsers[user_id],tblUsers[territory_id],"Owner Not Found"))</f>
        <v>4</v>
      </c>
      <c r="K44" t="str">
        <f t="shared" si="1"/>
        <v>Routing Compatible</v>
      </c>
    </row>
    <row r="45" spans="1:11">
      <c r="A45" t="s">
        <v>1526</v>
      </c>
      <c r="B45" t="s">
        <v>27</v>
      </c>
      <c r="C45" t="s">
        <v>30</v>
      </c>
      <c r="D45" t="s">
        <v>16</v>
      </c>
      <c r="E45" t="s">
        <v>18</v>
      </c>
      <c r="F45" t="str">
        <f t="shared" si="0"/>
        <v>MM</v>
      </c>
      <c r="G45">
        <f>_xlfn.XLOOKUP(D45,tblStates[state_code],tblStates[territory_id],"Needs Review - Territory")</f>
        <v>1</v>
      </c>
      <c r="H45" t="str">
        <f>IF(E45="","",_xlfn.XLOOKUP(E45,tblUsers[user_id],tblUsers[job_title],"Owner Not Found"))</f>
        <v>Mid-Market Account Executive</v>
      </c>
      <c r="I45" t="str">
        <f>IF(E45="","",_xlfn.XLOOKUP(E45,tblUsers[user_id],tblUsers[segment],"Owner Not Found"))</f>
        <v>MM</v>
      </c>
      <c r="J45">
        <f>IF(E45="","",_xlfn.XLOOKUP(E45,tblUsers[user_id],tblUsers[territory_id],"Owner Not Found"))</f>
        <v>1</v>
      </c>
      <c r="K45" t="str">
        <f t="shared" si="1"/>
        <v>Routing Compatible</v>
      </c>
    </row>
    <row r="46" spans="1:11">
      <c r="A46" t="s">
        <v>1529</v>
      </c>
      <c r="B46" t="s">
        <v>71</v>
      </c>
      <c r="C46" t="s">
        <v>30</v>
      </c>
      <c r="D46" t="s">
        <v>16</v>
      </c>
      <c r="E46" t="s">
        <v>18</v>
      </c>
      <c r="F46" t="str">
        <f t="shared" si="0"/>
        <v>MM</v>
      </c>
      <c r="G46">
        <f>_xlfn.XLOOKUP(D46,tblStates[state_code],tblStates[territory_id],"Needs Review - Territory")</f>
        <v>1</v>
      </c>
      <c r="H46" t="str">
        <f>IF(E46="","",_xlfn.XLOOKUP(E46,tblUsers[user_id],tblUsers[job_title],"Owner Not Found"))</f>
        <v>Mid-Market Account Executive</v>
      </c>
      <c r="I46" t="str">
        <f>IF(E46="","",_xlfn.XLOOKUP(E46,tblUsers[user_id],tblUsers[segment],"Owner Not Found"))</f>
        <v>MM</v>
      </c>
      <c r="J46">
        <f>IF(E46="","",_xlfn.XLOOKUP(E46,tblUsers[user_id],tblUsers[territory_id],"Owner Not Found"))</f>
        <v>1</v>
      </c>
      <c r="K46" t="str">
        <f t="shared" si="1"/>
        <v>Routing Compatible</v>
      </c>
    </row>
    <row r="47" spans="1:11">
      <c r="A47" t="s">
        <v>1532</v>
      </c>
      <c r="B47" t="s">
        <v>773</v>
      </c>
      <c r="C47" t="s">
        <v>24</v>
      </c>
      <c r="D47" t="s">
        <v>236</v>
      </c>
      <c r="E47" t="s">
        <v>91</v>
      </c>
      <c r="F47" t="str">
        <f t="shared" si="0"/>
        <v>SMB</v>
      </c>
      <c r="G47">
        <f>_xlfn.XLOOKUP(D47,tblStates[state_code],tblStates[territory_id],"Needs Review - Territory")</f>
        <v>1</v>
      </c>
      <c r="H47" t="str">
        <f>IF(E47="","",_xlfn.XLOOKUP(E47,tblUsers[user_id],tblUsers[job_title],"Owner Not Found"))</f>
        <v>SMB Account Executive</v>
      </c>
      <c r="I47" t="str">
        <f>IF(E47="","",_xlfn.XLOOKUP(E47,tblUsers[user_id],tblUsers[segment],"Owner Not Found"))</f>
        <v>SMB</v>
      </c>
      <c r="J47">
        <f>IF(E47="","",_xlfn.XLOOKUP(E47,tblUsers[user_id],tblUsers[territory_id],"Owner Not Found"))</f>
        <v>1</v>
      </c>
      <c r="K47" t="str">
        <f t="shared" si="1"/>
        <v>Routing Compatible</v>
      </c>
    </row>
    <row r="48" spans="1:11">
      <c r="A48" t="s">
        <v>1537</v>
      </c>
      <c r="B48" t="s">
        <v>587</v>
      </c>
      <c r="C48" t="s">
        <v>17</v>
      </c>
      <c r="D48" t="s">
        <v>154</v>
      </c>
      <c r="E48" t="s">
        <v>82</v>
      </c>
      <c r="F48" t="str">
        <f t="shared" si="0"/>
        <v>MM</v>
      </c>
      <c r="G48">
        <f>_xlfn.XLOOKUP(D48,tblStates[state_code],tblStates[territory_id],"Needs Review - Territory")</f>
        <v>2</v>
      </c>
      <c r="H48" t="str">
        <f>IF(E48="","",_xlfn.XLOOKUP(E48,tblUsers[user_id],tblUsers[job_title],"Owner Not Found"))</f>
        <v>Mid-Market Account Executive</v>
      </c>
      <c r="I48" t="str">
        <f>IF(E48="","",_xlfn.XLOOKUP(E48,tblUsers[user_id],tblUsers[segment],"Owner Not Found"))</f>
        <v>MM</v>
      </c>
      <c r="J48">
        <f>IF(E48="","",_xlfn.XLOOKUP(E48,tblUsers[user_id],tblUsers[territory_id],"Owner Not Found"))</f>
        <v>2</v>
      </c>
      <c r="K48" t="str">
        <f t="shared" si="1"/>
        <v>Routing Compatible</v>
      </c>
    </row>
    <row r="49" spans="1:11">
      <c r="A49" t="s">
        <v>1540</v>
      </c>
      <c r="B49" t="s">
        <v>489</v>
      </c>
      <c r="C49" t="s">
        <v>17</v>
      </c>
      <c r="D49" t="s">
        <v>50</v>
      </c>
      <c r="E49" t="s">
        <v>36</v>
      </c>
      <c r="F49" t="str">
        <f t="shared" si="0"/>
        <v>MM</v>
      </c>
      <c r="G49">
        <f>_xlfn.XLOOKUP(D49,tblStates[state_code],tblStates[territory_id],"Needs Review - Territory")</f>
        <v>4</v>
      </c>
      <c r="H49" t="str">
        <f>IF(E49="","",_xlfn.XLOOKUP(E49,tblUsers[user_id],tblUsers[job_title],"Owner Not Found"))</f>
        <v>Mid-Market Account Executive</v>
      </c>
      <c r="I49" t="str">
        <f>IF(E49="","",_xlfn.XLOOKUP(E49,tblUsers[user_id],tblUsers[segment],"Owner Not Found"))</f>
        <v>MM</v>
      </c>
      <c r="J49">
        <f>IF(E49="","",_xlfn.XLOOKUP(E49,tblUsers[user_id],tblUsers[territory_id],"Owner Not Found"))</f>
        <v>4</v>
      </c>
      <c r="K49" t="str">
        <f t="shared" si="1"/>
        <v>Routing Compatible</v>
      </c>
    </row>
    <row r="50" spans="1:11">
      <c r="A50" t="s">
        <v>1545</v>
      </c>
      <c r="B50" t="s">
        <v>277</v>
      </c>
      <c r="C50" t="s">
        <v>30</v>
      </c>
      <c r="D50" t="s">
        <v>68</v>
      </c>
      <c r="E50" t="s">
        <v>55</v>
      </c>
      <c r="F50" t="str">
        <f t="shared" si="0"/>
        <v>MM</v>
      </c>
      <c r="G50">
        <f>_xlfn.XLOOKUP(D50,tblStates[state_code],tblStates[territory_id],"Needs Review - Territory")</f>
        <v>3</v>
      </c>
      <c r="H50" t="str">
        <f>IF(E50="","",_xlfn.XLOOKUP(E50,tblUsers[user_id],tblUsers[job_title],"Owner Not Found"))</f>
        <v>Mid-Market Account Executive</v>
      </c>
      <c r="I50" t="str">
        <f>IF(E50="","",_xlfn.XLOOKUP(E50,tblUsers[user_id],tblUsers[segment],"Owner Not Found"))</f>
        <v>MM</v>
      </c>
      <c r="J50">
        <f>IF(E50="","",_xlfn.XLOOKUP(E50,tblUsers[user_id],tblUsers[territory_id],"Owner Not Found"))</f>
        <v>3</v>
      </c>
      <c r="K50" t="str">
        <f t="shared" si="1"/>
        <v>Routing Compatible</v>
      </c>
    </row>
    <row r="51" spans="1:11">
      <c r="A51" t="s">
        <v>1551</v>
      </c>
      <c r="B51" t="s">
        <v>52</v>
      </c>
      <c r="C51" t="s">
        <v>30</v>
      </c>
      <c r="D51" t="s">
        <v>54</v>
      </c>
      <c r="E51" t="s">
        <v>55</v>
      </c>
      <c r="F51" t="str">
        <f t="shared" si="0"/>
        <v>MM</v>
      </c>
      <c r="G51">
        <f>_xlfn.XLOOKUP(D51,tblStates[state_code],tblStates[territory_id],"Needs Review - Territory")</f>
        <v>3</v>
      </c>
      <c r="H51" t="str">
        <f>IF(E51="","",_xlfn.XLOOKUP(E51,tblUsers[user_id],tblUsers[job_title],"Owner Not Found"))</f>
        <v>Mid-Market Account Executive</v>
      </c>
      <c r="I51" t="str">
        <f>IF(E51="","",_xlfn.XLOOKUP(E51,tblUsers[user_id],tblUsers[segment],"Owner Not Found"))</f>
        <v>MM</v>
      </c>
      <c r="J51">
        <f>IF(E51="","",_xlfn.XLOOKUP(E51,tblUsers[user_id],tblUsers[territory_id],"Owner Not Found"))</f>
        <v>3</v>
      </c>
      <c r="K51" t="str">
        <f t="shared" si="1"/>
        <v>Routing Compatible</v>
      </c>
    </row>
    <row r="52" spans="1:11">
      <c r="A52" t="s">
        <v>1557</v>
      </c>
      <c r="B52" t="s">
        <v>383</v>
      </c>
      <c r="C52" t="s">
        <v>30</v>
      </c>
      <c r="D52" t="s">
        <v>385</v>
      </c>
      <c r="E52" t="s">
        <v>18</v>
      </c>
      <c r="F52" t="str">
        <f t="shared" si="0"/>
        <v>MM</v>
      </c>
      <c r="G52">
        <f>_xlfn.XLOOKUP(D52,tblStates[state_code],tblStates[territory_id],"Needs Review - Territory")</f>
        <v>1</v>
      </c>
      <c r="H52" t="str">
        <f>IF(E52="","",_xlfn.XLOOKUP(E52,tblUsers[user_id],tblUsers[job_title],"Owner Not Found"))</f>
        <v>Mid-Market Account Executive</v>
      </c>
      <c r="I52" t="str">
        <f>IF(E52="","",_xlfn.XLOOKUP(E52,tblUsers[user_id],tblUsers[segment],"Owner Not Found"))</f>
        <v>MM</v>
      </c>
      <c r="J52">
        <f>IF(E52="","",_xlfn.XLOOKUP(E52,tblUsers[user_id],tblUsers[territory_id],"Owner Not Found"))</f>
        <v>1</v>
      </c>
      <c r="K52" t="str">
        <f t="shared" si="1"/>
        <v>Routing Compatible</v>
      </c>
    </row>
    <row r="53" spans="1:11">
      <c r="A53" t="s">
        <v>1562</v>
      </c>
      <c r="B53" t="s">
        <v>919</v>
      </c>
      <c r="C53" t="s">
        <v>17</v>
      </c>
      <c r="D53" t="s">
        <v>50</v>
      </c>
      <c r="E53" t="s">
        <v>36</v>
      </c>
      <c r="F53" t="str">
        <f t="shared" si="0"/>
        <v>MM</v>
      </c>
      <c r="G53">
        <f>_xlfn.XLOOKUP(D53,tblStates[state_code],tblStates[territory_id],"Needs Review - Territory")</f>
        <v>4</v>
      </c>
      <c r="H53" t="str">
        <f>IF(E53="","",_xlfn.XLOOKUP(E53,tblUsers[user_id],tblUsers[job_title],"Owner Not Found"))</f>
        <v>Mid-Market Account Executive</v>
      </c>
      <c r="I53" t="str">
        <f>IF(E53="","",_xlfn.XLOOKUP(E53,tblUsers[user_id],tblUsers[segment],"Owner Not Found"))</f>
        <v>MM</v>
      </c>
      <c r="J53">
        <f>IF(E53="","",_xlfn.XLOOKUP(E53,tblUsers[user_id],tblUsers[territory_id],"Owner Not Found"))</f>
        <v>4</v>
      </c>
      <c r="K53" t="str">
        <f t="shared" si="1"/>
        <v>Routing Compatible</v>
      </c>
    </row>
    <row r="54" spans="1:11">
      <c r="A54" t="s">
        <v>1566</v>
      </c>
      <c r="B54" t="s">
        <v>74</v>
      </c>
      <c r="C54" t="s">
        <v>17</v>
      </c>
      <c r="D54" t="s">
        <v>76</v>
      </c>
      <c r="E54" t="s">
        <v>36</v>
      </c>
      <c r="F54" t="str">
        <f t="shared" si="0"/>
        <v>MM</v>
      </c>
      <c r="G54">
        <f>_xlfn.XLOOKUP(D54,tblStates[state_code],tblStates[territory_id],"Needs Review - Territory")</f>
        <v>4</v>
      </c>
      <c r="H54" t="str">
        <f>IF(E54="","",_xlfn.XLOOKUP(E54,tblUsers[user_id],tblUsers[job_title],"Owner Not Found"))</f>
        <v>Mid-Market Account Executive</v>
      </c>
      <c r="I54" t="str">
        <f>IF(E54="","",_xlfn.XLOOKUP(E54,tblUsers[user_id],tblUsers[segment],"Owner Not Found"))</f>
        <v>MM</v>
      </c>
      <c r="J54">
        <f>IF(E54="","",_xlfn.XLOOKUP(E54,tblUsers[user_id],tblUsers[territory_id],"Owner Not Found"))</f>
        <v>4</v>
      </c>
      <c r="K54" t="str">
        <f t="shared" si="1"/>
        <v>Routing Compatible</v>
      </c>
    </row>
    <row r="55" spans="1:11">
      <c r="A55" t="s">
        <v>1572</v>
      </c>
      <c r="B55" t="s">
        <v>210</v>
      </c>
      <c r="C55" t="s">
        <v>30</v>
      </c>
      <c r="D55" t="s">
        <v>212</v>
      </c>
      <c r="E55" t="s">
        <v>55</v>
      </c>
      <c r="F55" t="str">
        <f t="shared" si="0"/>
        <v>MM</v>
      </c>
      <c r="G55">
        <f>_xlfn.XLOOKUP(D55,tblStates[state_code],tblStates[territory_id],"Needs Review - Territory")</f>
        <v>3</v>
      </c>
      <c r="H55" t="str">
        <f>IF(E55="","",_xlfn.XLOOKUP(E55,tblUsers[user_id],tblUsers[job_title],"Owner Not Found"))</f>
        <v>Mid-Market Account Executive</v>
      </c>
      <c r="I55" t="str">
        <f>IF(E55="","",_xlfn.XLOOKUP(E55,tblUsers[user_id],tblUsers[segment],"Owner Not Found"))</f>
        <v>MM</v>
      </c>
      <c r="J55">
        <f>IF(E55="","",_xlfn.XLOOKUP(E55,tblUsers[user_id],tblUsers[territory_id],"Owner Not Found"))</f>
        <v>3</v>
      </c>
      <c r="K55" t="str">
        <f t="shared" si="1"/>
        <v>Routing Compatible</v>
      </c>
    </row>
    <row r="56" spans="1:11">
      <c r="A56" t="s">
        <v>1577</v>
      </c>
      <c r="B56" t="s">
        <v>129</v>
      </c>
      <c r="C56" t="s">
        <v>30</v>
      </c>
      <c r="D56" t="s">
        <v>64</v>
      </c>
      <c r="E56" t="s">
        <v>55</v>
      </c>
      <c r="F56" t="str">
        <f t="shared" si="0"/>
        <v>MM</v>
      </c>
      <c r="G56">
        <f>_xlfn.XLOOKUP(D56,tblStates[state_code],tblStates[territory_id],"Needs Review - Territory")</f>
        <v>3</v>
      </c>
      <c r="H56" t="str">
        <f>IF(E56="","",_xlfn.XLOOKUP(E56,tblUsers[user_id],tblUsers[job_title],"Owner Not Found"))</f>
        <v>Mid-Market Account Executive</v>
      </c>
      <c r="I56" t="str">
        <f>IF(E56="","",_xlfn.XLOOKUP(E56,tblUsers[user_id],tblUsers[segment],"Owner Not Found"))</f>
        <v>MM</v>
      </c>
      <c r="J56">
        <f>IF(E56="","",_xlfn.XLOOKUP(E56,tblUsers[user_id],tblUsers[territory_id],"Owner Not Found"))</f>
        <v>3</v>
      </c>
      <c r="K56" t="str">
        <f t="shared" si="1"/>
        <v>Routing Compatible</v>
      </c>
    </row>
    <row r="57" spans="1:11">
      <c r="A57" t="s">
        <v>1583</v>
      </c>
      <c r="B57" t="s">
        <v>293</v>
      </c>
      <c r="C57" t="s">
        <v>30</v>
      </c>
      <c r="D57" t="s">
        <v>295</v>
      </c>
      <c r="E57" t="s">
        <v>82</v>
      </c>
      <c r="F57" t="str">
        <f t="shared" si="0"/>
        <v>MM</v>
      </c>
      <c r="G57">
        <f>_xlfn.XLOOKUP(D57,tblStates[state_code],tblStates[territory_id],"Needs Review - Territory")</f>
        <v>2</v>
      </c>
      <c r="H57" t="str">
        <f>IF(E57="","",_xlfn.XLOOKUP(E57,tblUsers[user_id],tblUsers[job_title],"Owner Not Found"))</f>
        <v>Mid-Market Account Executive</v>
      </c>
      <c r="I57" t="str">
        <f>IF(E57="","",_xlfn.XLOOKUP(E57,tblUsers[user_id],tblUsers[segment],"Owner Not Found"))</f>
        <v>MM</v>
      </c>
      <c r="J57">
        <f>IF(E57="","",_xlfn.XLOOKUP(E57,tblUsers[user_id],tblUsers[territory_id],"Owner Not Found"))</f>
        <v>2</v>
      </c>
      <c r="K57" t="str">
        <f t="shared" si="1"/>
        <v>Routing Compatible</v>
      </c>
    </row>
    <row r="58" spans="1:11">
      <c r="A58" t="s">
        <v>1590</v>
      </c>
      <c r="B58" t="s">
        <v>260</v>
      </c>
      <c r="C58" t="s">
        <v>30</v>
      </c>
      <c r="D58" t="s">
        <v>81</v>
      </c>
      <c r="E58" t="s">
        <v>55</v>
      </c>
      <c r="F58" t="str">
        <f t="shared" si="0"/>
        <v>MM</v>
      </c>
      <c r="G58">
        <f>_xlfn.XLOOKUP(D58,tblStates[state_code],tblStates[territory_id],"Needs Review - Territory")</f>
        <v>2</v>
      </c>
      <c r="H58" t="str">
        <f>IF(E58="","",_xlfn.XLOOKUP(E58,tblUsers[user_id],tblUsers[job_title],"Owner Not Found"))</f>
        <v>Mid-Market Account Executive</v>
      </c>
      <c r="I58" t="str">
        <f>IF(E58="","",_xlfn.XLOOKUP(E58,tblUsers[user_id],tblUsers[segment],"Owner Not Found"))</f>
        <v>MM</v>
      </c>
      <c r="J58">
        <f>IF(E58="","",_xlfn.XLOOKUP(E58,tblUsers[user_id],tblUsers[territory_id],"Owner Not Found"))</f>
        <v>3</v>
      </c>
      <c r="K58" t="str">
        <f t="shared" si="1"/>
        <v>Wrong AE Territory</v>
      </c>
    </row>
    <row r="59" spans="1:11">
      <c r="A59" t="s">
        <v>1595</v>
      </c>
      <c r="B59" t="s">
        <v>587</v>
      </c>
      <c r="C59" t="s">
        <v>17</v>
      </c>
      <c r="D59" t="s">
        <v>154</v>
      </c>
      <c r="E59" t="s">
        <v>82</v>
      </c>
      <c r="F59" t="str">
        <f t="shared" si="0"/>
        <v>MM</v>
      </c>
      <c r="G59">
        <f>_xlfn.XLOOKUP(D59,tblStates[state_code],tblStates[territory_id],"Needs Review - Territory")</f>
        <v>2</v>
      </c>
      <c r="H59" t="str">
        <f>IF(E59="","",_xlfn.XLOOKUP(E59,tblUsers[user_id],tblUsers[job_title],"Owner Not Found"))</f>
        <v>Mid-Market Account Executive</v>
      </c>
      <c r="I59" t="str">
        <f>IF(E59="","",_xlfn.XLOOKUP(E59,tblUsers[user_id],tblUsers[segment],"Owner Not Found"))</f>
        <v>MM</v>
      </c>
      <c r="J59">
        <f>IF(E59="","",_xlfn.XLOOKUP(E59,tblUsers[user_id],tblUsers[territory_id],"Owner Not Found"))</f>
        <v>2</v>
      </c>
      <c r="K59" t="str">
        <f t="shared" si="1"/>
        <v>Routing Compatible</v>
      </c>
    </row>
    <row r="60" spans="1:11">
      <c r="A60" t="s">
        <v>1600</v>
      </c>
      <c r="B60" t="s">
        <v>247</v>
      </c>
      <c r="C60" t="s">
        <v>17</v>
      </c>
      <c r="D60" t="s">
        <v>249</v>
      </c>
      <c r="E60" t="s">
        <v>36</v>
      </c>
      <c r="F60" t="str">
        <f t="shared" si="0"/>
        <v>MM</v>
      </c>
      <c r="G60">
        <f>_xlfn.XLOOKUP(D60,tblStates[state_code],tblStates[territory_id],"Needs Review - Territory")</f>
        <v>4</v>
      </c>
      <c r="H60" t="str">
        <f>IF(E60="","",_xlfn.XLOOKUP(E60,tblUsers[user_id],tblUsers[job_title],"Owner Not Found"))</f>
        <v>Mid-Market Account Executive</v>
      </c>
      <c r="I60" t="str">
        <f>IF(E60="","",_xlfn.XLOOKUP(E60,tblUsers[user_id],tblUsers[segment],"Owner Not Found"))</f>
        <v>MM</v>
      </c>
      <c r="J60">
        <f>IF(E60="","",_xlfn.XLOOKUP(E60,tblUsers[user_id],tblUsers[territory_id],"Owner Not Found"))</f>
        <v>4</v>
      </c>
      <c r="K60" t="str">
        <f t="shared" si="1"/>
        <v>Routing Compatible</v>
      </c>
    </row>
    <row r="61" spans="1:11">
      <c r="A61" t="s">
        <v>1604</v>
      </c>
      <c r="B61" t="s">
        <v>501</v>
      </c>
      <c r="C61" t="s">
        <v>24</v>
      </c>
      <c r="D61" t="s">
        <v>81</v>
      </c>
      <c r="E61" t="s">
        <v>25</v>
      </c>
      <c r="F61" t="str">
        <f t="shared" si="0"/>
        <v>SMB</v>
      </c>
      <c r="G61">
        <f>_xlfn.XLOOKUP(D61,tblStates[state_code],tblStates[territory_id],"Needs Review - Territory")</f>
        <v>2</v>
      </c>
      <c r="H61" t="str">
        <f>IF(E61="","",_xlfn.XLOOKUP(E61,tblUsers[user_id],tblUsers[job_title],"Owner Not Found"))</f>
        <v>SMB Account Executive</v>
      </c>
      <c r="I61" t="str">
        <f>IF(E61="","",_xlfn.XLOOKUP(E61,tblUsers[user_id],tblUsers[segment],"Owner Not Found"))</f>
        <v>SMB</v>
      </c>
      <c r="J61">
        <f>IF(E61="","",_xlfn.XLOOKUP(E61,tblUsers[user_id],tblUsers[territory_id],"Owner Not Found"))</f>
        <v>2</v>
      </c>
      <c r="K61" t="str">
        <f t="shared" si="1"/>
        <v>Routing Compatible</v>
      </c>
    </row>
    <row r="62" spans="1:11">
      <c r="A62" t="s">
        <v>1609</v>
      </c>
      <c r="B62" t="s">
        <v>584</v>
      </c>
      <c r="C62" t="s">
        <v>30</v>
      </c>
      <c r="D62" t="s">
        <v>249</v>
      </c>
      <c r="E62" t="s">
        <v>36</v>
      </c>
      <c r="F62" t="str">
        <f t="shared" si="0"/>
        <v>MM</v>
      </c>
      <c r="G62">
        <f>_xlfn.XLOOKUP(D62,tblStates[state_code],tblStates[territory_id],"Needs Review - Territory")</f>
        <v>4</v>
      </c>
      <c r="H62" t="str">
        <f>IF(E62="","",_xlfn.XLOOKUP(E62,tblUsers[user_id],tblUsers[job_title],"Owner Not Found"))</f>
        <v>Mid-Market Account Executive</v>
      </c>
      <c r="I62" t="str">
        <f>IF(E62="","",_xlfn.XLOOKUP(E62,tblUsers[user_id],tblUsers[segment],"Owner Not Found"))</f>
        <v>MM</v>
      </c>
      <c r="J62">
        <f>IF(E62="","",_xlfn.XLOOKUP(E62,tblUsers[user_id],tblUsers[territory_id],"Owner Not Found"))</f>
        <v>4</v>
      </c>
      <c r="K62" t="str">
        <f t="shared" si="1"/>
        <v>Routing Compatible</v>
      </c>
    </row>
    <row r="63" spans="1:11">
      <c r="A63" t="s">
        <v>1612</v>
      </c>
      <c r="B63" t="s">
        <v>287</v>
      </c>
      <c r="C63" t="s">
        <v>24</v>
      </c>
      <c r="D63" t="s">
        <v>68</v>
      </c>
      <c r="E63" t="s">
        <v>69</v>
      </c>
      <c r="F63" t="str">
        <f t="shared" si="0"/>
        <v>SMB</v>
      </c>
      <c r="G63">
        <f>_xlfn.XLOOKUP(D63,tblStates[state_code],tblStates[territory_id],"Needs Review - Territory")</f>
        <v>3</v>
      </c>
      <c r="H63" t="str">
        <f>IF(E63="","",_xlfn.XLOOKUP(E63,tblUsers[user_id],tblUsers[job_title],"Owner Not Found"))</f>
        <v>SMB Account Executive</v>
      </c>
      <c r="I63" t="str">
        <f>IF(E63="","",_xlfn.XLOOKUP(E63,tblUsers[user_id],tblUsers[segment],"Owner Not Found"))</f>
        <v>SMB</v>
      </c>
      <c r="J63">
        <f>IF(E63="","",_xlfn.XLOOKUP(E63,tblUsers[user_id],tblUsers[territory_id],"Owner Not Found"))</f>
        <v>3</v>
      </c>
      <c r="K63" t="str">
        <f t="shared" si="1"/>
        <v>Routing Compatible</v>
      </c>
    </row>
    <row r="64" spans="1:11">
      <c r="A64" t="s">
        <v>1616</v>
      </c>
      <c r="B64" t="s">
        <v>546</v>
      </c>
      <c r="C64" t="s">
        <v>24</v>
      </c>
      <c r="D64" t="s">
        <v>212</v>
      </c>
      <c r="E64" t="s">
        <v>69</v>
      </c>
      <c r="F64" t="str">
        <f t="shared" si="0"/>
        <v>SMB</v>
      </c>
      <c r="G64">
        <f>_xlfn.XLOOKUP(D64,tblStates[state_code],tblStates[territory_id],"Needs Review - Territory")</f>
        <v>3</v>
      </c>
      <c r="H64" t="str">
        <f>IF(E64="","",_xlfn.XLOOKUP(E64,tblUsers[user_id],tblUsers[job_title],"Owner Not Found"))</f>
        <v>SMB Account Executive</v>
      </c>
      <c r="I64" t="str">
        <f>IF(E64="","",_xlfn.XLOOKUP(E64,tblUsers[user_id],tblUsers[segment],"Owner Not Found"))</f>
        <v>SMB</v>
      </c>
      <c r="J64">
        <f>IF(E64="","",_xlfn.XLOOKUP(E64,tblUsers[user_id],tblUsers[territory_id],"Owner Not Found"))</f>
        <v>3</v>
      </c>
      <c r="K64" t="str">
        <f t="shared" si="1"/>
        <v>Routing Compatible</v>
      </c>
    </row>
    <row r="65" spans="1:11">
      <c r="A65" t="s">
        <v>1621</v>
      </c>
      <c r="B65" t="s">
        <v>898</v>
      </c>
      <c r="C65" t="s">
        <v>30</v>
      </c>
      <c r="D65" t="s">
        <v>408</v>
      </c>
      <c r="E65" t="s">
        <v>55</v>
      </c>
      <c r="F65" t="str">
        <f t="shared" si="0"/>
        <v>MM</v>
      </c>
      <c r="G65">
        <f>_xlfn.XLOOKUP(D65,tblStates[state_code],tblStates[territory_id],"Needs Review - Territory")</f>
        <v>3</v>
      </c>
      <c r="H65" t="str">
        <f>IF(E65="","",_xlfn.XLOOKUP(E65,tblUsers[user_id],tblUsers[job_title],"Owner Not Found"))</f>
        <v>Mid-Market Account Executive</v>
      </c>
      <c r="I65" t="str">
        <f>IF(E65="","",_xlfn.XLOOKUP(E65,tblUsers[user_id],tblUsers[segment],"Owner Not Found"))</f>
        <v>MM</v>
      </c>
      <c r="J65">
        <f>IF(E65="","",_xlfn.XLOOKUP(E65,tblUsers[user_id],tblUsers[territory_id],"Owner Not Found"))</f>
        <v>3</v>
      </c>
      <c r="K65" t="str">
        <f t="shared" si="1"/>
        <v>Routing Compatible</v>
      </c>
    </row>
    <row r="66" spans="1:11">
      <c r="A66" t="s">
        <v>1626</v>
      </c>
      <c r="B66" t="s">
        <v>892</v>
      </c>
      <c r="C66" t="s">
        <v>30</v>
      </c>
      <c r="D66" t="s">
        <v>81</v>
      </c>
      <c r="E66" t="s">
        <v>82</v>
      </c>
      <c r="F66" t="str">
        <f t="shared" si="0"/>
        <v>MM</v>
      </c>
      <c r="G66">
        <f>_xlfn.XLOOKUP(D66,tblStates[state_code],tblStates[territory_id],"Needs Review - Territory")</f>
        <v>2</v>
      </c>
      <c r="H66" t="str">
        <f>IF(E66="","",_xlfn.XLOOKUP(E66,tblUsers[user_id],tblUsers[job_title],"Owner Not Found"))</f>
        <v>Mid-Market Account Executive</v>
      </c>
      <c r="I66" t="str">
        <f>IF(E66="","",_xlfn.XLOOKUP(E66,tblUsers[user_id],tblUsers[segment],"Owner Not Found"))</f>
        <v>MM</v>
      </c>
      <c r="J66">
        <f>IF(E66="","",_xlfn.XLOOKUP(E66,tblUsers[user_id],tblUsers[territory_id],"Owner Not Found"))</f>
        <v>2</v>
      </c>
      <c r="K66" t="str">
        <f t="shared" si="1"/>
        <v>Routing Compatible</v>
      </c>
    </row>
    <row r="67" spans="1:11">
      <c r="A67" t="s">
        <v>1630</v>
      </c>
      <c r="B67" t="s">
        <v>934</v>
      </c>
      <c r="C67" t="s">
        <v>30</v>
      </c>
      <c r="D67" t="s">
        <v>120</v>
      </c>
      <c r="E67" t="s">
        <v>82</v>
      </c>
      <c r="F67" t="str">
        <f t="shared" ref="F67:F130" si="2">IF(C67="SMB","SMB",IF(OR(C67="Mid-Market",C67="Upper Mid-Market"),"MM","Needs Review - Segment"))</f>
        <v>MM</v>
      </c>
      <c r="G67">
        <f>_xlfn.XLOOKUP(D67,tblStates[state_code],tblStates[territory_id],"Needs Review - Territory")</f>
        <v>2</v>
      </c>
      <c r="H67" t="str">
        <f>IF(E67="","",_xlfn.XLOOKUP(E67,tblUsers[user_id],tblUsers[job_title],"Owner Not Found"))</f>
        <v>Mid-Market Account Executive</v>
      </c>
      <c r="I67" t="str">
        <f>IF(E67="","",_xlfn.XLOOKUP(E67,tblUsers[user_id],tblUsers[segment],"Owner Not Found"))</f>
        <v>MM</v>
      </c>
      <c r="J67">
        <f>IF(E67="","",_xlfn.XLOOKUP(E67,tblUsers[user_id],tblUsers[territory_id],"Owner Not Found"))</f>
        <v>2</v>
      </c>
      <c r="K67" t="str">
        <f t="shared" ref="K67:K130" si="3">IF(E67="","Unassigned",IF(F67="Needs Review - Segment","Needs Review - Segment",IF(G67="Needs Review - Territory","Needs Review - Territory",IF(I67&lt;&gt;F67,"Wrong Segment",IF(AND(ISNUMBER(SEARCH("Account Executive",H67)),J67&lt;&gt;G67),"Wrong AE Territory",IF(OR(ISNUMBER(SEARCH("Account Executive",H67)),H67="Sales Development Representative"),"Routing Compatible","Unexpected Owner Role"))))))</f>
        <v>Routing Compatible</v>
      </c>
    </row>
    <row r="68" spans="1:11">
      <c r="A68" t="s">
        <v>1635</v>
      </c>
      <c r="B68" t="s">
        <v>507</v>
      </c>
      <c r="C68" t="s">
        <v>30</v>
      </c>
      <c r="D68" t="s">
        <v>226</v>
      </c>
      <c r="E68" t="s">
        <v>55</v>
      </c>
      <c r="F68" t="str">
        <f t="shared" si="2"/>
        <v>MM</v>
      </c>
      <c r="G68">
        <f>_xlfn.XLOOKUP(D68,tblStates[state_code],tblStates[territory_id],"Needs Review - Territory")</f>
        <v>3</v>
      </c>
      <c r="H68" t="str">
        <f>IF(E68="","",_xlfn.XLOOKUP(E68,tblUsers[user_id],tblUsers[job_title],"Owner Not Found"))</f>
        <v>Mid-Market Account Executive</v>
      </c>
      <c r="I68" t="str">
        <f>IF(E68="","",_xlfn.XLOOKUP(E68,tblUsers[user_id],tblUsers[segment],"Owner Not Found"))</f>
        <v>MM</v>
      </c>
      <c r="J68">
        <f>IF(E68="","",_xlfn.XLOOKUP(E68,tblUsers[user_id],tblUsers[territory_id],"Owner Not Found"))</f>
        <v>3</v>
      </c>
      <c r="K68" t="str">
        <f t="shared" si="3"/>
        <v>Routing Compatible</v>
      </c>
    </row>
    <row r="69" spans="1:11">
      <c r="A69" t="s">
        <v>1640</v>
      </c>
      <c r="B69" t="s">
        <v>432</v>
      </c>
      <c r="C69" t="s">
        <v>30</v>
      </c>
      <c r="D69" t="s">
        <v>205</v>
      </c>
      <c r="E69" t="s">
        <v>36</v>
      </c>
      <c r="F69" t="str">
        <f t="shared" si="2"/>
        <v>MM</v>
      </c>
      <c r="G69">
        <f>_xlfn.XLOOKUP(D69,tblStates[state_code],tblStates[territory_id],"Needs Review - Territory")</f>
        <v>4</v>
      </c>
      <c r="H69" t="str">
        <f>IF(E69="","",_xlfn.XLOOKUP(E69,tblUsers[user_id],tblUsers[job_title],"Owner Not Found"))</f>
        <v>Mid-Market Account Executive</v>
      </c>
      <c r="I69" t="str">
        <f>IF(E69="","",_xlfn.XLOOKUP(E69,tblUsers[user_id],tblUsers[segment],"Owner Not Found"))</f>
        <v>MM</v>
      </c>
      <c r="J69">
        <f>IF(E69="","",_xlfn.XLOOKUP(E69,tblUsers[user_id],tblUsers[territory_id],"Owner Not Found"))</f>
        <v>4</v>
      </c>
      <c r="K69" t="str">
        <f t="shared" si="3"/>
        <v>Routing Compatible</v>
      </c>
    </row>
    <row r="70" spans="1:11">
      <c r="A70" t="s">
        <v>1644</v>
      </c>
      <c r="B70" t="s">
        <v>410</v>
      </c>
      <c r="C70" t="s">
        <v>24</v>
      </c>
      <c r="D70" t="s">
        <v>68</v>
      </c>
      <c r="E70" t="s">
        <v>69</v>
      </c>
      <c r="F70" t="str">
        <f t="shared" si="2"/>
        <v>SMB</v>
      </c>
      <c r="G70">
        <f>_xlfn.XLOOKUP(D70,tblStates[state_code],tblStates[territory_id],"Needs Review - Territory")</f>
        <v>3</v>
      </c>
      <c r="H70" t="str">
        <f>IF(E70="","",_xlfn.XLOOKUP(E70,tblUsers[user_id],tblUsers[job_title],"Owner Not Found"))</f>
        <v>SMB Account Executive</v>
      </c>
      <c r="I70" t="str">
        <f>IF(E70="","",_xlfn.XLOOKUP(E70,tblUsers[user_id],tblUsers[segment],"Owner Not Found"))</f>
        <v>SMB</v>
      </c>
      <c r="J70">
        <f>IF(E70="","",_xlfn.XLOOKUP(E70,tblUsers[user_id],tblUsers[territory_id],"Owner Not Found"))</f>
        <v>3</v>
      </c>
      <c r="K70" t="str">
        <f t="shared" si="3"/>
        <v>Routing Compatible</v>
      </c>
    </row>
    <row r="71" spans="1:11">
      <c r="A71" t="s">
        <v>1648</v>
      </c>
      <c r="B71" t="s">
        <v>607</v>
      </c>
      <c r="C71" t="s">
        <v>30</v>
      </c>
      <c r="D71" t="s">
        <v>226</v>
      </c>
      <c r="E71" t="s">
        <v>55</v>
      </c>
      <c r="F71" t="str">
        <f t="shared" si="2"/>
        <v>MM</v>
      </c>
      <c r="G71">
        <f>_xlfn.XLOOKUP(D71,tblStates[state_code],tblStates[territory_id],"Needs Review - Territory")</f>
        <v>3</v>
      </c>
      <c r="H71" t="str">
        <f>IF(E71="","",_xlfn.XLOOKUP(E71,tblUsers[user_id],tblUsers[job_title],"Owner Not Found"))</f>
        <v>Mid-Market Account Executive</v>
      </c>
      <c r="I71" t="str">
        <f>IF(E71="","",_xlfn.XLOOKUP(E71,tblUsers[user_id],tblUsers[segment],"Owner Not Found"))</f>
        <v>MM</v>
      </c>
      <c r="J71">
        <f>IF(E71="","",_xlfn.XLOOKUP(E71,tblUsers[user_id],tblUsers[territory_id],"Owner Not Found"))</f>
        <v>3</v>
      </c>
      <c r="K71" t="str">
        <f t="shared" si="3"/>
        <v>Routing Compatible</v>
      </c>
    </row>
    <row r="72" spans="1:11">
      <c r="A72" t="s">
        <v>1654</v>
      </c>
      <c r="B72" t="s">
        <v>799</v>
      </c>
      <c r="C72" t="s">
        <v>17</v>
      </c>
      <c r="D72" t="s">
        <v>35</v>
      </c>
      <c r="E72" t="s">
        <v>36</v>
      </c>
      <c r="F72" t="str">
        <f t="shared" si="2"/>
        <v>MM</v>
      </c>
      <c r="G72">
        <f>_xlfn.XLOOKUP(D72,tblStates[state_code],tblStates[territory_id],"Needs Review - Territory")</f>
        <v>4</v>
      </c>
      <c r="H72" t="str">
        <f>IF(E72="","",_xlfn.XLOOKUP(E72,tblUsers[user_id],tblUsers[job_title],"Owner Not Found"))</f>
        <v>Mid-Market Account Executive</v>
      </c>
      <c r="I72" t="str">
        <f>IF(E72="","",_xlfn.XLOOKUP(E72,tblUsers[user_id],tblUsers[segment],"Owner Not Found"))</f>
        <v>MM</v>
      </c>
      <c r="J72">
        <f>IF(E72="","",_xlfn.XLOOKUP(E72,tblUsers[user_id],tblUsers[territory_id],"Owner Not Found"))</f>
        <v>4</v>
      </c>
      <c r="K72" t="str">
        <f t="shared" si="3"/>
        <v>Routing Compatible</v>
      </c>
    </row>
    <row r="73" spans="1:11">
      <c r="A73" t="s">
        <v>1659</v>
      </c>
      <c r="B73" t="s">
        <v>435</v>
      </c>
      <c r="C73" t="s">
        <v>17</v>
      </c>
      <c r="D73" t="s">
        <v>116</v>
      </c>
      <c r="E73" t="s">
        <v>82</v>
      </c>
      <c r="F73" t="str">
        <f t="shared" si="2"/>
        <v>MM</v>
      </c>
      <c r="G73">
        <f>_xlfn.XLOOKUP(D73,tblStates[state_code],tblStates[territory_id],"Needs Review - Territory")</f>
        <v>2</v>
      </c>
      <c r="H73" t="str">
        <f>IF(E73="","",_xlfn.XLOOKUP(E73,tblUsers[user_id],tblUsers[job_title],"Owner Not Found"))</f>
        <v>Mid-Market Account Executive</v>
      </c>
      <c r="I73" t="str">
        <f>IF(E73="","",_xlfn.XLOOKUP(E73,tblUsers[user_id],tblUsers[segment],"Owner Not Found"))</f>
        <v>MM</v>
      </c>
      <c r="J73">
        <f>IF(E73="","",_xlfn.XLOOKUP(E73,tblUsers[user_id],tblUsers[territory_id],"Owner Not Found"))</f>
        <v>2</v>
      </c>
      <c r="K73" t="str">
        <f t="shared" si="3"/>
        <v>Routing Compatible</v>
      </c>
    </row>
    <row r="74" spans="1:11">
      <c r="A74" t="s">
        <v>1665</v>
      </c>
      <c r="B74" t="s">
        <v>996</v>
      </c>
      <c r="C74" t="s">
        <v>17</v>
      </c>
      <c r="D74" t="s">
        <v>23</v>
      </c>
      <c r="E74" t="s">
        <v>82</v>
      </c>
      <c r="F74" t="str">
        <f t="shared" si="2"/>
        <v>MM</v>
      </c>
      <c r="G74">
        <f>_xlfn.XLOOKUP(D74,tblStates[state_code],tblStates[territory_id],"Needs Review - Territory")</f>
        <v>2</v>
      </c>
      <c r="H74" t="str">
        <f>IF(E74="","",_xlfn.XLOOKUP(E74,tblUsers[user_id],tblUsers[job_title],"Owner Not Found"))</f>
        <v>Mid-Market Account Executive</v>
      </c>
      <c r="I74" t="str">
        <f>IF(E74="","",_xlfn.XLOOKUP(E74,tblUsers[user_id],tblUsers[segment],"Owner Not Found"))</f>
        <v>MM</v>
      </c>
      <c r="J74">
        <f>IF(E74="","",_xlfn.XLOOKUP(E74,tblUsers[user_id],tblUsers[territory_id],"Owner Not Found"))</f>
        <v>2</v>
      </c>
      <c r="K74" t="str">
        <f t="shared" si="3"/>
        <v>Routing Compatible</v>
      </c>
    </row>
    <row r="75" spans="1:11">
      <c r="A75" t="s">
        <v>1670</v>
      </c>
      <c r="B75" t="s">
        <v>984</v>
      </c>
      <c r="C75" t="s">
        <v>24</v>
      </c>
      <c r="D75" t="s">
        <v>140</v>
      </c>
      <c r="E75" t="s">
        <v>25</v>
      </c>
      <c r="F75" t="str">
        <f t="shared" si="2"/>
        <v>SMB</v>
      </c>
      <c r="G75">
        <f>_xlfn.XLOOKUP(D75,tblStates[state_code],tblStates[territory_id],"Needs Review - Territory")</f>
        <v>2</v>
      </c>
      <c r="H75" t="str">
        <f>IF(E75="","",_xlfn.XLOOKUP(E75,tblUsers[user_id],tblUsers[job_title],"Owner Not Found"))</f>
        <v>SMB Account Executive</v>
      </c>
      <c r="I75" t="str">
        <f>IF(E75="","",_xlfn.XLOOKUP(E75,tblUsers[user_id],tblUsers[segment],"Owner Not Found"))</f>
        <v>SMB</v>
      </c>
      <c r="J75">
        <f>IF(E75="","",_xlfn.XLOOKUP(E75,tblUsers[user_id],tblUsers[territory_id],"Owner Not Found"))</f>
        <v>2</v>
      </c>
      <c r="K75" t="str">
        <f t="shared" si="3"/>
        <v>Routing Compatible</v>
      </c>
    </row>
    <row r="76" spans="1:11">
      <c r="A76" t="s">
        <v>1675</v>
      </c>
      <c r="B76" t="s">
        <v>871</v>
      </c>
      <c r="C76" t="s">
        <v>24</v>
      </c>
      <c r="D76" t="s">
        <v>16</v>
      </c>
      <c r="E76" t="s">
        <v>91</v>
      </c>
      <c r="F76" t="str">
        <f t="shared" si="2"/>
        <v>SMB</v>
      </c>
      <c r="G76">
        <f>_xlfn.XLOOKUP(D76,tblStates[state_code],tblStates[territory_id],"Needs Review - Territory")</f>
        <v>1</v>
      </c>
      <c r="H76" t="str">
        <f>IF(E76="","",_xlfn.XLOOKUP(E76,tblUsers[user_id],tblUsers[job_title],"Owner Not Found"))</f>
        <v>SMB Account Executive</v>
      </c>
      <c r="I76" t="str">
        <f>IF(E76="","",_xlfn.XLOOKUP(E76,tblUsers[user_id],tblUsers[segment],"Owner Not Found"))</f>
        <v>SMB</v>
      </c>
      <c r="J76">
        <f>IF(E76="","",_xlfn.XLOOKUP(E76,tblUsers[user_id],tblUsers[territory_id],"Owner Not Found"))</f>
        <v>1</v>
      </c>
      <c r="K76" t="str">
        <f t="shared" si="3"/>
        <v>Routing Compatible</v>
      </c>
    </row>
    <row r="77" spans="1:11">
      <c r="A77" t="s">
        <v>1679</v>
      </c>
      <c r="B77" t="s">
        <v>393</v>
      </c>
      <c r="C77" t="s">
        <v>17</v>
      </c>
      <c r="D77" t="s">
        <v>127</v>
      </c>
      <c r="E77" t="s">
        <v>82</v>
      </c>
      <c r="F77" t="str">
        <f t="shared" si="2"/>
        <v>MM</v>
      </c>
      <c r="G77">
        <f>_xlfn.XLOOKUP(D77,tblStates[state_code],tblStates[territory_id],"Needs Review - Territory")</f>
        <v>2</v>
      </c>
      <c r="H77" t="str">
        <f>IF(E77="","",_xlfn.XLOOKUP(E77,tblUsers[user_id],tblUsers[job_title],"Owner Not Found"))</f>
        <v>Mid-Market Account Executive</v>
      </c>
      <c r="I77" t="str">
        <f>IF(E77="","",_xlfn.XLOOKUP(E77,tblUsers[user_id],tblUsers[segment],"Owner Not Found"))</f>
        <v>MM</v>
      </c>
      <c r="J77">
        <f>IF(E77="","",_xlfn.XLOOKUP(E77,tblUsers[user_id],tblUsers[territory_id],"Owner Not Found"))</f>
        <v>2</v>
      </c>
      <c r="K77" t="str">
        <f t="shared" si="3"/>
        <v>Routing Compatible</v>
      </c>
    </row>
    <row r="78" spans="1:11">
      <c r="A78" t="s">
        <v>1684</v>
      </c>
      <c r="B78" t="s">
        <v>1032</v>
      </c>
      <c r="C78" t="s">
        <v>17</v>
      </c>
      <c r="D78" t="s">
        <v>1034</v>
      </c>
      <c r="E78" t="s">
        <v>36</v>
      </c>
      <c r="F78" t="str">
        <f t="shared" si="2"/>
        <v>MM</v>
      </c>
      <c r="G78">
        <f>_xlfn.XLOOKUP(D78,tblStates[state_code],tblStates[territory_id],"Needs Review - Territory")</f>
        <v>4</v>
      </c>
      <c r="H78" t="str">
        <f>IF(E78="","",_xlfn.XLOOKUP(E78,tblUsers[user_id],tblUsers[job_title],"Owner Not Found"))</f>
        <v>Mid-Market Account Executive</v>
      </c>
      <c r="I78" t="str">
        <f>IF(E78="","",_xlfn.XLOOKUP(E78,tblUsers[user_id],tblUsers[segment],"Owner Not Found"))</f>
        <v>MM</v>
      </c>
      <c r="J78">
        <f>IF(E78="","",_xlfn.XLOOKUP(E78,tblUsers[user_id],tblUsers[territory_id],"Owner Not Found"))</f>
        <v>4</v>
      </c>
      <c r="K78" t="str">
        <f t="shared" si="3"/>
        <v>Routing Compatible</v>
      </c>
    </row>
    <row r="79" spans="1:11">
      <c r="A79" t="s">
        <v>1689</v>
      </c>
      <c r="B79" t="s">
        <v>380</v>
      </c>
      <c r="C79" t="s">
        <v>24</v>
      </c>
      <c r="D79" t="s">
        <v>50</v>
      </c>
      <c r="E79" t="s">
        <v>59</v>
      </c>
      <c r="F79" t="str">
        <f t="shared" si="2"/>
        <v>SMB</v>
      </c>
      <c r="G79">
        <f>_xlfn.XLOOKUP(D79,tblStates[state_code],tblStates[territory_id],"Needs Review - Territory")</f>
        <v>4</v>
      </c>
      <c r="H79" t="str">
        <f>IF(E79="","",_xlfn.XLOOKUP(E79,tblUsers[user_id],tblUsers[job_title],"Owner Not Found"))</f>
        <v>SMB Account Executive</v>
      </c>
      <c r="I79" t="str">
        <f>IF(E79="","",_xlfn.XLOOKUP(E79,tblUsers[user_id],tblUsers[segment],"Owner Not Found"))</f>
        <v>SMB</v>
      </c>
      <c r="J79">
        <f>IF(E79="","",_xlfn.XLOOKUP(E79,tblUsers[user_id],tblUsers[territory_id],"Owner Not Found"))</f>
        <v>4</v>
      </c>
      <c r="K79" t="str">
        <f t="shared" si="3"/>
        <v>Routing Compatible</v>
      </c>
    </row>
    <row r="80" spans="1:11">
      <c r="A80" t="s">
        <v>1694</v>
      </c>
      <c r="B80" t="s">
        <v>315</v>
      </c>
      <c r="C80" t="s">
        <v>30</v>
      </c>
      <c r="D80" t="s">
        <v>81</v>
      </c>
      <c r="E80" t="s">
        <v>82</v>
      </c>
      <c r="F80" t="str">
        <f t="shared" si="2"/>
        <v>MM</v>
      </c>
      <c r="G80">
        <f>_xlfn.XLOOKUP(D80,tblStates[state_code],tblStates[territory_id],"Needs Review - Territory")</f>
        <v>2</v>
      </c>
      <c r="H80" t="str">
        <f>IF(E80="","",_xlfn.XLOOKUP(E80,tblUsers[user_id],tblUsers[job_title],"Owner Not Found"))</f>
        <v>Mid-Market Account Executive</v>
      </c>
      <c r="I80" t="str">
        <f>IF(E80="","",_xlfn.XLOOKUP(E80,tblUsers[user_id],tblUsers[segment],"Owner Not Found"))</f>
        <v>MM</v>
      </c>
      <c r="J80">
        <f>IF(E80="","",_xlfn.XLOOKUP(E80,tblUsers[user_id],tblUsers[territory_id],"Owner Not Found"))</f>
        <v>2</v>
      </c>
      <c r="K80" t="str">
        <f t="shared" si="3"/>
        <v>Routing Compatible</v>
      </c>
    </row>
    <row r="81" spans="1:11">
      <c r="A81" t="s">
        <v>1698</v>
      </c>
      <c r="B81" t="s">
        <v>358</v>
      </c>
      <c r="C81" t="s">
        <v>17</v>
      </c>
      <c r="D81" t="s">
        <v>16</v>
      </c>
      <c r="E81" t="s">
        <v>18</v>
      </c>
      <c r="F81" t="str">
        <f t="shared" si="2"/>
        <v>MM</v>
      </c>
      <c r="G81">
        <f>_xlfn.XLOOKUP(D81,tblStates[state_code],tblStates[territory_id],"Needs Review - Territory")</f>
        <v>1</v>
      </c>
      <c r="H81" t="str">
        <f>IF(E81="","",_xlfn.XLOOKUP(E81,tblUsers[user_id],tblUsers[job_title],"Owner Not Found"))</f>
        <v>Mid-Market Account Executive</v>
      </c>
      <c r="I81" t="str">
        <f>IF(E81="","",_xlfn.XLOOKUP(E81,tblUsers[user_id],tblUsers[segment],"Owner Not Found"))</f>
        <v>MM</v>
      </c>
      <c r="J81">
        <f>IF(E81="","",_xlfn.XLOOKUP(E81,tblUsers[user_id],tblUsers[territory_id],"Owner Not Found"))</f>
        <v>1</v>
      </c>
      <c r="K81" t="str">
        <f t="shared" si="3"/>
        <v>Routing Compatible</v>
      </c>
    </row>
    <row r="82" spans="1:11">
      <c r="A82" t="s">
        <v>1703</v>
      </c>
      <c r="B82" t="s">
        <v>406</v>
      </c>
      <c r="C82" t="s">
        <v>17</v>
      </c>
      <c r="D82" t="s">
        <v>408</v>
      </c>
      <c r="E82" t="s">
        <v>55</v>
      </c>
      <c r="F82" t="str">
        <f t="shared" si="2"/>
        <v>MM</v>
      </c>
      <c r="G82">
        <f>_xlfn.XLOOKUP(D82,tblStates[state_code],tblStates[territory_id],"Needs Review - Territory")</f>
        <v>3</v>
      </c>
      <c r="H82" t="str">
        <f>IF(E82="","",_xlfn.XLOOKUP(E82,tblUsers[user_id],tblUsers[job_title],"Owner Not Found"))</f>
        <v>Mid-Market Account Executive</v>
      </c>
      <c r="I82" t="str">
        <f>IF(E82="","",_xlfn.XLOOKUP(E82,tblUsers[user_id],tblUsers[segment],"Owner Not Found"))</f>
        <v>MM</v>
      </c>
      <c r="J82">
        <f>IF(E82="","",_xlfn.XLOOKUP(E82,tblUsers[user_id],tblUsers[territory_id],"Owner Not Found"))</f>
        <v>3</v>
      </c>
      <c r="K82" t="str">
        <f t="shared" si="3"/>
        <v>Routing Compatible</v>
      </c>
    </row>
    <row r="83" spans="1:11">
      <c r="A83" t="s">
        <v>1706</v>
      </c>
      <c r="B83" t="s">
        <v>143</v>
      </c>
      <c r="C83" t="s">
        <v>24</v>
      </c>
      <c r="D83" t="s">
        <v>23</v>
      </c>
      <c r="E83" t="s">
        <v>25</v>
      </c>
      <c r="F83" t="str">
        <f t="shared" si="2"/>
        <v>SMB</v>
      </c>
      <c r="G83">
        <f>_xlfn.XLOOKUP(D83,tblStates[state_code],tblStates[territory_id],"Needs Review - Territory")</f>
        <v>2</v>
      </c>
      <c r="H83" t="str">
        <f>IF(E83="","",_xlfn.XLOOKUP(E83,tblUsers[user_id],tblUsers[job_title],"Owner Not Found"))</f>
        <v>SMB Account Executive</v>
      </c>
      <c r="I83" t="str">
        <f>IF(E83="","",_xlfn.XLOOKUP(E83,tblUsers[user_id],tblUsers[segment],"Owner Not Found"))</f>
        <v>SMB</v>
      </c>
      <c r="J83">
        <f>IF(E83="","",_xlfn.XLOOKUP(E83,tblUsers[user_id],tblUsers[territory_id],"Owner Not Found"))</f>
        <v>2</v>
      </c>
      <c r="K83" t="str">
        <f t="shared" si="3"/>
        <v>Routing Compatible</v>
      </c>
    </row>
    <row r="84" spans="1:11">
      <c r="A84" t="s">
        <v>1710</v>
      </c>
      <c r="B84" t="s">
        <v>540</v>
      </c>
      <c r="C84" t="s">
        <v>24</v>
      </c>
      <c r="D84" t="s">
        <v>95</v>
      </c>
      <c r="E84" t="s">
        <v>69</v>
      </c>
      <c r="F84" t="str">
        <f t="shared" si="2"/>
        <v>SMB</v>
      </c>
      <c r="G84">
        <f>_xlfn.XLOOKUP(D84,tblStates[state_code],tblStates[territory_id],"Needs Review - Territory")</f>
        <v>1</v>
      </c>
      <c r="H84" t="str">
        <f>IF(E84="","",_xlfn.XLOOKUP(E84,tblUsers[user_id],tblUsers[job_title],"Owner Not Found"))</f>
        <v>SMB Account Executive</v>
      </c>
      <c r="I84" t="str">
        <f>IF(E84="","",_xlfn.XLOOKUP(E84,tblUsers[user_id],tblUsers[segment],"Owner Not Found"))</f>
        <v>SMB</v>
      </c>
      <c r="J84">
        <f>IF(E84="","",_xlfn.XLOOKUP(E84,tblUsers[user_id],tblUsers[territory_id],"Owner Not Found"))</f>
        <v>3</v>
      </c>
      <c r="K84" t="str">
        <f t="shared" si="3"/>
        <v>Wrong AE Territory</v>
      </c>
    </row>
    <row r="85" spans="1:11">
      <c r="A85" t="s">
        <v>1714</v>
      </c>
      <c r="B85" t="s">
        <v>510</v>
      </c>
      <c r="C85" t="s">
        <v>24</v>
      </c>
      <c r="D85" t="s">
        <v>50</v>
      </c>
      <c r="E85" t="s">
        <v>59</v>
      </c>
      <c r="F85" t="str">
        <f t="shared" si="2"/>
        <v>SMB</v>
      </c>
      <c r="G85">
        <f>_xlfn.XLOOKUP(D85,tblStates[state_code],tblStates[territory_id],"Needs Review - Territory")</f>
        <v>4</v>
      </c>
      <c r="H85" t="str">
        <f>IF(E85="","",_xlfn.XLOOKUP(E85,tblUsers[user_id],tblUsers[job_title],"Owner Not Found"))</f>
        <v>SMB Account Executive</v>
      </c>
      <c r="I85" t="str">
        <f>IF(E85="","",_xlfn.XLOOKUP(E85,tblUsers[user_id],tblUsers[segment],"Owner Not Found"))</f>
        <v>SMB</v>
      </c>
      <c r="J85">
        <f>IF(E85="","",_xlfn.XLOOKUP(E85,tblUsers[user_id],tblUsers[territory_id],"Owner Not Found"))</f>
        <v>4</v>
      </c>
      <c r="K85" t="str">
        <f t="shared" si="3"/>
        <v>Routing Compatible</v>
      </c>
    </row>
    <row r="86" spans="1:11">
      <c r="A86" t="s">
        <v>1720</v>
      </c>
      <c r="B86" t="s">
        <v>74</v>
      </c>
      <c r="C86" t="s">
        <v>17</v>
      </c>
      <c r="D86" t="s">
        <v>76</v>
      </c>
      <c r="E86" t="s">
        <v>36</v>
      </c>
      <c r="F86" t="str">
        <f t="shared" si="2"/>
        <v>MM</v>
      </c>
      <c r="G86">
        <f>_xlfn.XLOOKUP(D86,tblStates[state_code],tblStates[territory_id],"Needs Review - Territory")</f>
        <v>4</v>
      </c>
      <c r="H86" t="str">
        <f>IF(E86="","",_xlfn.XLOOKUP(E86,tblUsers[user_id],tblUsers[job_title],"Owner Not Found"))</f>
        <v>Mid-Market Account Executive</v>
      </c>
      <c r="I86" t="str">
        <f>IF(E86="","",_xlfn.XLOOKUP(E86,tblUsers[user_id],tblUsers[segment],"Owner Not Found"))</f>
        <v>MM</v>
      </c>
      <c r="J86">
        <f>IF(E86="","",_xlfn.XLOOKUP(E86,tblUsers[user_id],tblUsers[territory_id],"Owner Not Found"))</f>
        <v>4</v>
      </c>
      <c r="K86" t="str">
        <f t="shared" si="3"/>
        <v>Routing Compatible</v>
      </c>
    </row>
    <row r="87" spans="1:11">
      <c r="A87" t="s">
        <v>1725</v>
      </c>
      <c r="B87" t="s">
        <v>32</v>
      </c>
      <c r="C87" t="s">
        <v>30</v>
      </c>
      <c r="D87" t="s">
        <v>35</v>
      </c>
      <c r="E87" t="s">
        <v>36</v>
      </c>
      <c r="F87" t="str">
        <f t="shared" si="2"/>
        <v>MM</v>
      </c>
      <c r="G87">
        <f>_xlfn.XLOOKUP(D87,tblStates[state_code],tblStates[territory_id],"Needs Review - Territory")</f>
        <v>4</v>
      </c>
      <c r="H87" t="str">
        <f>IF(E87="","",_xlfn.XLOOKUP(E87,tblUsers[user_id],tblUsers[job_title],"Owner Not Found"))</f>
        <v>Mid-Market Account Executive</v>
      </c>
      <c r="I87" t="str">
        <f>IF(E87="","",_xlfn.XLOOKUP(E87,tblUsers[user_id],tblUsers[segment],"Owner Not Found"))</f>
        <v>MM</v>
      </c>
      <c r="J87">
        <f>IF(E87="","",_xlfn.XLOOKUP(E87,tblUsers[user_id],tblUsers[territory_id],"Owner Not Found"))</f>
        <v>4</v>
      </c>
      <c r="K87" t="str">
        <f t="shared" si="3"/>
        <v>Routing Compatible</v>
      </c>
    </row>
    <row r="88" spans="1:11">
      <c r="A88" t="s">
        <v>1729</v>
      </c>
      <c r="B88" t="s">
        <v>537</v>
      </c>
      <c r="C88" t="s">
        <v>30</v>
      </c>
      <c r="D88" t="s">
        <v>95</v>
      </c>
      <c r="E88" t="s">
        <v>18</v>
      </c>
      <c r="F88" t="str">
        <f t="shared" si="2"/>
        <v>MM</v>
      </c>
      <c r="G88">
        <f>_xlfn.XLOOKUP(D88,tblStates[state_code],tblStates[territory_id],"Needs Review - Territory")</f>
        <v>1</v>
      </c>
      <c r="H88" t="str">
        <f>IF(E88="","",_xlfn.XLOOKUP(E88,tblUsers[user_id],tblUsers[job_title],"Owner Not Found"))</f>
        <v>Mid-Market Account Executive</v>
      </c>
      <c r="I88" t="str">
        <f>IF(E88="","",_xlfn.XLOOKUP(E88,tblUsers[user_id],tblUsers[segment],"Owner Not Found"))</f>
        <v>MM</v>
      </c>
      <c r="J88">
        <f>IF(E88="","",_xlfn.XLOOKUP(E88,tblUsers[user_id],tblUsers[territory_id],"Owner Not Found"))</f>
        <v>1</v>
      </c>
      <c r="K88" t="str">
        <f t="shared" si="3"/>
        <v>Routing Compatible</v>
      </c>
    </row>
    <row r="89" spans="1:11">
      <c r="A89" t="s">
        <v>1733</v>
      </c>
      <c r="B89" t="s">
        <v>13</v>
      </c>
      <c r="C89" t="s">
        <v>17</v>
      </c>
      <c r="D89" t="s">
        <v>16</v>
      </c>
      <c r="E89" t="s">
        <v>18</v>
      </c>
      <c r="F89" t="str">
        <f t="shared" si="2"/>
        <v>MM</v>
      </c>
      <c r="G89">
        <f>_xlfn.XLOOKUP(D89,tblStates[state_code],tblStates[territory_id],"Needs Review - Territory")</f>
        <v>1</v>
      </c>
      <c r="H89" t="str">
        <f>IF(E89="","",_xlfn.XLOOKUP(E89,tblUsers[user_id],tblUsers[job_title],"Owner Not Found"))</f>
        <v>Mid-Market Account Executive</v>
      </c>
      <c r="I89" t="str">
        <f>IF(E89="","",_xlfn.XLOOKUP(E89,tblUsers[user_id],tblUsers[segment],"Owner Not Found"))</f>
        <v>MM</v>
      </c>
      <c r="J89">
        <f>IF(E89="","",_xlfn.XLOOKUP(E89,tblUsers[user_id],tblUsers[territory_id],"Owner Not Found"))</f>
        <v>1</v>
      </c>
      <c r="K89" t="str">
        <f t="shared" si="3"/>
        <v>Routing Compatible</v>
      </c>
    </row>
    <row r="90" spans="1:11">
      <c r="A90" t="s">
        <v>1737</v>
      </c>
      <c r="B90" t="s">
        <v>266</v>
      </c>
      <c r="C90" t="s">
        <v>30</v>
      </c>
      <c r="D90" t="s">
        <v>23</v>
      </c>
      <c r="E90" t="s">
        <v>82</v>
      </c>
      <c r="F90" t="str">
        <f t="shared" si="2"/>
        <v>MM</v>
      </c>
      <c r="G90">
        <f>_xlfn.XLOOKUP(D90,tblStates[state_code],tblStates[territory_id],"Needs Review - Territory")</f>
        <v>2</v>
      </c>
      <c r="H90" t="str">
        <f>IF(E90="","",_xlfn.XLOOKUP(E90,tblUsers[user_id],tblUsers[job_title],"Owner Not Found"))</f>
        <v>Mid-Market Account Executive</v>
      </c>
      <c r="I90" t="str">
        <f>IF(E90="","",_xlfn.XLOOKUP(E90,tblUsers[user_id],tblUsers[segment],"Owner Not Found"))</f>
        <v>MM</v>
      </c>
      <c r="J90">
        <f>IF(E90="","",_xlfn.XLOOKUP(E90,tblUsers[user_id],tblUsers[territory_id],"Owner Not Found"))</f>
        <v>2</v>
      </c>
      <c r="K90" t="str">
        <f t="shared" si="3"/>
        <v>Routing Compatible</v>
      </c>
    </row>
    <row r="91" spans="1:11">
      <c r="A91" t="s">
        <v>1743</v>
      </c>
      <c r="B91" t="s">
        <v>804</v>
      </c>
      <c r="C91" t="s">
        <v>30</v>
      </c>
      <c r="D91" t="s">
        <v>192</v>
      </c>
      <c r="E91" t="s">
        <v>18</v>
      </c>
      <c r="F91" t="str">
        <f t="shared" si="2"/>
        <v>MM</v>
      </c>
      <c r="G91">
        <f>_xlfn.XLOOKUP(D91,tblStates[state_code],tblStates[territory_id],"Needs Review - Territory")</f>
        <v>1</v>
      </c>
      <c r="H91" t="str">
        <f>IF(E91="","",_xlfn.XLOOKUP(E91,tblUsers[user_id],tblUsers[job_title],"Owner Not Found"))</f>
        <v>Mid-Market Account Executive</v>
      </c>
      <c r="I91" t="str">
        <f>IF(E91="","",_xlfn.XLOOKUP(E91,tblUsers[user_id],tblUsers[segment],"Owner Not Found"))</f>
        <v>MM</v>
      </c>
      <c r="J91">
        <f>IF(E91="","",_xlfn.XLOOKUP(E91,tblUsers[user_id],tblUsers[territory_id],"Owner Not Found"))</f>
        <v>1</v>
      </c>
      <c r="K91" t="str">
        <f t="shared" si="3"/>
        <v>Routing Compatible</v>
      </c>
    </row>
    <row r="92" spans="1:11">
      <c r="A92" t="s">
        <v>1748</v>
      </c>
      <c r="B92" t="s">
        <v>877</v>
      </c>
      <c r="C92" t="s">
        <v>30</v>
      </c>
      <c r="D92" t="s">
        <v>23</v>
      </c>
      <c r="E92" t="s">
        <v>82</v>
      </c>
      <c r="F92" t="str">
        <f t="shared" si="2"/>
        <v>MM</v>
      </c>
      <c r="G92">
        <f>_xlfn.XLOOKUP(D92,tblStates[state_code],tblStates[territory_id],"Needs Review - Territory")</f>
        <v>2</v>
      </c>
      <c r="H92" t="str">
        <f>IF(E92="","",_xlfn.XLOOKUP(E92,tblUsers[user_id],tblUsers[job_title],"Owner Not Found"))</f>
        <v>Mid-Market Account Executive</v>
      </c>
      <c r="I92" t="str">
        <f>IF(E92="","",_xlfn.XLOOKUP(E92,tblUsers[user_id],tblUsers[segment],"Owner Not Found"))</f>
        <v>MM</v>
      </c>
      <c r="J92">
        <f>IF(E92="","",_xlfn.XLOOKUP(E92,tblUsers[user_id],tblUsers[territory_id],"Owner Not Found"))</f>
        <v>2</v>
      </c>
      <c r="K92" t="str">
        <f t="shared" si="3"/>
        <v>Routing Compatible</v>
      </c>
    </row>
    <row r="93" spans="1:11">
      <c r="A93" t="s">
        <v>1753</v>
      </c>
      <c r="B93" t="s">
        <v>118</v>
      </c>
      <c r="C93" t="s">
        <v>24</v>
      </c>
      <c r="D93" t="s">
        <v>120</v>
      </c>
      <c r="E93" t="s">
        <v>25</v>
      </c>
      <c r="F93" t="str">
        <f t="shared" si="2"/>
        <v>SMB</v>
      </c>
      <c r="G93">
        <f>_xlfn.XLOOKUP(D93,tblStates[state_code],tblStates[territory_id],"Needs Review - Territory")</f>
        <v>2</v>
      </c>
      <c r="H93" t="str">
        <f>IF(E93="","",_xlfn.XLOOKUP(E93,tblUsers[user_id],tblUsers[job_title],"Owner Not Found"))</f>
        <v>SMB Account Executive</v>
      </c>
      <c r="I93" t="str">
        <f>IF(E93="","",_xlfn.XLOOKUP(E93,tblUsers[user_id],tblUsers[segment],"Owner Not Found"))</f>
        <v>SMB</v>
      </c>
      <c r="J93">
        <f>IF(E93="","",_xlfn.XLOOKUP(E93,tblUsers[user_id],tblUsers[territory_id],"Owner Not Found"))</f>
        <v>2</v>
      </c>
      <c r="K93" t="str">
        <f t="shared" si="3"/>
        <v>Routing Compatible</v>
      </c>
    </row>
    <row r="94" spans="1:11">
      <c r="A94" t="s">
        <v>1757</v>
      </c>
      <c r="B94" t="s">
        <v>701</v>
      </c>
      <c r="C94" t="s">
        <v>30</v>
      </c>
      <c r="D94" t="s">
        <v>68</v>
      </c>
      <c r="E94" t="s">
        <v>55</v>
      </c>
      <c r="F94" t="str">
        <f t="shared" si="2"/>
        <v>MM</v>
      </c>
      <c r="G94">
        <f>_xlfn.XLOOKUP(D94,tblStates[state_code],tblStates[territory_id],"Needs Review - Territory")</f>
        <v>3</v>
      </c>
      <c r="H94" t="str">
        <f>IF(E94="","",_xlfn.XLOOKUP(E94,tblUsers[user_id],tblUsers[job_title],"Owner Not Found"))</f>
        <v>Mid-Market Account Executive</v>
      </c>
      <c r="I94" t="str">
        <f>IF(E94="","",_xlfn.XLOOKUP(E94,tblUsers[user_id],tblUsers[segment],"Owner Not Found"))</f>
        <v>MM</v>
      </c>
      <c r="J94">
        <f>IF(E94="","",_xlfn.XLOOKUP(E94,tblUsers[user_id],tblUsers[territory_id],"Owner Not Found"))</f>
        <v>3</v>
      </c>
      <c r="K94" t="str">
        <f t="shared" si="3"/>
        <v>Routing Compatible</v>
      </c>
    </row>
    <row r="95" spans="1:11">
      <c r="A95" t="s">
        <v>1761</v>
      </c>
      <c r="B95" t="s">
        <v>692</v>
      </c>
      <c r="C95" t="s">
        <v>24</v>
      </c>
      <c r="D95" t="s">
        <v>140</v>
      </c>
      <c r="E95" t="s">
        <v>25</v>
      </c>
      <c r="F95" t="str">
        <f t="shared" si="2"/>
        <v>SMB</v>
      </c>
      <c r="G95">
        <f>_xlfn.XLOOKUP(D95,tblStates[state_code],tblStates[territory_id],"Needs Review - Territory")</f>
        <v>2</v>
      </c>
      <c r="H95" t="str">
        <f>IF(E95="","",_xlfn.XLOOKUP(E95,tblUsers[user_id],tblUsers[job_title],"Owner Not Found"))</f>
        <v>SMB Account Executive</v>
      </c>
      <c r="I95" t="str">
        <f>IF(E95="","",_xlfn.XLOOKUP(E95,tblUsers[user_id],tblUsers[segment],"Owner Not Found"))</f>
        <v>SMB</v>
      </c>
      <c r="J95">
        <f>IF(E95="","",_xlfn.XLOOKUP(E95,tblUsers[user_id],tblUsers[territory_id],"Owner Not Found"))</f>
        <v>2</v>
      </c>
      <c r="K95" t="str">
        <f t="shared" si="3"/>
        <v>Routing Compatible</v>
      </c>
    </row>
    <row r="96" spans="1:11">
      <c r="A96" t="s">
        <v>1766</v>
      </c>
      <c r="B96" t="s">
        <v>862</v>
      </c>
      <c r="C96" t="s">
        <v>24</v>
      </c>
      <c r="D96" t="s">
        <v>16</v>
      </c>
      <c r="E96" t="s">
        <v>91</v>
      </c>
      <c r="F96" t="str">
        <f t="shared" si="2"/>
        <v>SMB</v>
      </c>
      <c r="G96">
        <f>_xlfn.XLOOKUP(D96,tblStates[state_code],tblStates[territory_id],"Needs Review - Territory")</f>
        <v>1</v>
      </c>
      <c r="H96" t="str">
        <f>IF(E96="","",_xlfn.XLOOKUP(E96,tblUsers[user_id],tblUsers[job_title],"Owner Not Found"))</f>
        <v>SMB Account Executive</v>
      </c>
      <c r="I96" t="str">
        <f>IF(E96="","",_xlfn.XLOOKUP(E96,tblUsers[user_id],tblUsers[segment],"Owner Not Found"))</f>
        <v>SMB</v>
      </c>
      <c r="J96">
        <f>IF(E96="","",_xlfn.XLOOKUP(E96,tblUsers[user_id],tblUsers[territory_id],"Owner Not Found"))</f>
        <v>1</v>
      </c>
      <c r="K96" t="str">
        <f t="shared" si="3"/>
        <v>Routing Compatible</v>
      </c>
    </row>
    <row r="97" spans="1:11">
      <c r="A97" t="s">
        <v>1770</v>
      </c>
      <c r="B97" t="s">
        <v>676</v>
      </c>
      <c r="C97" t="s">
        <v>30</v>
      </c>
      <c r="D97" t="s">
        <v>41</v>
      </c>
      <c r="E97" t="s">
        <v>82</v>
      </c>
      <c r="F97" t="str">
        <f t="shared" si="2"/>
        <v>MM</v>
      </c>
      <c r="G97">
        <f>_xlfn.XLOOKUP(D97,tblStates[state_code],tblStates[territory_id],"Needs Review - Territory")</f>
        <v>2</v>
      </c>
      <c r="H97" t="str">
        <f>IF(E97="","",_xlfn.XLOOKUP(E97,tblUsers[user_id],tblUsers[job_title],"Owner Not Found"))</f>
        <v>Mid-Market Account Executive</v>
      </c>
      <c r="I97" t="str">
        <f>IF(E97="","",_xlfn.XLOOKUP(E97,tblUsers[user_id],tblUsers[segment],"Owner Not Found"))</f>
        <v>MM</v>
      </c>
      <c r="J97">
        <f>IF(E97="","",_xlfn.XLOOKUP(E97,tblUsers[user_id],tblUsers[territory_id],"Owner Not Found"))</f>
        <v>2</v>
      </c>
      <c r="K97" t="str">
        <f t="shared" si="3"/>
        <v>Routing Compatible</v>
      </c>
    </row>
    <row r="98" spans="1:11">
      <c r="A98" t="s">
        <v>1774</v>
      </c>
      <c r="B98" t="s">
        <v>21</v>
      </c>
      <c r="C98" t="s">
        <v>24</v>
      </c>
      <c r="D98" t="s">
        <v>23</v>
      </c>
      <c r="E98" t="s">
        <v>25</v>
      </c>
      <c r="F98" t="str">
        <f t="shared" si="2"/>
        <v>SMB</v>
      </c>
      <c r="G98">
        <f>_xlfn.XLOOKUP(D98,tblStates[state_code],tblStates[territory_id],"Needs Review - Territory")</f>
        <v>2</v>
      </c>
      <c r="H98" t="str">
        <f>IF(E98="","",_xlfn.XLOOKUP(E98,tblUsers[user_id],tblUsers[job_title],"Owner Not Found"))</f>
        <v>SMB Account Executive</v>
      </c>
      <c r="I98" t="str">
        <f>IF(E98="","",_xlfn.XLOOKUP(E98,tblUsers[user_id],tblUsers[segment],"Owner Not Found"))</f>
        <v>SMB</v>
      </c>
      <c r="J98">
        <f>IF(E98="","",_xlfn.XLOOKUP(E98,tblUsers[user_id],tblUsers[territory_id],"Owner Not Found"))</f>
        <v>2</v>
      </c>
      <c r="K98" t="str">
        <f t="shared" si="3"/>
        <v>Routing Compatible</v>
      </c>
    </row>
    <row r="99" spans="1:11">
      <c r="A99" t="s">
        <v>1778</v>
      </c>
      <c r="B99" t="s">
        <v>528</v>
      </c>
      <c r="C99" t="s">
        <v>24</v>
      </c>
      <c r="D99" t="s">
        <v>295</v>
      </c>
      <c r="E99" t="s">
        <v>25</v>
      </c>
      <c r="F99" t="str">
        <f t="shared" si="2"/>
        <v>SMB</v>
      </c>
      <c r="G99">
        <f>_xlfn.XLOOKUP(D99,tblStates[state_code],tblStates[territory_id],"Needs Review - Territory")</f>
        <v>2</v>
      </c>
      <c r="H99" t="str">
        <f>IF(E99="","",_xlfn.XLOOKUP(E99,tblUsers[user_id],tblUsers[job_title],"Owner Not Found"))</f>
        <v>SMB Account Executive</v>
      </c>
      <c r="I99" t="str">
        <f>IF(E99="","",_xlfn.XLOOKUP(E99,tblUsers[user_id],tblUsers[segment],"Owner Not Found"))</f>
        <v>SMB</v>
      </c>
      <c r="J99">
        <f>IF(E99="","",_xlfn.XLOOKUP(E99,tblUsers[user_id],tblUsers[territory_id],"Owner Not Found"))</f>
        <v>2</v>
      </c>
      <c r="K99" t="str">
        <f t="shared" si="3"/>
        <v>Routing Compatible</v>
      </c>
    </row>
    <row r="100" spans="1:11">
      <c r="A100" t="s">
        <v>1782</v>
      </c>
      <c r="B100" t="s">
        <v>435</v>
      </c>
      <c r="C100" t="s">
        <v>17</v>
      </c>
      <c r="D100" t="s">
        <v>116</v>
      </c>
      <c r="E100" t="s">
        <v>82</v>
      </c>
      <c r="F100" t="str">
        <f t="shared" si="2"/>
        <v>MM</v>
      </c>
      <c r="G100">
        <f>_xlfn.XLOOKUP(D100,tblStates[state_code],tblStates[territory_id],"Needs Review - Territory")</f>
        <v>2</v>
      </c>
      <c r="H100" t="str">
        <f>IF(E100="","",_xlfn.XLOOKUP(E100,tblUsers[user_id],tblUsers[job_title],"Owner Not Found"))</f>
        <v>Mid-Market Account Executive</v>
      </c>
      <c r="I100" t="str">
        <f>IF(E100="","",_xlfn.XLOOKUP(E100,tblUsers[user_id],tblUsers[segment],"Owner Not Found"))</f>
        <v>MM</v>
      </c>
      <c r="J100">
        <f>IF(E100="","",_xlfn.XLOOKUP(E100,tblUsers[user_id],tblUsers[territory_id],"Owner Not Found"))</f>
        <v>2</v>
      </c>
      <c r="K100" t="str">
        <f t="shared" si="3"/>
        <v>Routing Compatible</v>
      </c>
    </row>
    <row r="101" spans="1:11">
      <c r="A101" t="s">
        <v>1787</v>
      </c>
      <c r="B101" t="s">
        <v>471</v>
      </c>
      <c r="C101" t="s">
        <v>24</v>
      </c>
      <c r="E101" t="s">
        <v>91</v>
      </c>
      <c r="F101" t="str">
        <f t="shared" si="2"/>
        <v>SMB</v>
      </c>
      <c r="G101" t="str">
        <f>_xlfn.XLOOKUP(D101,tblStates[state_code],tblStates[territory_id],"Needs Review - Territory")</f>
        <v>Needs Review - Territory</v>
      </c>
      <c r="H101" t="str">
        <f>IF(E101="","",_xlfn.XLOOKUP(E101,tblUsers[user_id],tblUsers[job_title],"Owner Not Found"))</f>
        <v>SMB Account Executive</v>
      </c>
      <c r="I101" t="str">
        <f>IF(E101="","",_xlfn.XLOOKUP(E101,tblUsers[user_id],tblUsers[segment],"Owner Not Found"))</f>
        <v>SMB</v>
      </c>
      <c r="J101">
        <f>IF(E101="","",_xlfn.XLOOKUP(E101,tblUsers[user_id],tblUsers[territory_id],"Owner Not Found"))</f>
        <v>1</v>
      </c>
      <c r="K101" t="str">
        <f t="shared" si="3"/>
        <v>Needs Review - Territory</v>
      </c>
    </row>
    <row r="102" spans="1:11">
      <c r="A102" t="s">
        <v>1791</v>
      </c>
      <c r="B102" t="s">
        <v>218</v>
      </c>
      <c r="C102" t="s">
        <v>24</v>
      </c>
      <c r="D102" t="s">
        <v>120</v>
      </c>
      <c r="E102" t="s">
        <v>25</v>
      </c>
      <c r="F102" t="str">
        <f t="shared" si="2"/>
        <v>SMB</v>
      </c>
      <c r="G102">
        <f>_xlfn.XLOOKUP(D102,tblStates[state_code],tblStates[territory_id],"Needs Review - Territory")</f>
        <v>2</v>
      </c>
      <c r="H102" t="str">
        <f>IF(E102="","",_xlfn.XLOOKUP(E102,tblUsers[user_id],tblUsers[job_title],"Owner Not Found"))</f>
        <v>SMB Account Executive</v>
      </c>
      <c r="I102" t="str">
        <f>IF(E102="","",_xlfn.XLOOKUP(E102,tblUsers[user_id],tblUsers[segment],"Owner Not Found"))</f>
        <v>SMB</v>
      </c>
      <c r="J102">
        <f>IF(E102="","",_xlfn.XLOOKUP(E102,tblUsers[user_id],tblUsers[territory_id],"Owner Not Found"))</f>
        <v>2</v>
      </c>
      <c r="K102" t="str">
        <f t="shared" si="3"/>
        <v>Routing Compatible</v>
      </c>
    </row>
    <row r="103" spans="1:11">
      <c r="A103" t="s">
        <v>1796</v>
      </c>
      <c r="B103" t="s">
        <v>907</v>
      </c>
      <c r="C103" t="s">
        <v>17</v>
      </c>
      <c r="D103" t="s">
        <v>154</v>
      </c>
      <c r="E103" t="s">
        <v>82</v>
      </c>
      <c r="F103" t="str">
        <f t="shared" si="2"/>
        <v>MM</v>
      </c>
      <c r="G103">
        <f>_xlfn.XLOOKUP(D103,tblStates[state_code],tblStates[territory_id],"Needs Review - Territory")</f>
        <v>2</v>
      </c>
      <c r="H103" t="str">
        <f>IF(E103="","",_xlfn.XLOOKUP(E103,tblUsers[user_id],tblUsers[job_title],"Owner Not Found"))</f>
        <v>Mid-Market Account Executive</v>
      </c>
      <c r="I103" t="str">
        <f>IF(E103="","",_xlfn.XLOOKUP(E103,tblUsers[user_id],tblUsers[segment],"Owner Not Found"))</f>
        <v>MM</v>
      </c>
      <c r="J103">
        <f>IF(E103="","",_xlfn.XLOOKUP(E103,tblUsers[user_id],tblUsers[territory_id],"Owner Not Found"))</f>
        <v>2</v>
      </c>
      <c r="K103" t="str">
        <f t="shared" si="3"/>
        <v>Routing Compatible</v>
      </c>
    </row>
    <row r="104" spans="1:11">
      <c r="A104" t="s">
        <v>1801</v>
      </c>
      <c r="B104" t="s">
        <v>471</v>
      </c>
      <c r="C104" t="s">
        <v>24</v>
      </c>
      <c r="E104" t="s">
        <v>91</v>
      </c>
      <c r="F104" t="str">
        <f t="shared" si="2"/>
        <v>SMB</v>
      </c>
      <c r="G104" t="str">
        <f>_xlfn.XLOOKUP(D104,tblStates[state_code],tblStates[territory_id],"Needs Review - Territory")</f>
        <v>Needs Review - Territory</v>
      </c>
      <c r="H104" t="str">
        <f>IF(E104="","",_xlfn.XLOOKUP(E104,tblUsers[user_id],tblUsers[job_title],"Owner Not Found"))</f>
        <v>SMB Account Executive</v>
      </c>
      <c r="I104" t="str">
        <f>IF(E104="","",_xlfn.XLOOKUP(E104,tblUsers[user_id],tblUsers[segment],"Owner Not Found"))</f>
        <v>SMB</v>
      </c>
      <c r="J104">
        <f>IF(E104="","",_xlfn.XLOOKUP(E104,tblUsers[user_id],tblUsers[territory_id],"Owner Not Found"))</f>
        <v>1</v>
      </c>
      <c r="K104" t="str">
        <f t="shared" si="3"/>
        <v>Needs Review - Territory</v>
      </c>
    </row>
    <row r="105" spans="1:11">
      <c r="A105" t="s">
        <v>1804</v>
      </c>
      <c r="B105" t="s">
        <v>293</v>
      </c>
      <c r="C105" t="s">
        <v>30</v>
      </c>
      <c r="D105" t="s">
        <v>295</v>
      </c>
      <c r="E105" t="s">
        <v>82</v>
      </c>
      <c r="F105" t="str">
        <f t="shared" si="2"/>
        <v>MM</v>
      </c>
      <c r="G105">
        <f>_xlfn.XLOOKUP(D105,tblStates[state_code],tblStates[territory_id],"Needs Review - Territory")</f>
        <v>2</v>
      </c>
      <c r="H105" t="str">
        <f>IF(E105="","",_xlfn.XLOOKUP(E105,tblUsers[user_id],tblUsers[job_title],"Owner Not Found"))</f>
        <v>Mid-Market Account Executive</v>
      </c>
      <c r="I105" t="str">
        <f>IF(E105="","",_xlfn.XLOOKUP(E105,tblUsers[user_id],tblUsers[segment],"Owner Not Found"))</f>
        <v>MM</v>
      </c>
      <c r="J105">
        <f>IF(E105="","",_xlfn.XLOOKUP(E105,tblUsers[user_id],tblUsers[territory_id],"Owner Not Found"))</f>
        <v>2</v>
      </c>
      <c r="K105" t="str">
        <f t="shared" si="3"/>
        <v>Routing Compatible</v>
      </c>
    </row>
    <row r="106" spans="1:11">
      <c r="A106" t="s">
        <v>1808</v>
      </c>
      <c r="B106" t="s">
        <v>667</v>
      </c>
      <c r="C106" t="s">
        <v>24</v>
      </c>
      <c r="D106" t="s">
        <v>226</v>
      </c>
      <c r="E106" t="s">
        <v>69</v>
      </c>
      <c r="F106" t="str">
        <f t="shared" si="2"/>
        <v>SMB</v>
      </c>
      <c r="G106">
        <f>_xlfn.XLOOKUP(D106,tblStates[state_code],tblStates[territory_id],"Needs Review - Territory")</f>
        <v>3</v>
      </c>
      <c r="H106" t="str">
        <f>IF(E106="","",_xlfn.XLOOKUP(E106,tblUsers[user_id],tblUsers[job_title],"Owner Not Found"))</f>
        <v>SMB Account Executive</v>
      </c>
      <c r="I106" t="str">
        <f>IF(E106="","",_xlfn.XLOOKUP(E106,tblUsers[user_id],tblUsers[segment],"Owner Not Found"))</f>
        <v>SMB</v>
      </c>
      <c r="J106">
        <f>IF(E106="","",_xlfn.XLOOKUP(E106,tblUsers[user_id],tblUsers[territory_id],"Owner Not Found"))</f>
        <v>3</v>
      </c>
      <c r="K106" t="str">
        <f t="shared" si="3"/>
        <v>Routing Compatible</v>
      </c>
    </row>
    <row r="107" spans="1:11">
      <c r="A107" t="s">
        <v>1813</v>
      </c>
      <c r="B107" t="s">
        <v>57</v>
      </c>
      <c r="C107" t="s">
        <v>24</v>
      </c>
      <c r="D107" t="s">
        <v>50</v>
      </c>
      <c r="E107" t="s">
        <v>59</v>
      </c>
      <c r="F107" t="str">
        <f t="shared" si="2"/>
        <v>SMB</v>
      </c>
      <c r="G107">
        <f>_xlfn.XLOOKUP(D107,tblStates[state_code],tblStates[territory_id],"Needs Review - Territory")</f>
        <v>4</v>
      </c>
      <c r="H107" t="str">
        <f>IF(E107="","",_xlfn.XLOOKUP(E107,tblUsers[user_id],tblUsers[job_title],"Owner Not Found"))</f>
        <v>SMB Account Executive</v>
      </c>
      <c r="I107" t="str">
        <f>IF(E107="","",_xlfn.XLOOKUP(E107,tblUsers[user_id],tblUsers[segment],"Owner Not Found"))</f>
        <v>SMB</v>
      </c>
      <c r="J107">
        <f>IF(E107="","",_xlfn.XLOOKUP(E107,tblUsers[user_id],tblUsers[territory_id],"Owner Not Found"))</f>
        <v>4</v>
      </c>
      <c r="K107" t="str">
        <f t="shared" si="3"/>
        <v>Routing Compatible</v>
      </c>
    </row>
    <row r="108" spans="1:11">
      <c r="A108" t="s">
        <v>1818</v>
      </c>
      <c r="B108" t="s">
        <v>862</v>
      </c>
      <c r="C108" t="s">
        <v>24</v>
      </c>
      <c r="D108" t="s">
        <v>16</v>
      </c>
      <c r="E108" t="s">
        <v>91</v>
      </c>
      <c r="F108" t="str">
        <f t="shared" si="2"/>
        <v>SMB</v>
      </c>
      <c r="G108">
        <f>_xlfn.XLOOKUP(D108,tblStates[state_code],tblStates[territory_id],"Needs Review - Territory")</f>
        <v>1</v>
      </c>
      <c r="H108" t="str">
        <f>IF(E108="","",_xlfn.XLOOKUP(E108,tblUsers[user_id],tblUsers[job_title],"Owner Not Found"))</f>
        <v>SMB Account Executive</v>
      </c>
      <c r="I108" t="str">
        <f>IF(E108="","",_xlfn.XLOOKUP(E108,tblUsers[user_id],tblUsers[segment],"Owner Not Found"))</f>
        <v>SMB</v>
      </c>
      <c r="J108">
        <f>IF(E108="","",_xlfn.XLOOKUP(E108,tblUsers[user_id],tblUsers[territory_id],"Owner Not Found"))</f>
        <v>1</v>
      </c>
      <c r="K108" t="str">
        <f t="shared" si="3"/>
        <v>Routing Compatible</v>
      </c>
    </row>
    <row r="109" spans="1:11">
      <c r="A109" t="s">
        <v>1822</v>
      </c>
      <c r="B109" t="s">
        <v>522</v>
      </c>
      <c r="C109" t="s">
        <v>24</v>
      </c>
      <c r="D109" t="s">
        <v>178</v>
      </c>
      <c r="E109" t="s">
        <v>59</v>
      </c>
      <c r="F109" t="str">
        <f t="shared" si="2"/>
        <v>SMB</v>
      </c>
      <c r="G109">
        <f>_xlfn.XLOOKUP(D109,tblStates[state_code],tblStates[territory_id],"Needs Review - Territory")</f>
        <v>4</v>
      </c>
      <c r="H109" t="str">
        <f>IF(E109="","",_xlfn.XLOOKUP(E109,tblUsers[user_id],tblUsers[job_title],"Owner Not Found"))</f>
        <v>SMB Account Executive</v>
      </c>
      <c r="I109" t="str">
        <f>IF(E109="","",_xlfn.XLOOKUP(E109,tblUsers[user_id],tblUsers[segment],"Owner Not Found"))</f>
        <v>SMB</v>
      </c>
      <c r="J109">
        <f>IF(E109="","",_xlfn.XLOOKUP(E109,tblUsers[user_id],tblUsers[territory_id],"Owner Not Found"))</f>
        <v>4</v>
      </c>
      <c r="K109" t="str">
        <f t="shared" si="3"/>
        <v>Routing Compatible</v>
      </c>
    </row>
    <row r="110" spans="1:11">
      <c r="A110" t="s">
        <v>1826</v>
      </c>
      <c r="B110" t="s">
        <v>129</v>
      </c>
      <c r="C110" t="s">
        <v>30</v>
      </c>
      <c r="D110" t="s">
        <v>64</v>
      </c>
      <c r="E110" t="s">
        <v>55</v>
      </c>
      <c r="F110" t="str">
        <f t="shared" si="2"/>
        <v>MM</v>
      </c>
      <c r="G110">
        <f>_xlfn.XLOOKUP(D110,tblStates[state_code],tblStates[territory_id],"Needs Review - Territory")</f>
        <v>3</v>
      </c>
      <c r="H110" t="str">
        <f>IF(E110="","",_xlfn.XLOOKUP(E110,tblUsers[user_id],tblUsers[job_title],"Owner Not Found"))</f>
        <v>Mid-Market Account Executive</v>
      </c>
      <c r="I110" t="str">
        <f>IF(E110="","",_xlfn.XLOOKUP(E110,tblUsers[user_id],tblUsers[segment],"Owner Not Found"))</f>
        <v>MM</v>
      </c>
      <c r="J110">
        <f>IF(E110="","",_xlfn.XLOOKUP(E110,tblUsers[user_id],tblUsers[territory_id],"Owner Not Found"))</f>
        <v>3</v>
      </c>
      <c r="K110" t="str">
        <f t="shared" si="3"/>
        <v>Routing Compatible</v>
      </c>
    </row>
    <row r="111" spans="1:11">
      <c r="A111" t="s">
        <v>1830</v>
      </c>
      <c r="B111" t="s">
        <v>1026</v>
      </c>
      <c r="C111" t="s">
        <v>17</v>
      </c>
      <c r="D111" t="s">
        <v>95</v>
      </c>
      <c r="E111" t="s">
        <v>18</v>
      </c>
      <c r="F111" t="str">
        <f t="shared" si="2"/>
        <v>MM</v>
      </c>
      <c r="G111">
        <f>_xlfn.XLOOKUP(D111,tblStates[state_code],tblStates[territory_id],"Needs Review - Territory")</f>
        <v>1</v>
      </c>
      <c r="H111" t="str">
        <f>IF(E111="","",_xlfn.XLOOKUP(E111,tblUsers[user_id],tblUsers[job_title],"Owner Not Found"))</f>
        <v>Mid-Market Account Executive</v>
      </c>
      <c r="I111" t="str">
        <f>IF(E111="","",_xlfn.XLOOKUP(E111,tblUsers[user_id],tblUsers[segment],"Owner Not Found"))</f>
        <v>MM</v>
      </c>
      <c r="J111">
        <f>IF(E111="","",_xlfn.XLOOKUP(E111,tblUsers[user_id],tblUsers[territory_id],"Owner Not Found"))</f>
        <v>1</v>
      </c>
      <c r="K111" t="str">
        <f t="shared" si="3"/>
        <v>Routing Compatible</v>
      </c>
    </row>
    <row r="112" spans="1:11">
      <c r="A112" t="s">
        <v>1833</v>
      </c>
      <c r="B112" t="s">
        <v>835</v>
      </c>
      <c r="C112" t="s">
        <v>30</v>
      </c>
      <c r="D112" t="s">
        <v>16</v>
      </c>
      <c r="E112" t="s">
        <v>36</v>
      </c>
      <c r="F112" t="str">
        <f t="shared" si="2"/>
        <v>MM</v>
      </c>
      <c r="G112">
        <f>_xlfn.XLOOKUP(D112,tblStates[state_code],tblStates[territory_id],"Needs Review - Territory")</f>
        <v>1</v>
      </c>
      <c r="H112" t="str">
        <f>IF(E112="","",_xlfn.XLOOKUP(E112,tblUsers[user_id],tblUsers[job_title],"Owner Not Found"))</f>
        <v>Mid-Market Account Executive</v>
      </c>
      <c r="I112" t="str">
        <f>IF(E112="","",_xlfn.XLOOKUP(E112,tblUsers[user_id],tblUsers[segment],"Owner Not Found"))</f>
        <v>MM</v>
      </c>
      <c r="J112">
        <f>IF(E112="","",_xlfn.XLOOKUP(E112,tblUsers[user_id],tblUsers[territory_id],"Owner Not Found"))</f>
        <v>4</v>
      </c>
      <c r="K112" t="str">
        <f t="shared" si="3"/>
        <v>Wrong AE Territory</v>
      </c>
    </row>
    <row r="113" spans="1:11">
      <c r="A113" t="s">
        <v>1837</v>
      </c>
      <c r="B113" t="s">
        <v>658</v>
      </c>
      <c r="C113" t="s">
        <v>30</v>
      </c>
      <c r="D113" t="s">
        <v>64</v>
      </c>
      <c r="E113" t="s">
        <v>55</v>
      </c>
      <c r="F113" t="str">
        <f t="shared" si="2"/>
        <v>MM</v>
      </c>
      <c r="G113">
        <f>_xlfn.XLOOKUP(D113,tblStates[state_code],tblStates[territory_id],"Needs Review - Territory")</f>
        <v>3</v>
      </c>
      <c r="H113" t="str">
        <f>IF(E113="","",_xlfn.XLOOKUP(E113,tblUsers[user_id],tblUsers[job_title],"Owner Not Found"))</f>
        <v>Mid-Market Account Executive</v>
      </c>
      <c r="I113" t="str">
        <f>IF(E113="","",_xlfn.XLOOKUP(E113,tblUsers[user_id],tblUsers[segment],"Owner Not Found"))</f>
        <v>MM</v>
      </c>
      <c r="J113">
        <f>IF(E113="","",_xlfn.XLOOKUP(E113,tblUsers[user_id],tblUsers[territory_id],"Owner Not Found"))</f>
        <v>3</v>
      </c>
      <c r="K113" t="str">
        <f t="shared" si="3"/>
        <v>Routing Compatible</v>
      </c>
    </row>
    <row r="114" spans="1:11">
      <c r="A114" t="s">
        <v>1840</v>
      </c>
      <c r="B114" t="s">
        <v>477</v>
      </c>
      <c r="C114" t="s">
        <v>30</v>
      </c>
      <c r="D114" t="s">
        <v>140</v>
      </c>
      <c r="E114" t="s">
        <v>82</v>
      </c>
      <c r="F114" t="str">
        <f t="shared" si="2"/>
        <v>MM</v>
      </c>
      <c r="G114">
        <f>_xlfn.XLOOKUP(D114,tblStates[state_code],tblStates[territory_id],"Needs Review - Territory")</f>
        <v>2</v>
      </c>
      <c r="H114" t="str">
        <f>IF(E114="","",_xlfn.XLOOKUP(E114,tblUsers[user_id],tblUsers[job_title],"Owner Not Found"))</f>
        <v>Mid-Market Account Executive</v>
      </c>
      <c r="I114" t="str">
        <f>IF(E114="","",_xlfn.XLOOKUP(E114,tblUsers[user_id],tblUsers[segment],"Owner Not Found"))</f>
        <v>MM</v>
      </c>
      <c r="J114">
        <f>IF(E114="","",_xlfn.XLOOKUP(E114,tblUsers[user_id],tblUsers[territory_id],"Owner Not Found"))</f>
        <v>2</v>
      </c>
      <c r="K114" t="str">
        <f t="shared" si="3"/>
        <v>Routing Compatible</v>
      </c>
    </row>
    <row r="115" spans="1:11">
      <c r="A115" t="s">
        <v>1846</v>
      </c>
      <c r="B115" t="s">
        <v>883</v>
      </c>
      <c r="C115" t="s">
        <v>17</v>
      </c>
      <c r="D115" t="s">
        <v>236</v>
      </c>
      <c r="E115" t="s">
        <v>18</v>
      </c>
      <c r="F115" t="str">
        <f t="shared" si="2"/>
        <v>MM</v>
      </c>
      <c r="G115">
        <f>_xlfn.XLOOKUP(D115,tblStates[state_code],tblStates[territory_id],"Needs Review - Territory")</f>
        <v>1</v>
      </c>
      <c r="H115" t="str">
        <f>IF(E115="","",_xlfn.XLOOKUP(E115,tblUsers[user_id],tblUsers[job_title],"Owner Not Found"))</f>
        <v>Mid-Market Account Executive</v>
      </c>
      <c r="I115" t="str">
        <f>IF(E115="","",_xlfn.XLOOKUP(E115,tblUsers[user_id],tblUsers[segment],"Owner Not Found"))</f>
        <v>MM</v>
      </c>
      <c r="J115">
        <f>IF(E115="","",_xlfn.XLOOKUP(E115,tblUsers[user_id],tblUsers[territory_id],"Owner Not Found"))</f>
        <v>1</v>
      </c>
      <c r="K115" t="str">
        <f t="shared" si="3"/>
        <v>Routing Compatible</v>
      </c>
    </row>
    <row r="116" spans="1:11">
      <c r="A116" t="s">
        <v>1852</v>
      </c>
      <c r="B116" t="s">
        <v>111</v>
      </c>
      <c r="C116" t="s">
        <v>24</v>
      </c>
      <c r="D116" t="s">
        <v>81</v>
      </c>
      <c r="E116" t="s">
        <v>25</v>
      </c>
      <c r="F116" t="str">
        <f t="shared" si="2"/>
        <v>SMB</v>
      </c>
      <c r="G116">
        <f>_xlfn.XLOOKUP(D116,tblStates[state_code],tblStates[territory_id],"Needs Review - Territory")</f>
        <v>2</v>
      </c>
      <c r="H116" t="str">
        <f>IF(E116="","",_xlfn.XLOOKUP(E116,tblUsers[user_id],tblUsers[job_title],"Owner Not Found"))</f>
        <v>SMB Account Executive</v>
      </c>
      <c r="I116" t="str">
        <f>IF(E116="","",_xlfn.XLOOKUP(E116,tblUsers[user_id],tblUsers[segment],"Owner Not Found"))</f>
        <v>SMB</v>
      </c>
      <c r="J116">
        <f>IF(E116="","",_xlfn.XLOOKUP(E116,tblUsers[user_id],tblUsers[territory_id],"Owner Not Found"))</f>
        <v>2</v>
      </c>
      <c r="K116" t="str">
        <f t="shared" si="3"/>
        <v>Routing Compatible</v>
      </c>
    </row>
    <row r="117" spans="1:11">
      <c r="A117" t="s">
        <v>1856</v>
      </c>
      <c r="B117" t="s">
        <v>159</v>
      </c>
      <c r="C117" t="s">
        <v>24</v>
      </c>
      <c r="D117" t="s">
        <v>161</v>
      </c>
      <c r="E117" t="s">
        <v>59</v>
      </c>
      <c r="F117" t="str">
        <f t="shared" si="2"/>
        <v>SMB</v>
      </c>
      <c r="G117">
        <f>_xlfn.XLOOKUP(D117,tblStates[state_code],tblStates[territory_id],"Needs Review - Territory")</f>
        <v>4</v>
      </c>
      <c r="H117" t="str">
        <f>IF(E117="","",_xlfn.XLOOKUP(E117,tblUsers[user_id],tblUsers[job_title],"Owner Not Found"))</f>
        <v>SMB Account Executive</v>
      </c>
      <c r="I117" t="str">
        <f>IF(E117="","",_xlfn.XLOOKUP(E117,tblUsers[user_id],tblUsers[segment],"Owner Not Found"))</f>
        <v>SMB</v>
      </c>
      <c r="J117">
        <f>IF(E117="","",_xlfn.XLOOKUP(E117,tblUsers[user_id],tblUsers[territory_id],"Owner Not Found"))</f>
        <v>4</v>
      </c>
      <c r="K117" t="str">
        <f t="shared" si="3"/>
        <v>Routing Compatible</v>
      </c>
    </row>
    <row r="118" spans="1:11">
      <c r="A118" t="s">
        <v>1859</v>
      </c>
      <c r="B118" t="s">
        <v>816</v>
      </c>
      <c r="C118" t="s">
        <v>24</v>
      </c>
      <c r="D118" t="s">
        <v>50</v>
      </c>
      <c r="E118" t="s">
        <v>59</v>
      </c>
      <c r="F118" t="str">
        <f t="shared" si="2"/>
        <v>SMB</v>
      </c>
      <c r="G118">
        <f>_xlfn.XLOOKUP(D118,tblStates[state_code],tblStates[territory_id],"Needs Review - Territory")</f>
        <v>4</v>
      </c>
      <c r="H118" t="str">
        <f>IF(E118="","",_xlfn.XLOOKUP(E118,tblUsers[user_id],tblUsers[job_title],"Owner Not Found"))</f>
        <v>SMB Account Executive</v>
      </c>
      <c r="I118" t="str">
        <f>IF(E118="","",_xlfn.XLOOKUP(E118,tblUsers[user_id],tblUsers[segment],"Owner Not Found"))</f>
        <v>SMB</v>
      </c>
      <c r="J118">
        <f>IF(E118="","",_xlfn.XLOOKUP(E118,tblUsers[user_id],tblUsers[territory_id],"Owner Not Found"))</f>
        <v>4</v>
      </c>
      <c r="K118" t="str">
        <f t="shared" si="3"/>
        <v>Routing Compatible</v>
      </c>
    </row>
    <row r="119" spans="1:11">
      <c r="A119" t="s">
        <v>1863</v>
      </c>
      <c r="B119" t="s">
        <v>907</v>
      </c>
      <c r="C119" t="s">
        <v>17</v>
      </c>
      <c r="D119" t="s">
        <v>154</v>
      </c>
      <c r="E119" t="s">
        <v>82</v>
      </c>
      <c r="F119" t="str">
        <f t="shared" si="2"/>
        <v>MM</v>
      </c>
      <c r="G119">
        <f>_xlfn.XLOOKUP(D119,tblStates[state_code],tblStates[territory_id],"Needs Review - Territory")</f>
        <v>2</v>
      </c>
      <c r="H119" t="str">
        <f>IF(E119="","",_xlfn.XLOOKUP(E119,tblUsers[user_id],tblUsers[job_title],"Owner Not Found"))</f>
        <v>Mid-Market Account Executive</v>
      </c>
      <c r="I119" t="str">
        <f>IF(E119="","",_xlfn.XLOOKUP(E119,tblUsers[user_id],tblUsers[segment],"Owner Not Found"))</f>
        <v>MM</v>
      </c>
      <c r="J119">
        <f>IF(E119="","",_xlfn.XLOOKUP(E119,tblUsers[user_id],tblUsers[territory_id],"Owner Not Found"))</f>
        <v>2</v>
      </c>
      <c r="K119" t="str">
        <f t="shared" si="3"/>
        <v>Routing Compatible</v>
      </c>
    </row>
    <row r="120" spans="1:11">
      <c r="A120" t="s">
        <v>1869</v>
      </c>
      <c r="B120" t="s">
        <v>907</v>
      </c>
      <c r="C120" t="s">
        <v>17</v>
      </c>
      <c r="D120" t="s">
        <v>154</v>
      </c>
      <c r="E120" t="s">
        <v>82</v>
      </c>
      <c r="F120" t="str">
        <f t="shared" si="2"/>
        <v>MM</v>
      </c>
      <c r="G120">
        <f>_xlfn.XLOOKUP(D120,tblStates[state_code],tblStates[territory_id],"Needs Review - Territory")</f>
        <v>2</v>
      </c>
      <c r="H120" t="str">
        <f>IF(E120="","",_xlfn.XLOOKUP(E120,tblUsers[user_id],tblUsers[job_title],"Owner Not Found"))</f>
        <v>Mid-Market Account Executive</v>
      </c>
      <c r="I120" t="str">
        <f>IF(E120="","",_xlfn.XLOOKUP(E120,tblUsers[user_id],tblUsers[segment],"Owner Not Found"))</f>
        <v>MM</v>
      </c>
      <c r="J120">
        <f>IF(E120="","",_xlfn.XLOOKUP(E120,tblUsers[user_id],tblUsers[territory_id],"Owner Not Found"))</f>
        <v>2</v>
      </c>
      <c r="K120" t="str">
        <f t="shared" si="3"/>
        <v>Routing Compatible</v>
      </c>
    </row>
    <row r="121" spans="1:11">
      <c r="A121" t="s">
        <v>1874</v>
      </c>
      <c r="B121" t="s">
        <v>194</v>
      </c>
      <c r="C121" t="s">
        <v>24</v>
      </c>
      <c r="D121" t="s">
        <v>23</v>
      </c>
      <c r="E121" t="s">
        <v>25</v>
      </c>
      <c r="F121" t="str">
        <f t="shared" si="2"/>
        <v>SMB</v>
      </c>
      <c r="G121">
        <f>_xlfn.XLOOKUP(D121,tblStates[state_code],tblStates[territory_id],"Needs Review - Territory")</f>
        <v>2</v>
      </c>
      <c r="H121" t="str">
        <f>IF(E121="","",_xlfn.XLOOKUP(E121,tblUsers[user_id],tblUsers[job_title],"Owner Not Found"))</f>
        <v>SMB Account Executive</v>
      </c>
      <c r="I121" t="str">
        <f>IF(E121="","",_xlfn.XLOOKUP(E121,tblUsers[user_id],tblUsers[segment],"Owner Not Found"))</f>
        <v>SMB</v>
      </c>
      <c r="J121">
        <f>IF(E121="","",_xlfn.XLOOKUP(E121,tblUsers[user_id],tblUsers[territory_id],"Owner Not Found"))</f>
        <v>2</v>
      </c>
      <c r="K121" t="str">
        <f t="shared" si="3"/>
        <v>Routing Compatible</v>
      </c>
    </row>
    <row r="122" spans="1:11">
      <c r="A122" t="s">
        <v>1879</v>
      </c>
      <c r="B122" t="s">
        <v>898</v>
      </c>
      <c r="C122" t="s">
        <v>30</v>
      </c>
      <c r="D122" t="s">
        <v>408</v>
      </c>
      <c r="E122" t="s">
        <v>55</v>
      </c>
      <c r="F122" t="str">
        <f t="shared" si="2"/>
        <v>MM</v>
      </c>
      <c r="G122">
        <f>_xlfn.XLOOKUP(D122,tblStates[state_code],tblStates[territory_id],"Needs Review - Territory")</f>
        <v>3</v>
      </c>
      <c r="H122" t="str">
        <f>IF(E122="","",_xlfn.XLOOKUP(E122,tblUsers[user_id],tblUsers[job_title],"Owner Not Found"))</f>
        <v>Mid-Market Account Executive</v>
      </c>
      <c r="I122" t="str">
        <f>IF(E122="","",_xlfn.XLOOKUP(E122,tblUsers[user_id],tblUsers[segment],"Owner Not Found"))</f>
        <v>MM</v>
      </c>
      <c r="J122">
        <f>IF(E122="","",_xlfn.XLOOKUP(E122,tblUsers[user_id],tblUsers[territory_id],"Owner Not Found"))</f>
        <v>3</v>
      </c>
      <c r="K122" t="str">
        <f t="shared" si="3"/>
        <v>Routing Compatible</v>
      </c>
    </row>
    <row r="123" spans="1:11">
      <c r="A123" t="s">
        <v>1883</v>
      </c>
      <c r="B123" t="s">
        <v>730</v>
      </c>
      <c r="C123" t="s">
        <v>30</v>
      </c>
      <c r="D123" t="s">
        <v>236</v>
      </c>
      <c r="E123" t="s">
        <v>18</v>
      </c>
      <c r="F123" t="str">
        <f t="shared" si="2"/>
        <v>MM</v>
      </c>
      <c r="G123">
        <f>_xlfn.XLOOKUP(D123,tblStates[state_code],tblStates[territory_id],"Needs Review - Territory")</f>
        <v>1</v>
      </c>
      <c r="H123" t="str">
        <f>IF(E123="","",_xlfn.XLOOKUP(E123,tblUsers[user_id],tblUsers[job_title],"Owner Not Found"))</f>
        <v>Mid-Market Account Executive</v>
      </c>
      <c r="I123" t="str">
        <f>IF(E123="","",_xlfn.XLOOKUP(E123,tblUsers[user_id],tblUsers[segment],"Owner Not Found"))</f>
        <v>MM</v>
      </c>
      <c r="J123">
        <f>IF(E123="","",_xlfn.XLOOKUP(E123,tblUsers[user_id],tblUsers[territory_id],"Owner Not Found"))</f>
        <v>1</v>
      </c>
      <c r="K123" t="str">
        <f t="shared" si="3"/>
        <v>Routing Compatible</v>
      </c>
    </row>
    <row r="124" spans="1:11">
      <c r="A124" t="s">
        <v>1888</v>
      </c>
      <c r="B124" t="s">
        <v>1014</v>
      </c>
      <c r="C124" t="s">
        <v>24</v>
      </c>
      <c r="D124" t="s">
        <v>41</v>
      </c>
      <c r="E124" t="s">
        <v>25</v>
      </c>
      <c r="F124" t="str">
        <f t="shared" si="2"/>
        <v>SMB</v>
      </c>
      <c r="G124">
        <f>_xlfn.XLOOKUP(D124,tblStates[state_code],tblStates[territory_id],"Needs Review - Territory")</f>
        <v>2</v>
      </c>
      <c r="H124" t="str">
        <f>IF(E124="","",_xlfn.XLOOKUP(E124,tblUsers[user_id],tblUsers[job_title],"Owner Not Found"))</f>
        <v>SMB Account Executive</v>
      </c>
      <c r="I124" t="str">
        <f>IF(E124="","",_xlfn.XLOOKUP(E124,tblUsers[user_id],tblUsers[segment],"Owner Not Found"))</f>
        <v>SMB</v>
      </c>
      <c r="J124">
        <f>IF(E124="","",_xlfn.XLOOKUP(E124,tblUsers[user_id],tblUsers[territory_id],"Owner Not Found"))</f>
        <v>2</v>
      </c>
      <c r="K124" t="str">
        <f t="shared" si="3"/>
        <v>Routing Compatible</v>
      </c>
    </row>
    <row r="125" spans="1:11">
      <c r="A125" t="s">
        <v>1893</v>
      </c>
      <c r="B125" t="s">
        <v>146</v>
      </c>
      <c r="C125" t="s">
        <v>24</v>
      </c>
      <c r="D125" t="s">
        <v>50</v>
      </c>
      <c r="E125" t="s">
        <v>59</v>
      </c>
      <c r="F125" t="str">
        <f t="shared" si="2"/>
        <v>SMB</v>
      </c>
      <c r="G125">
        <f>_xlfn.XLOOKUP(D125,tblStates[state_code],tblStates[territory_id],"Needs Review - Territory")</f>
        <v>4</v>
      </c>
      <c r="H125" t="str">
        <f>IF(E125="","",_xlfn.XLOOKUP(E125,tblUsers[user_id],tblUsers[job_title],"Owner Not Found"))</f>
        <v>SMB Account Executive</v>
      </c>
      <c r="I125" t="str">
        <f>IF(E125="","",_xlfn.XLOOKUP(E125,tblUsers[user_id],tblUsers[segment],"Owner Not Found"))</f>
        <v>SMB</v>
      </c>
      <c r="J125">
        <f>IF(E125="","",_xlfn.XLOOKUP(E125,tblUsers[user_id],tblUsers[territory_id],"Owner Not Found"))</f>
        <v>4</v>
      </c>
      <c r="K125" t="str">
        <f t="shared" si="3"/>
        <v>Routing Compatible</v>
      </c>
    </row>
    <row r="126" spans="1:11">
      <c r="A126" t="s">
        <v>1897</v>
      </c>
      <c r="B126" t="s">
        <v>74</v>
      </c>
      <c r="C126" t="s">
        <v>17</v>
      </c>
      <c r="D126" t="s">
        <v>76</v>
      </c>
      <c r="E126" t="s">
        <v>36</v>
      </c>
      <c r="F126" t="str">
        <f t="shared" si="2"/>
        <v>MM</v>
      </c>
      <c r="G126">
        <f>_xlfn.XLOOKUP(D126,tblStates[state_code],tblStates[territory_id],"Needs Review - Territory")</f>
        <v>4</v>
      </c>
      <c r="H126" t="str">
        <f>IF(E126="","",_xlfn.XLOOKUP(E126,tblUsers[user_id],tblUsers[job_title],"Owner Not Found"))</f>
        <v>Mid-Market Account Executive</v>
      </c>
      <c r="I126" t="str">
        <f>IF(E126="","",_xlfn.XLOOKUP(E126,tblUsers[user_id],tblUsers[segment],"Owner Not Found"))</f>
        <v>MM</v>
      </c>
      <c r="J126">
        <f>IF(E126="","",_xlfn.XLOOKUP(E126,tblUsers[user_id],tblUsers[territory_id],"Owner Not Found"))</f>
        <v>4</v>
      </c>
      <c r="K126" t="str">
        <f t="shared" si="3"/>
        <v>Routing Compatible</v>
      </c>
    </row>
    <row r="127" spans="1:11">
      <c r="A127" t="s">
        <v>1903</v>
      </c>
      <c r="B127" t="s">
        <v>203</v>
      </c>
      <c r="C127" t="s">
        <v>24</v>
      </c>
      <c r="D127" t="s">
        <v>205</v>
      </c>
      <c r="E127" t="s">
        <v>59</v>
      </c>
      <c r="F127" t="str">
        <f t="shared" si="2"/>
        <v>SMB</v>
      </c>
      <c r="G127">
        <f>_xlfn.XLOOKUP(D127,tblStates[state_code],tblStates[territory_id],"Needs Review - Territory")</f>
        <v>4</v>
      </c>
      <c r="H127" t="str">
        <f>IF(E127="","",_xlfn.XLOOKUP(E127,tblUsers[user_id],tblUsers[job_title],"Owner Not Found"))</f>
        <v>SMB Account Executive</v>
      </c>
      <c r="I127" t="str">
        <f>IF(E127="","",_xlfn.XLOOKUP(E127,tblUsers[user_id],tblUsers[segment],"Owner Not Found"))</f>
        <v>SMB</v>
      </c>
      <c r="J127">
        <f>IF(E127="","",_xlfn.XLOOKUP(E127,tblUsers[user_id],tblUsers[territory_id],"Owner Not Found"))</f>
        <v>4</v>
      </c>
      <c r="K127" t="str">
        <f t="shared" si="3"/>
        <v>Routing Compatible</v>
      </c>
    </row>
    <row r="128" spans="1:11">
      <c r="A128" t="s">
        <v>1907</v>
      </c>
      <c r="B128" t="s">
        <v>810</v>
      </c>
      <c r="C128" t="s">
        <v>30</v>
      </c>
      <c r="D128" t="s">
        <v>81</v>
      </c>
      <c r="E128" t="s">
        <v>82</v>
      </c>
      <c r="F128" t="str">
        <f t="shared" si="2"/>
        <v>MM</v>
      </c>
      <c r="G128">
        <f>_xlfn.XLOOKUP(D128,tblStates[state_code],tblStates[territory_id],"Needs Review - Territory")</f>
        <v>2</v>
      </c>
      <c r="H128" t="str">
        <f>IF(E128="","",_xlfn.XLOOKUP(E128,tblUsers[user_id],tblUsers[job_title],"Owner Not Found"))</f>
        <v>Mid-Market Account Executive</v>
      </c>
      <c r="I128" t="str">
        <f>IF(E128="","",_xlfn.XLOOKUP(E128,tblUsers[user_id],tblUsers[segment],"Owner Not Found"))</f>
        <v>MM</v>
      </c>
      <c r="J128">
        <f>IF(E128="","",_xlfn.XLOOKUP(E128,tblUsers[user_id],tblUsers[territory_id],"Owner Not Found"))</f>
        <v>2</v>
      </c>
      <c r="K128" t="str">
        <f t="shared" si="3"/>
        <v>Routing Compatible</v>
      </c>
    </row>
    <row r="129" spans="1:11">
      <c r="A129" t="s">
        <v>1911</v>
      </c>
      <c r="B129" t="s">
        <v>732</v>
      </c>
      <c r="C129" t="s">
        <v>24</v>
      </c>
      <c r="D129" t="s">
        <v>50</v>
      </c>
      <c r="E129" t="s">
        <v>59</v>
      </c>
      <c r="F129" t="str">
        <f t="shared" si="2"/>
        <v>SMB</v>
      </c>
      <c r="G129">
        <f>_xlfn.XLOOKUP(D129,tblStates[state_code],tblStates[territory_id],"Needs Review - Territory")</f>
        <v>4</v>
      </c>
      <c r="H129" t="str">
        <f>IF(E129="","",_xlfn.XLOOKUP(E129,tblUsers[user_id],tblUsers[job_title],"Owner Not Found"))</f>
        <v>SMB Account Executive</v>
      </c>
      <c r="I129" t="str">
        <f>IF(E129="","",_xlfn.XLOOKUP(E129,tblUsers[user_id],tblUsers[segment],"Owner Not Found"))</f>
        <v>SMB</v>
      </c>
      <c r="J129">
        <f>IF(E129="","",_xlfn.XLOOKUP(E129,tblUsers[user_id],tblUsers[territory_id],"Owner Not Found"))</f>
        <v>4</v>
      </c>
      <c r="K129" t="str">
        <f t="shared" si="3"/>
        <v>Routing Compatible</v>
      </c>
    </row>
    <row r="130" spans="1:11">
      <c r="A130" t="s">
        <v>1915</v>
      </c>
      <c r="B130" t="s">
        <v>78</v>
      </c>
      <c r="C130" t="s">
        <v>17</v>
      </c>
      <c r="D130" t="s">
        <v>81</v>
      </c>
      <c r="E130" t="s">
        <v>82</v>
      </c>
      <c r="F130" t="str">
        <f t="shared" si="2"/>
        <v>MM</v>
      </c>
      <c r="G130">
        <f>_xlfn.XLOOKUP(D130,tblStates[state_code],tblStates[territory_id],"Needs Review - Territory")</f>
        <v>2</v>
      </c>
      <c r="H130" t="str">
        <f>IF(E130="","",_xlfn.XLOOKUP(E130,tblUsers[user_id],tblUsers[job_title],"Owner Not Found"))</f>
        <v>Mid-Market Account Executive</v>
      </c>
      <c r="I130" t="str">
        <f>IF(E130="","",_xlfn.XLOOKUP(E130,tblUsers[user_id],tblUsers[segment],"Owner Not Found"))</f>
        <v>MM</v>
      </c>
      <c r="J130">
        <f>IF(E130="","",_xlfn.XLOOKUP(E130,tblUsers[user_id],tblUsers[territory_id],"Owner Not Found"))</f>
        <v>2</v>
      </c>
      <c r="K130" t="str">
        <f t="shared" si="3"/>
        <v>Routing Compatible</v>
      </c>
    </row>
    <row r="131" spans="1:11">
      <c r="A131" t="s">
        <v>1920</v>
      </c>
      <c r="B131" t="s">
        <v>958</v>
      </c>
      <c r="C131" t="s">
        <v>24</v>
      </c>
      <c r="D131" t="s">
        <v>576</v>
      </c>
      <c r="E131" t="s">
        <v>25</v>
      </c>
      <c r="F131" t="str">
        <f t="shared" ref="F131:F194" si="4">IF(C131="SMB","SMB",IF(OR(C131="Mid-Market",C131="Upper Mid-Market"),"MM","Needs Review - Segment"))</f>
        <v>SMB</v>
      </c>
      <c r="G131">
        <f>_xlfn.XLOOKUP(D131,tblStates[state_code],tblStates[territory_id],"Needs Review - Territory")</f>
        <v>2</v>
      </c>
      <c r="H131" t="str">
        <f>IF(E131="","",_xlfn.XLOOKUP(E131,tblUsers[user_id],tblUsers[job_title],"Owner Not Found"))</f>
        <v>SMB Account Executive</v>
      </c>
      <c r="I131" t="str">
        <f>IF(E131="","",_xlfn.XLOOKUP(E131,tblUsers[user_id],tblUsers[segment],"Owner Not Found"))</f>
        <v>SMB</v>
      </c>
      <c r="J131">
        <f>IF(E131="","",_xlfn.XLOOKUP(E131,tblUsers[user_id],tblUsers[territory_id],"Owner Not Found"))</f>
        <v>2</v>
      </c>
      <c r="K131" t="str">
        <f t="shared" ref="K131:K194" si="5">IF(E131="","Unassigned",IF(F131="Needs Review - Segment","Needs Review - Segment",IF(G131="Needs Review - Territory","Needs Review - Territory",IF(I131&lt;&gt;F131,"Wrong Segment",IF(AND(ISNUMBER(SEARCH("Account Executive",H131)),J131&lt;&gt;G131),"Wrong AE Territory",IF(OR(ISNUMBER(SEARCH("Account Executive",H131)),H131="Sales Development Representative"),"Routing Compatible","Unexpected Owner Role"))))))</f>
        <v>Routing Compatible</v>
      </c>
    </row>
    <row r="132" spans="1:11">
      <c r="A132" t="s">
        <v>1924</v>
      </c>
      <c r="B132" t="s">
        <v>735</v>
      </c>
      <c r="C132" t="s">
        <v>17</v>
      </c>
      <c r="D132" t="s">
        <v>226</v>
      </c>
      <c r="E132" t="s">
        <v>55</v>
      </c>
      <c r="F132" t="str">
        <f t="shared" si="4"/>
        <v>MM</v>
      </c>
      <c r="G132">
        <f>_xlfn.XLOOKUP(D132,tblStates[state_code],tblStates[territory_id],"Needs Review - Territory")</f>
        <v>3</v>
      </c>
      <c r="H132" t="str">
        <f>IF(E132="","",_xlfn.XLOOKUP(E132,tblUsers[user_id],tblUsers[job_title],"Owner Not Found"))</f>
        <v>Mid-Market Account Executive</v>
      </c>
      <c r="I132" t="str">
        <f>IF(E132="","",_xlfn.XLOOKUP(E132,tblUsers[user_id],tblUsers[segment],"Owner Not Found"))</f>
        <v>MM</v>
      </c>
      <c r="J132">
        <f>IF(E132="","",_xlfn.XLOOKUP(E132,tblUsers[user_id],tblUsers[territory_id],"Owner Not Found"))</f>
        <v>3</v>
      </c>
      <c r="K132" t="str">
        <f t="shared" si="5"/>
        <v>Routing Compatible</v>
      </c>
    </row>
    <row r="133" spans="1:11">
      <c r="A133" t="s">
        <v>1927</v>
      </c>
      <c r="B133" t="s">
        <v>955</v>
      </c>
      <c r="C133" t="s">
        <v>30</v>
      </c>
      <c r="D133" t="s">
        <v>440</v>
      </c>
      <c r="E133" t="s">
        <v>55</v>
      </c>
      <c r="F133" t="str">
        <f t="shared" si="4"/>
        <v>MM</v>
      </c>
      <c r="G133">
        <f>_xlfn.XLOOKUP(D133,tblStates[state_code],tblStates[territory_id],"Needs Review - Territory")</f>
        <v>3</v>
      </c>
      <c r="H133" t="str">
        <f>IF(E133="","",_xlfn.XLOOKUP(E133,tblUsers[user_id],tblUsers[job_title],"Owner Not Found"))</f>
        <v>Mid-Market Account Executive</v>
      </c>
      <c r="I133" t="str">
        <f>IF(E133="","",_xlfn.XLOOKUP(E133,tblUsers[user_id],tblUsers[segment],"Owner Not Found"))</f>
        <v>MM</v>
      </c>
      <c r="J133">
        <f>IF(E133="","",_xlfn.XLOOKUP(E133,tblUsers[user_id],tblUsers[territory_id],"Owner Not Found"))</f>
        <v>3</v>
      </c>
      <c r="K133" t="str">
        <f t="shared" si="5"/>
        <v>Routing Compatible</v>
      </c>
    </row>
    <row r="134" spans="1:11">
      <c r="A134" t="s">
        <v>1931</v>
      </c>
      <c r="B134" t="s">
        <v>802</v>
      </c>
      <c r="C134" t="s">
        <v>17</v>
      </c>
      <c r="D134" t="s">
        <v>249</v>
      </c>
      <c r="E134" t="s">
        <v>36</v>
      </c>
      <c r="F134" t="str">
        <f t="shared" si="4"/>
        <v>MM</v>
      </c>
      <c r="G134">
        <f>_xlfn.XLOOKUP(D134,tblStates[state_code],tblStates[territory_id],"Needs Review - Territory")</f>
        <v>4</v>
      </c>
      <c r="H134" t="str">
        <f>IF(E134="","",_xlfn.XLOOKUP(E134,tblUsers[user_id],tblUsers[job_title],"Owner Not Found"))</f>
        <v>Mid-Market Account Executive</v>
      </c>
      <c r="I134" t="str">
        <f>IF(E134="","",_xlfn.XLOOKUP(E134,tblUsers[user_id],tblUsers[segment],"Owner Not Found"))</f>
        <v>MM</v>
      </c>
      <c r="J134">
        <f>IF(E134="","",_xlfn.XLOOKUP(E134,tblUsers[user_id],tblUsers[territory_id],"Owner Not Found"))</f>
        <v>4</v>
      </c>
      <c r="K134" t="str">
        <f t="shared" si="5"/>
        <v>Routing Compatible</v>
      </c>
    </row>
    <row r="135" spans="1:11">
      <c r="A135" t="s">
        <v>1935</v>
      </c>
      <c r="B135" t="s">
        <v>633</v>
      </c>
      <c r="C135" t="s">
        <v>24</v>
      </c>
      <c r="D135" t="s">
        <v>635</v>
      </c>
      <c r="E135" t="s">
        <v>59</v>
      </c>
      <c r="F135" t="str">
        <f t="shared" si="4"/>
        <v>SMB</v>
      </c>
      <c r="G135">
        <f>_xlfn.XLOOKUP(D135,tblStates[state_code],tblStates[territory_id],"Needs Review - Territory")</f>
        <v>4</v>
      </c>
      <c r="H135" t="str">
        <f>IF(E135="","",_xlfn.XLOOKUP(E135,tblUsers[user_id],tblUsers[job_title],"Owner Not Found"))</f>
        <v>SMB Account Executive</v>
      </c>
      <c r="I135" t="str">
        <f>IF(E135="","",_xlfn.XLOOKUP(E135,tblUsers[user_id],tblUsers[segment],"Owner Not Found"))</f>
        <v>SMB</v>
      </c>
      <c r="J135">
        <f>IF(E135="","",_xlfn.XLOOKUP(E135,tblUsers[user_id],tblUsers[territory_id],"Owner Not Found"))</f>
        <v>4</v>
      </c>
      <c r="K135" t="str">
        <f t="shared" si="5"/>
        <v>Routing Compatible</v>
      </c>
    </row>
    <row r="136" spans="1:11">
      <c r="A136" t="s">
        <v>1940</v>
      </c>
      <c r="B136" t="s">
        <v>937</v>
      </c>
      <c r="C136" t="s">
        <v>30</v>
      </c>
      <c r="D136" t="s">
        <v>205</v>
      </c>
      <c r="E136" t="s">
        <v>36</v>
      </c>
      <c r="F136" t="str">
        <f t="shared" si="4"/>
        <v>MM</v>
      </c>
      <c r="G136">
        <f>_xlfn.XLOOKUP(D136,tblStates[state_code],tblStates[territory_id],"Needs Review - Territory")</f>
        <v>4</v>
      </c>
      <c r="H136" t="str">
        <f>IF(E136="","",_xlfn.XLOOKUP(E136,tblUsers[user_id],tblUsers[job_title],"Owner Not Found"))</f>
        <v>Mid-Market Account Executive</v>
      </c>
      <c r="I136" t="str">
        <f>IF(E136="","",_xlfn.XLOOKUP(E136,tblUsers[user_id],tblUsers[segment],"Owner Not Found"))</f>
        <v>MM</v>
      </c>
      <c r="J136">
        <f>IF(E136="","",_xlfn.XLOOKUP(E136,tblUsers[user_id],tblUsers[territory_id],"Owner Not Found"))</f>
        <v>4</v>
      </c>
      <c r="K136" t="str">
        <f t="shared" si="5"/>
        <v>Routing Compatible</v>
      </c>
    </row>
    <row r="137" spans="1:11">
      <c r="A137" t="s">
        <v>1945</v>
      </c>
      <c r="B137" t="s">
        <v>393</v>
      </c>
      <c r="C137" t="s">
        <v>17</v>
      </c>
      <c r="D137" t="s">
        <v>127</v>
      </c>
      <c r="E137" t="s">
        <v>82</v>
      </c>
      <c r="F137" t="str">
        <f t="shared" si="4"/>
        <v>MM</v>
      </c>
      <c r="G137">
        <f>_xlfn.XLOOKUP(D137,tblStates[state_code],tblStates[territory_id],"Needs Review - Territory")</f>
        <v>2</v>
      </c>
      <c r="H137" t="str">
        <f>IF(E137="","",_xlfn.XLOOKUP(E137,tblUsers[user_id],tblUsers[job_title],"Owner Not Found"))</f>
        <v>Mid-Market Account Executive</v>
      </c>
      <c r="I137" t="str">
        <f>IF(E137="","",_xlfn.XLOOKUP(E137,tblUsers[user_id],tblUsers[segment],"Owner Not Found"))</f>
        <v>MM</v>
      </c>
      <c r="J137">
        <f>IF(E137="","",_xlfn.XLOOKUP(E137,tblUsers[user_id],tblUsers[territory_id],"Owner Not Found"))</f>
        <v>2</v>
      </c>
      <c r="K137" t="str">
        <f t="shared" si="5"/>
        <v>Routing Compatible</v>
      </c>
    </row>
    <row r="138" spans="1:11">
      <c r="A138" t="s">
        <v>1949</v>
      </c>
      <c r="B138" t="s">
        <v>825</v>
      </c>
      <c r="C138" t="s">
        <v>17</v>
      </c>
      <c r="D138" t="s">
        <v>90</v>
      </c>
      <c r="E138" t="s">
        <v>18</v>
      </c>
      <c r="F138" t="str">
        <f t="shared" si="4"/>
        <v>MM</v>
      </c>
      <c r="G138">
        <f>_xlfn.XLOOKUP(D138,tblStates[state_code],tblStates[territory_id],"Needs Review - Territory")</f>
        <v>1</v>
      </c>
      <c r="H138" t="str">
        <f>IF(E138="","",_xlfn.XLOOKUP(E138,tblUsers[user_id],tblUsers[job_title],"Owner Not Found"))</f>
        <v>Mid-Market Account Executive</v>
      </c>
      <c r="I138" t="str">
        <f>IF(E138="","",_xlfn.XLOOKUP(E138,tblUsers[user_id],tblUsers[segment],"Owner Not Found"))</f>
        <v>MM</v>
      </c>
      <c r="J138">
        <f>IF(E138="","",_xlfn.XLOOKUP(E138,tblUsers[user_id],tblUsers[territory_id],"Owner Not Found"))</f>
        <v>1</v>
      </c>
      <c r="K138" t="str">
        <f t="shared" si="5"/>
        <v>Routing Compatible</v>
      </c>
    </row>
    <row r="139" spans="1:11">
      <c r="A139" t="s">
        <v>1952</v>
      </c>
      <c r="B139" t="s">
        <v>835</v>
      </c>
      <c r="C139" t="s">
        <v>30</v>
      </c>
      <c r="D139" t="s">
        <v>16</v>
      </c>
      <c r="E139" t="s">
        <v>36</v>
      </c>
      <c r="F139" t="str">
        <f t="shared" si="4"/>
        <v>MM</v>
      </c>
      <c r="G139">
        <f>_xlfn.XLOOKUP(D139,tblStates[state_code],tblStates[territory_id],"Needs Review - Territory")</f>
        <v>1</v>
      </c>
      <c r="H139" t="str">
        <f>IF(E139="","",_xlfn.XLOOKUP(E139,tblUsers[user_id],tblUsers[job_title],"Owner Not Found"))</f>
        <v>Mid-Market Account Executive</v>
      </c>
      <c r="I139" t="str">
        <f>IF(E139="","",_xlfn.XLOOKUP(E139,tblUsers[user_id],tblUsers[segment],"Owner Not Found"))</f>
        <v>MM</v>
      </c>
      <c r="J139">
        <f>IF(E139="","",_xlfn.XLOOKUP(E139,tblUsers[user_id],tblUsers[territory_id],"Owner Not Found"))</f>
        <v>4</v>
      </c>
      <c r="K139" t="str">
        <f t="shared" si="5"/>
        <v>Wrong AE Territory</v>
      </c>
    </row>
    <row r="140" spans="1:11">
      <c r="A140" t="s">
        <v>1956</v>
      </c>
      <c r="B140" t="s">
        <v>297</v>
      </c>
      <c r="C140" t="s">
        <v>30</v>
      </c>
      <c r="D140" t="s">
        <v>178</v>
      </c>
      <c r="E140" t="s">
        <v>36</v>
      </c>
      <c r="F140" t="str">
        <f t="shared" si="4"/>
        <v>MM</v>
      </c>
      <c r="G140">
        <f>_xlfn.XLOOKUP(D140,tblStates[state_code],tblStates[territory_id],"Needs Review - Territory")</f>
        <v>4</v>
      </c>
      <c r="H140" t="str">
        <f>IF(E140="","",_xlfn.XLOOKUP(E140,tblUsers[user_id],tblUsers[job_title],"Owner Not Found"))</f>
        <v>Mid-Market Account Executive</v>
      </c>
      <c r="I140" t="str">
        <f>IF(E140="","",_xlfn.XLOOKUP(E140,tblUsers[user_id],tblUsers[segment],"Owner Not Found"))</f>
        <v>MM</v>
      </c>
      <c r="J140">
        <f>IF(E140="","",_xlfn.XLOOKUP(E140,tblUsers[user_id],tblUsers[territory_id],"Owner Not Found"))</f>
        <v>4</v>
      </c>
      <c r="K140" t="str">
        <f t="shared" si="5"/>
        <v>Routing Compatible</v>
      </c>
    </row>
    <row r="141" spans="1:11">
      <c r="A141" t="s">
        <v>1961</v>
      </c>
      <c r="B141" t="s">
        <v>489</v>
      </c>
      <c r="C141" t="s">
        <v>17</v>
      </c>
      <c r="D141" t="s">
        <v>50</v>
      </c>
      <c r="E141" t="s">
        <v>36</v>
      </c>
      <c r="F141" t="str">
        <f t="shared" si="4"/>
        <v>MM</v>
      </c>
      <c r="G141">
        <f>_xlfn.XLOOKUP(D141,tblStates[state_code],tblStates[territory_id],"Needs Review - Territory")</f>
        <v>4</v>
      </c>
      <c r="H141" t="str">
        <f>IF(E141="","",_xlfn.XLOOKUP(E141,tblUsers[user_id],tblUsers[job_title],"Owner Not Found"))</f>
        <v>Mid-Market Account Executive</v>
      </c>
      <c r="I141" t="str">
        <f>IF(E141="","",_xlfn.XLOOKUP(E141,tblUsers[user_id],tblUsers[segment],"Owner Not Found"))</f>
        <v>MM</v>
      </c>
      <c r="J141">
        <f>IF(E141="","",_xlfn.XLOOKUP(E141,tblUsers[user_id],tblUsers[territory_id],"Owner Not Found"))</f>
        <v>4</v>
      </c>
      <c r="K141" t="str">
        <f t="shared" si="5"/>
        <v>Routing Compatible</v>
      </c>
    </row>
    <row r="142" spans="1:11">
      <c r="A142" t="s">
        <v>1966</v>
      </c>
      <c r="B142" t="s">
        <v>599</v>
      </c>
      <c r="C142" t="s">
        <v>24</v>
      </c>
      <c r="D142" t="s">
        <v>81</v>
      </c>
      <c r="E142" t="s">
        <v>25</v>
      </c>
      <c r="F142" t="str">
        <f t="shared" si="4"/>
        <v>SMB</v>
      </c>
      <c r="G142">
        <f>_xlfn.XLOOKUP(D142,tblStates[state_code],tblStates[territory_id],"Needs Review - Territory")</f>
        <v>2</v>
      </c>
      <c r="H142" t="str">
        <f>IF(E142="","",_xlfn.XLOOKUP(E142,tblUsers[user_id],tblUsers[job_title],"Owner Not Found"))</f>
        <v>SMB Account Executive</v>
      </c>
      <c r="I142" t="str">
        <f>IF(E142="","",_xlfn.XLOOKUP(E142,tblUsers[user_id],tblUsers[segment],"Owner Not Found"))</f>
        <v>SMB</v>
      </c>
      <c r="J142">
        <f>IF(E142="","",_xlfn.XLOOKUP(E142,tblUsers[user_id],tblUsers[territory_id],"Owner Not Found"))</f>
        <v>2</v>
      </c>
      <c r="K142" t="str">
        <f t="shared" si="5"/>
        <v>Routing Compatible</v>
      </c>
    </row>
    <row r="143" spans="1:11">
      <c r="A143" t="s">
        <v>1970</v>
      </c>
      <c r="B143" t="s">
        <v>940</v>
      </c>
      <c r="C143" t="s">
        <v>30</v>
      </c>
      <c r="D143" t="s">
        <v>205</v>
      </c>
      <c r="E143" t="s">
        <v>36</v>
      </c>
      <c r="F143" t="str">
        <f t="shared" si="4"/>
        <v>MM</v>
      </c>
      <c r="G143">
        <f>_xlfn.XLOOKUP(D143,tblStates[state_code],tblStates[territory_id],"Needs Review - Territory")</f>
        <v>4</v>
      </c>
      <c r="H143" t="str">
        <f>IF(E143="","",_xlfn.XLOOKUP(E143,tblUsers[user_id],tblUsers[job_title],"Owner Not Found"))</f>
        <v>Mid-Market Account Executive</v>
      </c>
      <c r="I143" t="str">
        <f>IF(E143="","",_xlfn.XLOOKUP(E143,tblUsers[user_id],tblUsers[segment],"Owner Not Found"))</f>
        <v>MM</v>
      </c>
      <c r="J143">
        <f>IF(E143="","",_xlfn.XLOOKUP(E143,tblUsers[user_id],tblUsers[territory_id],"Owner Not Found"))</f>
        <v>4</v>
      </c>
      <c r="K143" t="str">
        <f t="shared" si="5"/>
        <v>Routing Compatible</v>
      </c>
    </row>
    <row r="144" spans="1:11">
      <c r="A144" t="s">
        <v>1975</v>
      </c>
      <c r="B144" t="s">
        <v>510</v>
      </c>
      <c r="C144" t="s">
        <v>24</v>
      </c>
      <c r="D144" t="s">
        <v>50</v>
      </c>
      <c r="E144" t="s">
        <v>59</v>
      </c>
      <c r="F144" t="str">
        <f t="shared" si="4"/>
        <v>SMB</v>
      </c>
      <c r="G144">
        <f>_xlfn.XLOOKUP(D144,tblStates[state_code],tblStates[territory_id],"Needs Review - Territory")</f>
        <v>4</v>
      </c>
      <c r="H144" t="str">
        <f>IF(E144="","",_xlfn.XLOOKUP(E144,tblUsers[user_id],tblUsers[job_title],"Owner Not Found"))</f>
        <v>SMB Account Executive</v>
      </c>
      <c r="I144" t="str">
        <f>IF(E144="","",_xlfn.XLOOKUP(E144,tblUsers[user_id],tblUsers[segment],"Owner Not Found"))</f>
        <v>SMB</v>
      </c>
      <c r="J144">
        <f>IF(E144="","",_xlfn.XLOOKUP(E144,tblUsers[user_id],tblUsers[territory_id],"Owner Not Found"))</f>
        <v>4</v>
      </c>
      <c r="K144" t="str">
        <f t="shared" si="5"/>
        <v>Routing Compatible</v>
      </c>
    </row>
    <row r="145" spans="1:11">
      <c r="A145" t="s">
        <v>1979</v>
      </c>
      <c r="B145" t="s">
        <v>241</v>
      </c>
      <c r="C145" t="s">
        <v>30</v>
      </c>
      <c r="D145" t="s">
        <v>54</v>
      </c>
      <c r="E145" t="s">
        <v>55</v>
      </c>
      <c r="F145" t="str">
        <f t="shared" si="4"/>
        <v>MM</v>
      </c>
      <c r="G145">
        <f>_xlfn.XLOOKUP(D145,tblStates[state_code],tblStates[territory_id],"Needs Review - Territory")</f>
        <v>3</v>
      </c>
      <c r="H145" t="str">
        <f>IF(E145="","",_xlfn.XLOOKUP(E145,tblUsers[user_id],tblUsers[job_title],"Owner Not Found"))</f>
        <v>Mid-Market Account Executive</v>
      </c>
      <c r="I145" t="str">
        <f>IF(E145="","",_xlfn.XLOOKUP(E145,tblUsers[user_id],tblUsers[segment],"Owner Not Found"))</f>
        <v>MM</v>
      </c>
      <c r="J145">
        <f>IF(E145="","",_xlfn.XLOOKUP(E145,tblUsers[user_id],tblUsers[territory_id],"Owner Not Found"))</f>
        <v>3</v>
      </c>
      <c r="K145" t="str">
        <f t="shared" si="5"/>
        <v>Routing Compatible</v>
      </c>
    </row>
    <row r="146" spans="1:11">
      <c r="A146" t="s">
        <v>1982</v>
      </c>
      <c r="B146" t="s">
        <v>716</v>
      </c>
      <c r="C146" t="s">
        <v>30</v>
      </c>
      <c r="D146" t="s">
        <v>638</v>
      </c>
      <c r="E146" t="s">
        <v>55</v>
      </c>
      <c r="F146" t="str">
        <f t="shared" si="4"/>
        <v>MM</v>
      </c>
      <c r="G146">
        <f>_xlfn.XLOOKUP(D146,tblStates[state_code],tblStates[territory_id],"Needs Review - Territory")</f>
        <v>3</v>
      </c>
      <c r="H146" t="str">
        <f>IF(E146="","",_xlfn.XLOOKUP(E146,tblUsers[user_id],tblUsers[job_title],"Owner Not Found"))</f>
        <v>Mid-Market Account Executive</v>
      </c>
      <c r="I146" t="str">
        <f>IF(E146="","",_xlfn.XLOOKUP(E146,tblUsers[user_id],tblUsers[segment],"Owner Not Found"))</f>
        <v>MM</v>
      </c>
      <c r="J146">
        <f>IF(E146="","",_xlfn.XLOOKUP(E146,tblUsers[user_id],tblUsers[territory_id],"Owner Not Found"))</f>
        <v>3</v>
      </c>
      <c r="K146" t="str">
        <f t="shared" si="5"/>
        <v>Routing Compatible</v>
      </c>
    </row>
    <row r="147" spans="1:11">
      <c r="A147" t="s">
        <v>1987</v>
      </c>
      <c r="B147" t="s">
        <v>549</v>
      </c>
      <c r="C147" t="s">
        <v>30</v>
      </c>
      <c r="D147" t="s">
        <v>249</v>
      </c>
      <c r="E147" t="s">
        <v>36</v>
      </c>
      <c r="F147" t="str">
        <f t="shared" si="4"/>
        <v>MM</v>
      </c>
      <c r="G147">
        <f>_xlfn.XLOOKUP(D147,tblStates[state_code],tblStates[territory_id],"Needs Review - Territory")</f>
        <v>4</v>
      </c>
      <c r="H147" t="str">
        <f>IF(E147="","",_xlfn.XLOOKUP(E147,tblUsers[user_id],tblUsers[job_title],"Owner Not Found"))</f>
        <v>Mid-Market Account Executive</v>
      </c>
      <c r="I147" t="str">
        <f>IF(E147="","",_xlfn.XLOOKUP(E147,tblUsers[user_id],tblUsers[segment],"Owner Not Found"))</f>
        <v>MM</v>
      </c>
      <c r="J147">
        <f>IF(E147="","",_xlfn.XLOOKUP(E147,tblUsers[user_id],tblUsers[territory_id],"Owner Not Found"))</f>
        <v>4</v>
      </c>
      <c r="K147" t="str">
        <f t="shared" si="5"/>
        <v>Routing Compatible</v>
      </c>
    </row>
    <row r="148" spans="1:11">
      <c r="A148" t="s">
        <v>1991</v>
      </c>
      <c r="B148" t="s">
        <v>999</v>
      </c>
      <c r="C148" t="s">
        <v>30</v>
      </c>
      <c r="D148" t="s">
        <v>192</v>
      </c>
      <c r="E148" t="s">
        <v>18</v>
      </c>
      <c r="F148" t="str">
        <f t="shared" si="4"/>
        <v>MM</v>
      </c>
      <c r="G148">
        <f>_xlfn.XLOOKUP(D148,tblStates[state_code],tblStates[territory_id],"Needs Review - Territory")</f>
        <v>1</v>
      </c>
      <c r="H148" t="str">
        <f>IF(E148="","",_xlfn.XLOOKUP(E148,tblUsers[user_id],tblUsers[job_title],"Owner Not Found"))</f>
        <v>Mid-Market Account Executive</v>
      </c>
      <c r="I148" t="str">
        <f>IF(E148="","",_xlfn.XLOOKUP(E148,tblUsers[user_id],tblUsers[segment],"Owner Not Found"))</f>
        <v>MM</v>
      </c>
      <c r="J148">
        <f>IF(E148="","",_xlfn.XLOOKUP(E148,tblUsers[user_id],tblUsers[territory_id],"Owner Not Found"))</f>
        <v>1</v>
      </c>
      <c r="K148" t="str">
        <f t="shared" si="5"/>
        <v>Routing Compatible</v>
      </c>
    </row>
    <row r="149" spans="1:11">
      <c r="A149" t="s">
        <v>1996</v>
      </c>
      <c r="B149" t="s">
        <v>241</v>
      </c>
      <c r="C149" t="s">
        <v>30</v>
      </c>
      <c r="D149" t="s">
        <v>54</v>
      </c>
      <c r="E149" t="s">
        <v>55</v>
      </c>
      <c r="F149" t="str">
        <f t="shared" si="4"/>
        <v>MM</v>
      </c>
      <c r="G149">
        <f>_xlfn.XLOOKUP(D149,tblStates[state_code],tblStates[territory_id],"Needs Review - Territory")</f>
        <v>3</v>
      </c>
      <c r="H149" t="str">
        <f>IF(E149="","",_xlfn.XLOOKUP(E149,tblUsers[user_id],tblUsers[job_title],"Owner Not Found"))</f>
        <v>Mid-Market Account Executive</v>
      </c>
      <c r="I149" t="str">
        <f>IF(E149="","",_xlfn.XLOOKUP(E149,tblUsers[user_id],tblUsers[segment],"Owner Not Found"))</f>
        <v>MM</v>
      </c>
      <c r="J149">
        <f>IF(E149="","",_xlfn.XLOOKUP(E149,tblUsers[user_id],tblUsers[territory_id],"Owner Not Found"))</f>
        <v>3</v>
      </c>
      <c r="K149" t="str">
        <f t="shared" si="5"/>
        <v>Routing Compatible</v>
      </c>
    </row>
    <row r="150" spans="1:11">
      <c r="A150" t="s">
        <v>2000</v>
      </c>
      <c r="B150" t="s">
        <v>169</v>
      </c>
      <c r="C150" t="s">
        <v>24</v>
      </c>
      <c r="D150" t="s">
        <v>171</v>
      </c>
      <c r="E150" t="s">
        <v>91</v>
      </c>
      <c r="F150" t="str">
        <f t="shared" si="4"/>
        <v>SMB</v>
      </c>
      <c r="G150">
        <f>_xlfn.XLOOKUP(D150,tblStates[state_code],tblStates[territory_id],"Needs Review - Territory")</f>
        <v>1</v>
      </c>
      <c r="H150" t="str">
        <f>IF(E150="","",_xlfn.XLOOKUP(E150,tblUsers[user_id],tblUsers[job_title],"Owner Not Found"))</f>
        <v>SMB Account Executive</v>
      </c>
      <c r="I150" t="str">
        <f>IF(E150="","",_xlfn.XLOOKUP(E150,tblUsers[user_id],tblUsers[segment],"Owner Not Found"))</f>
        <v>SMB</v>
      </c>
      <c r="J150">
        <f>IF(E150="","",_xlfn.XLOOKUP(E150,tblUsers[user_id],tblUsers[territory_id],"Owner Not Found"))</f>
        <v>1</v>
      </c>
      <c r="K150" t="str">
        <f t="shared" si="5"/>
        <v>Routing Compatible</v>
      </c>
    </row>
    <row r="151" spans="1:11">
      <c r="A151" t="s">
        <v>2004</v>
      </c>
      <c r="B151" t="s">
        <v>643</v>
      </c>
      <c r="C151" t="s">
        <v>24</v>
      </c>
      <c r="D151" t="s">
        <v>81</v>
      </c>
      <c r="E151" t="s">
        <v>25</v>
      </c>
      <c r="F151" t="str">
        <f t="shared" si="4"/>
        <v>SMB</v>
      </c>
      <c r="G151">
        <f>_xlfn.XLOOKUP(D151,tblStates[state_code],tblStates[territory_id],"Needs Review - Territory")</f>
        <v>2</v>
      </c>
      <c r="H151" t="str">
        <f>IF(E151="","",_xlfn.XLOOKUP(E151,tblUsers[user_id],tblUsers[job_title],"Owner Not Found"))</f>
        <v>SMB Account Executive</v>
      </c>
      <c r="I151" t="str">
        <f>IF(E151="","",_xlfn.XLOOKUP(E151,tblUsers[user_id],tblUsers[segment],"Owner Not Found"))</f>
        <v>SMB</v>
      </c>
      <c r="J151">
        <f>IF(E151="","",_xlfn.XLOOKUP(E151,tblUsers[user_id],tblUsers[territory_id],"Owner Not Found"))</f>
        <v>2</v>
      </c>
      <c r="K151" t="str">
        <f t="shared" si="5"/>
        <v>Routing Compatible</v>
      </c>
    </row>
    <row r="152" spans="1:11">
      <c r="A152" t="s">
        <v>2009</v>
      </c>
      <c r="B152" t="s">
        <v>730</v>
      </c>
      <c r="C152" t="s">
        <v>30</v>
      </c>
      <c r="D152" t="s">
        <v>236</v>
      </c>
      <c r="E152" t="s">
        <v>18</v>
      </c>
      <c r="F152" t="str">
        <f t="shared" si="4"/>
        <v>MM</v>
      </c>
      <c r="G152">
        <f>_xlfn.XLOOKUP(D152,tblStates[state_code],tblStates[territory_id],"Needs Review - Territory")</f>
        <v>1</v>
      </c>
      <c r="H152" t="str">
        <f>IF(E152="","",_xlfn.XLOOKUP(E152,tblUsers[user_id],tblUsers[job_title],"Owner Not Found"))</f>
        <v>Mid-Market Account Executive</v>
      </c>
      <c r="I152" t="str">
        <f>IF(E152="","",_xlfn.XLOOKUP(E152,tblUsers[user_id],tblUsers[segment],"Owner Not Found"))</f>
        <v>MM</v>
      </c>
      <c r="J152">
        <f>IF(E152="","",_xlfn.XLOOKUP(E152,tblUsers[user_id],tblUsers[territory_id],"Owner Not Found"))</f>
        <v>1</v>
      </c>
      <c r="K152" t="str">
        <f t="shared" si="5"/>
        <v>Routing Compatible</v>
      </c>
    </row>
    <row r="153" spans="1:11">
      <c r="A153" t="s">
        <v>2014</v>
      </c>
      <c r="B153" t="s">
        <v>590</v>
      </c>
      <c r="C153" t="s">
        <v>24</v>
      </c>
      <c r="D153" t="s">
        <v>50</v>
      </c>
      <c r="E153" t="s">
        <v>59</v>
      </c>
      <c r="F153" t="str">
        <f t="shared" si="4"/>
        <v>SMB</v>
      </c>
      <c r="G153">
        <f>_xlfn.XLOOKUP(D153,tblStates[state_code],tblStates[territory_id],"Needs Review - Territory")</f>
        <v>4</v>
      </c>
      <c r="H153" t="str">
        <f>IF(E153="","",_xlfn.XLOOKUP(E153,tblUsers[user_id],tblUsers[job_title],"Owner Not Found"))</f>
        <v>SMB Account Executive</v>
      </c>
      <c r="I153" t="str">
        <f>IF(E153="","",_xlfn.XLOOKUP(E153,tblUsers[user_id],tblUsers[segment],"Owner Not Found"))</f>
        <v>SMB</v>
      </c>
      <c r="J153">
        <f>IF(E153="","",_xlfn.XLOOKUP(E153,tblUsers[user_id],tblUsers[territory_id],"Owner Not Found"))</f>
        <v>4</v>
      </c>
      <c r="K153" t="str">
        <f t="shared" si="5"/>
        <v>Routing Compatible</v>
      </c>
    </row>
    <row r="154" spans="1:11">
      <c r="A154" t="s">
        <v>2019</v>
      </c>
      <c r="B154" t="s">
        <v>724</v>
      </c>
      <c r="C154" t="s">
        <v>17</v>
      </c>
      <c r="D154" t="s">
        <v>205</v>
      </c>
      <c r="E154" t="s">
        <v>36</v>
      </c>
      <c r="F154" t="str">
        <f t="shared" si="4"/>
        <v>MM</v>
      </c>
      <c r="G154">
        <f>_xlfn.XLOOKUP(D154,tblStates[state_code],tblStates[territory_id],"Needs Review - Territory")</f>
        <v>4</v>
      </c>
      <c r="H154" t="str">
        <f>IF(E154="","",_xlfn.XLOOKUP(E154,tblUsers[user_id],tblUsers[job_title],"Owner Not Found"))</f>
        <v>Mid-Market Account Executive</v>
      </c>
      <c r="I154" t="str">
        <f>IF(E154="","",_xlfn.XLOOKUP(E154,tblUsers[user_id],tblUsers[segment],"Owner Not Found"))</f>
        <v>MM</v>
      </c>
      <c r="J154">
        <f>IF(E154="","",_xlfn.XLOOKUP(E154,tblUsers[user_id],tblUsers[territory_id],"Owner Not Found"))</f>
        <v>4</v>
      </c>
      <c r="K154" t="str">
        <f t="shared" si="5"/>
        <v>Routing Compatible</v>
      </c>
    </row>
    <row r="155" spans="1:11">
      <c r="A155" t="s">
        <v>2024</v>
      </c>
      <c r="B155" t="s">
        <v>833</v>
      </c>
      <c r="C155" t="s">
        <v>30</v>
      </c>
      <c r="D155" t="s">
        <v>68</v>
      </c>
      <c r="E155" t="s">
        <v>55</v>
      </c>
      <c r="F155" t="str">
        <f t="shared" si="4"/>
        <v>MM</v>
      </c>
      <c r="G155">
        <f>_xlfn.XLOOKUP(D155,tblStates[state_code],tblStates[territory_id],"Needs Review - Territory")</f>
        <v>3</v>
      </c>
      <c r="H155" t="str">
        <f>IF(E155="","",_xlfn.XLOOKUP(E155,tblUsers[user_id],tblUsers[job_title],"Owner Not Found"))</f>
        <v>Mid-Market Account Executive</v>
      </c>
      <c r="I155" t="str">
        <f>IF(E155="","",_xlfn.XLOOKUP(E155,tblUsers[user_id],tblUsers[segment],"Owner Not Found"))</f>
        <v>MM</v>
      </c>
      <c r="J155">
        <f>IF(E155="","",_xlfn.XLOOKUP(E155,tblUsers[user_id],tblUsers[territory_id],"Owner Not Found"))</f>
        <v>3</v>
      </c>
      <c r="K155" t="str">
        <f t="shared" si="5"/>
        <v>Routing Compatible</v>
      </c>
    </row>
    <row r="156" spans="1:11">
      <c r="A156" t="s">
        <v>2028</v>
      </c>
      <c r="B156" t="s">
        <v>868</v>
      </c>
      <c r="C156" t="s">
        <v>30</v>
      </c>
      <c r="D156" t="s">
        <v>171</v>
      </c>
      <c r="E156" t="s">
        <v>18</v>
      </c>
      <c r="F156" t="str">
        <f t="shared" si="4"/>
        <v>MM</v>
      </c>
      <c r="G156">
        <f>_xlfn.XLOOKUP(D156,tblStates[state_code],tblStates[territory_id],"Needs Review - Territory")</f>
        <v>1</v>
      </c>
      <c r="H156" t="str">
        <f>IF(E156="","",_xlfn.XLOOKUP(E156,tblUsers[user_id],tblUsers[job_title],"Owner Not Found"))</f>
        <v>Mid-Market Account Executive</v>
      </c>
      <c r="I156" t="str">
        <f>IF(E156="","",_xlfn.XLOOKUP(E156,tblUsers[user_id],tblUsers[segment],"Owner Not Found"))</f>
        <v>MM</v>
      </c>
      <c r="J156">
        <f>IF(E156="","",_xlfn.XLOOKUP(E156,tblUsers[user_id],tblUsers[territory_id],"Owner Not Found"))</f>
        <v>1</v>
      </c>
      <c r="K156" t="str">
        <f t="shared" si="5"/>
        <v>Routing Compatible</v>
      </c>
    </row>
    <row r="157" spans="1:11">
      <c r="A157" t="s">
        <v>2032</v>
      </c>
      <c r="B157" t="s">
        <v>859</v>
      </c>
      <c r="C157" t="s">
        <v>17</v>
      </c>
      <c r="D157" t="s">
        <v>68</v>
      </c>
      <c r="E157" t="s">
        <v>55</v>
      </c>
      <c r="F157" t="str">
        <f t="shared" si="4"/>
        <v>MM</v>
      </c>
      <c r="G157">
        <f>_xlfn.XLOOKUP(D157,tblStates[state_code],tblStates[territory_id],"Needs Review - Territory")</f>
        <v>3</v>
      </c>
      <c r="H157" t="str">
        <f>IF(E157="","",_xlfn.XLOOKUP(E157,tblUsers[user_id],tblUsers[job_title],"Owner Not Found"))</f>
        <v>Mid-Market Account Executive</v>
      </c>
      <c r="I157" t="str">
        <f>IF(E157="","",_xlfn.XLOOKUP(E157,tblUsers[user_id],tblUsers[segment],"Owner Not Found"))</f>
        <v>MM</v>
      </c>
      <c r="J157">
        <f>IF(E157="","",_xlfn.XLOOKUP(E157,tblUsers[user_id],tblUsers[territory_id],"Owner Not Found"))</f>
        <v>3</v>
      </c>
      <c r="K157" t="str">
        <f t="shared" si="5"/>
        <v>Routing Compatible</v>
      </c>
    </row>
    <row r="158" spans="1:11">
      <c r="A158" t="s">
        <v>2037</v>
      </c>
      <c r="B158" t="s">
        <v>640</v>
      </c>
      <c r="C158" t="s">
        <v>30</v>
      </c>
      <c r="E158" t="s">
        <v>82</v>
      </c>
      <c r="F158" t="str">
        <f t="shared" si="4"/>
        <v>MM</v>
      </c>
      <c r="G158" t="str">
        <f>_xlfn.XLOOKUP(D158,tblStates[state_code],tblStates[territory_id],"Needs Review - Territory")</f>
        <v>Needs Review - Territory</v>
      </c>
      <c r="H158" t="str">
        <f>IF(E158="","",_xlfn.XLOOKUP(E158,tblUsers[user_id],tblUsers[job_title],"Owner Not Found"))</f>
        <v>Mid-Market Account Executive</v>
      </c>
      <c r="I158" t="str">
        <f>IF(E158="","",_xlfn.XLOOKUP(E158,tblUsers[user_id],tblUsers[segment],"Owner Not Found"))</f>
        <v>MM</v>
      </c>
      <c r="J158">
        <f>IF(E158="","",_xlfn.XLOOKUP(E158,tblUsers[user_id],tblUsers[territory_id],"Owner Not Found"))</f>
        <v>2</v>
      </c>
      <c r="K158" t="str">
        <f t="shared" si="5"/>
        <v>Needs Review - Territory</v>
      </c>
    </row>
    <row r="159" spans="1:11">
      <c r="A159" t="s">
        <v>2041</v>
      </c>
      <c r="B159" t="s">
        <v>755</v>
      </c>
      <c r="C159" t="s">
        <v>17</v>
      </c>
      <c r="D159" t="s">
        <v>212</v>
      </c>
      <c r="E159" t="s">
        <v>55</v>
      </c>
      <c r="F159" t="str">
        <f t="shared" si="4"/>
        <v>MM</v>
      </c>
      <c r="G159">
        <f>_xlfn.XLOOKUP(D159,tblStates[state_code],tblStates[territory_id],"Needs Review - Territory")</f>
        <v>3</v>
      </c>
      <c r="H159" t="str">
        <f>IF(E159="","",_xlfn.XLOOKUP(E159,tblUsers[user_id],tblUsers[job_title],"Owner Not Found"))</f>
        <v>Mid-Market Account Executive</v>
      </c>
      <c r="I159" t="str">
        <f>IF(E159="","",_xlfn.XLOOKUP(E159,tblUsers[user_id],tblUsers[segment],"Owner Not Found"))</f>
        <v>MM</v>
      </c>
      <c r="J159">
        <f>IF(E159="","",_xlfn.XLOOKUP(E159,tblUsers[user_id],tblUsers[territory_id],"Owner Not Found"))</f>
        <v>3</v>
      </c>
      <c r="K159" t="str">
        <f t="shared" si="5"/>
        <v>Routing Compatible</v>
      </c>
    </row>
    <row r="160" spans="1:11">
      <c r="A160" t="s">
        <v>2045</v>
      </c>
      <c r="B160" t="s">
        <v>486</v>
      </c>
      <c r="C160" t="s">
        <v>30</v>
      </c>
      <c r="D160" t="s">
        <v>408</v>
      </c>
      <c r="E160" t="s">
        <v>55</v>
      </c>
      <c r="F160" t="str">
        <f t="shared" si="4"/>
        <v>MM</v>
      </c>
      <c r="G160">
        <f>_xlfn.XLOOKUP(D160,tblStates[state_code],tblStates[territory_id],"Needs Review - Territory")</f>
        <v>3</v>
      </c>
      <c r="H160" t="str">
        <f>IF(E160="","",_xlfn.XLOOKUP(E160,tblUsers[user_id],tblUsers[job_title],"Owner Not Found"))</f>
        <v>Mid-Market Account Executive</v>
      </c>
      <c r="I160" t="str">
        <f>IF(E160="","",_xlfn.XLOOKUP(E160,tblUsers[user_id],tblUsers[segment],"Owner Not Found"))</f>
        <v>MM</v>
      </c>
      <c r="J160">
        <f>IF(E160="","",_xlfn.XLOOKUP(E160,tblUsers[user_id],tblUsers[territory_id],"Owner Not Found"))</f>
        <v>3</v>
      </c>
      <c r="K160" t="str">
        <f t="shared" si="5"/>
        <v>Routing Compatible</v>
      </c>
    </row>
    <row r="161" spans="1:11">
      <c r="A161" t="s">
        <v>2049</v>
      </c>
      <c r="B161" t="s">
        <v>406</v>
      </c>
      <c r="C161" t="s">
        <v>17</v>
      </c>
      <c r="D161" t="s">
        <v>408</v>
      </c>
      <c r="E161" t="s">
        <v>55</v>
      </c>
      <c r="F161" t="str">
        <f t="shared" si="4"/>
        <v>MM</v>
      </c>
      <c r="G161">
        <f>_xlfn.XLOOKUP(D161,tblStates[state_code],tblStates[territory_id],"Needs Review - Territory")</f>
        <v>3</v>
      </c>
      <c r="H161" t="str">
        <f>IF(E161="","",_xlfn.XLOOKUP(E161,tblUsers[user_id],tblUsers[job_title],"Owner Not Found"))</f>
        <v>Mid-Market Account Executive</v>
      </c>
      <c r="I161" t="str">
        <f>IF(E161="","",_xlfn.XLOOKUP(E161,tblUsers[user_id],tblUsers[segment],"Owner Not Found"))</f>
        <v>MM</v>
      </c>
      <c r="J161">
        <f>IF(E161="","",_xlfn.XLOOKUP(E161,tblUsers[user_id],tblUsers[territory_id],"Owner Not Found"))</f>
        <v>3</v>
      </c>
      <c r="K161" t="str">
        <f t="shared" si="5"/>
        <v>Routing Compatible</v>
      </c>
    </row>
    <row r="162" spans="1:11">
      <c r="A162" t="s">
        <v>2052</v>
      </c>
      <c r="B162" t="s">
        <v>489</v>
      </c>
      <c r="C162" t="s">
        <v>17</v>
      </c>
      <c r="D162" t="s">
        <v>50</v>
      </c>
      <c r="E162" t="s">
        <v>36</v>
      </c>
      <c r="F162" t="str">
        <f t="shared" si="4"/>
        <v>MM</v>
      </c>
      <c r="G162">
        <f>_xlfn.XLOOKUP(D162,tblStates[state_code],tblStates[territory_id],"Needs Review - Territory")</f>
        <v>4</v>
      </c>
      <c r="H162" t="str">
        <f>IF(E162="","",_xlfn.XLOOKUP(E162,tblUsers[user_id],tblUsers[job_title],"Owner Not Found"))</f>
        <v>Mid-Market Account Executive</v>
      </c>
      <c r="I162" t="str">
        <f>IF(E162="","",_xlfn.XLOOKUP(E162,tblUsers[user_id],tblUsers[segment],"Owner Not Found"))</f>
        <v>MM</v>
      </c>
      <c r="J162">
        <f>IF(E162="","",_xlfn.XLOOKUP(E162,tblUsers[user_id],tblUsers[territory_id],"Owner Not Found"))</f>
        <v>4</v>
      </c>
      <c r="K162" t="str">
        <f t="shared" si="5"/>
        <v>Routing Compatible</v>
      </c>
    </row>
    <row r="163" spans="1:11">
      <c r="A163" t="s">
        <v>2057</v>
      </c>
      <c r="B163" t="s">
        <v>184</v>
      </c>
      <c r="C163" t="s">
        <v>24</v>
      </c>
      <c r="D163" t="s">
        <v>81</v>
      </c>
      <c r="E163" t="s">
        <v>25</v>
      </c>
      <c r="F163" t="str">
        <f t="shared" si="4"/>
        <v>SMB</v>
      </c>
      <c r="G163">
        <f>_xlfn.XLOOKUP(D163,tblStates[state_code],tblStates[territory_id],"Needs Review - Territory")</f>
        <v>2</v>
      </c>
      <c r="H163" t="str">
        <f>IF(E163="","",_xlfn.XLOOKUP(E163,tblUsers[user_id],tblUsers[job_title],"Owner Not Found"))</f>
        <v>SMB Account Executive</v>
      </c>
      <c r="I163" t="str">
        <f>IF(E163="","",_xlfn.XLOOKUP(E163,tblUsers[user_id],tblUsers[segment],"Owner Not Found"))</f>
        <v>SMB</v>
      </c>
      <c r="J163">
        <f>IF(E163="","",_xlfn.XLOOKUP(E163,tblUsers[user_id],tblUsers[territory_id],"Owner Not Found"))</f>
        <v>2</v>
      </c>
      <c r="K163" t="str">
        <f t="shared" si="5"/>
        <v>Routing Compatible</v>
      </c>
    </row>
    <row r="164" spans="1:11">
      <c r="A164" t="s">
        <v>2063</v>
      </c>
      <c r="B164" t="s">
        <v>987</v>
      </c>
      <c r="D164" t="s">
        <v>140</v>
      </c>
      <c r="E164" t="s">
        <v>82</v>
      </c>
      <c r="F164" t="str">
        <f t="shared" si="4"/>
        <v>Needs Review - Segment</v>
      </c>
      <c r="G164">
        <f>_xlfn.XLOOKUP(D164,tblStates[state_code],tblStates[territory_id],"Needs Review - Territory")</f>
        <v>2</v>
      </c>
      <c r="H164" t="str">
        <f>IF(E164="","",_xlfn.XLOOKUP(E164,tblUsers[user_id],tblUsers[job_title],"Owner Not Found"))</f>
        <v>Mid-Market Account Executive</v>
      </c>
      <c r="I164" t="str">
        <f>IF(E164="","",_xlfn.XLOOKUP(E164,tblUsers[user_id],tblUsers[segment],"Owner Not Found"))</f>
        <v>MM</v>
      </c>
      <c r="J164">
        <f>IF(E164="","",_xlfn.XLOOKUP(E164,tblUsers[user_id],tblUsers[territory_id],"Owner Not Found"))</f>
        <v>2</v>
      </c>
      <c r="K164" t="str">
        <f t="shared" si="5"/>
        <v>Needs Review - Segment</v>
      </c>
    </row>
    <row r="165" spans="1:11">
      <c r="A165" t="s">
        <v>2066</v>
      </c>
      <c r="B165" t="s">
        <v>775</v>
      </c>
      <c r="C165" t="s">
        <v>30</v>
      </c>
      <c r="D165" t="s">
        <v>366</v>
      </c>
      <c r="E165" t="s">
        <v>18</v>
      </c>
      <c r="F165" t="str">
        <f t="shared" si="4"/>
        <v>MM</v>
      </c>
      <c r="G165">
        <f>_xlfn.XLOOKUP(D165,tblStates[state_code],tblStates[territory_id],"Needs Review - Territory")</f>
        <v>1</v>
      </c>
      <c r="H165" t="str">
        <f>IF(E165="","",_xlfn.XLOOKUP(E165,tblUsers[user_id],tblUsers[job_title],"Owner Not Found"))</f>
        <v>Mid-Market Account Executive</v>
      </c>
      <c r="I165" t="str">
        <f>IF(E165="","",_xlfn.XLOOKUP(E165,tblUsers[user_id],tblUsers[segment],"Owner Not Found"))</f>
        <v>MM</v>
      </c>
      <c r="J165">
        <f>IF(E165="","",_xlfn.XLOOKUP(E165,tblUsers[user_id],tblUsers[territory_id],"Owner Not Found"))</f>
        <v>1</v>
      </c>
      <c r="K165" t="str">
        <f t="shared" si="5"/>
        <v>Routing Compatible</v>
      </c>
    </row>
    <row r="166" spans="1:11">
      <c r="A166" t="s">
        <v>2070</v>
      </c>
      <c r="B166" t="s">
        <v>613</v>
      </c>
      <c r="C166" t="s">
        <v>30</v>
      </c>
      <c r="D166" t="s">
        <v>140</v>
      </c>
      <c r="E166" t="s">
        <v>82</v>
      </c>
      <c r="F166" t="str">
        <f t="shared" si="4"/>
        <v>MM</v>
      </c>
      <c r="G166">
        <f>_xlfn.XLOOKUP(D166,tblStates[state_code],tblStates[territory_id],"Needs Review - Territory")</f>
        <v>2</v>
      </c>
      <c r="H166" t="str">
        <f>IF(E166="","",_xlfn.XLOOKUP(E166,tblUsers[user_id],tblUsers[job_title],"Owner Not Found"))</f>
        <v>Mid-Market Account Executive</v>
      </c>
      <c r="I166" t="str">
        <f>IF(E166="","",_xlfn.XLOOKUP(E166,tblUsers[user_id],tblUsers[segment],"Owner Not Found"))</f>
        <v>MM</v>
      </c>
      <c r="J166">
        <f>IF(E166="","",_xlfn.XLOOKUP(E166,tblUsers[user_id],tblUsers[territory_id],"Owner Not Found"))</f>
        <v>2</v>
      </c>
      <c r="K166" t="str">
        <f t="shared" si="5"/>
        <v>Routing Compatible</v>
      </c>
    </row>
    <row r="167" spans="1:11">
      <c r="A167" t="s">
        <v>2075</v>
      </c>
      <c r="B167" t="s">
        <v>346</v>
      </c>
      <c r="C167" t="s">
        <v>24</v>
      </c>
      <c r="D167" t="s">
        <v>192</v>
      </c>
      <c r="E167" t="s">
        <v>91</v>
      </c>
      <c r="F167" t="str">
        <f t="shared" si="4"/>
        <v>SMB</v>
      </c>
      <c r="G167">
        <f>_xlfn.XLOOKUP(D167,tblStates[state_code],tblStates[territory_id],"Needs Review - Territory")</f>
        <v>1</v>
      </c>
      <c r="H167" t="str">
        <f>IF(E167="","",_xlfn.XLOOKUP(E167,tblUsers[user_id],tblUsers[job_title],"Owner Not Found"))</f>
        <v>SMB Account Executive</v>
      </c>
      <c r="I167" t="str">
        <f>IF(E167="","",_xlfn.XLOOKUP(E167,tblUsers[user_id],tblUsers[segment],"Owner Not Found"))</f>
        <v>SMB</v>
      </c>
      <c r="J167">
        <f>IF(E167="","",_xlfn.XLOOKUP(E167,tblUsers[user_id],tblUsers[territory_id],"Owner Not Found"))</f>
        <v>1</v>
      </c>
      <c r="K167" t="str">
        <f t="shared" si="5"/>
        <v>Routing Compatible</v>
      </c>
    </row>
    <row r="168" spans="1:11">
      <c r="A168" t="s">
        <v>2078</v>
      </c>
      <c r="B168" t="s">
        <v>364</v>
      </c>
      <c r="C168" t="s">
        <v>17</v>
      </c>
      <c r="D168" t="s">
        <v>366</v>
      </c>
      <c r="E168" t="s">
        <v>18</v>
      </c>
      <c r="F168" t="str">
        <f t="shared" si="4"/>
        <v>MM</v>
      </c>
      <c r="G168">
        <f>_xlfn.XLOOKUP(D168,tblStates[state_code],tblStates[territory_id],"Needs Review - Territory")</f>
        <v>1</v>
      </c>
      <c r="H168" t="str">
        <f>IF(E168="","",_xlfn.XLOOKUP(E168,tblUsers[user_id],tblUsers[job_title],"Owner Not Found"))</f>
        <v>Mid-Market Account Executive</v>
      </c>
      <c r="I168" t="str">
        <f>IF(E168="","",_xlfn.XLOOKUP(E168,tblUsers[user_id],tblUsers[segment],"Owner Not Found"))</f>
        <v>MM</v>
      </c>
      <c r="J168">
        <f>IF(E168="","",_xlfn.XLOOKUP(E168,tblUsers[user_id],tblUsers[territory_id],"Owner Not Found"))</f>
        <v>1</v>
      </c>
      <c r="K168" t="str">
        <f t="shared" si="5"/>
        <v>Routing Compatible</v>
      </c>
    </row>
    <row r="169" spans="1:11">
      <c r="A169" t="s">
        <v>2082</v>
      </c>
      <c r="B169" t="s">
        <v>129</v>
      </c>
      <c r="C169" t="s">
        <v>30</v>
      </c>
      <c r="D169" t="s">
        <v>64</v>
      </c>
      <c r="E169" t="s">
        <v>55</v>
      </c>
      <c r="F169" t="str">
        <f t="shared" si="4"/>
        <v>MM</v>
      </c>
      <c r="G169">
        <f>_xlfn.XLOOKUP(D169,tblStates[state_code],tblStates[territory_id],"Needs Review - Territory")</f>
        <v>3</v>
      </c>
      <c r="H169" t="str">
        <f>IF(E169="","",_xlfn.XLOOKUP(E169,tblUsers[user_id],tblUsers[job_title],"Owner Not Found"))</f>
        <v>Mid-Market Account Executive</v>
      </c>
      <c r="I169" t="str">
        <f>IF(E169="","",_xlfn.XLOOKUP(E169,tblUsers[user_id],tblUsers[segment],"Owner Not Found"))</f>
        <v>MM</v>
      </c>
      <c r="J169">
        <f>IF(E169="","",_xlfn.XLOOKUP(E169,tblUsers[user_id],tblUsers[territory_id],"Owner Not Found"))</f>
        <v>3</v>
      </c>
      <c r="K169" t="str">
        <f t="shared" si="5"/>
        <v>Routing Compatible</v>
      </c>
    </row>
    <row r="170" spans="1:11">
      <c r="A170" t="s">
        <v>2087</v>
      </c>
      <c r="B170" t="s">
        <v>466</v>
      </c>
      <c r="C170" t="s">
        <v>30</v>
      </c>
      <c r="D170" t="s">
        <v>216</v>
      </c>
      <c r="E170" t="s">
        <v>18</v>
      </c>
      <c r="F170" t="str">
        <f t="shared" si="4"/>
        <v>MM</v>
      </c>
      <c r="G170">
        <f>_xlfn.XLOOKUP(D170,tblStates[state_code],tblStates[territory_id],"Needs Review - Territory")</f>
        <v>1</v>
      </c>
      <c r="H170" t="str">
        <f>IF(E170="","",_xlfn.XLOOKUP(E170,tblUsers[user_id],tblUsers[job_title],"Owner Not Found"))</f>
        <v>Mid-Market Account Executive</v>
      </c>
      <c r="I170" t="str">
        <f>IF(E170="","",_xlfn.XLOOKUP(E170,tblUsers[user_id],tblUsers[segment],"Owner Not Found"))</f>
        <v>MM</v>
      </c>
      <c r="J170">
        <f>IF(E170="","",_xlfn.XLOOKUP(E170,tblUsers[user_id],tblUsers[territory_id],"Owner Not Found"))</f>
        <v>1</v>
      </c>
      <c r="K170" t="str">
        <f t="shared" si="5"/>
        <v>Routing Compatible</v>
      </c>
    </row>
    <row r="171" spans="1:11">
      <c r="A171" t="s">
        <v>2091</v>
      </c>
      <c r="B171" t="s">
        <v>678</v>
      </c>
      <c r="C171" t="s">
        <v>17</v>
      </c>
      <c r="D171" t="s">
        <v>226</v>
      </c>
      <c r="E171" t="s">
        <v>55</v>
      </c>
      <c r="F171" t="str">
        <f t="shared" si="4"/>
        <v>MM</v>
      </c>
      <c r="G171">
        <f>_xlfn.XLOOKUP(D171,tblStates[state_code],tblStates[territory_id],"Needs Review - Territory")</f>
        <v>3</v>
      </c>
      <c r="H171" t="str">
        <f>IF(E171="","",_xlfn.XLOOKUP(E171,tblUsers[user_id],tblUsers[job_title],"Owner Not Found"))</f>
        <v>Mid-Market Account Executive</v>
      </c>
      <c r="I171" t="str">
        <f>IF(E171="","",_xlfn.XLOOKUP(E171,tblUsers[user_id],tblUsers[segment],"Owner Not Found"))</f>
        <v>MM</v>
      </c>
      <c r="J171">
        <f>IF(E171="","",_xlfn.XLOOKUP(E171,tblUsers[user_id],tblUsers[territory_id],"Owner Not Found"))</f>
        <v>3</v>
      </c>
      <c r="K171" t="str">
        <f t="shared" si="5"/>
        <v>Routing Compatible</v>
      </c>
    </row>
    <row r="172" spans="1:11">
      <c r="A172" t="s">
        <v>2095</v>
      </c>
      <c r="B172" t="s">
        <v>495</v>
      </c>
      <c r="C172" t="s">
        <v>30</v>
      </c>
      <c r="D172" t="s">
        <v>50</v>
      </c>
      <c r="E172" t="s">
        <v>36</v>
      </c>
      <c r="F172" t="str">
        <f t="shared" si="4"/>
        <v>MM</v>
      </c>
      <c r="G172">
        <f>_xlfn.XLOOKUP(D172,tblStates[state_code],tblStates[territory_id],"Needs Review - Territory")</f>
        <v>4</v>
      </c>
      <c r="H172" t="str">
        <f>IF(E172="","",_xlfn.XLOOKUP(E172,tblUsers[user_id],tblUsers[job_title],"Owner Not Found"))</f>
        <v>Mid-Market Account Executive</v>
      </c>
      <c r="I172" t="str">
        <f>IF(E172="","",_xlfn.XLOOKUP(E172,tblUsers[user_id],tblUsers[segment],"Owner Not Found"))</f>
        <v>MM</v>
      </c>
      <c r="J172">
        <f>IF(E172="","",_xlfn.XLOOKUP(E172,tblUsers[user_id],tblUsers[territory_id],"Owner Not Found"))</f>
        <v>4</v>
      </c>
      <c r="K172" t="str">
        <f t="shared" si="5"/>
        <v>Routing Compatible</v>
      </c>
    </row>
    <row r="173" spans="1:11">
      <c r="A173" t="s">
        <v>2099</v>
      </c>
      <c r="B173" t="s">
        <v>1017</v>
      </c>
      <c r="C173" t="s">
        <v>30</v>
      </c>
      <c r="D173" t="s">
        <v>50</v>
      </c>
      <c r="E173" t="s">
        <v>36</v>
      </c>
      <c r="F173" t="str">
        <f t="shared" si="4"/>
        <v>MM</v>
      </c>
      <c r="G173">
        <f>_xlfn.XLOOKUP(D173,tblStates[state_code],tblStates[territory_id],"Needs Review - Territory")</f>
        <v>4</v>
      </c>
      <c r="H173" t="str">
        <f>IF(E173="","",_xlfn.XLOOKUP(E173,tblUsers[user_id],tblUsers[job_title],"Owner Not Found"))</f>
        <v>Mid-Market Account Executive</v>
      </c>
      <c r="I173" t="str">
        <f>IF(E173="","",_xlfn.XLOOKUP(E173,tblUsers[user_id],tblUsers[segment],"Owner Not Found"))</f>
        <v>MM</v>
      </c>
      <c r="J173">
        <f>IF(E173="","",_xlfn.XLOOKUP(E173,tblUsers[user_id],tblUsers[territory_id],"Owner Not Found"))</f>
        <v>4</v>
      </c>
      <c r="K173" t="str">
        <f t="shared" si="5"/>
        <v>Routing Compatible</v>
      </c>
    </row>
    <row r="174" spans="1:11">
      <c r="A174" t="s">
        <v>2103</v>
      </c>
      <c r="B174" t="s">
        <v>463</v>
      </c>
      <c r="C174" t="s">
        <v>24</v>
      </c>
      <c r="D174" t="s">
        <v>323</v>
      </c>
      <c r="E174" t="s">
        <v>25</v>
      </c>
      <c r="F174" t="str">
        <f t="shared" si="4"/>
        <v>SMB</v>
      </c>
      <c r="G174">
        <f>_xlfn.XLOOKUP(D174,tblStates[state_code],tblStates[territory_id],"Needs Review - Territory")</f>
        <v>2</v>
      </c>
      <c r="H174" t="str">
        <f>IF(E174="","",_xlfn.XLOOKUP(E174,tblUsers[user_id],tblUsers[job_title],"Owner Not Found"))</f>
        <v>SMB Account Executive</v>
      </c>
      <c r="I174" t="str">
        <f>IF(E174="","",_xlfn.XLOOKUP(E174,tblUsers[user_id],tblUsers[segment],"Owner Not Found"))</f>
        <v>SMB</v>
      </c>
      <c r="J174">
        <f>IF(E174="","",_xlfn.XLOOKUP(E174,tblUsers[user_id],tblUsers[territory_id],"Owner Not Found"))</f>
        <v>2</v>
      </c>
      <c r="K174" t="str">
        <f t="shared" si="5"/>
        <v>Routing Compatible</v>
      </c>
    </row>
    <row r="175" spans="1:11">
      <c r="A175" t="s">
        <v>2106</v>
      </c>
      <c r="B175" t="s">
        <v>601</v>
      </c>
      <c r="C175" t="s">
        <v>24</v>
      </c>
      <c r="D175" t="s">
        <v>154</v>
      </c>
      <c r="E175" t="s">
        <v>25</v>
      </c>
      <c r="F175" t="str">
        <f t="shared" si="4"/>
        <v>SMB</v>
      </c>
      <c r="G175">
        <f>_xlfn.XLOOKUP(D175,tblStates[state_code],tblStates[territory_id],"Needs Review - Territory")</f>
        <v>2</v>
      </c>
      <c r="H175" t="str">
        <f>IF(E175="","",_xlfn.XLOOKUP(E175,tblUsers[user_id],tblUsers[job_title],"Owner Not Found"))</f>
        <v>SMB Account Executive</v>
      </c>
      <c r="I175" t="str">
        <f>IF(E175="","",_xlfn.XLOOKUP(E175,tblUsers[user_id],tblUsers[segment],"Owner Not Found"))</f>
        <v>SMB</v>
      </c>
      <c r="J175">
        <f>IF(E175="","",_xlfn.XLOOKUP(E175,tblUsers[user_id],tblUsers[territory_id],"Owner Not Found"))</f>
        <v>2</v>
      </c>
      <c r="K175" t="str">
        <f t="shared" si="5"/>
        <v>Routing Compatible</v>
      </c>
    </row>
    <row r="176" spans="1:11">
      <c r="A176" t="s">
        <v>2111</v>
      </c>
      <c r="B176" t="s">
        <v>919</v>
      </c>
      <c r="C176" t="s">
        <v>17</v>
      </c>
      <c r="D176" t="s">
        <v>50</v>
      </c>
      <c r="E176" t="s">
        <v>36</v>
      </c>
      <c r="F176" t="str">
        <f t="shared" si="4"/>
        <v>MM</v>
      </c>
      <c r="G176">
        <f>_xlfn.XLOOKUP(D176,tblStates[state_code],tblStates[territory_id],"Needs Review - Territory")</f>
        <v>4</v>
      </c>
      <c r="H176" t="str">
        <f>IF(E176="","",_xlfn.XLOOKUP(E176,tblUsers[user_id],tblUsers[job_title],"Owner Not Found"))</f>
        <v>Mid-Market Account Executive</v>
      </c>
      <c r="I176" t="str">
        <f>IF(E176="","",_xlfn.XLOOKUP(E176,tblUsers[user_id],tblUsers[segment],"Owner Not Found"))</f>
        <v>MM</v>
      </c>
      <c r="J176">
        <f>IF(E176="","",_xlfn.XLOOKUP(E176,tblUsers[user_id],tblUsers[territory_id],"Owner Not Found"))</f>
        <v>4</v>
      </c>
      <c r="K176" t="str">
        <f t="shared" si="5"/>
        <v>Routing Compatible</v>
      </c>
    </row>
    <row r="177" spans="1:11">
      <c r="A177" t="s">
        <v>2115</v>
      </c>
      <c r="B177" t="s">
        <v>568</v>
      </c>
      <c r="C177" t="s">
        <v>24</v>
      </c>
      <c r="D177" t="s">
        <v>226</v>
      </c>
      <c r="E177" t="s">
        <v>69</v>
      </c>
      <c r="F177" t="str">
        <f t="shared" si="4"/>
        <v>SMB</v>
      </c>
      <c r="G177">
        <f>_xlfn.XLOOKUP(D177,tblStates[state_code],tblStates[territory_id],"Needs Review - Territory")</f>
        <v>3</v>
      </c>
      <c r="H177" t="str">
        <f>IF(E177="","",_xlfn.XLOOKUP(E177,tblUsers[user_id],tblUsers[job_title],"Owner Not Found"))</f>
        <v>SMB Account Executive</v>
      </c>
      <c r="I177" t="str">
        <f>IF(E177="","",_xlfn.XLOOKUP(E177,tblUsers[user_id],tblUsers[segment],"Owner Not Found"))</f>
        <v>SMB</v>
      </c>
      <c r="J177">
        <f>IF(E177="","",_xlfn.XLOOKUP(E177,tblUsers[user_id],tblUsers[territory_id],"Owner Not Found"))</f>
        <v>3</v>
      </c>
      <c r="K177" t="str">
        <f t="shared" si="5"/>
        <v>Routing Compatible</v>
      </c>
    </row>
    <row r="178" spans="1:11">
      <c r="A178" t="s">
        <v>2120</v>
      </c>
      <c r="B178" t="s">
        <v>448</v>
      </c>
      <c r="C178" t="s">
        <v>24</v>
      </c>
      <c r="D178" t="s">
        <v>16</v>
      </c>
      <c r="E178" t="s">
        <v>91</v>
      </c>
      <c r="F178" t="str">
        <f t="shared" si="4"/>
        <v>SMB</v>
      </c>
      <c r="G178">
        <f>_xlfn.XLOOKUP(D178,tblStates[state_code],tblStates[territory_id],"Needs Review - Territory")</f>
        <v>1</v>
      </c>
      <c r="H178" t="str">
        <f>IF(E178="","",_xlfn.XLOOKUP(E178,tblUsers[user_id],tblUsers[job_title],"Owner Not Found"))</f>
        <v>SMB Account Executive</v>
      </c>
      <c r="I178" t="str">
        <f>IF(E178="","",_xlfn.XLOOKUP(E178,tblUsers[user_id],tblUsers[segment],"Owner Not Found"))</f>
        <v>SMB</v>
      </c>
      <c r="J178">
        <f>IF(E178="","",_xlfn.XLOOKUP(E178,tblUsers[user_id],tblUsers[territory_id],"Owner Not Found"))</f>
        <v>1</v>
      </c>
      <c r="K178" t="str">
        <f t="shared" si="5"/>
        <v>Routing Compatible</v>
      </c>
    </row>
    <row r="179" spans="1:11">
      <c r="A179" t="s">
        <v>2124</v>
      </c>
      <c r="B179" t="s">
        <v>107</v>
      </c>
      <c r="C179" t="s">
        <v>30</v>
      </c>
      <c r="D179" t="s">
        <v>95</v>
      </c>
      <c r="E179" t="s">
        <v>18</v>
      </c>
      <c r="F179" t="str">
        <f t="shared" si="4"/>
        <v>MM</v>
      </c>
      <c r="G179">
        <f>_xlfn.XLOOKUP(D179,tblStates[state_code],tblStates[territory_id],"Needs Review - Territory")</f>
        <v>1</v>
      </c>
      <c r="H179" t="str">
        <f>IF(E179="","",_xlfn.XLOOKUP(E179,tblUsers[user_id],tblUsers[job_title],"Owner Not Found"))</f>
        <v>Mid-Market Account Executive</v>
      </c>
      <c r="I179" t="str">
        <f>IF(E179="","",_xlfn.XLOOKUP(E179,tblUsers[user_id],tblUsers[segment],"Owner Not Found"))</f>
        <v>MM</v>
      </c>
      <c r="J179">
        <f>IF(E179="","",_xlfn.XLOOKUP(E179,tblUsers[user_id],tblUsers[territory_id],"Owner Not Found"))</f>
        <v>1</v>
      </c>
      <c r="K179" t="str">
        <f t="shared" si="5"/>
        <v>Routing Compatible</v>
      </c>
    </row>
    <row r="180" spans="1:11">
      <c r="A180" t="s">
        <v>2127</v>
      </c>
      <c r="B180" t="s">
        <v>152</v>
      </c>
      <c r="C180" t="s">
        <v>24</v>
      </c>
      <c r="D180" t="s">
        <v>154</v>
      </c>
      <c r="E180" t="s">
        <v>25</v>
      </c>
      <c r="F180" t="str">
        <f t="shared" si="4"/>
        <v>SMB</v>
      </c>
      <c r="G180">
        <f>_xlfn.XLOOKUP(D180,tblStates[state_code],tblStates[territory_id],"Needs Review - Territory")</f>
        <v>2</v>
      </c>
      <c r="H180" t="str">
        <f>IF(E180="","",_xlfn.XLOOKUP(E180,tblUsers[user_id],tblUsers[job_title],"Owner Not Found"))</f>
        <v>SMB Account Executive</v>
      </c>
      <c r="I180" t="str">
        <f>IF(E180="","",_xlfn.XLOOKUP(E180,tblUsers[user_id],tblUsers[segment],"Owner Not Found"))</f>
        <v>SMB</v>
      </c>
      <c r="J180">
        <f>IF(E180="","",_xlfn.XLOOKUP(E180,tblUsers[user_id],tblUsers[territory_id],"Owner Not Found"))</f>
        <v>2</v>
      </c>
      <c r="K180" t="str">
        <f t="shared" si="5"/>
        <v>Routing Compatible</v>
      </c>
    </row>
    <row r="181" spans="1:11">
      <c r="A181" t="s">
        <v>2131</v>
      </c>
      <c r="B181" t="s">
        <v>689</v>
      </c>
      <c r="C181" t="s">
        <v>30</v>
      </c>
      <c r="D181" t="s">
        <v>140</v>
      </c>
      <c r="E181" t="s">
        <v>82</v>
      </c>
      <c r="F181" t="str">
        <f t="shared" si="4"/>
        <v>MM</v>
      </c>
      <c r="G181">
        <f>_xlfn.XLOOKUP(D181,tblStates[state_code],tblStates[territory_id],"Needs Review - Territory")</f>
        <v>2</v>
      </c>
      <c r="H181" t="str">
        <f>IF(E181="","",_xlfn.XLOOKUP(E181,tblUsers[user_id],tblUsers[job_title],"Owner Not Found"))</f>
        <v>Mid-Market Account Executive</v>
      </c>
      <c r="I181" t="str">
        <f>IF(E181="","",_xlfn.XLOOKUP(E181,tblUsers[user_id],tblUsers[segment],"Owner Not Found"))</f>
        <v>MM</v>
      </c>
      <c r="J181">
        <f>IF(E181="","",_xlfn.XLOOKUP(E181,tblUsers[user_id],tblUsers[territory_id],"Owner Not Found"))</f>
        <v>2</v>
      </c>
      <c r="K181" t="str">
        <f t="shared" si="5"/>
        <v>Routing Compatible</v>
      </c>
    </row>
    <row r="182" spans="1:11">
      <c r="A182" t="s">
        <v>2135</v>
      </c>
      <c r="B182" t="s">
        <v>435</v>
      </c>
      <c r="C182" t="s">
        <v>17</v>
      </c>
      <c r="D182" t="s">
        <v>116</v>
      </c>
      <c r="E182" t="s">
        <v>82</v>
      </c>
      <c r="F182" t="str">
        <f t="shared" si="4"/>
        <v>MM</v>
      </c>
      <c r="G182">
        <f>_xlfn.XLOOKUP(D182,tblStates[state_code],tblStates[territory_id],"Needs Review - Territory")</f>
        <v>2</v>
      </c>
      <c r="H182" t="str">
        <f>IF(E182="","",_xlfn.XLOOKUP(E182,tblUsers[user_id],tblUsers[job_title],"Owner Not Found"))</f>
        <v>Mid-Market Account Executive</v>
      </c>
      <c r="I182" t="str">
        <f>IF(E182="","",_xlfn.XLOOKUP(E182,tblUsers[user_id],tblUsers[segment],"Owner Not Found"))</f>
        <v>MM</v>
      </c>
      <c r="J182">
        <f>IF(E182="","",_xlfn.XLOOKUP(E182,tblUsers[user_id],tblUsers[territory_id],"Owner Not Found"))</f>
        <v>2</v>
      </c>
      <c r="K182" t="str">
        <f t="shared" si="5"/>
        <v>Routing Compatible</v>
      </c>
    </row>
    <row r="183" spans="1:11">
      <c r="A183" t="s">
        <v>2140</v>
      </c>
      <c r="B183" t="s">
        <v>93</v>
      </c>
      <c r="C183" t="s">
        <v>24</v>
      </c>
      <c r="D183" t="s">
        <v>95</v>
      </c>
      <c r="E183" t="s">
        <v>91</v>
      </c>
      <c r="F183" t="str">
        <f t="shared" si="4"/>
        <v>SMB</v>
      </c>
      <c r="G183">
        <f>_xlfn.XLOOKUP(D183,tblStates[state_code],tblStates[territory_id],"Needs Review - Territory")</f>
        <v>1</v>
      </c>
      <c r="H183" t="str">
        <f>IF(E183="","",_xlfn.XLOOKUP(E183,tblUsers[user_id],tblUsers[job_title],"Owner Not Found"))</f>
        <v>SMB Account Executive</v>
      </c>
      <c r="I183" t="str">
        <f>IF(E183="","",_xlfn.XLOOKUP(E183,tblUsers[user_id],tblUsers[segment],"Owner Not Found"))</f>
        <v>SMB</v>
      </c>
      <c r="J183">
        <f>IF(E183="","",_xlfn.XLOOKUP(E183,tblUsers[user_id],tblUsers[territory_id],"Owner Not Found"))</f>
        <v>1</v>
      </c>
      <c r="K183" t="str">
        <f t="shared" si="5"/>
        <v>Routing Compatible</v>
      </c>
    </row>
    <row r="184" spans="1:11">
      <c r="A184" t="s">
        <v>2144</v>
      </c>
      <c r="B184" t="s">
        <v>670</v>
      </c>
      <c r="C184" t="s">
        <v>24</v>
      </c>
      <c r="E184" t="s">
        <v>25</v>
      </c>
      <c r="F184" t="str">
        <f t="shared" si="4"/>
        <v>SMB</v>
      </c>
      <c r="G184" t="str">
        <f>_xlfn.XLOOKUP(D184,tblStates[state_code],tblStates[territory_id],"Needs Review - Territory")</f>
        <v>Needs Review - Territory</v>
      </c>
      <c r="H184" t="str">
        <f>IF(E184="","",_xlfn.XLOOKUP(E184,tblUsers[user_id],tblUsers[job_title],"Owner Not Found"))</f>
        <v>SMB Account Executive</v>
      </c>
      <c r="I184" t="str">
        <f>IF(E184="","",_xlfn.XLOOKUP(E184,tblUsers[user_id],tblUsers[segment],"Owner Not Found"))</f>
        <v>SMB</v>
      </c>
      <c r="J184">
        <f>IF(E184="","",_xlfn.XLOOKUP(E184,tblUsers[user_id],tblUsers[territory_id],"Owner Not Found"))</f>
        <v>2</v>
      </c>
      <c r="K184" t="str">
        <f t="shared" si="5"/>
        <v>Needs Review - Territory</v>
      </c>
    </row>
    <row r="185" spans="1:11">
      <c r="A185" t="s">
        <v>2147</v>
      </c>
      <c r="B185" t="s">
        <v>546</v>
      </c>
      <c r="C185" t="s">
        <v>24</v>
      </c>
      <c r="D185" t="s">
        <v>212</v>
      </c>
      <c r="E185" t="s">
        <v>69</v>
      </c>
      <c r="F185" t="str">
        <f t="shared" si="4"/>
        <v>SMB</v>
      </c>
      <c r="G185">
        <f>_xlfn.XLOOKUP(D185,tblStates[state_code],tblStates[territory_id],"Needs Review - Territory")</f>
        <v>3</v>
      </c>
      <c r="H185" t="str">
        <f>IF(E185="","",_xlfn.XLOOKUP(E185,tblUsers[user_id],tblUsers[job_title],"Owner Not Found"))</f>
        <v>SMB Account Executive</v>
      </c>
      <c r="I185" t="str">
        <f>IF(E185="","",_xlfn.XLOOKUP(E185,tblUsers[user_id],tblUsers[segment],"Owner Not Found"))</f>
        <v>SMB</v>
      </c>
      <c r="J185">
        <f>IF(E185="","",_xlfn.XLOOKUP(E185,tblUsers[user_id],tblUsers[territory_id],"Owner Not Found"))</f>
        <v>3</v>
      </c>
      <c r="K185" t="str">
        <f t="shared" si="5"/>
        <v>Routing Compatible</v>
      </c>
    </row>
    <row r="186" spans="1:11">
      <c r="A186" t="s">
        <v>2151</v>
      </c>
      <c r="B186" t="s">
        <v>901</v>
      </c>
      <c r="C186" t="s">
        <v>24</v>
      </c>
      <c r="D186" t="s">
        <v>68</v>
      </c>
      <c r="E186" t="s">
        <v>69</v>
      </c>
      <c r="F186" t="str">
        <f t="shared" si="4"/>
        <v>SMB</v>
      </c>
      <c r="G186">
        <f>_xlfn.XLOOKUP(D186,tblStates[state_code],tblStates[territory_id],"Needs Review - Territory")</f>
        <v>3</v>
      </c>
      <c r="H186" t="str">
        <f>IF(E186="","",_xlfn.XLOOKUP(E186,tblUsers[user_id],tblUsers[job_title],"Owner Not Found"))</f>
        <v>SMB Account Executive</v>
      </c>
      <c r="I186" t="str">
        <f>IF(E186="","",_xlfn.XLOOKUP(E186,tblUsers[user_id],tblUsers[segment],"Owner Not Found"))</f>
        <v>SMB</v>
      </c>
      <c r="J186">
        <f>IF(E186="","",_xlfn.XLOOKUP(E186,tblUsers[user_id],tblUsers[territory_id],"Owner Not Found"))</f>
        <v>3</v>
      </c>
      <c r="K186" t="str">
        <f t="shared" si="5"/>
        <v>Routing Compatible</v>
      </c>
    </row>
    <row r="187" spans="1:11">
      <c r="A187" t="s">
        <v>2154</v>
      </c>
      <c r="B187" t="s">
        <v>513</v>
      </c>
      <c r="C187" t="s">
        <v>24</v>
      </c>
      <c r="D187" t="s">
        <v>323</v>
      </c>
      <c r="E187" t="s">
        <v>25</v>
      </c>
      <c r="F187" t="str">
        <f t="shared" si="4"/>
        <v>SMB</v>
      </c>
      <c r="G187">
        <f>_xlfn.XLOOKUP(D187,tblStates[state_code],tblStates[territory_id],"Needs Review - Territory")</f>
        <v>2</v>
      </c>
      <c r="H187" t="str">
        <f>IF(E187="","",_xlfn.XLOOKUP(E187,tblUsers[user_id],tblUsers[job_title],"Owner Not Found"))</f>
        <v>SMB Account Executive</v>
      </c>
      <c r="I187" t="str">
        <f>IF(E187="","",_xlfn.XLOOKUP(E187,tblUsers[user_id],tblUsers[segment],"Owner Not Found"))</f>
        <v>SMB</v>
      </c>
      <c r="J187">
        <f>IF(E187="","",_xlfn.XLOOKUP(E187,tblUsers[user_id],tblUsers[territory_id],"Owner Not Found"))</f>
        <v>2</v>
      </c>
      <c r="K187" t="str">
        <f t="shared" si="5"/>
        <v>Routing Compatible</v>
      </c>
    </row>
    <row r="188" spans="1:11">
      <c r="A188" t="s">
        <v>2157</v>
      </c>
      <c r="B188" t="s">
        <v>831</v>
      </c>
      <c r="C188" t="s">
        <v>24</v>
      </c>
      <c r="D188" t="s">
        <v>81</v>
      </c>
      <c r="E188" t="s">
        <v>25</v>
      </c>
      <c r="F188" t="str">
        <f t="shared" si="4"/>
        <v>SMB</v>
      </c>
      <c r="G188">
        <f>_xlfn.XLOOKUP(D188,tblStates[state_code],tblStates[territory_id],"Needs Review - Territory")</f>
        <v>2</v>
      </c>
      <c r="H188" t="str">
        <f>IF(E188="","",_xlfn.XLOOKUP(E188,tblUsers[user_id],tblUsers[job_title],"Owner Not Found"))</f>
        <v>SMB Account Executive</v>
      </c>
      <c r="I188" t="str">
        <f>IF(E188="","",_xlfn.XLOOKUP(E188,tblUsers[user_id],tblUsers[segment],"Owner Not Found"))</f>
        <v>SMB</v>
      </c>
      <c r="J188">
        <f>IF(E188="","",_xlfn.XLOOKUP(E188,tblUsers[user_id],tblUsers[territory_id],"Owner Not Found"))</f>
        <v>2</v>
      </c>
      <c r="K188" t="str">
        <f t="shared" si="5"/>
        <v>Routing Compatible</v>
      </c>
    </row>
    <row r="189" spans="1:11">
      <c r="A189" t="s">
        <v>2160</v>
      </c>
      <c r="B189" t="s">
        <v>429</v>
      </c>
      <c r="C189" t="s">
        <v>30</v>
      </c>
      <c r="D189" t="s">
        <v>285</v>
      </c>
      <c r="E189" t="s">
        <v>36</v>
      </c>
      <c r="F189" t="str">
        <f t="shared" si="4"/>
        <v>MM</v>
      </c>
      <c r="G189">
        <f>_xlfn.XLOOKUP(D189,tblStates[state_code],tblStates[territory_id],"Needs Review - Territory")</f>
        <v>4</v>
      </c>
      <c r="H189" t="str">
        <f>IF(E189="","",_xlfn.XLOOKUP(E189,tblUsers[user_id],tblUsers[job_title],"Owner Not Found"))</f>
        <v>Mid-Market Account Executive</v>
      </c>
      <c r="I189" t="str">
        <f>IF(E189="","",_xlfn.XLOOKUP(E189,tblUsers[user_id],tblUsers[segment],"Owner Not Found"))</f>
        <v>MM</v>
      </c>
      <c r="J189">
        <f>IF(E189="","",_xlfn.XLOOKUP(E189,tblUsers[user_id],tblUsers[territory_id],"Owner Not Found"))</f>
        <v>4</v>
      </c>
      <c r="K189" t="str">
        <f t="shared" si="5"/>
        <v>Routing Compatible</v>
      </c>
    </row>
    <row r="190" spans="1:11">
      <c r="A190" t="s">
        <v>2164</v>
      </c>
      <c r="B190" t="s">
        <v>919</v>
      </c>
      <c r="C190" t="s">
        <v>17</v>
      </c>
      <c r="D190" t="s">
        <v>50</v>
      </c>
      <c r="E190" t="s">
        <v>36</v>
      </c>
      <c r="F190" t="str">
        <f t="shared" si="4"/>
        <v>MM</v>
      </c>
      <c r="G190">
        <f>_xlfn.XLOOKUP(D190,tblStates[state_code],tblStates[territory_id],"Needs Review - Territory")</f>
        <v>4</v>
      </c>
      <c r="H190" t="str">
        <f>IF(E190="","",_xlfn.XLOOKUP(E190,tblUsers[user_id],tblUsers[job_title],"Owner Not Found"))</f>
        <v>Mid-Market Account Executive</v>
      </c>
      <c r="I190" t="str">
        <f>IF(E190="","",_xlfn.XLOOKUP(E190,tblUsers[user_id],tblUsers[segment],"Owner Not Found"))</f>
        <v>MM</v>
      </c>
      <c r="J190">
        <f>IF(E190="","",_xlfn.XLOOKUP(E190,tblUsers[user_id],tblUsers[territory_id],"Owner Not Found"))</f>
        <v>4</v>
      </c>
      <c r="K190" t="str">
        <f t="shared" si="5"/>
        <v>Routing Compatible</v>
      </c>
    </row>
    <row r="191" spans="1:11">
      <c r="A191" t="s">
        <v>2169</v>
      </c>
      <c r="B191" t="s">
        <v>283</v>
      </c>
      <c r="C191" t="s">
        <v>30</v>
      </c>
      <c r="D191" t="s">
        <v>285</v>
      </c>
      <c r="E191" t="s">
        <v>36</v>
      </c>
      <c r="F191" t="str">
        <f t="shared" si="4"/>
        <v>MM</v>
      </c>
      <c r="G191">
        <f>_xlfn.XLOOKUP(D191,tblStates[state_code],tblStates[territory_id],"Needs Review - Territory")</f>
        <v>4</v>
      </c>
      <c r="H191" t="str">
        <f>IF(E191="","",_xlfn.XLOOKUP(E191,tblUsers[user_id],tblUsers[job_title],"Owner Not Found"))</f>
        <v>Mid-Market Account Executive</v>
      </c>
      <c r="I191" t="str">
        <f>IF(E191="","",_xlfn.XLOOKUP(E191,tblUsers[user_id],tblUsers[segment],"Owner Not Found"))</f>
        <v>MM</v>
      </c>
      <c r="J191">
        <f>IF(E191="","",_xlfn.XLOOKUP(E191,tblUsers[user_id],tblUsers[territory_id],"Owner Not Found"))</f>
        <v>4</v>
      </c>
      <c r="K191" t="str">
        <f t="shared" si="5"/>
        <v>Routing Compatible</v>
      </c>
    </row>
    <row r="192" spans="1:11">
      <c r="A192" t="s">
        <v>2172</v>
      </c>
      <c r="B192" t="s">
        <v>943</v>
      </c>
      <c r="C192" t="s">
        <v>30</v>
      </c>
      <c r="D192" t="s">
        <v>192</v>
      </c>
      <c r="E192" t="s">
        <v>55</v>
      </c>
      <c r="F192" t="str">
        <f t="shared" si="4"/>
        <v>MM</v>
      </c>
      <c r="G192">
        <f>_xlfn.XLOOKUP(D192,tblStates[state_code],tblStates[territory_id],"Needs Review - Territory")</f>
        <v>1</v>
      </c>
      <c r="H192" t="str">
        <f>IF(E192="","",_xlfn.XLOOKUP(E192,tblUsers[user_id],tblUsers[job_title],"Owner Not Found"))</f>
        <v>Mid-Market Account Executive</v>
      </c>
      <c r="I192" t="str">
        <f>IF(E192="","",_xlfn.XLOOKUP(E192,tblUsers[user_id],tblUsers[segment],"Owner Not Found"))</f>
        <v>MM</v>
      </c>
      <c r="J192">
        <f>IF(E192="","",_xlfn.XLOOKUP(E192,tblUsers[user_id],tblUsers[territory_id],"Owner Not Found"))</f>
        <v>3</v>
      </c>
      <c r="K192" t="str">
        <f t="shared" si="5"/>
        <v>Wrong AE Territory</v>
      </c>
    </row>
    <row r="193" spans="1:11">
      <c r="A193" t="s">
        <v>2176</v>
      </c>
      <c r="B193" t="s">
        <v>413</v>
      </c>
      <c r="C193" t="s">
        <v>17</v>
      </c>
      <c r="D193" t="s">
        <v>415</v>
      </c>
      <c r="E193" t="s">
        <v>55</v>
      </c>
      <c r="F193" t="str">
        <f t="shared" si="4"/>
        <v>MM</v>
      </c>
      <c r="G193">
        <f>_xlfn.XLOOKUP(D193,tblStates[state_code],tblStates[territory_id],"Needs Review - Territory")</f>
        <v>3</v>
      </c>
      <c r="H193" t="str">
        <f>IF(E193="","",_xlfn.XLOOKUP(E193,tblUsers[user_id],tblUsers[job_title],"Owner Not Found"))</f>
        <v>Mid-Market Account Executive</v>
      </c>
      <c r="I193" t="str">
        <f>IF(E193="","",_xlfn.XLOOKUP(E193,tblUsers[user_id],tblUsers[segment],"Owner Not Found"))</f>
        <v>MM</v>
      </c>
      <c r="J193">
        <f>IF(E193="","",_xlfn.XLOOKUP(E193,tblUsers[user_id],tblUsers[territory_id],"Owner Not Found"))</f>
        <v>3</v>
      </c>
      <c r="K193" t="str">
        <f t="shared" si="5"/>
        <v>Routing Compatible</v>
      </c>
    </row>
    <row r="194" spans="1:11">
      <c r="A194" t="s">
        <v>2179</v>
      </c>
      <c r="B194" t="s">
        <v>678</v>
      </c>
      <c r="C194" t="s">
        <v>17</v>
      </c>
      <c r="D194" t="s">
        <v>226</v>
      </c>
      <c r="E194" t="s">
        <v>55</v>
      </c>
      <c r="F194" t="str">
        <f t="shared" si="4"/>
        <v>MM</v>
      </c>
      <c r="G194">
        <f>_xlfn.XLOOKUP(D194,tblStates[state_code],tblStates[territory_id],"Needs Review - Territory")</f>
        <v>3</v>
      </c>
      <c r="H194" t="str">
        <f>IF(E194="","",_xlfn.XLOOKUP(E194,tblUsers[user_id],tblUsers[job_title],"Owner Not Found"))</f>
        <v>Mid-Market Account Executive</v>
      </c>
      <c r="I194" t="str">
        <f>IF(E194="","",_xlfn.XLOOKUP(E194,tblUsers[user_id],tblUsers[segment],"Owner Not Found"))</f>
        <v>MM</v>
      </c>
      <c r="J194">
        <f>IF(E194="","",_xlfn.XLOOKUP(E194,tblUsers[user_id],tblUsers[territory_id],"Owner Not Found"))</f>
        <v>3</v>
      </c>
      <c r="K194" t="str">
        <f t="shared" si="5"/>
        <v>Routing Compatible</v>
      </c>
    </row>
    <row r="195" spans="1:11">
      <c r="A195" t="s">
        <v>2183</v>
      </c>
      <c r="B195" t="s">
        <v>841</v>
      </c>
      <c r="C195" t="s">
        <v>24</v>
      </c>
      <c r="D195" t="s">
        <v>192</v>
      </c>
      <c r="E195" t="s">
        <v>91</v>
      </c>
      <c r="F195" t="str">
        <f t="shared" ref="F195:F258" si="6">IF(C195="SMB","SMB",IF(OR(C195="Mid-Market",C195="Upper Mid-Market"),"MM","Needs Review - Segment"))</f>
        <v>SMB</v>
      </c>
      <c r="G195">
        <f>_xlfn.XLOOKUP(D195,tblStates[state_code],tblStates[territory_id],"Needs Review - Territory")</f>
        <v>1</v>
      </c>
      <c r="H195" t="str">
        <f>IF(E195="","",_xlfn.XLOOKUP(E195,tblUsers[user_id],tblUsers[job_title],"Owner Not Found"))</f>
        <v>SMB Account Executive</v>
      </c>
      <c r="I195" t="str">
        <f>IF(E195="","",_xlfn.XLOOKUP(E195,tblUsers[user_id],tblUsers[segment],"Owner Not Found"))</f>
        <v>SMB</v>
      </c>
      <c r="J195">
        <f>IF(E195="","",_xlfn.XLOOKUP(E195,tblUsers[user_id],tblUsers[territory_id],"Owner Not Found"))</f>
        <v>1</v>
      </c>
      <c r="K195" t="str">
        <f t="shared" ref="K195:K258" si="7">IF(E195="","Unassigned",IF(F195="Needs Review - Segment","Needs Review - Segment",IF(G195="Needs Review - Territory","Needs Review - Territory",IF(I195&lt;&gt;F195,"Wrong Segment",IF(AND(ISNUMBER(SEARCH("Account Executive",H195)),J195&lt;&gt;G195),"Wrong AE Territory",IF(OR(ISNUMBER(SEARCH("Account Executive",H195)),H195="Sales Development Representative"),"Routing Compatible","Unexpected Owner Role"))))))</f>
        <v>Routing Compatible</v>
      </c>
    </row>
    <row r="196" spans="1:11">
      <c r="A196" t="s">
        <v>2188</v>
      </c>
      <c r="B196" t="s">
        <v>228</v>
      </c>
      <c r="C196" t="s">
        <v>17</v>
      </c>
      <c r="D196" t="s">
        <v>50</v>
      </c>
      <c r="E196" t="s">
        <v>36</v>
      </c>
      <c r="F196" t="str">
        <f t="shared" si="6"/>
        <v>MM</v>
      </c>
      <c r="G196">
        <f>_xlfn.XLOOKUP(D196,tblStates[state_code],tblStates[territory_id],"Needs Review - Territory")</f>
        <v>4</v>
      </c>
      <c r="H196" t="str">
        <f>IF(E196="","",_xlfn.XLOOKUP(E196,tblUsers[user_id],tblUsers[job_title],"Owner Not Found"))</f>
        <v>Mid-Market Account Executive</v>
      </c>
      <c r="I196" t="str">
        <f>IF(E196="","",_xlfn.XLOOKUP(E196,tblUsers[user_id],tblUsers[segment],"Owner Not Found"))</f>
        <v>MM</v>
      </c>
      <c r="J196">
        <f>IF(E196="","",_xlfn.XLOOKUP(E196,tblUsers[user_id],tblUsers[territory_id],"Owner Not Found"))</f>
        <v>4</v>
      </c>
      <c r="K196" t="str">
        <f t="shared" si="7"/>
        <v>Routing Compatible</v>
      </c>
    </row>
    <row r="197" spans="1:11">
      <c r="A197" t="s">
        <v>2192</v>
      </c>
      <c r="B197" t="s">
        <v>244</v>
      </c>
      <c r="C197" t="s">
        <v>24</v>
      </c>
      <c r="D197" t="s">
        <v>154</v>
      </c>
      <c r="E197" t="s">
        <v>25</v>
      </c>
      <c r="F197" t="str">
        <f t="shared" si="6"/>
        <v>SMB</v>
      </c>
      <c r="G197">
        <f>_xlfn.XLOOKUP(D197,tblStates[state_code],tblStates[territory_id],"Needs Review - Territory")</f>
        <v>2</v>
      </c>
      <c r="H197" t="str">
        <f>IF(E197="","",_xlfn.XLOOKUP(E197,tblUsers[user_id],tblUsers[job_title],"Owner Not Found"))</f>
        <v>SMB Account Executive</v>
      </c>
      <c r="I197" t="str">
        <f>IF(E197="","",_xlfn.XLOOKUP(E197,tblUsers[user_id],tblUsers[segment],"Owner Not Found"))</f>
        <v>SMB</v>
      </c>
      <c r="J197">
        <f>IF(E197="","",_xlfn.XLOOKUP(E197,tblUsers[user_id],tblUsers[territory_id],"Owner Not Found"))</f>
        <v>2</v>
      </c>
      <c r="K197" t="str">
        <f t="shared" si="7"/>
        <v>Routing Compatible</v>
      </c>
    </row>
    <row r="198" spans="1:11">
      <c r="A198" t="s">
        <v>2195</v>
      </c>
      <c r="B198" t="s">
        <v>104</v>
      </c>
      <c r="C198" t="s">
        <v>24</v>
      </c>
      <c r="D198" t="s">
        <v>68</v>
      </c>
      <c r="E198" t="s">
        <v>69</v>
      </c>
      <c r="F198" t="str">
        <f t="shared" si="6"/>
        <v>SMB</v>
      </c>
      <c r="G198">
        <f>_xlfn.XLOOKUP(D198,tblStates[state_code],tblStates[territory_id],"Needs Review - Territory")</f>
        <v>3</v>
      </c>
      <c r="H198" t="str">
        <f>IF(E198="","",_xlfn.XLOOKUP(E198,tblUsers[user_id],tblUsers[job_title],"Owner Not Found"))</f>
        <v>SMB Account Executive</v>
      </c>
      <c r="I198" t="str">
        <f>IF(E198="","",_xlfn.XLOOKUP(E198,tblUsers[user_id],tblUsers[segment],"Owner Not Found"))</f>
        <v>SMB</v>
      </c>
      <c r="J198">
        <f>IF(E198="","",_xlfn.XLOOKUP(E198,tblUsers[user_id],tblUsers[territory_id],"Owner Not Found"))</f>
        <v>3</v>
      </c>
      <c r="K198" t="str">
        <f t="shared" si="7"/>
        <v>Routing Compatible</v>
      </c>
    </row>
    <row r="199" spans="1:11">
      <c r="A199" t="s">
        <v>2199</v>
      </c>
      <c r="B199" t="s">
        <v>770</v>
      </c>
      <c r="C199" t="s">
        <v>24</v>
      </c>
      <c r="D199" t="s">
        <v>154</v>
      </c>
      <c r="E199" t="s">
        <v>25</v>
      </c>
      <c r="F199" t="str">
        <f t="shared" si="6"/>
        <v>SMB</v>
      </c>
      <c r="G199">
        <f>_xlfn.XLOOKUP(D199,tblStates[state_code],tblStates[territory_id],"Needs Review - Territory")</f>
        <v>2</v>
      </c>
      <c r="H199" t="str">
        <f>IF(E199="","",_xlfn.XLOOKUP(E199,tblUsers[user_id],tblUsers[job_title],"Owner Not Found"))</f>
        <v>SMB Account Executive</v>
      </c>
      <c r="I199" t="str">
        <f>IF(E199="","",_xlfn.XLOOKUP(E199,tblUsers[user_id],tblUsers[segment],"Owner Not Found"))</f>
        <v>SMB</v>
      </c>
      <c r="J199">
        <f>IF(E199="","",_xlfn.XLOOKUP(E199,tblUsers[user_id],tblUsers[territory_id],"Owner Not Found"))</f>
        <v>2</v>
      </c>
      <c r="K199" t="str">
        <f t="shared" si="7"/>
        <v>Routing Compatible</v>
      </c>
    </row>
    <row r="200" spans="1:11">
      <c r="A200" t="s">
        <v>2203</v>
      </c>
      <c r="B200" t="s">
        <v>952</v>
      </c>
      <c r="C200" t="s">
        <v>24</v>
      </c>
      <c r="D200" t="s">
        <v>35</v>
      </c>
      <c r="E200" t="s">
        <v>59</v>
      </c>
      <c r="F200" t="str">
        <f t="shared" si="6"/>
        <v>SMB</v>
      </c>
      <c r="G200">
        <f>_xlfn.XLOOKUP(D200,tblStates[state_code],tblStates[territory_id],"Needs Review - Territory")</f>
        <v>4</v>
      </c>
      <c r="H200" t="str">
        <f>IF(E200="","",_xlfn.XLOOKUP(E200,tblUsers[user_id],tblUsers[job_title],"Owner Not Found"))</f>
        <v>SMB Account Executive</v>
      </c>
      <c r="I200" t="str">
        <f>IF(E200="","",_xlfn.XLOOKUP(E200,tblUsers[user_id],tblUsers[segment],"Owner Not Found"))</f>
        <v>SMB</v>
      </c>
      <c r="J200">
        <f>IF(E200="","",_xlfn.XLOOKUP(E200,tblUsers[user_id],tblUsers[territory_id],"Owner Not Found"))</f>
        <v>4</v>
      </c>
      <c r="K200" t="str">
        <f t="shared" si="7"/>
        <v>Routing Compatible</v>
      </c>
    </row>
    <row r="201" spans="1:11">
      <c r="A201" t="s">
        <v>2207</v>
      </c>
      <c r="B201" t="s">
        <v>755</v>
      </c>
      <c r="C201" t="s">
        <v>17</v>
      </c>
      <c r="D201" t="s">
        <v>212</v>
      </c>
      <c r="E201" t="s">
        <v>55</v>
      </c>
      <c r="F201" t="str">
        <f t="shared" si="6"/>
        <v>MM</v>
      </c>
      <c r="G201">
        <f>_xlfn.XLOOKUP(D201,tblStates[state_code],tblStates[territory_id],"Needs Review - Territory")</f>
        <v>3</v>
      </c>
      <c r="H201" t="str">
        <f>IF(E201="","",_xlfn.XLOOKUP(E201,tblUsers[user_id],tblUsers[job_title],"Owner Not Found"))</f>
        <v>Mid-Market Account Executive</v>
      </c>
      <c r="I201" t="str">
        <f>IF(E201="","",_xlfn.XLOOKUP(E201,tblUsers[user_id],tblUsers[segment],"Owner Not Found"))</f>
        <v>MM</v>
      </c>
      <c r="J201">
        <f>IF(E201="","",_xlfn.XLOOKUP(E201,tblUsers[user_id],tblUsers[territory_id],"Owner Not Found"))</f>
        <v>3</v>
      </c>
      <c r="K201" t="str">
        <f t="shared" si="7"/>
        <v>Routing Compatible</v>
      </c>
    </row>
    <row r="202" spans="1:11">
      <c r="A202" t="s">
        <v>2210</v>
      </c>
      <c r="B202" t="s">
        <v>552</v>
      </c>
      <c r="C202" t="s">
        <v>24</v>
      </c>
      <c r="D202" t="s">
        <v>16</v>
      </c>
      <c r="E202" t="s">
        <v>91</v>
      </c>
      <c r="F202" t="str">
        <f t="shared" si="6"/>
        <v>SMB</v>
      </c>
      <c r="G202">
        <f>_xlfn.XLOOKUP(D202,tblStates[state_code],tblStates[territory_id],"Needs Review - Territory")</f>
        <v>1</v>
      </c>
      <c r="H202" t="str">
        <f>IF(E202="","",_xlfn.XLOOKUP(E202,tblUsers[user_id],tblUsers[job_title],"Owner Not Found"))</f>
        <v>SMB Account Executive</v>
      </c>
      <c r="I202" t="str">
        <f>IF(E202="","",_xlfn.XLOOKUP(E202,tblUsers[user_id],tblUsers[segment],"Owner Not Found"))</f>
        <v>SMB</v>
      </c>
      <c r="J202">
        <f>IF(E202="","",_xlfn.XLOOKUP(E202,tblUsers[user_id],tblUsers[territory_id],"Owner Not Found"))</f>
        <v>1</v>
      </c>
      <c r="K202" t="str">
        <f t="shared" si="7"/>
        <v>Routing Compatible</v>
      </c>
    </row>
    <row r="203" spans="1:11">
      <c r="A203" t="s">
        <v>2214</v>
      </c>
      <c r="B203" t="s">
        <v>596</v>
      </c>
      <c r="C203" t="s">
        <v>24</v>
      </c>
      <c r="D203" t="s">
        <v>23</v>
      </c>
      <c r="E203" t="s">
        <v>25</v>
      </c>
      <c r="F203" t="str">
        <f t="shared" si="6"/>
        <v>SMB</v>
      </c>
      <c r="G203">
        <f>_xlfn.XLOOKUP(D203,tblStates[state_code],tblStates[territory_id],"Needs Review - Territory")</f>
        <v>2</v>
      </c>
      <c r="H203" t="str">
        <f>IF(E203="","",_xlfn.XLOOKUP(E203,tblUsers[user_id],tblUsers[job_title],"Owner Not Found"))</f>
        <v>SMB Account Executive</v>
      </c>
      <c r="I203" t="str">
        <f>IF(E203="","",_xlfn.XLOOKUP(E203,tblUsers[user_id],tblUsers[segment],"Owner Not Found"))</f>
        <v>SMB</v>
      </c>
      <c r="J203">
        <f>IF(E203="","",_xlfn.XLOOKUP(E203,tblUsers[user_id],tblUsers[territory_id],"Owner Not Found"))</f>
        <v>2</v>
      </c>
      <c r="K203" t="str">
        <f t="shared" si="7"/>
        <v>Routing Compatible</v>
      </c>
    </row>
    <row r="204" spans="1:11">
      <c r="A204" t="s">
        <v>2218</v>
      </c>
      <c r="B204" t="s">
        <v>104</v>
      </c>
      <c r="C204" t="s">
        <v>24</v>
      </c>
      <c r="D204" t="s">
        <v>68</v>
      </c>
      <c r="E204" t="s">
        <v>69</v>
      </c>
      <c r="F204" t="str">
        <f t="shared" si="6"/>
        <v>SMB</v>
      </c>
      <c r="G204">
        <f>_xlfn.XLOOKUP(D204,tblStates[state_code],tblStates[territory_id],"Needs Review - Territory")</f>
        <v>3</v>
      </c>
      <c r="H204" t="str">
        <f>IF(E204="","",_xlfn.XLOOKUP(E204,tblUsers[user_id],tblUsers[job_title],"Owner Not Found"))</f>
        <v>SMB Account Executive</v>
      </c>
      <c r="I204" t="str">
        <f>IF(E204="","",_xlfn.XLOOKUP(E204,tblUsers[user_id],tblUsers[segment],"Owner Not Found"))</f>
        <v>SMB</v>
      </c>
      <c r="J204">
        <f>IF(E204="","",_xlfn.XLOOKUP(E204,tblUsers[user_id],tblUsers[territory_id],"Owner Not Found"))</f>
        <v>3</v>
      </c>
      <c r="K204" t="str">
        <f t="shared" si="7"/>
        <v>Routing Compatible</v>
      </c>
    </row>
    <row r="205" spans="1:11">
      <c r="A205" t="s">
        <v>2222</v>
      </c>
      <c r="B205" t="s">
        <v>886</v>
      </c>
      <c r="C205" t="s">
        <v>24</v>
      </c>
      <c r="D205" t="s">
        <v>81</v>
      </c>
      <c r="E205" t="s">
        <v>25</v>
      </c>
      <c r="F205" t="str">
        <f t="shared" si="6"/>
        <v>SMB</v>
      </c>
      <c r="G205">
        <f>_xlfn.XLOOKUP(D205,tblStates[state_code],tblStates[territory_id],"Needs Review - Territory")</f>
        <v>2</v>
      </c>
      <c r="H205" t="str">
        <f>IF(E205="","",_xlfn.XLOOKUP(E205,tblUsers[user_id],tblUsers[job_title],"Owner Not Found"))</f>
        <v>SMB Account Executive</v>
      </c>
      <c r="I205" t="str">
        <f>IF(E205="","",_xlfn.XLOOKUP(E205,tblUsers[user_id],tblUsers[segment],"Owner Not Found"))</f>
        <v>SMB</v>
      </c>
      <c r="J205">
        <f>IF(E205="","",_xlfn.XLOOKUP(E205,tblUsers[user_id],tblUsers[territory_id],"Owner Not Found"))</f>
        <v>2</v>
      </c>
      <c r="K205" t="str">
        <f t="shared" si="7"/>
        <v>Routing Compatible</v>
      </c>
    </row>
    <row r="206" spans="1:11">
      <c r="A206" t="s">
        <v>2226</v>
      </c>
      <c r="B206" t="s">
        <v>828</v>
      </c>
      <c r="C206" t="s">
        <v>30</v>
      </c>
      <c r="D206" t="s">
        <v>50</v>
      </c>
      <c r="E206" t="s">
        <v>36</v>
      </c>
      <c r="F206" t="str">
        <f t="shared" si="6"/>
        <v>MM</v>
      </c>
      <c r="G206">
        <f>_xlfn.XLOOKUP(D206,tblStates[state_code],tblStates[territory_id],"Needs Review - Territory")</f>
        <v>4</v>
      </c>
      <c r="H206" t="str">
        <f>IF(E206="","",_xlfn.XLOOKUP(E206,tblUsers[user_id],tblUsers[job_title],"Owner Not Found"))</f>
        <v>Mid-Market Account Executive</v>
      </c>
      <c r="I206" t="str">
        <f>IF(E206="","",_xlfn.XLOOKUP(E206,tblUsers[user_id],tblUsers[segment],"Owner Not Found"))</f>
        <v>MM</v>
      </c>
      <c r="J206">
        <f>IF(E206="","",_xlfn.XLOOKUP(E206,tblUsers[user_id],tblUsers[territory_id],"Owner Not Found"))</f>
        <v>4</v>
      </c>
      <c r="K206" t="str">
        <f t="shared" si="7"/>
        <v>Routing Compatible</v>
      </c>
    </row>
    <row r="207" spans="1:11">
      <c r="A207" t="s">
        <v>2230</v>
      </c>
      <c r="B207" t="s">
        <v>1036</v>
      </c>
      <c r="C207" t="s">
        <v>24</v>
      </c>
      <c r="D207" t="s">
        <v>81</v>
      </c>
      <c r="E207" t="s">
        <v>25</v>
      </c>
      <c r="F207" t="str">
        <f t="shared" si="6"/>
        <v>SMB</v>
      </c>
      <c r="G207">
        <f>_xlfn.XLOOKUP(D207,tblStates[state_code],tblStates[territory_id],"Needs Review - Territory")</f>
        <v>2</v>
      </c>
      <c r="H207" t="str">
        <f>IF(E207="","",_xlfn.XLOOKUP(E207,tblUsers[user_id],tblUsers[job_title],"Owner Not Found"))</f>
        <v>SMB Account Executive</v>
      </c>
      <c r="I207" t="str">
        <f>IF(E207="","",_xlfn.XLOOKUP(E207,tblUsers[user_id],tblUsers[segment],"Owner Not Found"))</f>
        <v>SMB</v>
      </c>
      <c r="J207">
        <f>IF(E207="","",_xlfn.XLOOKUP(E207,tblUsers[user_id],tblUsers[territory_id],"Owner Not Found"))</f>
        <v>2</v>
      </c>
      <c r="K207" t="str">
        <f t="shared" si="7"/>
        <v>Routing Compatible</v>
      </c>
    </row>
    <row r="208" spans="1:11">
      <c r="A208" t="s">
        <v>2234</v>
      </c>
      <c r="B208" t="s">
        <v>673</v>
      </c>
      <c r="C208" t="s">
        <v>24</v>
      </c>
      <c r="D208" t="s">
        <v>50</v>
      </c>
      <c r="E208" t="s">
        <v>59</v>
      </c>
      <c r="F208" t="str">
        <f t="shared" si="6"/>
        <v>SMB</v>
      </c>
      <c r="G208">
        <f>_xlfn.XLOOKUP(D208,tblStates[state_code],tblStates[territory_id],"Needs Review - Territory")</f>
        <v>4</v>
      </c>
      <c r="H208" t="str">
        <f>IF(E208="","",_xlfn.XLOOKUP(E208,tblUsers[user_id],tblUsers[job_title],"Owner Not Found"))</f>
        <v>SMB Account Executive</v>
      </c>
      <c r="I208" t="str">
        <f>IF(E208="","",_xlfn.XLOOKUP(E208,tblUsers[user_id],tblUsers[segment],"Owner Not Found"))</f>
        <v>SMB</v>
      </c>
      <c r="J208">
        <f>IF(E208="","",_xlfn.XLOOKUP(E208,tblUsers[user_id],tblUsers[territory_id],"Owner Not Found"))</f>
        <v>4</v>
      </c>
      <c r="K208" t="str">
        <f t="shared" si="7"/>
        <v>Routing Compatible</v>
      </c>
    </row>
    <row r="209" spans="1:11">
      <c r="A209" t="s">
        <v>2238</v>
      </c>
      <c r="B209" t="s">
        <v>1017</v>
      </c>
      <c r="C209" t="s">
        <v>30</v>
      </c>
      <c r="D209" t="s">
        <v>50</v>
      </c>
      <c r="E209" t="s">
        <v>36</v>
      </c>
      <c r="F209" t="str">
        <f t="shared" si="6"/>
        <v>MM</v>
      </c>
      <c r="G209">
        <f>_xlfn.XLOOKUP(D209,tblStates[state_code],tblStates[territory_id],"Needs Review - Territory")</f>
        <v>4</v>
      </c>
      <c r="H209" t="str">
        <f>IF(E209="","",_xlfn.XLOOKUP(E209,tblUsers[user_id],tblUsers[job_title],"Owner Not Found"))</f>
        <v>Mid-Market Account Executive</v>
      </c>
      <c r="I209" t="str">
        <f>IF(E209="","",_xlfn.XLOOKUP(E209,tblUsers[user_id],tblUsers[segment],"Owner Not Found"))</f>
        <v>MM</v>
      </c>
      <c r="J209">
        <f>IF(E209="","",_xlfn.XLOOKUP(E209,tblUsers[user_id],tblUsers[territory_id],"Owner Not Found"))</f>
        <v>4</v>
      </c>
      <c r="K209" t="str">
        <f t="shared" si="7"/>
        <v>Routing Compatible</v>
      </c>
    </row>
    <row r="210" spans="1:11">
      <c r="A210" t="s">
        <v>2241</v>
      </c>
      <c r="B210" t="s">
        <v>410</v>
      </c>
      <c r="C210" t="s">
        <v>24</v>
      </c>
      <c r="D210" t="s">
        <v>68</v>
      </c>
      <c r="E210" t="s">
        <v>69</v>
      </c>
      <c r="F210" t="str">
        <f t="shared" si="6"/>
        <v>SMB</v>
      </c>
      <c r="G210">
        <f>_xlfn.XLOOKUP(D210,tblStates[state_code],tblStates[territory_id],"Needs Review - Territory")</f>
        <v>3</v>
      </c>
      <c r="H210" t="str">
        <f>IF(E210="","",_xlfn.XLOOKUP(E210,tblUsers[user_id],tblUsers[job_title],"Owner Not Found"))</f>
        <v>SMB Account Executive</v>
      </c>
      <c r="I210" t="str">
        <f>IF(E210="","",_xlfn.XLOOKUP(E210,tblUsers[user_id],tblUsers[segment],"Owner Not Found"))</f>
        <v>SMB</v>
      </c>
      <c r="J210">
        <f>IF(E210="","",_xlfn.XLOOKUP(E210,tblUsers[user_id],tblUsers[territory_id],"Owner Not Found"))</f>
        <v>3</v>
      </c>
      <c r="K210" t="str">
        <f t="shared" si="7"/>
        <v>Routing Compatible</v>
      </c>
    </row>
    <row r="211" spans="1:11">
      <c r="A211" t="s">
        <v>2245</v>
      </c>
      <c r="B211" t="s">
        <v>492</v>
      </c>
      <c r="C211" t="s">
        <v>17</v>
      </c>
      <c r="D211" t="s">
        <v>16</v>
      </c>
      <c r="E211" t="s">
        <v>18</v>
      </c>
      <c r="F211" t="str">
        <f t="shared" si="6"/>
        <v>MM</v>
      </c>
      <c r="G211">
        <f>_xlfn.XLOOKUP(D211,tblStates[state_code],tblStates[territory_id],"Needs Review - Territory")</f>
        <v>1</v>
      </c>
      <c r="H211" t="str">
        <f>IF(E211="","",_xlfn.XLOOKUP(E211,tblUsers[user_id],tblUsers[job_title],"Owner Not Found"))</f>
        <v>Mid-Market Account Executive</v>
      </c>
      <c r="I211" t="str">
        <f>IF(E211="","",_xlfn.XLOOKUP(E211,tblUsers[user_id],tblUsers[segment],"Owner Not Found"))</f>
        <v>MM</v>
      </c>
      <c r="J211">
        <f>IF(E211="","",_xlfn.XLOOKUP(E211,tblUsers[user_id],tblUsers[territory_id],"Owner Not Found"))</f>
        <v>1</v>
      </c>
      <c r="K211" t="str">
        <f t="shared" si="7"/>
        <v>Routing Compatible</v>
      </c>
    </row>
    <row r="212" spans="1:11">
      <c r="A212" t="s">
        <v>2249</v>
      </c>
      <c r="B212" t="s">
        <v>184</v>
      </c>
      <c r="C212" t="s">
        <v>24</v>
      </c>
      <c r="D212" t="s">
        <v>81</v>
      </c>
      <c r="E212" t="s">
        <v>25</v>
      </c>
      <c r="F212" t="str">
        <f t="shared" si="6"/>
        <v>SMB</v>
      </c>
      <c r="G212">
        <f>_xlfn.XLOOKUP(D212,tblStates[state_code],tblStates[territory_id],"Needs Review - Territory")</f>
        <v>2</v>
      </c>
      <c r="H212" t="str">
        <f>IF(E212="","",_xlfn.XLOOKUP(E212,tblUsers[user_id],tblUsers[job_title],"Owner Not Found"))</f>
        <v>SMB Account Executive</v>
      </c>
      <c r="I212" t="str">
        <f>IF(E212="","",_xlfn.XLOOKUP(E212,tblUsers[user_id],tblUsers[segment],"Owner Not Found"))</f>
        <v>SMB</v>
      </c>
      <c r="J212">
        <f>IF(E212="","",_xlfn.XLOOKUP(E212,tblUsers[user_id],tblUsers[territory_id],"Owner Not Found"))</f>
        <v>2</v>
      </c>
      <c r="K212" t="str">
        <f t="shared" si="7"/>
        <v>Routing Compatible</v>
      </c>
    </row>
    <row r="213" spans="1:11">
      <c r="A213" t="s">
        <v>2253</v>
      </c>
      <c r="B213" t="s">
        <v>749</v>
      </c>
      <c r="C213" t="s">
        <v>30</v>
      </c>
      <c r="D213" t="s">
        <v>50</v>
      </c>
      <c r="E213" t="s">
        <v>36</v>
      </c>
      <c r="F213" t="str">
        <f t="shared" si="6"/>
        <v>MM</v>
      </c>
      <c r="G213">
        <f>_xlfn.XLOOKUP(D213,tblStates[state_code],tblStates[territory_id],"Needs Review - Territory")</f>
        <v>4</v>
      </c>
      <c r="H213" t="str">
        <f>IF(E213="","",_xlfn.XLOOKUP(E213,tblUsers[user_id],tblUsers[job_title],"Owner Not Found"))</f>
        <v>Mid-Market Account Executive</v>
      </c>
      <c r="I213" t="str">
        <f>IF(E213="","",_xlfn.XLOOKUP(E213,tblUsers[user_id],tblUsers[segment],"Owner Not Found"))</f>
        <v>MM</v>
      </c>
      <c r="J213">
        <f>IF(E213="","",_xlfn.XLOOKUP(E213,tblUsers[user_id],tblUsers[territory_id],"Owner Not Found"))</f>
        <v>4</v>
      </c>
      <c r="K213" t="str">
        <f t="shared" si="7"/>
        <v>Routing Compatible</v>
      </c>
    </row>
    <row r="214" spans="1:11">
      <c r="A214" t="s">
        <v>2256</v>
      </c>
      <c r="B214" t="s">
        <v>498</v>
      </c>
      <c r="C214" t="s">
        <v>24</v>
      </c>
      <c r="D214" t="s">
        <v>50</v>
      </c>
      <c r="E214" t="s">
        <v>59</v>
      </c>
      <c r="F214" t="str">
        <f t="shared" si="6"/>
        <v>SMB</v>
      </c>
      <c r="G214">
        <f>_xlfn.XLOOKUP(D214,tblStates[state_code],tblStates[territory_id],"Needs Review - Territory")</f>
        <v>4</v>
      </c>
      <c r="H214" t="str">
        <f>IF(E214="","",_xlfn.XLOOKUP(E214,tblUsers[user_id],tblUsers[job_title],"Owner Not Found"))</f>
        <v>SMB Account Executive</v>
      </c>
      <c r="I214" t="str">
        <f>IF(E214="","",_xlfn.XLOOKUP(E214,tblUsers[user_id],tblUsers[segment],"Owner Not Found"))</f>
        <v>SMB</v>
      </c>
      <c r="J214">
        <f>IF(E214="","",_xlfn.XLOOKUP(E214,tblUsers[user_id],tblUsers[territory_id],"Owner Not Found"))</f>
        <v>4</v>
      </c>
      <c r="K214" t="str">
        <f t="shared" si="7"/>
        <v>Routing Compatible</v>
      </c>
    </row>
    <row r="215" spans="1:11">
      <c r="A215" t="s">
        <v>2260</v>
      </c>
      <c r="B215" t="s">
        <v>495</v>
      </c>
      <c r="C215" t="s">
        <v>30</v>
      </c>
      <c r="D215" t="s">
        <v>50</v>
      </c>
      <c r="E215" t="s">
        <v>36</v>
      </c>
      <c r="F215" t="str">
        <f t="shared" si="6"/>
        <v>MM</v>
      </c>
      <c r="G215">
        <f>_xlfn.XLOOKUP(D215,tblStates[state_code],tblStates[territory_id],"Needs Review - Territory")</f>
        <v>4</v>
      </c>
      <c r="H215" t="str">
        <f>IF(E215="","",_xlfn.XLOOKUP(E215,tblUsers[user_id],tblUsers[job_title],"Owner Not Found"))</f>
        <v>Mid-Market Account Executive</v>
      </c>
      <c r="I215" t="str">
        <f>IF(E215="","",_xlfn.XLOOKUP(E215,tblUsers[user_id],tblUsers[segment],"Owner Not Found"))</f>
        <v>MM</v>
      </c>
      <c r="J215">
        <f>IF(E215="","",_xlfn.XLOOKUP(E215,tblUsers[user_id],tblUsers[territory_id],"Owner Not Found"))</f>
        <v>4</v>
      </c>
      <c r="K215" t="str">
        <f t="shared" si="7"/>
        <v>Routing Compatible</v>
      </c>
    </row>
    <row r="216" spans="1:11">
      <c r="A216" t="s">
        <v>2263</v>
      </c>
      <c r="B216" t="s">
        <v>649</v>
      </c>
      <c r="C216" t="s">
        <v>24</v>
      </c>
      <c r="D216" t="s">
        <v>216</v>
      </c>
      <c r="E216" t="s">
        <v>91</v>
      </c>
      <c r="F216" t="str">
        <f t="shared" si="6"/>
        <v>SMB</v>
      </c>
      <c r="G216">
        <f>_xlfn.XLOOKUP(D216,tblStates[state_code],tblStates[territory_id],"Needs Review - Territory")</f>
        <v>1</v>
      </c>
      <c r="H216" t="str">
        <f>IF(E216="","",_xlfn.XLOOKUP(E216,tblUsers[user_id],tblUsers[job_title],"Owner Not Found"))</f>
        <v>SMB Account Executive</v>
      </c>
      <c r="I216" t="str">
        <f>IF(E216="","",_xlfn.XLOOKUP(E216,tblUsers[user_id],tblUsers[segment],"Owner Not Found"))</f>
        <v>SMB</v>
      </c>
      <c r="J216">
        <f>IF(E216="","",_xlfn.XLOOKUP(E216,tblUsers[user_id],tblUsers[territory_id],"Owner Not Found"))</f>
        <v>1</v>
      </c>
      <c r="K216" t="str">
        <f t="shared" si="7"/>
        <v>Routing Compatible</v>
      </c>
    </row>
    <row r="217" spans="1:11">
      <c r="A217" t="s">
        <v>2266</v>
      </c>
      <c r="B217" t="s">
        <v>466</v>
      </c>
      <c r="C217" t="s">
        <v>30</v>
      </c>
      <c r="D217" t="s">
        <v>216</v>
      </c>
      <c r="E217" t="s">
        <v>18</v>
      </c>
      <c r="F217" t="str">
        <f t="shared" si="6"/>
        <v>MM</v>
      </c>
      <c r="G217">
        <f>_xlfn.XLOOKUP(D217,tblStates[state_code],tblStates[territory_id],"Needs Review - Territory")</f>
        <v>1</v>
      </c>
      <c r="H217" t="str">
        <f>IF(E217="","",_xlfn.XLOOKUP(E217,tblUsers[user_id],tblUsers[job_title],"Owner Not Found"))</f>
        <v>Mid-Market Account Executive</v>
      </c>
      <c r="I217" t="str">
        <f>IF(E217="","",_xlfn.XLOOKUP(E217,tblUsers[user_id],tblUsers[segment],"Owner Not Found"))</f>
        <v>MM</v>
      </c>
      <c r="J217">
        <f>IF(E217="","",_xlfn.XLOOKUP(E217,tblUsers[user_id],tblUsers[territory_id],"Owner Not Found"))</f>
        <v>1</v>
      </c>
      <c r="K217" t="str">
        <f t="shared" si="7"/>
        <v>Routing Compatible</v>
      </c>
    </row>
    <row r="218" spans="1:11">
      <c r="A218" t="s">
        <v>2269</v>
      </c>
      <c r="B218" t="s">
        <v>361</v>
      </c>
      <c r="C218" t="s">
        <v>24</v>
      </c>
      <c r="D218" t="s">
        <v>178</v>
      </c>
      <c r="E218" t="s">
        <v>59</v>
      </c>
      <c r="F218" t="str">
        <f t="shared" si="6"/>
        <v>SMB</v>
      </c>
      <c r="G218">
        <f>_xlfn.XLOOKUP(D218,tblStates[state_code],tblStates[territory_id],"Needs Review - Territory")</f>
        <v>4</v>
      </c>
      <c r="H218" t="str">
        <f>IF(E218="","",_xlfn.XLOOKUP(E218,tblUsers[user_id],tblUsers[job_title],"Owner Not Found"))</f>
        <v>SMB Account Executive</v>
      </c>
      <c r="I218" t="str">
        <f>IF(E218="","",_xlfn.XLOOKUP(E218,tblUsers[user_id],tblUsers[segment],"Owner Not Found"))</f>
        <v>SMB</v>
      </c>
      <c r="J218">
        <f>IF(E218="","",_xlfn.XLOOKUP(E218,tblUsers[user_id],tblUsers[territory_id],"Owner Not Found"))</f>
        <v>4</v>
      </c>
      <c r="K218" t="str">
        <f t="shared" si="7"/>
        <v>Routing Compatible</v>
      </c>
    </row>
    <row r="219" spans="1:11">
      <c r="A219" t="s">
        <v>2274</v>
      </c>
      <c r="B219" t="s">
        <v>981</v>
      </c>
      <c r="C219" t="s">
        <v>24</v>
      </c>
      <c r="D219" t="s">
        <v>140</v>
      </c>
      <c r="E219" t="s">
        <v>25</v>
      </c>
      <c r="F219" t="str">
        <f t="shared" si="6"/>
        <v>SMB</v>
      </c>
      <c r="G219">
        <f>_xlfn.XLOOKUP(D219,tblStates[state_code],tblStates[territory_id],"Needs Review - Territory")</f>
        <v>2</v>
      </c>
      <c r="H219" t="str">
        <f>IF(E219="","",_xlfn.XLOOKUP(E219,tblUsers[user_id],tblUsers[job_title],"Owner Not Found"))</f>
        <v>SMB Account Executive</v>
      </c>
      <c r="I219" t="str">
        <f>IF(E219="","",_xlfn.XLOOKUP(E219,tblUsers[user_id],tblUsers[segment],"Owner Not Found"))</f>
        <v>SMB</v>
      </c>
      <c r="J219">
        <f>IF(E219="","",_xlfn.XLOOKUP(E219,tblUsers[user_id],tblUsers[territory_id],"Owner Not Found"))</f>
        <v>2</v>
      </c>
      <c r="K219" t="str">
        <f t="shared" si="7"/>
        <v>Routing Compatible</v>
      </c>
    </row>
    <row r="220" spans="1:11">
      <c r="A220" t="s">
        <v>2278</v>
      </c>
      <c r="B220" t="s">
        <v>558</v>
      </c>
      <c r="C220" t="s">
        <v>24</v>
      </c>
      <c r="D220" t="s">
        <v>560</v>
      </c>
      <c r="E220" t="s">
        <v>25</v>
      </c>
      <c r="F220" t="str">
        <f t="shared" si="6"/>
        <v>SMB</v>
      </c>
      <c r="G220">
        <f>_xlfn.XLOOKUP(D220,tblStates[state_code],tblStates[territory_id],"Needs Review - Territory")</f>
        <v>2</v>
      </c>
      <c r="H220" t="str">
        <f>IF(E220="","",_xlfn.XLOOKUP(E220,tblUsers[user_id],tblUsers[job_title],"Owner Not Found"))</f>
        <v>SMB Account Executive</v>
      </c>
      <c r="I220" t="str">
        <f>IF(E220="","",_xlfn.XLOOKUP(E220,tblUsers[user_id],tblUsers[segment],"Owner Not Found"))</f>
        <v>SMB</v>
      </c>
      <c r="J220">
        <f>IF(E220="","",_xlfn.XLOOKUP(E220,tblUsers[user_id],tblUsers[territory_id],"Owner Not Found"))</f>
        <v>2</v>
      </c>
      <c r="K220" t="str">
        <f t="shared" si="7"/>
        <v>Routing Compatible</v>
      </c>
    </row>
    <row r="221" spans="1:11">
      <c r="A221" t="s">
        <v>2282</v>
      </c>
      <c r="B221" t="s">
        <v>883</v>
      </c>
      <c r="C221" t="s">
        <v>17</v>
      </c>
      <c r="D221" t="s">
        <v>236</v>
      </c>
      <c r="E221" t="s">
        <v>18</v>
      </c>
      <c r="F221" t="str">
        <f t="shared" si="6"/>
        <v>MM</v>
      </c>
      <c r="G221">
        <f>_xlfn.XLOOKUP(D221,tblStates[state_code],tblStates[territory_id],"Needs Review - Territory")</f>
        <v>1</v>
      </c>
      <c r="H221" t="str">
        <f>IF(E221="","",_xlfn.XLOOKUP(E221,tblUsers[user_id],tblUsers[job_title],"Owner Not Found"))</f>
        <v>Mid-Market Account Executive</v>
      </c>
      <c r="I221" t="str">
        <f>IF(E221="","",_xlfn.XLOOKUP(E221,tblUsers[user_id],tblUsers[segment],"Owner Not Found"))</f>
        <v>MM</v>
      </c>
      <c r="J221">
        <f>IF(E221="","",_xlfn.XLOOKUP(E221,tblUsers[user_id],tblUsers[territory_id],"Owner Not Found"))</f>
        <v>1</v>
      </c>
      <c r="K221" t="str">
        <f t="shared" si="7"/>
        <v>Routing Compatible</v>
      </c>
    </row>
    <row r="222" spans="1:11">
      <c r="A222" t="s">
        <v>2286</v>
      </c>
      <c r="B222" t="s">
        <v>48</v>
      </c>
      <c r="C222" t="s">
        <v>30</v>
      </c>
      <c r="D222" t="s">
        <v>50</v>
      </c>
      <c r="E222" t="s">
        <v>36</v>
      </c>
      <c r="F222" t="str">
        <f t="shared" si="6"/>
        <v>MM</v>
      </c>
      <c r="G222">
        <f>_xlfn.XLOOKUP(D222,tblStates[state_code],tblStates[territory_id],"Needs Review - Territory")</f>
        <v>4</v>
      </c>
      <c r="H222" t="str">
        <f>IF(E222="","",_xlfn.XLOOKUP(E222,tblUsers[user_id],tblUsers[job_title],"Owner Not Found"))</f>
        <v>Mid-Market Account Executive</v>
      </c>
      <c r="I222" t="str">
        <f>IF(E222="","",_xlfn.XLOOKUP(E222,tblUsers[user_id],tblUsers[segment],"Owner Not Found"))</f>
        <v>MM</v>
      </c>
      <c r="J222">
        <f>IF(E222="","",_xlfn.XLOOKUP(E222,tblUsers[user_id],tblUsers[territory_id],"Owner Not Found"))</f>
        <v>4</v>
      </c>
      <c r="K222" t="str">
        <f t="shared" si="7"/>
        <v>Routing Compatible</v>
      </c>
    </row>
    <row r="223" spans="1:11">
      <c r="A223" t="s">
        <v>2289</v>
      </c>
      <c r="B223" t="s">
        <v>534</v>
      </c>
      <c r="C223" t="s">
        <v>30</v>
      </c>
      <c r="D223" t="s">
        <v>236</v>
      </c>
      <c r="E223" t="s">
        <v>18</v>
      </c>
      <c r="F223" t="str">
        <f t="shared" si="6"/>
        <v>MM</v>
      </c>
      <c r="G223">
        <f>_xlfn.XLOOKUP(D223,tblStates[state_code],tblStates[territory_id],"Needs Review - Territory")</f>
        <v>1</v>
      </c>
      <c r="H223" t="str">
        <f>IF(E223="","",_xlfn.XLOOKUP(E223,tblUsers[user_id],tblUsers[job_title],"Owner Not Found"))</f>
        <v>Mid-Market Account Executive</v>
      </c>
      <c r="I223" t="str">
        <f>IF(E223="","",_xlfn.XLOOKUP(E223,tblUsers[user_id],tblUsers[segment],"Owner Not Found"))</f>
        <v>MM</v>
      </c>
      <c r="J223">
        <f>IF(E223="","",_xlfn.XLOOKUP(E223,tblUsers[user_id],tblUsers[territory_id],"Owner Not Found"))</f>
        <v>1</v>
      </c>
      <c r="K223" t="str">
        <f t="shared" si="7"/>
        <v>Routing Compatible</v>
      </c>
    </row>
    <row r="224" spans="1:11">
      <c r="A224" t="s">
        <v>2292</v>
      </c>
      <c r="B224" t="s">
        <v>755</v>
      </c>
      <c r="C224" t="s">
        <v>17</v>
      </c>
      <c r="D224" t="s">
        <v>212</v>
      </c>
      <c r="E224" t="s">
        <v>55</v>
      </c>
      <c r="F224" t="str">
        <f t="shared" si="6"/>
        <v>MM</v>
      </c>
      <c r="G224">
        <f>_xlfn.XLOOKUP(D224,tblStates[state_code],tblStates[territory_id],"Needs Review - Territory")</f>
        <v>3</v>
      </c>
      <c r="H224" t="str">
        <f>IF(E224="","",_xlfn.XLOOKUP(E224,tblUsers[user_id],tblUsers[job_title],"Owner Not Found"))</f>
        <v>Mid-Market Account Executive</v>
      </c>
      <c r="I224" t="str">
        <f>IF(E224="","",_xlfn.XLOOKUP(E224,tblUsers[user_id],tblUsers[segment],"Owner Not Found"))</f>
        <v>MM</v>
      </c>
      <c r="J224">
        <f>IF(E224="","",_xlfn.XLOOKUP(E224,tblUsers[user_id],tblUsers[territory_id],"Owner Not Found"))</f>
        <v>3</v>
      </c>
      <c r="K224" t="str">
        <f t="shared" si="7"/>
        <v>Routing Compatible</v>
      </c>
    </row>
    <row r="225" spans="1:11">
      <c r="A225" t="s">
        <v>2295</v>
      </c>
      <c r="B225" t="s">
        <v>996</v>
      </c>
      <c r="C225" t="s">
        <v>17</v>
      </c>
      <c r="D225" t="s">
        <v>23</v>
      </c>
      <c r="E225" t="s">
        <v>82</v>
      </c>
      <c r="F225" t="str">
        <f t="shared" si="6"/>
        <v>MM</v>
      </c>
      <c r="G225">
        <f>_xlfn.XLOOKUP(D225,tblStates[state_code],tblStates[territory_id],"Needs Review - Territory")</f>
        <v>2</v>
      </c>
      <c r="H225" t="str">
        <f>IF(E225="","",_xlfn.XLOOKUP(E225,tblUsers[user_id],tblUsers[job_title],"Owner Not Found"))</f>
        <v>Mid-Market Account Executive</v>
      </c>
      <c r="I225" t="str">
        <f>IF(E225="","",_xlfn.XLOOKUP(E225,tblUsers[user_id],tblUsers[segment],"Owner Not Found"))</f>
        <v>MM</v>
      </c>
      <c r="J225">
        <f>IF(E225="","",_xlfn.XLOOKUP(E225,tblUsers[user_id],tblUsers[territory_id],"Owner Not Found"))</f>
        <v>2</v>
      </c>
      <c r="K225" t="str">
        <f t="shared" si="7"/>
        <v>Routing Compatible</v>
      </c>
    </row>
    <row r="226" spans="1:11">
      <c r="A226" t="s">
        <v>2299</v>
      </c>
      <c r="B226" t="s">
        <v>761</v>
      </c>
      <c r="C226" t="s">
        <v>30</v>
      </c>
      <c r="D226" t="s">
        <v>415</v>
      </c>
      <c r="E226" t="s">
        <v>55</v>
      </c>
      <c r="F226" t="str">
        <f t="shared" si="6"/>
        <v>MM</v>
      </c>
      <c r="G226">
        <f>_xlfn.XLOOKUP(D226,tblStates[state_code],tblStates[territory_id],"Needs Review - Territory")</f>
        <v>3</v>
      </c>
      <c r="H226" t="str">
        <f>IF(E226="","",_xlfn.XLOOKUP(E226,tblUsers[user_id],tblUsers[job_title],"Owner Not Found"))</f>
        <v>Mid-Market Account Executive</v>
      </c>
      <c r="I226" t="str">
        <f>IF(E226="","",_xlfn.XLOOKUP(E226,tblUsers[user_id],tblUsers[segment],"Owner Not Found"))</f>
        <v>MM</v>
      </c>
      <c r="J226">
        <f>IF(E226="","",_xlfn.XLOOKUP(E226,tblUsers[user_id],tblUsers[territory_id],"Owner Not Found"))</f>
        <v>3</v>
      </c>
      <c r="K226" t="str">
        <f t="shared" si="7"/>
        <v>Routing Compatible</v>
      </c>
    </row>
    <row r="227" spans="1:11">
      <c r="A227" t="s">
        <v>2302</v>
      </c>
      <c r="B227" t="s">
        <v>695</v>
      </c>
      <c r="C227" t="s">
        <v>17</v>
      </c>
      <c r="D227" t="s">
        <v>366</v>
      </c>
      <c r="E227" t="s">
        <v>18</v>
      </c>
      <c r="F227" t="str">
        <f t="shared" si="6"/>
        <v>MM</v>
      </c>
      <c r="G227">
        <f>_xlfn.XLOOKUP(D227,tblStates[state_code],tblStates[territory_id],"Needs Review - Territory")</f>
        <v>1</v>
      </c>
      <c r="H227" t="str">
        <f>IF(E227="","",_xlfn.XLOOKUP(E227,tblUsers[user_id],tblUsers[job_title],"Owner Not Found"))</f>
        <v>Mid-Market Account Executive</v>
      </c>
      <c r="I227" t="str">
        <f>IF(E227="","",_xlfn.XLOOKUP(E227,tblUsers[user_id],tblUsers[segment],"Owner Not Found"))</f>
        <v>MM</v>
      </c>
      <c r="J227">
        <f>IF(E227="","",_xlfn.XLOOKUP(E227,tblUsers[user_id],tblUsers[territory_id],"Owner Not Found"))</f>
        <v>1</v>
      </c>
      <c r="K227" t="str">
        <f t="shared" si="7"/>
        <v>Routing Compatible</v>
      </c>
    </row>
    <row r="228" spans="1:11">
      <c r="A228" t="s">
        <v>2306</v>
      </c>
      <c r="B228" t="s">
        <v>707</v>
      </c>
      <c r="D228" t="s">
        <v>440</v>
      </c>
      <c r="E228" t="s">
        <v>55</v>
      </c>
      <c r="F228" t="str">
        <f t="shared" si="6"/>
        <v>Needs Review - Segment</v>
      </c>
      <c r="G228">
        <f>_xlfn.XLOOKUP(D228,tblStates[state_code],tblStates[territory_id],"Needs Review - Territory")</f>
        <v>3</v>
      </c>
      <c r="H228" t="str">
        <f>IF(E228="","",_xlfn.XLOOKUP(E228,tblUsers[user_id],tblUsers[job_title],"Owner Not Found"))</f>
        <v>Mid-Market Account Executive</v>
      </c>
      <c r="I228" t="str">
        <f>IF(E228="","",_xlfn.XLOOKUP(E228,tblUsers[user_id],tblUsers[segment],"Owner Not Found"))</f>
        <v>MM</v>
      </c>
      <c r="J228">
        <f>IF(E228="","",_xlfn.XLOOKUP(E228,tblUsers[user_id],tblUsers[territory_id],"Owner Not Found"))</f>
        <v>3</v>
      </c>
      <c r="K228" t="str">
        <f t="shared" si="7"/>
        <v>Needs Review - Segment</v>
      </c>
    </row>
    <row r="229" spans="1:11">
      <c r="A229" t="s">
        <v>2310</v>
      </c>
      <c r="B229" t="s">
        <v>946</v>
      </c>
      <c r="C229" t="s">
        <v>30</v>
      </c>
      <c r="D229" t="s">
        <v>81</v>
      </c>
      <c r="E229" t="s">
        <v>82</v>
      </c>
      <c r="F229" t="str">
        <f t="shared" si="6"/>
        <v>MM</v>
      </c>
      <c r="G229">
        <f>_xlfn.XLOOKUP(D229,tblStates[state_code],tblStates[territory_id],"Needs Review - Territory")</f>
        <v>2</v>
      </c>
      <c r="H229" t="str">
        <f>IF(E229="","",_xlfn.XLOOKUP(E229,tblUsers[user_id],tblUsers[job_title],"Owner Not Found"))</f>
        <v>Mid-Market Account Executive</v>
      </c>
      <c r="I229" t="str">
        <f>IF(E229="","",_xlfn.XLOOKUP(E229,tblUsers[user_id],tblUsers[segment],"Owner Not Found"))</f>
        <v>MM</v>
      </c>
      <c r="J229">
        <f>IF(E229="","",_xlfn.XLOOKUP(E229,tblUsers[user_id],tblUsers[territory_id],"Owner Not Found"))</f>
        <v>2</v>
      </c>
      <c r="K229" t="str">
        <f t="shared" si="7"/>
        <v>Routing Compatible</v>
      </c>
    </row>
    <row r="230" spans="1:11">
      <c r="A230" t="s">
        <v>2314</v>
      </c>
      <c r="B230" t="s">
        <v>274</v>
      </c>
      <c r="C230" t="s">
        <v>30</v>
      </c>
      <c r="D230" t="s">
        <v>64</v>
      </c>
      <c r="E230" t="s">
        <v>55</v>
      </c>
      <c r="F230" t="str">
        <f t="shared" si="6"/>
        <v>MM</v>
      </c>
      <c r="G230">
        <f>_xlfn.XLOOKUP(D230,tblStates[state_code],tblStates[territory_id],"Needs Review - Territory")</f>
        <v>3</v>
      </c>
      <c r="H230" t="str">
        <f>IF(E230="","",_xlfn.XLOOKUP(E230,tblUsers[user_id],tblUsers[job_title],"Owner Not Found"))</f>
        <v>Mid-Market Account Executive</v>
      </c>
      <c r="I230" t="str">
        <f>IF(E230="","",_xlfn.XLOOKUP(E230,tblUsers[user_id],tblUsers[segment],"Owner Not Found"))</f>
        <v>MM</v>
      </c>
      <c r="J230">
        <f>IF(E230="","",_xlfn.XLOOKUP(E230,tblUsers[user_id],tblUsers[territory_id],"Owner Not Found"))</f>
        <v>3</v>
      </c>
      <c r="K230" t="str">
        <f t="shared" si="7"/>
        <v>Routing Compatible</v>
      </c>
    </row>
    <row r="231" spans="1:11">
      <c r="A231" t="s">
        <v>2318</v>
      </c>
      <c r="B231" t="s">
        <v>676</v>
      </c>
      <c r="C231" t="s">
        <v>30</v>
      </c>
      <c r="D231" t="s">
        <v>41</v>
      </c>
      <c r="E231" t="s">
        <v>82</v>
      </c>
      <c r="F231" t="str">
        <f t="shared" si="6"/>
        <v>MM</v>
      </c>
      <c r="G231">
        <f>_xlfn.XLOOKUP(D231,tblStates[state_code],tblStates[territory_id],"Needs Review - Territory")</f>
        <v>2</v>
      </c>
      <c r="H231" t="str">
        <f>IF(E231="","",_xlfn.XLOOKUP(E231,tblUsers[user_id],tblUsers[job_title],"Owner Not Found"))</f>
        <v>Mid-Market Account Executive</v>
      </c>
      <c r="I231" t="str">
        <f>IF(E231="","",_xlfn.XLOOKUP(E231,tblUsers[user_id],tblUsers[segment],"Owner Not Found"))</f>
        <v>MM</v>
      </c>
      <c r="J231">
        <f>IF(E231="","",_xlfn.XLOOKUP(E231,tblUsers[user_id],tblUsers[territory_id],"Owner Not Found"))</f>
        <v>2</v>
      </c>
      <c r="K231" t="str">
        <f t="shared" si="7"/>
        <v>Routing Compatible</v>
      </c>
    </row>
    <row r="232" spans="1:11">
      <c r="A232" t="s">
        <v>2322</v>
      </c>
      <c r="B232" t="s">
        <v>27</v>
      </c>
      <c r="C232" t="s">
        <v>30</v>
      </c>
      <c r="D232" t="s">
        <v>16</v>
      </c>
      <c r="E232" t="s">
        <v>18</v>
      </c>
      <c r="F232" t="str">
        <f t="shared" si="6"/>
        <v>MM</v>
      </c>
      <c r="G232">
        <f>_xlfn.XLOOKUP(D232,tblStates[state_code],tblStates[territory_id],"Needs Review - Territory")</f>
        <v>1</v>
      </c>
      <c r="H232" t="str">
        <f>IF(E232="","",_xlfn.XLOOKUP(E232,tblUsers[user_id],tblUsers[job_title],"Owner Not Found"))</f>
        <v>Mid-Market Account Executive</v>
      </c>
      <c r="I232" t="str">
        <f>IF(E232="","",_xlfn.XLOOKUP(E232,tblUsers[user_id],tblUsers[segment],"Owner Not Found"))</f>
        <v>MM</v>
      </c>
      <c r="J232">
        <f>IF(E232="","",_xlfn.XLOOKUP(E232,tblUsers[user_id],tblUsers[territory_id],"Owner Not Found"))</f>
        <v>1</v>
      </c>
      <c r="K232" t="str">
        <f t="shared" si="7"/>
        <v>Routing Compatible</v>
      </c>
    </row>
    <row r="233" spans="1:11">
      <c r="A233" t="s">
        <v>2327</v>
      </c>
      <c r="B233" t="s">
        <v>856</v>
      </c>
      <c r="C233" t="s">
        <v>24</v>
      </c>
      <c r="D233" t="s">
        <v>178</v>
      </c>
      <c r="E233" t="s">
        <v>59</v>
      </c>
      <c r="F233" t="str">
        <f t="shared" si="6"/>
        <v>SMB</v>
      </c>
      <c r="G233">
        <f>_xlfn.XLOOKUP(D233,tblStates[state_code],tblStates[territory_id],"Needs Review - Territory")</f>
        <v>4</v>
      </c>
      <c r="H233" t="str">
        <f>IF(E233="","",_xlfn.XLOOKUP(E233,tblUsers[user_id],tblUsers[job_title],"Owner Not Found"))</f>
        <v>SMB Account Executive</v>
      </c>
      <c r="I233" t="str">
        <f>IF(E233="","",_xlfn.XLOOKUP(E233,tblUsers[user_id],tblUsers[segment],"Owner Not Found"))</f>
        <v>SMB</v>
      </c>
      <c r="J233">
        <f>IF(E233="","",_xlfn.XLOOKUP(E233,tblUsers[user_id],tblUsers[territory_id],"Owner Not Found"))</f>
        <v>4</v>
      </c>
      <c r="K233" t="str">
        <f t="shared" si="7"/>
        <v>Routing Compatible</v>
      </c>
    </row>
    <row r="234" spans="1:11">
      <c r="A234" t="s">
        <v>2330</v>
      </c>
      <c r="B234" t="s">
        <v>135</v>
      </c>
      <c r="D234" t="s">
        <v>41</v>
      </c>
      <c r="E234" t="s">
        <v>25</v>
      </c>
      <c r="F234" t="str">
        <f t="shared" si="6"/>
        <v>Needs Review - Segment</v>
      </c>
      <c r="G234">
        <f>_xlfn.XLOOKUP(D234,tblStates[state_code],tblStates[territory_id],"Needs Review - Territory")</f>
        <v>2</v>
      </c>
      <c r="H234" t="str">
        <f>IF(E234="","",_xlfn.XLOOKUP(E234,tblUsers[user_id],tblUsers[job_title],"Owner Not Found"))</f>
        <v>SMB Account Executive</v>
      </c>
      <c r="I234" t="str">
        <f>IF(E234="","",_xlfn.XLOOKUP(E234,tblUsers[user_id],tblUsers[segment],"Owner Not Found"))</f>
        <v>SMB</v>
      </c>
      <c r="J234">
        <f>IF(E234="","",_xlfn.XLOOKUP(E234,tblUsers[user_id],tblUsers[territory_id],"Owner Not Found"))</f>
        <v>2</v>
      </c>
      <c r="K234" t="str">
        <f t="shared" si="7"/>
        <v>Needs Review - Segment</v>
      </c>
    </row>
    <row r="235" spans="1:11">
      <c r="A235" t="s">
        <v>2334</v>
      </c>
      <c r="B235" t="s">
        <v>13</v>
      </c>
      <c r="C235" t="s">
        <v>17</v>
      </c>
      <c r="D235" t="s">
        <v>16</v>
      </c>
      <c r="E235" t="s">
        <v>18</v>
      </c>
      <c r="F235" t="str">
        <f t="shared" si="6"/>
        <v>MM</v>
      </c>
      <c r="G235">
        <f>_xlfn.XLOOKUP(D235,tblStates[state_code],tblStates[territory_id],"Needs Review - Territory")</f>
        <v>1</v>
      </c>
      <c r="H235" t="str">
        <f>IF(E235="","",_xlfn.XLOOKUP(E235,tblUsers[user_id],tblUsers[job_title],"Owner Not Found"))</f>
        <v>Mid-Market Account Executive</v>
      </c>
      <c r="I235" t="str">
        <f>IF(E235="","",_xlfn.XLOOKUP(E235,tblUsers[user_id],tblUsers[segment],"Owner Not Found"))</f>
        <v>MM</v>
      </c>
      <c r="J235">
        <f>IF(E235="","",_xlfn.XLOOKUP(E235,tblUsers[user_id],tblUsers[territory_id],"Owner Not Found"))</f>
        <v>1</v>
      </c>
      <c r="K235" t="str">
        <f t="shared" si="7"/>
        <v>Routing Compatible</v>
      </c>
    </row>
    <row r="236" spans="1:11">
      <c r="A236" t="s">
        <v>2338</v>
      </c>
      <c r="B236" t="s">
        <v>318</v>
      </c>
      <c r="C236" t="s">
        <v>24</v>
      </c>
      <c r="D236" t="s">
        <v>95</v>
      </c>
      <c r="E236" t="s">
        <v>91</v>
      </c>
      <c r="F236" t="str">
        <f t="shared" si="6"/>
        <v>SMB</v>
      </c>
      <c r="G236">
        <f>_xlfn.XLOOKUP(D236,tblStates[state_code],tblStates[territory_id],"Needs Review - Territory")</f>
        <v>1</v>
      </c>
      <c r="H236" t="str">
        <f>IF(E236="","",_xlfn.XLOOKUP(E236,tblUsers[user_id],tblUsers[job_title],"Owner Not Found"))</f>
        <v>SMB Account Executive</v>
      </c>
      <c r="I236" t="str">
        <f>IF(E236="","",_xlfn.XLOOKUP(E236,tblUsers[user_id],tblUsers[segment],"Owner Not Found"))</f>
        <v>SMB</v>
      </c>
      <c r="J236">
        <f>IF(E236="","",_xlfn.XLOOKUP(E236,tblUsers[user_id],tblUsers[territory_id],"Owner Not Found"))</f>
        <v>1</v>
      </c>
      <c r="K236" t="str">
        <f t="shared" si="7"/>
        <v>Routing Compatible</v>
      </c>
    </row>
    <row r="237" spans="1:11">
      <c r="A237" t="s">
        <v>2342</v>
      </c>
      <c r="B237" t="s">
        <v>268</v>
      </c>
      <c r="C237" t="s">
        <v>24</v>
      </c>
      <c r="D237" t="s">
        <v>99</v>
      </c>
      <c r="E237" t="s">
        <v>59</v>
      </c>
      <c r="F237" t="str">
        <f t="shared" si="6"/>
        <v>SMB</v>
      </c>
      <c r="G237">
        <f>_xlfn.XLOOKUP(D237,tblStates[state_code],tblStates[territory_id],"Needs Review - Territory")</f>
        <v>4</v>
      </c>
      <c r="H237" t="str">
        <f>IF(E237="","",_xlfn.XLOOKUP(E237,tblUsers[user_id],tblUsers[job_title],"Owner Not Found"))</f>
        <v>SMB Account Executive</v>
      </c>
      <c r="I237" t="str">
        <f>IF(E237="","",_xlfn.XLOOKUP(E237,tblUsers[user_id],tblUsers[segment],"Owner Not Found"))</f>
        <v>SMB</v>
      </c>
      <c r="J237">
        <f>IF(E237="","",_xlfn.XLOOKUP(E237,tblUsers[user_id],tblUsers[territory_id],"Owner Not Found"))</f>
        <v>4</v>
      </c>
      <c r="K237" t="str">
        <f t="shared" si="7"/>
        <v>Routing Compatible</v>
      </c>
    </row>
    <row r="238" spans="1:11">
      <c r="A238" t="s">
        <v>2345</v>
      </c>
      <c r="B238" t="s">
        <v>761</v>
      </c>
      <c r="C238" t="s">
        <v>30</v>
      </c>
      <c r="D238" t="s">
        <v>415</v>
      </c>
      <c r="E238" t="s">
        <v>55</v>
      </c>
      <c r="F238" t="str">
        <f t="shared" si="6"/>
        <v>MM</v>
      </c>
      <c r="G238">
        <f>_xlfn.XLOOKUP(D238,tblStates[state_code],tblStates[territory_id],"Needs Review - Territory")</f>
        <v>3</v>
      </c>
      <c r="H238" t="str">
        <f>IF(E238="","",_xlfn.XLOOKUP(E238,tblUsers[user_id],tblUsers[job_title],"Owner Not Found"))</f>
        <v>Mid-Market Account Executive</v>
      </c>
      <c r="I238" t="str">
        <f>IF(E238="","",_xlfn.XLOOKUP(E238,tblUsers[user_id],tblUsers[segment],"Owner Not Found"))</f>
        <v>MM</v>
      </c>
      <c r="J238">
        <f>IF(E238="","",_xlfn.XLOOKUP(E238,tblUsers[user_id],tblUsers[territory_id],"Owner Not Found"))</f>
        <v>3</v>
      </c>
      <c r="K238" t="str">
        <f t="shared" si="7"/>
        <v>Routing Compatible</v>
      </c>
    </row>
    <row r="239" spans="1:11">
      <c r="A239" t="s">
        <v>2348</v>
      </c>
      <c r="B239" t="s">
        <v>624</v>
      </c>
      <c r="C239" t="s">
        <v>24</v>
      </c>
      <c r="D239" t="s">
        <v>16</v>
      </c>
      <c r="E239" t="s">
        <v>91</v>
      </c>
      <c r="F239" t="str">
        <f t="shared" si="6"/>
        <v>SMB</v>
      </c>
      <c r="G239">
        <f>_xlfn.XLOOKUP(D239,tblStates[state_code],tblStates[territory_id],"Needs Review - Territory")</f>
        <v>1</v>
      </c>
      <c r="H239" t="str">
        <f>IF(E239="","",_xlfn.XLOOKUP(E239,tblUsers[user_id],tblUsers[job_title],"Owner Not Found"))</f>
        <v>SMB Account Executive</v>
      </c>
      <c r="I239" t="str">
        <f>IF(E239="","",_xlfn.XLOOKUP(E239,tblUsers[user_id],tblUsers[segment],"Owner Not Found"))</f>
        <v>SMB</v>
      </c>
      <c r="J239">
        <f>IF(E239="","",_xlfn.XLOOKUP(E239,tblUsers[user_id],tblUsers[territory_id],"Owner Not Found"))</f>
        <v>1</v>
      </c>
      <c r="K239" t="str">
        <f t="shared" si="7"/>
        <v>Routing Compatible</v>
      </c>
    </row>
    <row r="240" spans="1:11">
      <c r="A240" t="s">
        <v>2352</v>
      </c>
      <c r="B240" t="s">
        <v>707</v>
      </c>
      <c r="D240" t="s">
        <v>440</v>
      </c>
      <c r="E240" t="s">
        <v>55</v>
      </c>
      <c r="F240" t="str">
        <f t="shared" si="6"/>
        <v>Needs Review - Segment</v>
      </c>
      <c r="G240">
        <f>_xlfn.XLOOKUP(D240,tblStates[state_code],tblStates[territory_id],"Needs Review - Territory")</f>
        <v>3</v>
      </c>
      <c r="H240" t="str">
        <f>IF(E240="","",_xlfn.XLOOKUP(E240,tblUsers[user_id],tblUsers[job_title],"Owner Not Found"))</f>
        <v>Mid-Market Account Executive</v>
      </c>
      <c r="I240" t="str">
        <f>IF(E240="","",_xlfn.XLOOKUP(E240,tblUsers[user_id],tblUsers[segment],"Owner Not Found"))</f>
        <v>MM</v>
      </c>
      <c r="J240">
        <f>IF(E240="","",_xlfn.XLOOKUP(E240,tblUsers[user_id],tblUsers[territory_id],"Owner Not Found"))</f>
        <v>3</v>
      </c>
      <c r="K240" t="str">
        <f t="shared" si="7"/>
        <v>Needs Review - Segment</v>
      </c>
    </row>
    <row r="241" spans="1:11">
      <c r="A241" t="s">
        <v>2355</v>
      </c>
      <c r="B241" t="s">
        <v>1026</v>
      </c>
      <c r="C241" t="s">
        <v>17</v>
      </c>
      <c r="D241" t="s">
        <v>95</v>
      </c>
      <c r="E241" t="s">
        <v>18</v>
      </c>
      <c r="F241" t="str">
        <f t="shared" si="6"/>
        <v>MM</v>
      </c>
      <c r="G241">
        <f>_xlfn.XLOOKUP(D241,tblStates[state_code],tblStates[territory_id],"Needs Review - Territory")</f>
        <v>1</v>
      </c>
      <c r="H241" t="str">
        <f>IF(E241="","",_xlfn.XLOOKUP(E241,tblUsers[user_id],tblUsers[job_title],"Owner Not Found"))</f>
        <v>Mid-Market Account Executive</v>
      </c>
      <c r="I241" t="str">
        <f>IF(E241="","",_xlfn.XLOOKUP(E241,tblUsers[user_id],tblUsers[segment],"Owner Not Found"))</f>
        <v>MM</v>
      </c>
      <c r="J241">
        <f>IF(E241="","",_xlfn.XLOOKUP(E241,tblUsers[user_id],tblUsers[territory_id],"Owner Not Found"))</f>
        <v>1</v>
      </c>
      <c r="K241" t="str">
        <f t="shared" si="7"/>
        <v>Routing Compatible</v>
      </c>
    </row>
    <row r="242" spans="1:11">
      <c r="A242" t="s">
        <v>2359</v>
      </c>
      <c r="B242" t="s">
        <v>300</v>
      </c>
      <c r="C242" t="s">
        <v>24</v>
      </c>
      <c r="D242" t="s">
        <v>16</v>
      </c>
      <c r="E242" t="s">
        <v>91</v>
      </c>
      <c r="F242" t="str">
        <f t="shared" si="6"/>
        <v>SMB</v>
      </c>
      <c r="G242">
        <f>_xlfn.XLOOKUP(D242,tblStates[state_code],tblStates[territory_id],"Needs Review - Territory")</f>
        <v>1</v>
      </c>
      <c r="H242" t="str">
        <f>IF(E242="","",_xlfn.XLOOKUP(E242,tblUsers[user_id],tblUsers[job_title],"Owner Not Found"))</f>
        <v>SMB Account Executive</v>
      </c>
      <c r="I242" t="str">
        <f>IF(E242="","",_xlfn.XLOOKUP(E242,tblUsers[user_id],tblUsers[segment],"Owner Not Found"))</f>
        <v>SMB</v>
      </c>
      <c r="J242">
        <f>IF(E242="","",_xlfn.XLOOKUP(E242,tblUsers[user_id],tblUsers[territory_id],"Owner Not Found"))</f>
        <v>1</v>
      </c>
      <c r="K242" t="str">
        <f t="shared" si="7"/>
        <v>Routing Compatible</v>
      </c>
    </row>
    <row r="243" spans="1:11">
      <c r="A243" t="s">
        <v>2362</v>
      </c>
      <c r="B243" t="s">
        <v>781</v>
      </c>
      <c r="C243" t="s">
        <v>30</v>
      </c>
      <c r="D243" t="s">
        <v>99</v>
      </c>
      <c r="E243" t="s">
        <v>36</v>
      </c>
      <c r="F243" t="str">
        <f t="shared" si="6"/>
        <v>MM</v>
      </c>
      <c r="G243">
        <f>_xlfn.XLOOKUP(D243,tblStates[state_code],tblStates[territory_id],"Needs Review - Territory")</f>
        <v>4</v>
      </c>
      <c r="H243" t="str">
        <f>IF(E243="","",_xlfn.XLOOKUP(E243,tblUsers[user_id],tblUsers[job_title],"Owner Not Found"))</f>
        <v>Mid-Market Account Executive</v>
      </c>
      <c r="I243" t="str">
        <f>IF(E243="","",_xlfn.XLOOKUP(E243,tblUsers[user_id],tblUsers[segment],"Owner Not Found"))</f>
        <v>MM</v>
      </c>
      <c r="J243">
        <f>IF(E243="","",_xlfn.XLOOKUP(E243,tblUsers[user_id],tblUsers[territory_id],"Owner Not Found"))</f>
        <v>4</v>
      </c>
      <c r="K243" t="str">
        <f t="shared" si="7"/>
        <v>Routing Compatible</v>
      </c>
    </row>
    <row r="244" spans="1:11">
      <c r="A244" t="s">
        <v>2366</v>
      </c>
      <c r="B244" t="s">
        <v>716</v>
      </c>
      <c r="C244" t="s">
        <v>30</v>
      </c>
      <c r="D244" t="s">
        <v>638</v>
      </c>
      <c r="E244" t="s">
        <v>55</v>
      </c>
      <c r="F244" t="str">
        <f t="shared" si="6"/>
        <v>MM</v>
      </c>
      <c r="G244">
        <f>_xlfn.XLOOKUP(D244,tblStates[state_code],tblStates[territory_id],"Needs Review - Territory")</f>
        <v>3</v>
      </c>
      <c r="H244" t="str">
        <f>IF(E244="","",_xlfn.XLOOKUP(E244,tblUsers[user_id],tblUsers[job_title],"Owner Not Found"))</f>
        <v>Mid-Market Account Executive</v>
      </c>
      <c r="I244" t="str">
        <f>IF(E244="","",_xlfn.XLOOKUP(E244,tblUsers[user_id],tblUsers[segment],"Owner Not Found"))</f>
        <v>MM</v>
      </c>
      <c r="J244">
        <f>IF(E244="","",_xlfn.XLOOKUP(E244,tblUsers[user_id],tblUsers[territory_id],"Owner Not Found"))</f>
        <v>3</v>
      </c>
      <c r="K244" t="str">
        <f t="shared" si="7"/>
        <v>Routing Compatible</v>
      </c>
    </row>
    <row r="245" spans="1:11">
      <c r="A245" t="s">
        <v>2370</v>
      </c>
      <c r="B245" t="s">
        <v>361</v>
      </c>
      <c r="C245" t="s">
        <v>24</v>
      </c>
      <c r="D245" t="s">
        <v>178</v>
      </c>
      <c r="E245" t="s">
        <v>59</v>
      </c>
      <c r="F245" t="str">
        <f t="shared" si="6"/>
        <v>SMB</v>
      </c>
      <c r="G245">
        <f>_xlfn.XLOOKUP(D245,tblStates[state_code],tblStates[territory_id],"Needs Review - Territory")</f>
        <v>4</v>
      </c>
      <c r="H245" t="str">
        <f>IF(E245="","",_xlfn.XLOOKUP(E245,tblUsers[user_id],tblUsers[job_title],"Owner Not Found"))</f>
        <v>SMB Account Executive</v>
      </c>
      <c r="I245" t="str">
        <f>IF(E245="","",_xlfn.XLOOKUP(E245,tblUsers[user_id],tblUsers[segment],"Owner Not Found"))</f>
        <v>SMB</v>
      </c>
      <c r="J245">
        <f>IF(E245="","",_xlfn.XLOOKUP(E245,tblUsers[user_id],tblUsers[territory_id],"Owner Not Found"))</f>
        <v>4</v>
      </c>
      <c r="K245" t="str">
        <f t="shared" si="7"/>
        <v>Routing Compatible</v>
      </c>
    </row>
    <row r="246" spans="1:11">
      <c r="A246" t="s">
        <v>2374</v>
      </c>
      <c r="B246" t="s">
        <v>877</v>
      </c>
      <c r="C246" t="s">
        <v>30</v>
      </c>
      <c r="D246" t="s">
        <v>23</v>
      </c>
      <c r="E246" t="s">
        <v>82</v>
      </c>
      <c r="F246" t="str">
        <f t="shared" si="6"/>
        <v>MM</v>
      </c>
      <c r="G246">
        <f>_xlfn.XLOOKUP(D246,tblStates[state_code],tblStates[territory_id],"Needs Review - Territory")</f>
        <v>2</v>
      </c>
      <c r="H246" t="str">
        <f>IF(E246="","",_xlfn.XLOOKUP(E246,tblUsers[user_id],tblUsers[job_title],"Owner Not Found"))</f>
        <v>Mid-Market Account Executive</v>
      </c>
      <c r="I246" t="str">
        <f>IF(E246="","",_xlfn.XLOOKUP(E246,tblUsers[user_id],tblUsers[segment],"Owner Not Found"))</f>
        <v>MM</v>
      </c>
      <c r="J246">
        <f>IF(E246="","",_xlfn.XLOOKUP(E246,tblUsers[user_id],tblUsers[territory_id],"Owner Not Found"))</f>
        <v>2</v>
      </c>
      <c r="K246" t="str">
        <f t="shared" si="7"/>
        <v>Routing Compatible</v>
      </c>
    </row>
    <row r="247" spans="1:11">
      <c r="A247" t="s">
        <v>2378</v>
      </c>
      <c r="B247" t="s">
        <v>599</v>
      </c>
      <c r="C247" t="s">
        <v>24</v>
      </c>
      <c r="D247" t="s">
        <v>81</v>
      </c>
      <c r="E247" t="s">
        <v>25</v>
      </c>
      <c r="F247" t="str">
        <f t="shared" si="6"/>
        <v>SMB</v>
      </c>
      <c r="G247">
        <f>_xlfn.XLOOKUP(D247,tblStates[state_code],tblStates[territory_id],"Needs Review - Territory")</f>
        <v>2</v>
      </c>
      <c r="H247" t="str">
        <f>IF(E247="","",_xlfn.XLOOKUP(E247,tblUsers[user_id],tblUsers[job_title],"Owner Not Found"))</f>
        <v>SMB Account Executive</v>
      </c>
      <c r="I247" t="str">
        <f>IF(E247="","",_xlfn.XLOOKUP(E247,tblUsers[user_id],tblUsers[segment],"Owner Not Found"))</f>
        <v>SMB</v>
      </c>
      <c r="J247">
        <f>IF(E247="","",_xlfn.XLOOKUP(E247,tblUsers[user_id],tblUsers[territory_id],"Owner Not Found"))</f>
        <v>2</v>
      </c>
      <c r="K247" t="str">
        <f t="shared" si="7"/>
        <v>Routing Compatible</v>
      </c>
    </row>
    <row r="248" spans="1:11">
      <c r="A248" t="s">
        <v>2382</v>
      </c>
      <c r="B248" t="s">
        <v>426</v>
      </c>
      <c r="C248" t="s">
        <v>24</v>
      </c>
      <c r="D248" t="s">
        <v>95</v>
      </c>
      <c r="E248" t="s">
        <v>91</v>
      </c>
      <c r="F248" t="str">
        <f t="shared" si="6"/>
        <v>SMB</v>
      </c>
      <c r="G248">
        <f>_xlfn.XLOOKUP(D248,tblStates[state_code],tblStates[territory_id],"Needs Review - Territory")</f>
        <v>1</v>
      </c>
      <c r="H248" t="str">
        <f>IF(E248="","",_xlfn.XLOOKUP(E248,tblUsers[user_id],tblUsers[job_title],"Owner Not Found"))</f>
        <v>SMB Account Executive</v>
      </c>
      <c r="I248" t="str">
        <f>IF(E248="","",_xlfn.XLOOKUP(E248,tblUsers[user_id],tblUsers[segment],"Owner Not Found"))</f>
        <v>SMB</v>
      </c>
      <c r="J248">
        <f>IF(E248="","",_xlfn.XLOOKUP(E248,tblUsers[user_id],tblUsers[territory_id],"Owner Not Found"))</f>
        <v>1</v>
      </c>
      <c r="K248" t="str">
        <f t="shared" si="7"/>
        <v>Routing Compatible</v>
      </c>
    </row>
    <row r="249" spans="1:11">
      <c r="A249" t="s">
        <v>2386</v>
      </c>
      <c r="B249" t="s">
        <v>225</v>
      </c>
      <c r="C249" t="s">
        <v>30</v>
      </c>
      <c r="D249" t="s">
        <v>226</v>
      </c>
      <c r="E249" t="s">
        <v>55</v>
      </c>
      <c r="F249" t="str">
        <f t="shared" si="6"/>
        <v>MM</v>
      </c>
      <c r="G249">
        <f>_xlfn.XLOOKUP(D249,tblStates[state_code],tblStates[territory_id],"Needs Review - Territory")</f>
        <v>3</v>
      </c>
      <c r="H249" t="str">
        <f>IF(E249="","",_xlfn.XLOOKUP(E249,tblUsers[user_id],tblUsers[job_title],"Owner Not Found"))</f>
        <v>Mid-Market Account Executive</v>
      </c>
      <c r="I249" t="str">
        <f>IF(E249="","",_xlfn.XLOOKUP(E249,tblUsers[user_id],tblUsers[segment],"Owner Not Found"))</f>
        <v>MM</v>
      </c>
      <c r="J249">
        <f>IF(E249="","",_xlfn.XLOOKUP(E249,tblUsers[user_id],tblUsers[territory_id],"Owner Not Found"))</f>
        <v>3</v>
      </c>
      <c r="K249" t="str">
        <f t="shared" si="7"/>
        <v>Routing Compatible</v>
      </c>
    </row>
    <row r="250" spans="1:11">
      <c r="A250" t="s">
        <v>2389</v>
      </c>
      <c r="B250" t="s">
        <v>393</v>
      </c>
      <c r="C250" t="s">
        <v>17</v>
      </c>
      <c r="D250" t="s">
        <v>127</v>
      </c>
      <c r="E250" t="s">
        <v>82</v>
      </c>
      <c r="F250" t="str">
        <f t="shared" si="6"/>
        <v>MM</v>
      </c>
      <c r="G250">
        <f>_xlfn.XLOOKUP(D250,tblStates[state_code],tblStates[territory_id],"Needs Review - Territory")</f>
        <v>2</v>
      </c>
      <c r="H250" t="str">
        <f>IF(E250="","",_xlfn.XLOOKUP(E250,tblUsers[user_id],tblUsers[job_title],"Owner Not Found"))</f>
        <v>Mid-Market Account Executive</v>
      </c>
      <c r="I250" t="str">
        <f>IF(E250="","",_xlfn.XLOOKUP(E250,tblUsers[user_id],tblUsers[segment],"Owner Not Found"))</f>
        <v>MM</v>
      </c>
      <c r="J250">
        <f>IF(E250="","",_xlfn.XLOOKUP(E250,tblUsers[user_id],tblUsers[territory_id],"Owner Not Found"))</f>
        <v>2</v>
      </c>
      <c r="K250" t="str">
        <f t="shared" si="7"/>
        <v>Routing Compatible</v>
      </c>
    </row>
    <row r="251" spans="1:11">
      <c r="A251" t="s">
        <v>2393</v>
      </c>
      <c r="B251" t="s">
        <v>200</v>
      </c>
      <c r="C251" t="s">
        <v>24</v>
      </c>
      <c r="D251" t="s">
        <v>192</v>
      </c>
      <c r="E251" t="s">
        <v>91</v>
      </c>
      <c r="F251" t="str">
        <f t="shared" si="6"/>
        <v>SMB</v>
      </c>
      <c r="G251">
        <f>_xlfn.XLOOKUP(D251,tblStates[state_code],tblStates[territory_id],"Needs Review - Territory")</f>
        <v>1</v>
      </c>
      <c r="H251" t="str">
        <f>IF(E251="","",_xlfn.XLOOKUP(E251,tblUsers[user_id],tblUsers[job_title],"Owner Not Found"))</f>
        <v>SMB Account Executive</v>
      </c>
      <c r="I251" t="str">
        <f>IF(E251="","",_xlfn.XLOOKUP(E251,tblUsers[user_id],tblUsers[segment],"Owner Not Found"))</f>
        <v>SMB</v>
      </c>
      <c r="J251">
        <f>IF(E251="","",_xlfn.XLOOKUP(E251,tblUsers[user_id],tblUsers[territory_id],"Owner Not Found"))</f>
        <v>1</v>
      </c>
      <c r="K251" t="str">
        <f t="shared" si="7"/>
        <v>Routing Compatible</v>
      </c>
    </row>
    <row r="252" spans="1:11">
      <c r="A252" t="s">
        <v>2397</v>
      </c>
      <c r="B252" t="s">
        <v>251</v>
      </c>
      <c r="C252" t="s">
        <v>30</v>
      </c>
      <c r="D252" t="s">
        <v>154</v>
      </c>
      <c r="E252" t="s">
        <v>82</v>
      </c>
      <c r="F252" t="str">
        <f t="shared" si="6"/>
        <v>MM</v>
      </c>
      <c r="G252">
        <f>_xlfn.XLOOKUP(D252,tblStates[state_code],tblStates[territory_id],"Needs Review - Territory")</f>
        <v>2</v>
      </c>
      <c r="H252" t="str">
        <f>IF(E252="","",_xlfn.XLOOKUP(E252,tblUsers[user_id],tblUsers[job_title],"Owner Not Found"))</f>
        <v>Mid-Market Account Executive</v>
      </c>
      <c r="I252" t="str">
        <f>IF(E252="","",_xlfn.XLOOKUP(E252,tblUsers[user_id],tblUsers[segment],"Owner Not Found"))</f>
        <v>MM</v>
      </c>
      <c r="J252">
        <f>IF(E252="","",_xlfn.XLOOKUP(E252,tblUsers[user_id],tblUsers[territory_id],"Owner Not Found"))</f>
        <v>2</v>
      </c>
      <c r="K252" t="str">
        <f t="shared" si="7"/>
        <v>Routing Compatible</v>
      </c>
    </row>
    <row r="253" spans="1:11">
      <c r="A253" t="s">
        <v>2400</v>
      </c>
      <c r="B253" t="s">
        <v>468</v>
      </c>
      <c r="C253" t="s">
        <v>30</v>
      </c>
      <c r="D253" t="s">
        <v>16</v>
      </c>
      <c r="E253" t="s">
        <v>18</v>
      </c>
      <c r="F253" t="str">
        <f t="shared" si="6"/>
        <v>MM</v>
      </c>
      <c r="G253">
        <f>_xlfn.XLOOKUP(D253,tblStates[state_code],tblStates[territory_id],"Needs Review - Territory")</f>
        <v>1</v>
      </c>
      <c r="H253" t="str">
        <f>IF(E253="","",_xlfn.XLOOKUP(E253,tblUsers[user_id],tblUsers[job_title],"Owner Not Found"))</f>
        <v>Mid-Market Account Executive</v>
      </c>
      <c r="I253" t="str">
        <f>IF(E253="","",_xlfn.XLOOKUP(E253,tblUsers[user_id],tblUsers[segment],"Owner Not Found"))</f>
        <v>MM</v>
      </c>
      <c r="J253">
        <f>IF(E253="","",_xlfn.XLOOKUP(E253,tblUsers[user_id],tblUsers[territory_id],"Owner Not Found"))</f>
        <v>1</v>
      </c>
      <c r="K253" t="str">
        <f t="shared" si="7"/>
        <v>Routing Compatible</v>
      </c>
    </row>
    <row r="254" spans="1:11">
      <c r="A254" t="s">
        <v>2403</v>
      </c>
      <c r="B254" t="s">
        <v>937</v>
      </c>
      <c r="C254" t="s">
        <v>30</v>
      </c>
      <c r="D254" t="s">
        <v>205</v>
      </c>
      <c r="E254" t="s">
        <v>36</v>
      </c>
      <c r="F254" t="str">
        <f t="shared" si="6"/>
        <v>MM</v>
      </c>
      <c r="G254">
        <f>_xlfn.XLOOKUP(D254,tblStates[state_code],tblStates[territory_id],"Needs Review - Territory")</f>
        <v>4</v>
      </c>
      <c r="H254" t="str">
        <f>IF(E254="","",_xlfn.XLOOKUP(E254,tblUsers[user_id],tblUsers[job_title],"Owner Not Found"))</f>
        <v>Mid-Market Account Executive</v>
      </c>
      <c r="I254" t="str">
        <f>IF(E254="","",_xlfn.XLOOKUP(E254,tblUsers[user_id],tblUsers[segment],"Owner Not Found"))</f>
        <v>MM</v>
      </c>
      <c r="J254">
        <f>IF(E254="","",_xlfn.XLOOKUP(E254,tblUsers[user_id],tblUsers[territory_id],"Owner Not Found"))</f>
        <v>4</v>
      </c>
      <c r="K254" t="str">
        <f t="shared" si="7"/>
        <v>Routing Compatible</v>
      </c>
    </row>
    <row r="255" spans="1:11">
      <c r="A255" t="s">
        <v>2407</v>
      </c>
      <c r="B255" t="s">
        <v>770</v>
      </c>
      <c r="C255" t="s">
        <v>24</v>
      </c>
      <c r="D255" t="s">
        <v>154</v>
      </c>
      <c r="E255" t="s">
        <v>25</v>
      </c>
      <c r="F255" t="str">
        <f t="shared" si="6"/>
        <v>SMB</v>
      </c>
      <c r="G255">
        <f>_xlfn.XLOOKUP(D255,tblStates[state_code],tblStates[territory_id],"Needs Review - Territory")</f>
        <v>2</v>
      </c>
      <c r="H255" t="str">
        <f>IF(E255="","",_xlfn.XLOOKUP(E255,tblUsers[user_id],tblUsers[job_title],"Owner Not Found"))</f>
        <v>SMB Account Executive</v>
      </c>
      <c r="I255" t="str">
        <f>IF(E255="","",_xlfn.XLOOKUP(E255,tblUsers[user_id],tblUsers[segment],"Owner Not Found"))</f>
        <v>SMB</v>
      </c>
      <c r="J255">
        <f>IF(E255="","",_xlfn.XLOOKUP(E255,tblUsers[user_id],tblUsers[territory_id],"Owner Not Found"))</f>
        <v>2</v>
      </c>
      <c r="K255" t="str">
        <f t="shared" si="7"/>
        <v>Routing Compatible</v>
      </c>
    </row>
    <row r="256" spans="1:11">
      <c r="A256" t="s">
        <v>2410</v>
      </c>
      <c r="B256" t="s">
        <v>454</v>
      </c>
      <c r="C256" t="s">
        <v>24</v>
      </c>
      <c r="D256" t="s">
        <v>205</v>
      </c>
      <c r="E256" t="s">
        <v>59</v>
      </c>
      <c r="F256" t="str">
        <f t="shared" si="6"/>
        <v>SMB</v>
      </c>
      <c r="G256">
        <f>_xlfn.XLOOKUP(D256,tblStates[state_code],tblStates[territory_id],"Needs Review - Territory")</f>
        <v>4</v>
      </c>
      <c r="H256" t="str">
        <f>IF(E256="","",_xlfn.XLOOKUP(E256,tblUsers[user_id],tblUsers[job_title],"Owner Not Found"))</f>
        <v>SMB Account Executive</v>
      </c>
      <c r="I256" t="str">
        <f>IF(E256="","",_xlfn.XLOOKUP(E256,tblUsers[user_id],tblUsers[segment],"Owner Not Found"))</f>
        <v>SMB</v>
      </c>
      <c r="J256">
        <f>IF(E256="","",_xlfn.XLOOKUP(E256,tblUsers[user_id],tblUsers[territory_id],"Owner Not Found"))</f>
        <v>4</v>
      </c>
      <c r="K256" t="str">
        <f t="shared" si="7"/>
        <v>Routing Compatible</v>
      </c>
    </row>
    <row r="257" spans="1:11">
      <c r="A257" t="s">
        <v>2415</v>
      </c>
      <c r="B257" t="s">
        <v>442</v>
      </c>
      <c r="C257" t="s">
        <v>30</v>
      </c>
      <c r="D257" t="s">
        <v>216</v>
      </c>
      <c r="E257" t="s">
        <v>18</v>
      </c>
      <c r="F257" t="str">
        <f t="shared" si="6"/>
        <v>MM</v>
      </c>
      <c r="G257">
        <f>_xlfn.XLOOKUP(D257,tblStates[state_code],tblStates[territory_id],"Needs Review - Territory")</f>
        <v>1</v>
      </c>
      <c r="H257" t="str">
        <f>IF(E257="","",_xlfn.XLOOKUP(E257,tblUsers[user_id],tblUsers[job_title],"Owner Not Found"))</f>
        <v>Mid-Market Account Executive</v>
      </c>
      <c r="I257" t="str">
        <f>IF(E257="","",_xlfn.XLOOKUP(E257,tblUsers[user_id],tblUsers[segment],"Owner Not Found"))</f>
        <v>MM</v>
      </c>
      <c r="J257">
        <f>IF(E257="","",_xlfn.XLOOKUP(E257,tblUsers[user_id],tblUsers[territory_id],"Owner Not Found"))</f>
        <v>1</v>
      </c>
      <c r="K257" t="str">
        <f t="shared" si="7"/>
        <v>Routing Compatible</v>
      </c>
    </row>
    <row r="258" spans="1:11">
      <c r="A258" t="s">
        <v>2418</v>
      </c>
      <c r="B258" t="s">
        <v>907</v>
      </c>
      <c r="C258" t="s">
        <v>17</v>
      </c>
      <c r="D258" t="s">
        <v>154</v>
      </c>
      <c r="E258" t="s">
        <v>82</v>
      </c>
      <c r="F258" t="str">
        <f t="shared" si="6"/>
        <v>MM</v>
      </c>
      <c r="G258">
        <f>_xlfn.XLOOKUP(D258,tblStates[state_code],tblStates[territory_id],"Needs Review - Territory")</f>
        <v>2</v>
      </c>
      <c r="H258" t="str">
        <f>IF(E258="","",_xlfn.XLOOKUP(E258,tblUsers[user_id],tblUsers[job_title],"Owner Not Found"))</f>
        <v>Mid-Market Account Executive</v>
      </c>
      <c r="I258" t="str">
        <f>IF(E258="","",_xlfn.XLOOKUP(E258,tblUsers[user_id],tblUsers[segment],"Owner Not Found"))</f>
        <v>MM</v>
      </c>
      <c r="J258">
        <f>IF(E258="","",_xlfn.XLOOKUP(E258,tblUsers[user_id],tblUsers[territory_id],"Owner Not Found"))</f>
        <v>2</v>
      </c>
      <c r="K258" t="str">
        <f t="shared" si="7"/>
        <v>Routing Compatible</v>
      </c>
    </row>
    <row r="259" spans="1:11">
      <c r="A259" t="s">
        <v>2421</v>
      </c>
      <c r="B259" t="s">
        <v>746</v>
      </c>
      <c r="C259" t="s">
        <v>24</v>
      </c>
      <c r="D259" t="s">
        <v>366</v>
      </c>
      <c r="E259" t="s">
        <v>91</v>
      </c>
      <c r="F259" t="str">
        <f t="shared" ref="F259:F322" si="8">IF(C259="SMB","SMB",IF(OR(C259="Mid-Market",C259="Upper Mid-Market"),"MM","Needs Review - Segment"))</f>
        <v>SMB</v>
      </c>
      <c r="G259">
        <f>_xlfn.XLOOKUP(D259,tblStates[state_code],tblStates[territory_id],"Needs Review - Territory")</f>
        <v>1</v>
      </c>
      <c r="H259" t="str">
        <f>IF(E259="","",_xlfn.XLOOKUP(E259,tblUsers[user_id],tblUsers[job_title],"Owner Not Found"))</f>
        <v>SMB Account Executive</v>
      </c>
      <c r="I259" t="str">
        <f>IF(E259="","",_xlfn.XLOOKUP(E259,tblUsers[user_id],tblUsers[segment],"Owner Not Found"))</f>
        <v>SMB</v>
      </c>
      <c r="J259">
        <f>IF(E259="","",_xlfn.XLOOKUP(E259,tblUsers[user_id],tblUsers[territory_id],"Owner Not Found"))</f>
        <v>1</v>
      </c>
      <c r="K259" t="str">
        <f t="shared" ref="K259:K322" si="9">IF(E259="","Unassigned",IF(F259="Needs Review - Segment","Needs Review - Segment",IF(G259="Needs Review - Territory","Needs Review - Territory",IF(I259&lt;&gt;F259,"Wrong Segment",IF(AND(ISNUMBER(SEARCH("Account Executive",H259)),J259&lt;&gt;G259),"Wrong AE Territory",IF(OR(ISNUMBER(SEARCH("Account Executive",H259)),H259="Sales Development Representative"),"Routing Compatible","Unexpected Owner Role"))))))</f>
        <v>Routing Compatible</v>
      </c>
    </row>
    <row r="260" spans="1:11">
      <c r="A260" t="s">
        <v>2425</v>
      </c>
      <c r="B260" t="s">
        <v>695</v>
      </c>
      <c r="C260" t="s">
        <v>17</v>
      </c>
      <c r="D260" t="s">
        <v>366</v>
      </c>
      <c r="E260" t="s">
        <v>18</v>
      </c>
      <c r="F260" t="str">
        <f t="shared" si="8"/>
        <v>MM</v>
      </c>
      <c r="G260">
        <f>_xlfn.XLOOKUP(D260,tblStates[state_code],tblStates[territory_id],"Needs Review - Territory")</f>
        <v>1</v>
      </c>
      <c r="H260" t="str">
        <f>IF(E260="","",_xlfn.XLOOKUP(E260,tblUsers[user_id],tblUsers[job_title],"Owner Not Found"))</f>
        <v>Mid-Market Account Executive</v>
      </c>
      <c r="I260" t="str">
        <f>IF(E260="","",_xlfn.XLOOKUP(E260,tblUsers[user_id],tblUsers[segment],"Owner Not Found"))</f>
        <v>MM</v>
      </c>
      <c r="J260">
        <f>IF(E260="","",_xlfn.XLOOKUP(E260,tblUsers[user_id],tblUsers[territory_id],"Owner Not Found"))</f>
        <v>1</v>
      </c>
      <c r="K260" t="str">
        <f t="shared" si="9"/>
        <v>Routing Compatible</v>
      </c>
    </row>
    <row r="261" spans="1:11">
      <c r="A261" t="s">
        <v>2429</v>
      </c>
      <c r="B261" t="s">
        <v>778</v>
      </c>
      <c r="C261" t="s">
        <v>24</v>
      </c>
      <c r="D261" t="s">
        <v>120</v>
      </c>
      <c r="E261" t="s">
        <v>25</v>
      </c>
      <c r="F261" t="str">
        <f t="shared" si="8"/>
        <v>SMB</v>
      </c>
      <c r="G261">
        <f>_xlfn.XLOOKUP(D261,tblStates[state_code],tblStates[territory_id],"Needs Review - Territory")</f>
        <v>2</v>
      </c>
      <c r="H261" t="str">
        <f>IF(E261="","",_xlfn.XLOOKUP(E261,tblUsers[user_id],tblUsers[job_title],"Owner Not Found"))</f>
        <v>SMB Account Executive</v>
      </c>
      <c r="I261" t="str">
        <f>IF(E261="","",_xlfn.XLOOKUP(E261,tblUsers[user_id],tblUsers[segment],"Owner Not Found"))</f>
        <v>SMB</v>
      </c>
      <c r="J261">
        <f>IF(E261="","",_xlfn.XLOOKUP(E261,tblUsers[user_id],tblUsers[territory_id],"Owner Not Found"))</f>
        <v>2</v>
      </c>
      <c r="K261" t="str">
        <f t="shared" si="9"/>
        <v>Routing Compatible</v>
      </c>
    </row>
    <row r="262" spans="1:11">
      <c r="A262" t="s">
        <v>2433</v>
      </c>
      <c r="B262" t="s">
        <v>913</v>
      </c>
      <c r="C262" t="s">
        <v>30</v>
      </c>
      <c r="D262" t="s">
        <v>236</v>
      </c>
      <c r="E262" t="s">
        <v>18</v>
      </c>
      <c r="F262" t="str">
        <f t="shared" si="8"/>
        <v>MM</v>
      </c>
      <c r="G262">
        <f>_xlfn.XLOOKUP(D262,tblStates[state_code],tblStates[territory_id],"Needs Review - Territory")</f>
        <v>1</v>
      </c>
      <c r="H262" t="str">
        <f>IF(E262="","",_xlfn.XLOOKUP(E262,tblUsers[user_id],tblUsers[job_title],"Owner Not Found"))</f>
        <v>Mid-Market Account Executive</v>
      </c>
      <c r="I262" t="str">
        <f>IF(E262="","",_xlfn.XLOOKUP(E262,tblUsers[user_id],tblUsers[segment],"Owner Not Found"))</f>
        <v>MM</v>
      </c>
      <c r="J262">
        <f>IF(E262="","",_xlfn.XLOOKUP(E262,tblUsers[user_id],tblUsers[territory_id],"Owner Not Found"))</f>
        <v>1</v>
      </c>
      <c r="K262" t="str">
        <f t="shared" si="9"/>
        <v>Routing Compatible</v>
      </c>
    </row>
    <row r="263" spans="1:11">
      <c r="A263" t="s">
        <v>2437</v>
      </c>
      <c r="B263" t="s">
        <v>13</v>
      </c>
      <c r="C263" t="s">
        <v>17</v>
      </c>
      <c r="D263" t="s">
        <v>16</v>
      </c>
      <c r="E263" t="s">
        <v>18</v>
      </c>
      <c r="F263" t="str">
        <f t="shared" si="8"/>
        <v>MM</v>
      </c>
      <c r="G263">
        <f>_xlfn.XLOOKUP(D263,tblStates[state_code],tblStates[territory_id],"Needs Review - Territory")</f>
        <v>1</v>
      </c>
      <c r="H263" t="str">
        <f>IF(E263="","",_xlfn.XLOOKUP(E263,tblUsers[user_id],tblUsers[job_title],"Owner Not Found"))</f>
        <v>Mid-Market Account Executive</v>
      </c>
      <c r="I263" t="str">
        <f>IF(E263="","",_xlfn.XLOOKUP(E263,tblUsers[user_id],tblUsers[segment],"Owner Not Found"))</f>
        <v>MM</v>
      </c>
      <c r="J263">
        <f>IF(E263="","",_xlfn.XLOOKUP(E263,tblUsers[user_id],tblUsers[territory_id],"Owner Not Found"))</f>
        <v>1</v>
      </c>
      <c r="K263" t="str">
        <f t="shared" si="9"/>
        <v>Routing Compatible</v>
      </c>
    </row>
    <row r="264" spans="1:11">
      <c r="A264" t="s">
        <v>2440</v>
      </c>
      <c r="B264" t="s">
        <v>247</v>
      </c>
      <c r="C264" t="s">
        <v>17</v>
      </c>
      <c r="D264" t="s">
        <v>249</v>
      </c>
      <c r="E264" t="s">
        <v>36</v>
      </c>
      <c r="F264" t="str">
        <f t="shared" si="8"/>
        <v>MM</v>
      </c>
      <c r="G264">
        <f>_xlfn.XLOOKUP(D264,tblStates[state_code],tblStates[territory_id],"Needs Review - Territory")</f>
        <v>4</v>
      </c>
      <c r="H264" t="str">
        <f>IF(E264="","",_xlfn.XLOOKUP(E264,tblUsers[user_id],tblUsers[job_title],"Owner Not Found"))</f>
        <v>Mid-Market Account Executive</v>
      </c>
      <c r="I264" t="str">
        <f>IF(E264="","",_xlfn.XLOOKUP(E264,tblUsers[user_id],tblUsers[segment],"Owner Not Found"))</f>
        <v>MM</v>
      </c>
      <c r="J264">
        <f>IF(E264="","",_xlfn.XLOOKUP(E264,tblUsers[user_id],tblUsers[territory_id],"Owner Not Found"))</f>
        <v>4</v>
      </c>
      <c r="K264" t="str">
        <f t="shared" si="9"/>
        <v>Routing Compatible</v>
      </c>
    </row>
    <row r="265" spans="1:11">
      <c r="A265" t="s">
        <v>2444</v>
      </c>
      <c r="B265" t="s">
        <v>664</v>
      </c>
      <c r="C265" t="s">
        <v>24</v>
      </c>
      <c r="D265" t="s">
        <v>127</v>
      </c>
      <c r="E265" t="s">
        <v>25</v>
      </c>
      <c r="F265" t="str">
        <f t="shared" si="8"/>
        <v>SMB</v>
      </c>
      <c r="G265">
        <f>_xlfn.XLOOKUP(D265,tblStates[state_code],tblStates[territory_id],"Needs Review - Territory")</f>
        <v>2</v>
      </c>
      <c r="H265" t="str">
        <f>IF(E265="","",_xlfn.XLOOKUP(E265,tblUsers[user_id],tblUsers[job_title],"Owner Not Found"))</f>
        <v>SMB Account Executive</v>
      </c>
      <c r="I265" t="str">
        <f>IF(E265="","",_xlfn.XLOOKUP(E265,tblUsers[user_id],tblUsers[segment],"Owner Not Found"))</f>
        <v>SMB</v>
      </c>
      <c r="J265">
        <f>IF(E265="","",_xlfn.XLOOKUP(E265,tblUsers[user_id],tblUsers[territory_id],"Owner Not Found"))</f>
        <v>2</v>
      </c>
      <c r="K265" t="str">
        <f t="shared" si="9"/>
        <v>Routing Compatible</v>
      </c>
    </row>
    <row r="266" spans="1:11">
      <c r="A266" t="s">
        <v>2448</v>
      </c>
      <c r="B266" t="s">
        <v>241</v>
      </c>
      <c r="C266" t="s">
        <v>30</v>
      </c>
      <c r="D266" t="s">
        <v>54</v>
      </c>
      <c r="E266" t="s">
        <v>55</v>
      </c>
      <c r="F266" t="str">
        <f t="shared" si="8"/>
        <v>MM</v>
      </c>
      <c r="G266">
        <f>_xlfn.XLOOKUP(D266,tblStates[state_code],tblStates[territory_id],"Needs Review - Territory")</f>
        <v>3</v>
      </c>
      <c r="H266" t="str">
        <f>IF(E266="","",_xlfn.XLOOKUP(E266,tblUsers[user_id],tblUsers[job_title],"Owner Not Found"))</f>
        <v>Mid-Market Account Executive</v>
      </c>
      <c r="I266" t="str">
        <f>IF(E266="","",_xlfn.XLOOKUP(E266,tblUsers[user_id],tblUsers[segment],"Owner Not Found"))</f>
        <v>MM</v>
      </c>
      <c r="J266">
        <f>IF(E266="","",_xlfn.XLOOKUP(E266,tblUsers[user_id],tblUsers[territory_id],"Owner Not Found"))</f>
        <v>3</v>
      </c>
      <c r="K266" t="str">
        <f t="shared" si="9"/>
        <v>Routing Compatible</v>
      </c>
    </row>
    <row r="267" spans="1:11">
      <c r="A267" t="s">
        <v>2453</v>
      </c>
      <c r="B267" t="s">
        <v>740</v>
      </c>
      <c r="C267" t="s">
        <v>17</v>
      </c>
      <c r="D267" t="s">
        <v>99</v>
      </c>
      <c r="E267" t="s">
        <v>36</v>
      </c>
      <c r="F267" t="str">
        <f t="shared" si="8"/>
        <v>MM</v>
      </c>
      <c r="G267">
        <f>_xlfn.XLOOKUP(D267,tblStates[state_code],tblStates[territory_id],"Needs Review - Territory")</f>
        <v>4</v>
      </c>
      <c r="H267" t="str">
        <f>IF(E267="","",_xlfn.XLOOKUP(E267,tblUsers[user_id],tblUsers[job_title],"Owner Not Found"))</f>
        <v>Mid-Market Account Executive</v>
      </c>
      <c r="I267" t="str">
        <f>IF(E267="","",_xlfn.XLOOKUP(E267,tblUsers[user_id],tblUsers[segment],"Owner Not Found"))</f>
        <v>MM</v>
      </c>
      <c r="J267">
        <f>IF(E267="","",_xlfn.XLOOKUP(E267,tblUsers[user_id],tblUsers[territory_id],"Owner Not Found"))</f>
        <v>4</v>
      </c>
      <c r="K267" t="str">
        <f t="shared" si="9"/>
        <v>Routing Compatible</v>
      </c>
    </row>
    <row r="268" spans="1:11">
      <c r="A268" t="s">
        <v>2457</v>
      </c>
      <c r="B268" t="s">
        <v>767</v>
      </c>
      <c r="C268" t="s">
        <v>24</v>
      </c>
      <c r="D268" t="s">
        <v>16</v>
      </c>
      <c r="E268" t="s">
        <v>91</v>
      </c>
      <c r="F268" t="str">
        <f t="shared" si="8"/>
        <v>SMB</v>
      </c>
      <c r="G268">
        <f>_xlfn.XLOOKUP(D268,tblStates[state_code],tblStates[territory_id],"Needs Review - Territory")</f>
        <v>1</v>
      </c>
      <c r="H268" t="str">
        <f>IF(E268="","",_xlfn.XLOOKUP(E268,tblUsers[user_id],tblUsers[job_title],"Owner Not Found"))</f>
        <v>SMB Account Executive</v>
      </c>
      <c r="I268" t="str">
        <f>IF(E268="","",_xlfn.XLOOKUP(E268,tblUsers[user_id],tblUsers[segment],"Owner Not Found"))</f>
        <v>SMB</v>
      </c>
      <c r="J268">
        <f>IF(E268="","",_xlfn.XLOOKUP(E268,tblUsers[user_id],tblUsers[territory_id],"Owner Not Found"))</f>
        <v>1</v>
      </c>
      <c r="K268" t="str">
        <f t="shared" si="9"/>
        <v>Routing Compatible</v>
      </c>
    </row>
    <row r="269" spans="1:11">
      <c r="A269" t="s">
        <v>2461</v>
      </c>
      <c r="B269" t="s">
        <v>664</v>
      </c>
      <c r="C269" t="s">
        <v>24</v>
      </c>
      <c r="D269" t="s">
        <v>127</v>
      </c>
      <c r="E269" t="s">
        <v>25</v>
      </c>
      <c r="F269" t="str">
        <f t="shared" si="8"/>
        <v>SMB</v>
      </c>
      <c r="G269">
        <f>_xlfn.XLOOKUP(D269,tblStates[state_code],tblStates[territory_id],"Needs Review - Territory")</f>
        <v>2</v>
      </c>
      <c r="H269" t="str">
        <f>IF(E269="","",_xlfn.XLOOKUP(E269,tblUsers[user_id],tblUsers[job_title],"Owner Not Found"))</f>
        <v>SMB Account Executive</v>
      </c>
      <c r="I269" t="str">
        <f>IF(E269="","",_xlfn.XLOOKUP(E269,tblUsers[user_id],tblUsers[segment],"Owner Not Found"))</f>
        <v>SMB</v>
      </c>
      <c r="J269">
        <f>IF(E269="","",_xlfn.XLOOKUP(E269,tblUsers[user_id],tblUsers[territory_id],"Owner Not Found"))</f>
        <v>2</v>
      </c>
      <c r="K269" t="str">
        <f t="shared" si="9"/>
        <v>Routing Compatible</v>
      </c>
    </row>
    <row r="270" spans="1:11">
      <c r="A270" t="s">
        <v>2465</v>
      </c>
      <c r="B270" t="s">
        <v>125</v>
      </c>
      <c r="C270" t="s">
        <v>24</v>
      </c>
      <c r="D270" t="s">
        <v>127</v>
      </c>
      <c r="E270" t="s">
        <v>25</v>
      </c>
      <c r="F270" t="str">
        <f t="shared" si="8"/>
        <v>SMB</v>
      </c>
      <c r="G270">
        <f>_xlfn.XLOOKUP(D270,tblStates[state_code],tblStates[territory_id],"Needs Review - Territory")</f>
        <v>2</v>
      </c>
      <c r="H270" t="str">
        <f>IF(E270="","",_xlfn.XLOOKUP(E270,tblUsers[user_id],tblUsers[job_title],"Owner Not Found"))</f>
        <v>SMB Account Executive</v>
      </c>
      <c r="I270" t="str">
        <f>IF(E270="","",_xlfn.XLOOKUP(E270,tblUsers[user_id],tblUsers[segment],"Owner Not Found"))</f>
        <v>SMB</v>
      </c>
      <c r="J270">
        <f>IF(E270="","",_xlfn.XLOOKUP(E270,tblUsers[user_id],tblUsers[territory_id],"Owner Not Found"))</f>
        <v>2</v>
      </c>
      <c r="K270" t="str">
        <f t="shared" si="9"/>
        <v>Routing Compatible</v>
      </c>
    </row>
    <row r="271" spans="1:11">
      <c r="A271" t="s">
        <v>2469</v>
      </c>
      <c r="B271" t="s">
        <v>480</v>
      </c>
      <c r="C271" t="s">
        <v>30</v>
      </c>
      <c r="D271" t="s">
        <v>54</v>
      </c>
      <c r="E271" t="s">
        <v>55</v>
      </c>
      <c r="F271" t="str">
        <f t="shared" si="8"/>
        <v>MM</v>
      </c>
      <c r="G271">
        <f>_xlfn.XLOOKUP(D271,tblStates[state_code],tblStates[territory_id],"Needs Review - Territory")</f>
        <v>3</v>
      </c>
      <c r="H271" t="str">
        <f>IF(E271="","",_xlfn.XLOOKUP(E271,tblUsers[user_id],tblUsers[job_title],"Owner Not Found"))</f>
        <v>Mid-Market Account Executive</v>
      </c>
      <c r="I271" t="str">
        <f>IF(E271="","",_xlfn.XLOOKUP(E271,tblUsers[user_id],tblUsers[segment],"Owner Not Found"))</f>
        <v>MM</v>
      </c>
      <c r="J271">
        <f>IF(E271="","",_xlfn.XLOOKUP(E271,tblUsers[user_id],tblUsers[territory_id],"Owner Not Found"))</f>
        <v>3</v>
      </c>
      <c r="K271" t="str">
        <f t="shared" si="9"/>
        <v>Routing Compatible</v>
      </c>
    </row>
    <row r="272" spans="1:11">
      <c r="A272" t="s">
        <v>2473</v>
      </c>
      <c r="B272" t="s">
        <v>486</v>
      </c>
      <c r="C272" t="s">
        <v>30</v>
      </c>
      <c r="D272" t="s">
        <v>408</v>
      </c>
      <c r="E272" t="s">
        <v>55</v>
      </c>
      <c r="F272" t="str">
        <f t="shared" si="8"/>
        <v>MM</v>
      </c>
      <c r="G272">
        <f>_xlfn.XLOOKUP(D272,tblStates[state_code],tblStates[territory_id],"Needs Review - Territory")</f>
        <v>3</v>
      </c>
      <c r="H272" t="str">
        <f>IF(E272="","",_xlfn.XLOOKUP(E272,tblUsers[user_id],tblUsers[job_title],"Owner Not Found"))</f>
        <v>Mid-Market Account Executive</v>
      </c>
      <c r="I272" t="str">
        <f>IF(E272="","",_xlfn.XLOOKUP(E272,tblUsers[user_id],tblUsers[segment],"Owner Not Found"))</f>
        <v>MM</v>
      </c>
      <c r="J272">
        <f>IF(E272="","",_xlfn.XLOOKUP(E272,tblUsers[user_id],tblUsers[territory_id],"Owner Not Found"))</f>
        <v>3</v>
      </c>
      <c r="K272" t="str">
        <f t="shared" si="9"/>
        <v>Routing Compatible</v>
      </c>
    </row>
    <row r="273" spans="1:11">
      <c r="A273" t="s">
        <v>2477</v>
      </c>
      <c r="B273" t="s">
        <v>257</v>
      </c>
      <c r="C273" t="s">
        <v>24</v>
      </c>
      <c r="D273" t="s">
        <v>120</v>
      </c>
      <c r="E273" t="s">
        <v>25</v>
      </c>
      <c r="F273" t="str">
        <f t="shared" si="8"/>
        <v>SMB</v>
      </c>
      <c r="G273">
        <f>_xlfn.XLOOKUP(D273,tblStates[state_code],tblStates[territory_id],"Needs Review - Territory")</f>
        <v>2</v>
      </c>
      <c r="H273" t="str">
        <f>IF(E273="","",_xlfn.XLOOKUP(E273,tblUsers[user_id],tblUsers[job_title],"Owner Not Found"))</f>
        <v>SMB Account Executive</v>
      </c>
      <c r="I273" t="str">
        <f>IF(E273="","",_xlfn.XLOOKUP(E273,tblUsers[user_id],tblUsers[segment],"Owner Not Found"))</f>
        <v>SMB</v>
      </c>
      <c r="J273">
        <f>IF(E273="","",_xlfn.XLOOKUP(E273,tblUsers[user_id],tblUsers[territory_id],"Owner Not Found"))</f>
        <v>2</v>
      </c>
      <c r="K273" t="str">
        <f t="shared" si="9"/>
        <v>Routing Compatible</v>
      </c>
    </row>
    <row r="274" spans="1:11">
      <c r="A274" t="s">
        <v>2481</v>
      </c>
      <c r="B274" t="s">
        <v>32</v>
      </c>
      <c r="C274" t="s">
        <v>30</v>
      </c>
      <c r="D274" t="s">
        <v>35</v>
      </c>
      <c r="E274" t="s">
        <v>36</v>
      </c>
      <c r="F274" t="str">
        <f t="shared" si="8"/>
        <v>MM</v>
      </c>
      <c r="G274">
        <f>_xlfn.XLOOKUP(D274,tblStates[state_code],tblStates[territory_id],"Needs Review - Territory")</f>
        <v>4</v>
      </c>
      <c r="H274" t="str">
        <f>IF(E274="","",_xlfn.XLOOKUP(E274,tblUsers[user_id],tblUsers[job_title],"Owner Not Found"))</f>
        <v>Mid-Market Account Executive</v>
      </c>
      <c r="I274" t="str">
        <f>IF(E274="","",_xlfn.XLOOKUP(E274,tblUsers[user_id],tblUsers[segment],"Owner Not Found"))</f>
        <v>MM</v>
      </c>
      <c r="J274">
        <f>IF(E274="","",_xlfn.XLOOKUP(E274,tblUsers[user_id],tblUsers[territory_id],"Owner Not Found"))</f>
        <v>4</v>
      </c>
      <c r="K274" t="str">
        <f t="shared" si="9"/>
        <v>Routing Compatible</v>
      </c>
    </row>
    <row r="275" spans="1:11">
      <c r="A275" t="s">
        <v>2485</v>
      </c>
      <c r="B275" t="s">
        <v>562</v>
      </c>
      <c r="C275" t="s">
        <v>24</v>
      </c>
      <c r="D275" t="s">
        <v>54</v>
      </c>
      <c r="E275" t="s">
        <v>69</v>
      </c>
      <c r="F275" t="str">
        <f t="shared" si="8"/>
        <v>SMB</v>
      </c>
      <c r="G275">
        <f>_xlfn.XLOOKUP(D275,tblStates[state_code],tblStates[territory_id],"Needs Review - Territory")</f>
        <v>3</v>
      </c>
      <c r="H275" t="str">
        <f>IF(E275="","",_xlfn.XLOOKUP(E275,tblUsers[user_id],tblUsers[job_title],"Owner Not Found"))</f>
        <v>SMB Account Executive</v>
      </c>
      <c r="I275" t="str">
        <f>IF(E275="","",_xlfn.XLOOKUP(E275,tblUsers[user_id],tblUsers[segment],"Owner Not Found"))</f>
        <v>SMB</v>
      </c>
      <c r="J275">
        <f>IF(E275="","",_xlfn.XLOOKUP(E275,tblUsers[user_id],tblUsers[territory_id],"Owner Not Found"))</f>
        <v>3</v>
      </c>
      <c r="K275" t="str">
        <f t="shared" si="9"/>
        <v>Routing Compatible</v>
      </c>
    </row>
    <row r="276" spans="1:11">
      <c r="A276" t="s">
        <v>2489</v>
      </c>
      <c r="B276" t="s">
        <v>101</v>
      </c>
      <c r="C276" t="s">
        <v>24</v>
      </c>
      <c r="D276" t="s">
        <v>35</v>
      </c>
      <c r="E276" t="s">
        <v>59</v>
      </c>
      <c r="F276" t="str">
        <f t="shared" si="8"/>
        <v>SMB</v>
      </c>
      <c r="G276">
        <f>_xlfn.XLOOKUP(D276,tblStates[state_code],tblStates[territory_id],"Needs Review - Territory")</f>
        <v>4</v>
      </c>
      <c r="H276" t="str">
        <f>IF(E276="","",_xlfn.XLOOKUP(E276,tblUsers[user_id],tblUsers[job_title],"Owner Not Found"))</f>
        <v>SMB Account Executive</v>
      </c>
      <c r="I276" t="str">
        <f>IF(E276="","",_xlfn.XLOOKUP(E276,tblUsers[user_id],tblUsers[segment],"Owner Not Found"))</f>
        <v>SMB</v>
      </c>
      <c r="J276">
        <f>IF(E276="","",_xlfn.XLOOKUP(E276,tblUsers[user_id],tblUsers[territory_id],"Owner Not Found"))</f>
        <v>4</v>
      </c>
      <c r="K276" t="str">
        <f t="shared" si="9"/>
        <v>Routing Compatible</v>
      </c>
    </row>
    <row r="277" spans="1:11">
      <c r="A277" t="s">
        <v>2493</v>
      </c>
      <c r="B277" t="s">
        <v>775</v>
      </c>
      <c r="C277" t="s">
        <v>30</v>
      </c>
      <c r="D277" t="s">
        <v>366</v>
      </c>
      <c r="E277" t="s">
        <v>18</v>
      </c>
      <c r="F277" t="str">
        <f t="shared" si="8"/>
        <v>MM</v>
      </c>
      <c r="G277">
        <f>_xlfn.XLOOKUP(D277,tblStates[state_code],tblStates[territory_id],"Needs Review - Territory")</f>
        <v>1</v>
      </c>
      <c r="H277" t="str">
        <f>IF(E277="","",_xlfn.XLOOKUP(E277,tblUsers[user_id],tblUsers[job_title],"Owner Not Found"))</f>
        <v>Mid-Market Account Executive</v>
      </c>
      <c r="I277" t="str">
        <f>IF(E277="","",_xlfn.XLOOKUP(E277,tblUsers[user_id],tblUsers[segment],"Owner Not Found"))</f>
        <v>MM</v>
      </c>
      <c r="J277">
        <f>IF(E277="","",_xlfn.XLOOKUP(E277,tblUsers[user_id],tblUsers[territory_id],"Owner Not Found"))</f>
        <v>1</v>
      </c>
      <c r="K277" t="str">
        <f t="shared" si="9"/>
        <v>Routing Compatible</v>
      </c>
    </row>
    <row r="278" spans="1:11">
      <c r="A278" t="s">
        <v>2497</v>
      </c>
      <c r="B278" t="s">
        <v>343</v>
      </c>
      <c r="C278" t="s">
        <v>24</v>
      </c>
      <c r="D278" t="s">
        <v>68</v>
      </c>
      <c r="E278" t="s">
        <v>69</v>
      </c>
      <c r="F278" t="str">
        <f t="shared" si="8"/>
        <v>SMB</v>
      </c>
      <c r="G278">
        <f>_xlfn.XLOOKUP(D278,tblStates[state_code],tblStates[territory_id],"Needs Review - Territory")</f>
        <v>3</v>
      </c>
      <c r="H278" t="str">
        <f>IF(E278="","",_xlfn.XLOOKUP(E278,tblUsers[user_id],tblUsers[job_title],"Owner Not Found"))</f>
        <v>SMB Account Executive</v>
      </c>
      <c r="I278" t="str">
        <f>IF(E278="","",_xlfn.XLOOKUP(E278,tblUsers[user_id],tblUsers[segment],"Owner Not Found"))</f>
        <v>SMB</v>
      </c>
      <c r="J278">
        <f>IF(E278="","",_xlfn.XLOOKUP(E278,tblUsers[user_id],tblUsers[territory_id],"Owner Not Found"))</f>
        <v>3</v>
      </c>
      <c r="K278" t="str">
        <f t="shared" si="9"/>
        <v>Routing Compatible</v>
      </c>
    </row>
    <row r="279" spans="1:11">
      <c r="A279" t="s">
        <v>2500</v>
      </c>
      <c r="B279" t="s">
        <v>775</v>
      </c>
      <c r="C279" t="s">
        <v>30</v>
      </c>
      <c r="D279" t="s">
        <v>366</v>
      </c>
      <c r="E279" t="s">
        <v>18</v>
      </c>
      <c r="F279" t="str">
        <f t="shared" si="8"/>
        <v>MM</v>
      </c>
      <c r="G279">
        <f>_xlfn.XLOOKUP(D279,tblStates[state_code],tblStates[territory_id],"Needs Review - Territory")</f>
        <v>1</v>
      </c>
      <c r="H279" t="str">
        <f>IF(E279="","",_xlfn.XLOOKUP(E279,tblUsers[user_id],tblUsers[job_title],"Owner Not Found"))</f>
        <v>Mid-Market Account Executive</v>
      </c>
      <c r="I279" t="str">
        <f>IF(E279="","",_xlfn.XLOOKUP(E279,tblUsers[user_id],tblUsers[segment],"Owner Not Found"))</f>
        <v>MM</v>
      </c>
      <c r="J279">
        <f>IF(E279="","",_xlfn.XLOOKUP(E279,tblUsers[user_id],tblUsers[territory_id],"Owner Not Found"))</f>
        <v>1</v>
      </c>
      <c r="K279" t="str">
        <f t="shared" si="9"/>
        <v>Routing Compatible</v>
      </c>
    </row>
    <row r="280" spans="1:11">
      <c r="A280" t="s">
        <v>2503</v>
      </c>
      <c r="B280" t="s">
        <v>260</v>
      </c>
      <c r="C280" t="s">
        <v>30</v>
      </c>
      <c r="D280" t="s">
        <v>81</v>
      </c>
      <c r="E280" t="s">
        <v>55</v>
      </c>
      <c r="F280" t="str">
        <f t="shared" si="8"/>
        <v>MM</v>
      </c>
      <c r="G280">
        <f>_xlfn.XLOOKUP(D280,tblStates[state_code],tblStates[territory_id],"Needs Review - Territory")</f>
        <v>2</v>
      </c>
      <c r="H280" t="str">
        <f>IF(E280="","",_xlfn.XLOOKUP(E280,tblUsers[user_id],tblUsers[job_title],"Owner Not Found"))</f>
        <v>Mid-Market Account Executive</v>
      </c>
      <c r="I280" t="str">
        <f>IF(E280="","",_xlfn.XLOOKUP(E280,tblUsers[user_id],tblUsers[segment],"Owner Not Found"))</f>
        <v>MM</v>
      </c>
      <c r="J280">
        <f>IF(E280="","",_xlfn.XLOOKUP(E280,tblUsers[user_id],tblUsers[territory_id],"Owner Not Found"))</f>
        <v>3</v>
      </c>
      <c r="K280" t="str">
        <f t="shared" si="9"/>
        <v>Wrong AE Territory</v>
      </c>
    </row>
    <row r="281" spans="1:11">
      <c r="A281" t="s">
        <v>2506</v>
      </c>
      <c r="B281" t="s">
        <v>525</v>
      </c>
      <c r="C281" t="s">
        <v>17</v>
      </c>
      <c r="D281" t="s">
        <v>50</v>
      </c>
      <c r="E281" t="s">
        <v>36</v>
      </c>
      <c r="F281" t="str">
        <f t="shared" si="8"/>
        <v>MM</v>
      </c>
      <c r="G281">
        <f>_xlfn.XLOOKUP(D281,tblStates[state_code],tblStates[territory_id],"Needs Review - Territory")</f>
        <v>4</v>
      </c>
      <c r="H281" t="str">
        <f>IF(E281="","",_xlfn.XLOOKUP(E281,tblUsers[user_id],tblUsers[job_title],"Owner Not Found"))</f>
        <v>Mid-Market Account Executive</v>
      </c>
      <c r="I281" t="str">
        <f>IF(E281="","",_xlfn.XLOOKUP(E281,tblUsers[user_id],tblUsers[segment],"Owner Not Found"))</f>
        <v>MM</v>
      </c>
      <c r="J281">
        <f>IF(E281="","",_xlfn.XLOOKUP(E281,tblUsers[user_id],tblUsers[territory_id],"Owner Not Found"))</f>
        <v>4</v>
      </c>
      <c r="K281" t="str">
        <f t="shared" si="9"/>
        <v>Routing Compatible</v>
      </c>
    </row>
    <row r="282" spans="1:11">
      <c r="A282" t="s">
        <v>2510</v>
      </c>
      <c r="B282" t="s">
        <v>613</v>
      </c>
      <c r="C282" t="s">
        <v>30</v>
      </c>
      <c r="D282" t="s">
        <v>140</v>
      </c>
      <c r="E282" t="s">
        <v>82</v>
      </c>
      <c r="F282" t="str">
        <f t="shared" si="8"/>
        <v>MM</v>
      </c>
      <c r="G282">
        <f>_xlfn.XLOOKUP(D282,tblStates[state_code],tblStates[territory_id],"Needs Review - Territory")</f>
        <v>2</v>
      </c>
      <c r="H282" t="str">
        <f>IF(E282="","",_xlfn.XLOOKUP(E282,tblUsers[user_id],tblUsers[job_title],"Owner Not Found"))</f>
        <v>Mid-Market Account Executive</v>
      </c>
      <c r="I282" t="str">
        <f>IF(E282="","",_xlfn.XLOOKUP(E282,tblUsers[user_id],tblUsers[segment],"Owner Not Found"))</f>
        <v>MM</v>
      </c>
      <c r="J282">
        <f>IF(E282="","",_xlfn.XLOOKUP(E282,tblUsers[user_id],tblUsers[territory_id],"Owner Not Found"))</f>
        <v>2</v>
      </c>
      <c r="K282" t="str">
        <f t="shared" si="9"/>
        <v>Routing Compatible</v>
      </c>
    </row>
    <row r="283" spans="1:11">
      <c r="A283" t="s">
        <v>2514</v>
      </c>
      <c r="B283" t="s">
        <v>402</v>
      </c>
      <c r="D283" t="s">
        <v>404</v>
      </c>
      <c r="E283" t="s">
        <v>82</v>
      </c>
      <c r="F283" t="str">
        <f t="shared" si="8"/>
        <v>Needs Review - Segment</v>
      </c>
      <c r="G283">
        <f>_xlfn.XLOOKUP(D283,tblStates[state_code],tblStates[territory_id],"Needs Review - Territory")</f>
        <v>2</v>
      </c>
      <c r="H283" t="str">
        <f>IF(E283="","",_xlfn.XLOOKUP(E283,tblUsers[user_id],tblUsers[job_title],"Owner Not Found"))</f>
        <v>Mid-Market Account Executive</v>
      </c>
      <c r="I283" t="str">
        <f>IF(E283="","",_xlfn.XLOOKUP(E283,tblUsers[user_id],tblUsers[segment],"Owner Not Found"))</f>
        <v>MM</v>
      </c>
      <c r="J283">
        <f>IF(E283="","",_xlfn.XLOOKUP(E283,tblUsers[user_id],tblUsers[territory_id],"Owner Not Found"))</f>
        <v>2</v>
      </c>
      <c r="K283" t="str">
        <f t="shared" si="9"/>
        <v>Needs Review - Segment</v>
      </c>
    </row>
    <row r="284" spans="1:11">
      <c r="A284" t="s">
        <v>2518</v>
      </c>
      <c r="B284" t="s">
        <v>892</v>
      </c>
      <c r="C284" t="s">
        <v>30</v>
      </c>
      <c r="D284" t="s">
        <v>81</v>
      </c>
      <c r="E284" t="s">
        <v>82</v>
      </c>
      <c r="F284" t="str">
        <f t="shared" si="8"/>
        <v>MM</v>
      </c>
      <c r="G284">
        <f>_xlfn.XLOOKUP(D284,tblStates[state_code],tblStates[territory_id],"Needs Review - Territory")</f>
        <v>2</v>
      </c>
      <c r="H284" t="str">
        <f>IF(E284="","",_xlfn.XLOOKUP(E284,tblUsers[user_id],tblUsers[job_title],"Owner Not Found"))</f>
        <v>Mid-Market Account Executive</v>
      </c>
      <c r="I284" t="str">
        <f>IF(E284="","",_xlfn.XLOOKUP(E284,tblUsers[user_id],tblUsers[segment],"Owner Not Found"))</f>
        <v>MM</v>
      </c>
      <c r="J284">
        <f>IF(E284="","",_xlfn.XLOOKUP(E284,tblUsers[user_id],tblUsers[territory_id],"Owner Not Found"))</f>
        <v>2</v>
      </c>
      <c r="K284" t="str">
        <f t="shared" si="9"/>
        <v>Routing Compatible</v>
      </c>
    </row>
    <row r="285" spans="1:11">
      <c r="A285" t="s">
        <v>2522</v>
      </c>
      <c r="B285" t="s">
        <v>571</v>
      </c>
      <c r="C285" t="s">
        <v>24</v>
      </c>
      <c r="D285" t="s">
        <v>16</v>
      </c>
      <c r="E285" t="s">
        <v>91</v>
      </c>
      <c r="F285" t="str">
        <f t="shared" si="8"/>
        <v>SMB</v>
      </c>
      <c r="G285">
        <f>_xlfn.XLOOKUP(D285,tblStates[state_code],tblStates[territory_id],"Needs Review - Territory")</f>
        <v>1</v>
      </c>
      <c r="H285" t="str">
        <f>IF(E285="","",_xlfn.XLOOKUP(E285,tblUsers[user_id],tblUsers[job_title],"Owner Not Found"))</f>
        <v>SMB Account Executive</v>
      </c>
      <c r="I285" t="str">
        <f>IF(E285="","",_xlfn.XLOOKUP(E285,tblUsers[user_id],tblUsers[segment],"Owner Not Found"))</f>
        <v>SMB</v>
      </c>
      <c r="J285">
        <f>IF(E285="","",_xlfn.XLOOKUP(E285,tblUsers[user_id],tblUsers[territory_id],"Owner Not Found"))</f>
        <v>1</v>
      </c>
      <c r="K285" t="str">
        <f t="shared" si="9"/>
        <v>Routing Compatible</v>
      </c>
    </row>
    <row r="286" spans="1:11">
      <c r="A286" t="s">
        <v>2526</v>
      </c>
      <c r="B286" t="s">
        <v>1002</v>
      </c>
      <c r="C286" t="s">
        <v>30</v>
      </c>
      <c r="D286" t="s">
        <v>95</v>
      </c>
      <c r="E286" t="s">
        <v>18</v>
      </c>
      <c r="F286" t="str">
        <f t="shared" si="8"/>
        <v>MM</v>
      </c>
      <c r="G286">
        <f>_xlfn.XLOOKUP(D286,tblStates[state_code],tblStates[territory_id],"Needs Review - Territory")</f>
        <v>1</v>
      </c>
      <c r="H286" t="str">
        <f>IF(E286="","",_xlfn.XLOOKUP(E286,tblUsers[user_id],tblUsers[job_title],"Owner Not Found"))</f>
        <v>Mid-Market Account Executive</v>
      </c>
      <c r="I286" t="str">
        <f>IF(E286="","",_xlfn.XLOOKUP(E286,tblUsers[user_id],tblUsers[segment],"Owner Not Found"))</f>
        <v>MM</v>
      </c>
      <c r="J286">
        <f>IF(E286="","",_xlfn.XLOOKUP(E286,tblUsers[user_id],tblUsers[territory_id],"Owner Not Found"))</f>
        <v>1</v>
      </c>
      <c r="K286" t="str">
        <f t="shared" si="9"/>
        <v>Routing Compatible</v>
      </c>
    </row>
    <row r="287" spans="1:11">
      <c r="A287" t="s">
        <v>2530</v>
      </c>
      <c r="B287" t="s">
        <v>238</v>
      </c>
      <c r="C287" t="s">
        <v>24</v>
      </c>
      <c r="D287" t="s">
        <v>54</v>
      </c>
      <c r="E287" t="s">
        <v>69</v>
      </c>
      <c r="F287" t="str">
        <f t="shared" si="8"/>
        <v>SMB</v>
      </c>
      <c r="G287">
        <f>_xlfn.XLOOKUP(D287,tblStates[state_code],tblStates[territory_id],"Needs Review - Territory")</f>
        <v>3</v>
      </c>
      <c r="H287" t="str">
        <f>IF(E287="","",_xlfn.XLOOKUP(E287,tblUsers[user_id],tblUsers[job_title],"Owner Not Found"))</f>
        <v>SMB Account Executive</v>
      </c>
      <c r="I287" t="str">
        <f>IF(E287="","",_xlfn.XLOOKUP(E287,tblUsers[user_id],tblUsers[segment],"Owner Not Found"))</f>
        <v>SMB</v>
      </c>
      <c r="J287">
        <f>IF(E287="","",_xlfn.XLOOKUP(E287,tblUsers[user_id],tblUsers[territory_id],"Owner Not Found"))</f>
        <v>3</v>
      </c>
      <c r="K287" t="str">
        <f t="shared" si="9"/>
        <v>Routing Compatible</v>
      </c>
    </row>
    <row r="288" spans="1:11">
      <c r="A288" t="s">
        <v>2533</v>
      </c>
      <c r="B288" t="s">
        <v>790</v>
      </c>
      <c r="C288" t="s">
        <v>24</v>
      </c>
      <c r="D288" t="s">
        <v>205</v>
      </c>
      <c r="E288" t="s">
        <v>59</v>
      </c>
      <c r="F288" t="str">
        <f t="shared" si="8"/>
        <v>SMB</v>
      </c>
      <c r="G288">
        <f>_xlfn.XLOOKUP(D288,tblStates[state_code],tblStates[territory_id],"Needs Review - Territory")</f>
        <v>4</v>
      </c>
      <c r="H288" t="str">
        <f>IF(E288="","",_xlfn.XLOOKUP(E288,tblUsers[user_id],tblUsers[job_title],"Owner Not Found"))</f>
        <v>SMB Account Executive</v>
      </c>
      <c r="I288" t="str">
        <f>IF(E288="","",_xlfn.XLOOKUP(E288,tblUsers[user_id],tblUsers[segment],"Owner Not Found"))</f>
        <v>SMB</v>
      </c>
      <c r="J288">
        <f>IF(E288="","",_xlfn.XLOOKUP(E288,tblUsers[user_id],tblUsers[territory_id],"Owner Not Found"))</f>
        <v>4</v>
      </c>
      <c r="K288" t="str">
        <f t="shared" si="9"/>
        <v>Routing Compatible</v>
      </c>
    </row>
    <row r="289" spans="1:11">
      <c r="A289" t="s">
        <v>2538</v>
      </c>
      <c r="B289" t="s">
        <v>825</v>
      </c>
      <c r="C289" t="s">
        <v>17</v>
      </c>
      <c r="D289" t="s">
        <v>90</v>
      </c>
      <c r="E289" t="s">
        <v>18</v>
      </c>
      <c r="F289" t="str">
        <f t="shared" si="8"/>
        <v>MM</v>
      </c>
      <c r="G289">
        <f>_xlfn.XLOOKUP(D289,tblStates[state_code],tblStates[territory_id],"Needs Review - Territory")</f>
        <v>1</v>
      </c>
      <c r="H289" t="str">
        <f>IF(E289="","",_xlfn.XLOOKUP(E289,tblUsers[user_id],tblUsers[job_title],"Owner Not Found"))</f>
        <v>Mid-Market Account Executive</v>
      </c>
      <c r="I289" t="str">
        <f>IF(E289="","",_xlfn.XLOOKUP(E289,tblUsers[user_id],tblUsers[segment],"Owner Not Found"))</f>
        <v>MM</v>
      </c>
      <c r="J289">
        <f>IF(E289="","",_xlfn.XLOOKUP(E289,tblUsers[user_id],tblUsers[territory_id],"Owner Not Found"))</f>
        <v>1</v>
      </c>
      <c r="K289" t="str">
        <f t="shared" si="9"/>
        <v>Routing Compatible</v>
      </c>
    </row>
    <row r="290" spans="1:11">
      <c r="A290" t="s">
        <v>2542</v>
      </c>
      <c r="B290" t="s">
        <v>371</v>
      </c>
      <c r="C290" t="s">
        <v>17</v>
      </c>
      <c r="D290" t="s">
        <v>366</v>
      </c>
      <c r="E290" t="s">
        <v>18</v>
      </c>
      <c r="F290" t="str">
        <f t="shared" si="8"/>
        <v>MM</v>
      </c>
      <c r="G290">
        <f>_xlfn.XLOOKUP(D290,tblStates[state_code],tblStates[territory_id],"Needs Review - Territory")</f>
        <v>1</v>
      </c>
      <c r="H290" t="str">
        <f>IF(E290="","",_xlfn.XLOOKUP(E290,tblUsers[user_id],tblUsers[job_title],"Owner Not Found"))</f>
        <v>Mid-Market Account Executive</v>
      </c>
      <c r="I290" t="str">
        <f>IF(E290="","",_xlfn.XLOOKUP(E290,tblUsers[user_id],tblUsers[segment],"Owner Not Found"))</f>
        <v>MM</v>
      </c>
      <c r="J290">
        <f>IF(E290="","",_xlfn.XLOOKUP(E290,tblUsers[user_id],tblUsers[territory_id],"Owner Not Found"))</f>
        <v>1</v>
      </c>
      <c r="K290" t="str">
        <f t="shared" si="9"/>
        <v>Routing Compatible</v>
      </c>
    </row>
    <row r="291" spans="1:11">
      <c r="A291" t="s">
        <v>2546</v>
      </c>
      <c r="B291" t="s">
        <v>396</v>
      </c>
      <c r="C291" t="s">
        <v>24</v>
      </c>
      <c r="D291" t="s">
        <v>140</v>
      </c>
      <c r="E291" t="s">
        <v>25</v>
      </c>
      <c r="F291" t="str">
        <f t="shared" si="8"/>
        <v>SMB</v>
      </c>
      <c r="G291">
        <f>_xlfn.XLOOKUP(D291,tblStates[state_code],tblStates[territory_id],"Needs Review - Territory")</f>
        <v>2</v>
      </c>
      <c r="H291" t="str">
        <f>IF(E291="","",_xlfn.XLOOKUP(E291,tblUsers[user_id],tblUsers[job_title],"Owner Not Found"))</f>
        <v>SMB Account Executive</v>
      </c>
      <c r="I291" t="str">
        <f>IF(E291="","",_xlfn.XLOOKUP(E291,tblUsers[user_id],tblUsers[segment],"Owner Not Found"))</f>
        <v>SMB</v>
      </c>
      <c r="J291">
        <f>IF(E291="","",_xlfn.XLOOKUP(E291,tblUsers[user_id],tblUsers[territory_id],"Owner Not Found"))</f>
        <v>2</v>
      </c>
      <c r="K291" t="str">
        <f t="shared" si="9"/>
        <v>Routing Compatible</v>
      </c>
    </row>
    <row r="292" spans="1:11">
      <c r="A292" t="s">
        <v>2550</v>
      </c>
      <c r="B292" t="s">
        <v>312</v>
      </c>
      <c r="C292" t="s">
        <v>30</v>
      </c>
      <c r="D292" t="s">
        <v>35</v>
      </c>
      <c r="E292" t="s">
        <v>36</v>
      </c>
      <c r="F292" t="str">
        <f t="shared" si="8"/>
        <v>MM</v>
      </c>
      <c r="G292">
        <f>_xlfn.XLOOKUP(D292,tblStates[state_code],tblStates[territory_id],"Needs Review - Territory")</f>
        <v>4</v>
      </c>
      <c r="H292" t="str">
        <f>IF(E292="","",_xlfn.XLOOKUP(E292,tblUsers[user_id],tblUsers[job_title],"Owner Not Found"))</f>
        <v>Mid-Market Account Executive</v>
      </c>
      <c r="I292" t="str">
        <f>IF(E292="","",_xlfn.XLOOKUP(E292,tblUsers[user_id],tblUsers[segment],"Owner Not Found"))</f>
        <v>MM</v>
      </c>
      <c r="J292">
        <f>IF(E292="","",_xlfn.XLOOKUP(E292,tblUsers[user_id],tblUsers[territory_id],"Owner Not Found"))</f>
        <v>4</v>
      </c>
      <c r="K292" t="str">
        <f t="shared" si="9"/>
        <v>Routing Compatible</v>
      </c>
    </row>
    <row r="293" spans="1:11">
      <c r="A293" t="s">
        <v>2554</v>
      </c>
      <c r="B293" t="s">
        <v>689</v>
      </c>
      <c r="C293" t="s">
        <v>30</v>
      </c>
      <c r="D293" t="s">
        <v>140</v>
      </c>
      <c r="E293" t="s">
        <v>82</v>
      </c>
      <c r="F293" t="str">
        <f t="shared" si="8"/>
        <v>MM</v>
      </c>
      <c r="G293">
        <f>_xlfn.XLOOKUP(D293,tblStates[state_code],tblStates[territory_id],"Needs Review - Territory")</f>
        <v>2</v>
      </c>
      <c r="H293" t="str">
        <f>IF(E293="","",_xlfn.XLOOKUP(E293,tblUsers[user_id],tblUsers[job_title],"Owner Not Found"))</f>
        <v>Mid-Market Account Executive</v>
      </c>
      <c r="I293" t="str">
        <f>IF(E293="","",_xlfn.XLOOKUP(E293,tblUsers[user_id],tblUsers[segment],"Owner Not Found"))</f>
        <v>MM</v>
      </c>
      <c r="J293">
        <f>IF(E293="","",_xlfn.XLOOKUP(E293,tblUsers[user_id],tblUsers[territory_id],"Owner Not Found"))</f>
        <v>2</v>
      </c>
      <c r="K293" t="str">
        <f t="shared" si="9"/>
        <v>Routing Compatible</v>
      </c>
    </row>
    <row r="294" spans="1:11">
      <c r="A294" t="s">
        <v>2558</v>
      </c>
      <c r="B294" t="s">
        <v>343</v>
      </c>
      <c r="C294" t="s">
        <v>24</v>
      </c>
      <c r="D294" t="s">
        <v>68</v>
      </c>
      <c r="E294" t="s">
        <v>69</v>
      </c>
      <c r="F294" t="str">
        <f t="shared" si="8"/>
        <v>SMB</v>
      </c>
      <c r="G294">
        <f>_xlfn.XLOOKUP(D294,tblStates[state_code],tblStates[territory_id],"Needs Review - Territory")</f>
        <v>3</v>
      </c>
      <c r="H294" t="str">
        <f>IF(E294="","",_xlfn.XLOOKUP(E294,tblUsers[user_id],tblUsers[job_title],"Owner Not Found"))</f>
        <v>SMB Account Executive</v>
      </c>
      <c r="I294" t="str">
        <f>IF(E294="","",_xlfn.XLOOKUP(E294,tblUsers[user_id],tblUsers[segment],"Owner Not Found"))</f>
        <v>SMB</v>
      </c>
      <c r="J294">
        <f>IF(E294="","",_xlfn.XLOOKUP(E294,tblUsers[user_id],tblUsers[territory_id],"Owner Not Found"))</f>
        <v>3</v>
      </c>
      <c r="K294" t="str">
        <f t="shared" si="9"/>
        <v>Routing Compatible</v>
      </c>
    </row>
    <row r="295" spans="1:11">
      <c r="A295" t="s">
        <v>2562</v>
      </c>
      <c r="B295" t="s">
        <v>432</v>
      </c>
      <c r="C295" t="s">
        <v>30</v>
      </c>
      <c r="D295" t="s">
        <v>205</v>
      </c>
      <c r="E295" t="s">
        <v>36</v>
      </c>
      <c r="F295" t="str">
        <f t="shared" si="8"/>
        <v>MM</v>
      </c>
      <c r="G295">
        <f>_xlfn.XLOOKUP(D295,tblStates[state_code],tblStates[territory_id],"Needs Review - Territory")</f>
        <v>4</v>
      </c>
      <c r="H295" t="str">
        <f>IF(E295="","",_xlfn.XLOOKUP(E295,tblUsers[user_id],tblUsers[job_title],"Owner Not Found"))</f>
        <v>Mid-Market Account Executive</v>
      </c>
      <c r="I295" t="str">
        <f>IF(E295="","",_xlfn.XLOOKUP(E295,tblUsers[user_id],tblUsers[segment],"Owner Not Found"))</f>
        <v>MM</v>
      </c>
      <c r="J295">
        <f>IF(E295="","",_xlfn.XLOOKUP(E295,tblUsers[user_id],tblUsers[territory_id],"Owner Not Found"))</f>
        <v>4</v>
      </c>
      <c r="K295" t="str">
        <f t="shared" si="9"/>
        <v>Routing Compatible</v>
      </c>
    </row>
    <row r="296" spans="1:11">
      <c r="A296" t="s">
        <v>2565</v>
      </c>
      <c r="B296" t="s">
        <v>810</v>
      </c>
      <c r="C296" t="s">
        <v>30</v>
      </c>
      <c r="D296" t="s">
        <v>81</v>
      </c>
      <c r="E296" t="s">
        <v>82</v>
      </c>
      <c r="F296" t="str">
        <f t="shared" si="8"/>
        <v>MM</v>
      </c>
      <c r="G296">
        <f>_xlfn.XLOOKUP(D296,tblStates[state_code],tblStates[territory_id],"Needs Review - Territory")</f>
        <v>2</v>
      </c>
      <c r="H296" t="str">
        <f>IF(E296="","",_xlfn.XLOOKUP(E296,tblUsers[user_id],tblUsers[job_title],"Owner Not Found"))</f>
        <v>Mid-Market Account Executive</v>
      </c>
      <c r="I296" t="str">
        <f>IF(E296="","",_xlfn.XLOOKUP(E296,tblUsers[user_id],tblUsers[segment],"Owner Not Found"))</f>
        <v>MM</v>
      </c>
      <c r="J296">
        <f>IF(E296="","",_xlfn.XLOOKUP(E296,tblUsers[user_id],tblUsers[territory_id],"Owner Not Found"))</f>
        <v>2</v>
      </c>
      <c r="K296" t="str">
        <f t="shared" si="9"/>
        <v>Routing Compatible</v>
      </c>
    </row>
    <row r="297" spans="1:11">
      <c r="A297" t="s">
        <v>2569</v>
      </c>
      <c r="B297" t="s">
        <v>802</v>
      </c>
      <c r="C297" t="s">
        <v>17</v>
      </c>
      <c r="D297" t="s">
        <v>249</v>
      </c>
      <c r="E297" t="s">
        <v>36</v>
      </c>
      <c r="F297" t="str">
        <f t="shared" si="8"/>
        <v>MM</v>
      </c>
      <c r="G297">
        <f>_xlfn.XLOOKUP(D297,tblStates[state_code],tblStates[territory_id],"Needs Review - Territory")</f>
        <v>4</v>
      </c>
      <c r="H297" t="str">
        <f>IF(E297="","",_xlfn.XLOOKUP(E297,tblUsers[user_id],tblUsers[job_title],"Owner Not Found"))</f>
        <v>Mid-Market Account Executive</v>
      </c>
      <c r="I297" t="str">
        <f>IF(E297="","",_xlfn.XLOOKUP(E297,tblUsers[user_id],tblUsers[segment],"Owner Not Found"))</f>
        <v>MM</v>
      </c>
      <c r="J297">
        <f>IF(E297="","",_xlfn.XLOOKUP(E297,tblUsers[user_id],tblUsers[territory_id],"Owner Not Found"))</f>
        <v>4</v>
      </c>
      <c r="K297" t="str">
        <f t="shared" si="9"/>
        <v>Routing Compatible</v>
      </c>
    </row>
    <row r="298" spans="1:11">
      <c r="A298" t="s">
        <v>2573</v>
      </c>
      <c r="B298" t="s">
        <v>549</v>
      </c>
      <c r="C298" t="s">
        <v>30</v>
      </c>
      <c r="D298" t="s">
        <v>249</v>
      </c>
      <c r="E298" t="s">
        <v>36</v>
      </c>
      <c r="F298" t="str">
        <f t="shared" si="8"/>
        <v>MM</v>
      </c>
      <c r="G298">
        <f>_xlfn.XLOOKUP(D298,tblStates[state_code],tblStates[territory_id],"Needs Review - Territory")</f>
        <v>4</v>
      </c>
      <c r="H298" t="str">
        <f>IF(E298="","",_xlfn.XLOOKUP(E298,tblUsers[user_id],tblUsers[job_title],"Owner Not Found"))</f>
        <v>Mid-Market Account Executive</v>
      </c>
      <c r="I298" t="str">
        <f>IF(E298="","",_xlfn.XLOOKUP(E298,tblUsers[user_id],tblUsers[segment],"Owner Not Found"))</f>
        <v>MM</v>
      </c>
      <c r="J298">
        <f>IF(E298="","",_xlfn.XLOOKUP(E298,tblUsers[user_id],tblUsers[territory_id],"Owner Not Found"))</f>
        <v>4</v>
      </c>
      <c r="K298" t="str">
        <f t="shared" si="9"/>
        <v>Routing Compatible</v>
      </c>
    </row>
    <row r="299" spans="1:11">
      <c r="A299" t="s">
        <v>2577</v>
      </c>
      <c r="B299" t="s">
        <v>399</v>
      </c>
      <c r="C299" t="s">
        <v>30</v>
      </c>
      <c r="D299" t="s">
        <v>50</v>
      </c>
      <c r="E299" t="s">
        <v>36</v>
      </c>
      <c r="F299" t="str">
        <f t="shared" si="8"/>
        <v>MM</v>
      </c>
      <c r="G299">
        <f>_xlfn.XLOOKUP(D299,tblStates[state_code],tblStates[territory_id],"Needs Review - Territory")</f>
        <v>4</v>
      </c>
      <c r="H299" t="str">
        <f>IF(E299="","",_xlfn.XLOOKUP(E299,tblUsers[user_id],tblUsers[job_title],"Owner Not Found"))</f>
        <v>Mid-Market Account Executive</v>
      </c>
      <c r="I299" t="str">
        <f>IF(E299="","",_xlfn.XLOOKUP(E299,tblUsers[user_id],tblUsers[segment],"Owner Not Found"))</f>
        <v>MM</v>
      </c>
      <c r="J299">
        <f>IF(E299="","",_xlfn.XLOOKUP(E299,tblUsers[user_id],tblUsers[territory_id],"Owner Not Found"))</f>
        <v>4</v>
      </c>
      <c r="K299" t="str">
        <f t="shared" si="9"/>
        <v>Routing Compatible</v>
      </c>
    </row>
    <row r="300" spans="1:11">
      <c r="A300" t="s">
        <v>2582</v>
      </c>
      <c r="B300" t="s">
        <v>290</v>
      </c>
      <c r="C300" t="s">
        <v>24</v>
      </c>
      <c r="D300" t="s">
        <v>127</v>
      </c>
      <c r="E300" t="s">
        <v>25</v>
      </c>
      <c r="F300" t="str">
        <f t="shared" si="8"/>
        <v>SMB</v>
      </c>
      <c r="G300">
        <f>_xlfn.XLOOKUP(D300,tblStates[state_code],tblStates[territory_id],"Needs Review - Territory")</f>
        <v>2</v>
      </c>
      <c r="H300" t="str">
        <f>IF(E300="","",_xlfn.XLOOKUP(E300,tblUsers[user_id],tblUsers[job_title],"Owner Not Found"))</f>
        <v>SMB Account Executive</v>
      </c>
      <c r="I300" t="str">
        <f>IF(E300="","",_xlfn.XLOOKUP(E300,tblUsers[user_id],tblUsers[segment],"Owner Not Found"))</f>
        <v>SMB</v>
      </c>
      <c r="J300">
        <f>IF(E300="","",_xlfn.XLOOKUP(E300,tblUsers[user_id],tblUsers[territory_id],"Owner Not Found"))</f>
        <v>2</v>
      </c>
      <c r="K300" t="str">
        <f t="shared" si="9"/>
        <v>Routing Compatible</v>
      </c>
    </row>
    <row r="301" spans="1:11">
      <c r="A301" t="s">
        <v>2585</v>
      </c>
      <c r="B301" t="s">
        <v>371</v>
      </c>
      <c r="C301" t="s">
        <v>17</v>
      </c>
      <c r="D301" t="s">
        <v>366</v>
      </c>
      <c r="E301" t="s">
        <v>18</v>
      </c>
      <c r="F301" t="str">
        <f t="shared" si="8"/>
        <v>MM</v>
      </c>
      <c r="G301">
        <f>_xlfn.XLOOKUP(D301,tblStates[state_code],tblStates[territory_id],"Needs Review - Territory")</f>
        <v>1</v>
      </c>
      <c r="H301" t="str">
        <f>IF(E301="","",_xlfn.XLOOKUP(E301,tblUsers[user_id],tblUsers[job_title],"Owner Not Found"))</f>
        <v>Mid-Market Account Executive</v>
      </c>
      <c r="I301" t="str">
        <f>IF(E301="","",_xlfn.XLOOKUP(E301,tblUsers[user_id],tblUsers[segment],"Owner Not Found"))</f>
        <v>MM</v>
      </c>
      <c r="J301">
        <f>IF(E301="","",_xlfn.XLOOKUP(E301,tblUsers[user_id],tblUsers[territory_id],"Owner Not Found"))</f>
        <v>1</v>
      </c>
      <c r="K301" t="str">
        <f t="shared" si="9"/>
        <v>Routing Compatible</v>
      </c>
    </row>
    <row r="302" spans="1:11">
      <c r="A302" t="s">
        <v>2589</v>
      </c>
      <c r="B302" t="s">
        <v>2591</v>
      </c>
      <c r="C302" t="s">
        <v>24</v>
      </c>
      <c r="D302" t="s">
        <v>205</v>
      </c>
      <c r="E302" t="s">
        <v>59</v>
      </c>
      <c r="F302" t="str">
        <f t="shared" si="8"/>
        <v>SMB</v>
      </c>
      <c r="G302">
        <f>_xlfn.XLOOKUP(D302,tblStates[state_code],tblStates[territory_id],"Needs Review - Territory")</f>
        <v>4</v>
      </c>
      <c r="H302" t="str">
        <f>IF(E302="","",_xlfn.XLOOKUP(E302,tblUsers[user_id],tblUsers[job_title],"Owner Not Found"))</f>
        <v>SMB Account Executive</v>
      </c>
      <c r="I302" t="str">
        <f>IF(E302="","",_xlfn.XLOOKUP(E302,tblUsers[user_id],tblUsers[segment],"Owner Not Found"))</f>
        <v>SMB</v>
      </c>
      <c r="J302">
        <f>IF(E302="","",_xlfn.XLOOKUP(E302,tblUsers[user_id],tblUsers[territory_id],"Owner Not Found"))</f>
        <v>4</v>
      </c>
      <c r="K302" t="str">
        <f t="shared" si="9"/>
        <v>Routing Compatible</v>
      </c>
    </row>
    <row r="303" spans="1:11">
      <c r="A303" t="s">
        <v>2594</v>
      </c>
      <c r="B303" t="s">
        <v>2596</v>
      </c>
      <c r="C303" t="s">
        <v>24</v>
      </c>
      <c r="D303" t="s">
        <v>560</v>
      </c>
      <c r="E303" t="s">
        <v>25</v>
      </c>
      <c r="F303" t="str">
        <f t="shared" si="8"/>
        <v>SMB</v>
      </c>
      <c r="G303">
        <f>_xlfn.XLOOKUP(D303,tblStates[state_code],tblStates[territory_id],"Needs Review - Territory")</f>
        <v>2</v>
      </c>
      <c r="H303" t="str">
        <f>IF(E303="","",_xlfn.XLOOKUP(E303,tblUsers[user_id],tblUsers[job_title],"Owner Not Found"))</f>
        <v>SMB Account Executive</v>
      </c>
      <c r="I303" t="str">
        <f>IF(E303="","",_xlfn.XLOOKUP(E303,tblUsers[user_id],tblUsers[segment],"Owner Not Found"))</f>
        <v>SMB</v>
      </c>
      <c r="J303">
        <f>IF(E303="","",_xlfn.XLOOKUP(E303,tblUsers[user_id],tblUsers[territory_id],"Owner Not Found"))</f>
        <v>2</v>
      </c>
      <c r="K303" t="str">
        <f t="shared" si="9"/>
        <v>Routing Compatible</v>
      </c>
    </row>
    <row r="304" spans="1:11">
      <c r="A304" t="s">
        <v>2598</v>
      </c>
      <c r="B304" t="s">
        <v>2600</v>
      </c>
      <c r="C304" t="s">
        <v>30</v>
      </c>
      <c r="D304" t="s">
        <v>1079</v>
      </c>
      <c r="E304" t="s">
        <v>55</v>
      </c>
      <c r="F304" t="str">
        <f t="shared" si="8"/>
        <v>MM</v>
      </c>
      <c r="G304">
        <f>_xlfn.XLOOKUP(D304,tblStates[state_code],tblStates[territory_id],"Needs Review - Territory")</f>
        <v>3</v>
      </c>
      <c r="H304" t="str">
        <f>IF(E304="","",_xlfn.XLOOKUP(E304,tblUsers[user_id],tblUsers[job_title],"Owner Not Found"))</f>
        <v>Mid-Market Account Executive</v>
      </c>
      <c r="I304" t="str">
        <f>IF(E304="","",_xlfn.XLOOKUP(E304,tblUsers[user_id],tblUsers[segment],"Owner Not Found"))</f>
        <v>MM</v>
      </c>
      <c r="J304">
        <f>IF(E304="","",_xlfn.XLOOKUP(E304,tblUsers[user_id],tblUsers[territory_id],"Owner Not Found"))</f>
        <v>3</v>
      </c>
      <c r="K304" t="str">
        <f t="shared" si="9"/>
        <v>Routing Compatible</v>
      </c>
    </row>
    <row r="305" spans="1:11">
      <c r="A305" t="s">
        <v>2602</v>
      </c>
      <c r="B305" t="s">
        <v>2604</v>
      </c>
      <c r="C305" t="s">
        <v>24</v>
      </c>
      <c r="D305" t="s">
        <v>23</v>
      </c>
      <c r="E305" t="s">
        <v>25</v>
      </c>
      <c r="F305" t="str">
        <f t="shared" si="8"/>
        <v>SMB</v>
      </c>
      <c r="G305">
        <f>_xlfn.XLOOKUP(D305,tblStates[state_code],tblStates[territory_id],"Needs Review - Territory")</f>
        <v>2</v>
      </c>
      <c r="H305" t="str">
        <f>IF(E305="","",_xlfn.XLOOKUP(E305,tblUsers[user_id],tblUsers[job_title],"Owner Not Found"))</f>
        <v>SMB Account Executive</v>
      </c>
      <c r="I305" t="str">
        <f>IF(E305="","",_xlfn.XLOOKUP(E305,tblUsers[user_id],tblUsers[segment],"Owner Not Found"))</f>
        <v>SMB</v>
      </c>
      <c r="J305">
        <f>IF(E305="","",_xlfn.XLOOKUP(E305,tblUsers[user_id],tblUsers[territory_id],"Owner Not Found"))</f>
        <v>2</v>
      </c>
      <c r="K305" t="str">
        <f t="shared" si="9"/>
        <v>Routing Compatible</v>
      </c>
    </row>
    <row r="306" spans="1:11">
      <c r="A306" t="s">
        <v>2606</v>
      </c>
      <c r="B306" t="s">
        <v>2609</v>
      </c>
      <c r="C306" t="s">
        <v>24</v>
      </c>
      <c r="D306" t="s">
        <v>182</v>
      </c>
      <c r="E306" t="s">
        <v>59</v>
      </c>
      <c r="F306" t="str">
        <f t="shared" si="8"/>
        <v>SMB</v>
      </c>
      <c r="G306">
        <f>_xlfn.XLOOKUP(D306,tblStates[state_code],tblStates[territory_id],"Needs Review - Territory")</f>
        <v>4</v>
      </c>
      <c r="H306" t="str">
        <f>IF(E306="","",_xlfn.XLOOKUP(E306,tblUsers[user_id],tblUsers[job_title],"Owner Not Found"))</f>
        <v>SMB Account Executive</v>
      </c>
      <c r="I306" t="str">
        <f>IF(E306="","",_xlfn.XLOOKUP(E306,tblUsers[user_id],tblUsers[segment],"Owner Not Found"))</f>
        <v>SMB</v>
      </c>
      <c r="J306">
        <f>IF(E306="","",_xlfn.XLOOKUP(E306,tblUsers[user_id],tblUsers[territory_id],"Owner Not Found"))</f>
        <v>4</v>
      </c>
      <c r="K306" t="str">
        <f t="shared" si="9"/>
        <v>Routing Compatible</v>
      </c>
    </row>
    <row r="307" spans="1:11">
      <c r="A307" t="s">
        <v>2610</v>
      </c>
      <c r="B307" t="s">
        <v>2613</v>
      </c>
      <c r="C307" t="s">
        <v>24</v>
      </c>
      <c r="D307" t="s">
        <v>23</v>
      </c>
      <c r="F307" t="str">
        <f t="shared" si="8"/>
        <v>SMB</v>
      </c>
      <c r="G307">
        <f>_xlfn.XLOOKUP(D307,tblStates[state_code],tblStates[territory_id],"Needs Review - Territory")</f>
        <v>2</v>
      </c>
      <c r="H307" t="str">
        <f>IF(E307="","",_xlfn.XLOOKUP(E307,tblUsers[user_id],tblUsers[job_title],"Owner Not Found"))</f>
        <v/>
      </c>
      <c r="I307" t="str">
        <f>IF(E307="","",_xlfn.XLOOKUP(E307,tblUsers[user_id],tblUsers[segment],"Owner Not Found"))</f>
        <v/>
      </c>
      <c r="J307" t="str">
        <f>IF(E307="","",_xlfn.XLOOKUP(E307,tblUsers[user_id],tblUsers[territory_id],"Owner Not Found"))</f>
        <v/>
      </c>
      <c r="K307" t="str">
        <f t="shared" si="9"/>
        <v>Unassigned</v>
      </c>
    </row>
    <row r="308" spans="1:11">
      <c r="A308" t="s">
        <v>2614</v>
      </c>
      <c r="B308" t="s">
        <v>2616</v>
      </c>
      <c r="C308" t="s">
        <v>24</v>
      </c>
      <c r="D308" t="s">
        <v>99</v>
      </c>
      <c r="E308" t="s">
        <v>59</v>
      </c>
      <c r="F308" t="str">
        <f t="shared" si="8"/>
        <v>SMB</v>
      </c>
      <c r="G308">
        <f>_xlfn.XLOOKUP(D308,tblStates[state_code],tblStates[territory_id],"Needs Review - Territory")</f>
        <v>4</v>
      </c>
      <c r="H308" t="str">
        <f>IF(E308="","",_xlfn.XLOOKUP(E308,tblUsers[user_id],tblUsers[job_title],"Owner Not Found"))</f>
        <v>SMB Account Executive</v>
      </c>
      <c r="I308" t="str">
        <f>IF(E308="","",_xlfn.XLOOKUP(E308,tblUsers[user_id],tblUsers[segment],"Owner Not Found"))</f>
        <v>SMB</v>
      </c>
      <c r="J308">
        <f>IF(E308="","",_xlfn.XLOOKUP(E308,tblUsers[user_id],tblUsers[territory_id],"Owner Not Found"))</f>
        <v>4</v>
      </c>
      <c r="K308" t="str">
        <f t="shared" si="9"/>
        <v>Routing Compatible</v>
      </c>
    </row>
    <row r="309" spans="1:11">
      <c r="A309" t="s">
        <v>2620</v>
      </c>
      <c r="B309" t="s">
        <v>2623</v>
      </c>
      <c r="C309" t="s">
        <v>24</v>
      </c>
      <c r="D309" t="s">
        <v>560</v>
      </c>
      <c r="E309" t="s">
        <v>82</v>
      </c>
      <c r="F309" t="str">
        <f t="shared" si="8"/>
        <v>SMB</v>
      </c>
      <c r="G309">
        <f>_xlfn.XLOOKUP(D309,tblStates[state_code],tblStates[territory_id],"Needs Review - Territory")</f>
        <v>2</v>
      </c>
      <c r="H309" t="str">
        <f>IF(E309="","",_xlfn.XLOOKUP(E309,tblUsers[user_id],tblUsers[job_title],"Owner Not Found"))</f>
        <v>Mid-Market Account Executive</v>
      </c>
      <c r="I309" t="str">
        <f>IF(E309="","",_xlfn.XLOOKUP(E309,tblUsers[user_id],tblUsers[segment],"Owner Not Found"))</f>
        <v>MM</v>
      </c>
      <c r="J309">
        <f>IF(E309="","",_xlfn.XLOOKUP(E309,tblUsers[user_id],tblUsers[territory_id],"Owner Not Found"))</f>
        <v>2</v>
      </c>
      <c r="K309" t="str">
        <f t="shared" si="9"/>
        <v>Wrong Segment</v>
      </c>
    </row>
    <row r="310" spans="1:11">
      <c r="A310" t="s">
        <v>2624</v>
      </c>
      <c r="B310" t="s">
        <v>2626</v>
      </c>
      <c r="C310" t="s">
        <v>24</v>
      </c>
      <c r="D310" t="s">
        <v>638</v>
      </c>
      <c r="F310" t="str">
        <f t="shared" si="8"/>
        <v>SMB</v>
      </c>
      <c r="G310">
        <f>_xlfn.XLOOKUP(D310,tblStates[state_code],tblStates[territory_id],"Needs Review - Territory")</f>
        <v>3</v>
      </c>
      <c r="H310" t="str">
        <f>IF(E310="","",_xlfn.XLOOKUP(E310,tblUsers[user_id],tblUsers[job_title],"Owner Not Found"))</f>
        <v/>
      </c>
      <c r="I310" t="str">
        <f>IF(E310="","",_xlfn.XLOOKUP(E310,tblUsers[user_id],tblUsers[segment],"Owner Not Found"))</f>
        <v/>
      </c>
      <c r="J310" t="str">
        <f>IF(E310="","",_xlfn.XLOOKUP(E310,tblUsers[user_id],tblUsers[territory_id],"Owner Not Found"))</f>
        <v/>
      </c>
      <c r="K310" t="str">
        <f t="shared" si="9"/>
        <v>Unassigned</v>
      </c>
    </row>
    <row r="311" spans="1:11">
      <c r="A311" t="s">
        <v>2627</v>
      </c>
      <c r="B311" t="s">
        <v>2630</v>
      </c>
      <c r="C311" t="s">
        <v>30</v>
      </c>
      <c r="D311" t="s">
        <v>120</v>
      </c>
      <c r="E311" t="s">
        <v>82</v>
      </c>
      <c r="F311" t="str">
        <f t="shared" si="8"/>
        <v>MM</v>
      </c>
      <c r="G311">
        <f>_xlfn.XLOOKUP(D311,tblStates[state_code],tblStates[territory_id],"Needs Review - Territory")</f>
        <v>2</v>
      </c>
      <c r="H311" t="str">
        <f>IF(E311="","",_xlfn.XLOOKUP(E311,tblUsers[user_id],tblUsers[job_title],"Owner Not Found"))</f>
        <v>Mid-Market Account Executive</v>
      </c>
      <c r="I311" t="str">
        <f>IF(E311="","",_xlfn.XLOOKUP(E311,tblUsers[user_id],tblUsers[segment],"Owner Not Found"))</f>
        <v>MM</v>
      </c>
      <c r="J311">
        <f>IF(E311="","",_xlfn.XLOOKUP(E311,tblUsers[user_id],tblUsers[territory_id],"Owner Not Found"))</f>
        <v>2</v>
      </c>
      <c r="K311" t="str">
        <f t="shared" si="9"/>
        <v>Routing Compatible</v>
      </c>
    </row>
    <row r="312" spans="1:11">
      <c r="A312" t="s">
        <v>2632</v>
      </c>
      <c r="B312" t="s">
        <v>2634</v>
      </c>
      <c r="C312" t="s">
        <v>24</v>
      </c>
      <c r="D312" t="s">
        <v>216</v>
      </c>
      <c r="E312" t="s">
        <v>91</v>
      </c>
      <c r="F312" t="str">
        <f t="shared" si="8"/>
        <v>SMB</v>
      </c>
      <c r="G312">
        <f>_xlfn.XLOOKUP(D312,tblStates[state_code],tblStates[territory_id],"Needs Review - Territory")</f>
        <v>1</v>
      </c>
      <c r="H312" t="str">
        <f>IF(E312="","",_xlfn.XLOOKUP(E312,tblUsers[user_id],tblUsers[job_title],"Owner Not Found"))</f>
        <v>SMB Account Executive</v>
      </c>
      <c r="I312" t="str">
        <f>IF(E312="","",_xlfn.XLOOKUP(E312,tblUsers[user_id],tblUsers[segment],"Owner Not Found"))</f>
        <v>SMB</v>
      </c>
      <c r="J312">
        <f>IF(E312="","",_xlfn.XLOOKUP(E312,tblUsers[user_id],tblUsers[territory_id],"Owner Not Found"))</f>
        <v>1</v>
      </c>
      <c r="K312" t="str">
        <f t="shared" si="9"/>
        <v>Routing Compatible</v>
      </c>
    </row>
    <row r="313" spans="1:11">
      <c r="A313" t="s">
        <v>2635</v>
      </c>
      <c r="B313" t="s">
        <v>2637</v>
      </c>
      <c r="C313" t="s">
        <v>24</v>
      </c>
      <c r="D313" t="s">
        <v>16</v>
      </c>
      <c r="F313" t="str">
        <f t="shared" si="8"/>
        <v>SMB</v>
      </c>
      <c r="G313">
        <f>_xlfn.XLOOKUP(D313,tblStates[state_code],tblStates[territory_id],"Needs Review - Territory")</f>
        <v>1</v>
      </c>
      <c r="H313" t="str">
        <f>IF(E313="","",_xlfn.XLOOKUP(E313,tblUsers[user_id],tblUsers[job_title],"Owner Not Found"))</f>
        <v/>
      </c>
      <c r="I313" t="str">
        <f>IF(E313="","",_xlfn.XLOOKUP(E313,tblUsers[user_id],tblUsers[segment],"Owner Not Found"))</f>
        <v/>
      </c>
      <c r="J313" t="str">
        <f>IF(E313="","",_xlfn.XLOOKUP(E313,tblUsers[user_id],tblUsers[territory_id],"Owner Not Found"))</f>
        <v/>
      </c>
      <c r="K313" t="str">
        <f t="shared" si="9"/>
        <v>Unassigned</v>
      </c>
    </row>
    <row r="314" spans="1:11">
      <c r="A314" t="s">
        <v>2638</v>
      </c>
      <c r="B314" t="s">
        <v>2641</v>
      </c>
      <c r="C314" t="s">
        <v>30</v>
      </c>
      <c r="D314" t="s">
        <v>95</v>
      </c>
      <c r="E314" t="s">
        <v>18</v>
      </c>
      <c r="F314" t="str">
        <f t="shared" si="8"/>
        <v>MM</v>
      </c>
      <c r="G314">
        <f>_xlfn.XLOOKUP(D314,tblStates[state_code],tblStates[territory_id],"Needs Review - Territory")</f>
        <v>1</v>
      </c>
      <c r="H314" t="str">
        <f>IF(E314="","",_xlfn.XLOOKUP(E314,tblUsers[user_id],tblUsers[job_title],"Owner Not Found"))</f>
        <v>Mid-Market Account Executive</v>
      </c>
      <c r="I314" t="str">
        <f>IF(E314="","",_xlfn.XLOOKUP(E314,tblUsers[user_id],tblUsers[segment],"Owner Not Found"))</f>
        <v>MM</v>
      </c>
      <c r="J314">
        <f>IF(E314="","",_xlfn.XLOOKUP(E314,tblUsers[user_id],tblUsers[territory_id],"Owner Not Found"))</f>
        <v>1</v>
      </c>
      <c r="K314" t="str">
        <f t="shared" si="9"/>
        <v>Routing Compatible</v>
      </c>
    </row>
    <row r="315" spans="1:11">
      <c r="A315" t="s">
        <v>2644</v>
      </c>
      <c r="B315" t="s">
        <v>2647</v>
      </c>
      <c r="C315" t="s">
        <v>24</v>
      </c>
      <c r="D315" t="s">
        <v>81</v>
      </c>
      <c r="E315" t="s">
        <v>25</v>
      </c>
      <c r="F315" t="str">
        <f t="shared" si="8"/>
        <v>SMB</v>
      </c>
      <c r="G315">
        <f>_xlfn.XLOOKUP(D315,tblStates[state_code],tblStates[territory_id],"Needs Review - Territory")</f>
        <v>2</v>
      </c>
      <c r="H315" t="str">
        <f>IF(E315="","",_xlfn.XLOOKUP(E315,tblUsers[user_id],tblUsers[job_title],"Owner Not Found"))</f>
        <v>SMB Account Executive</v>
      </c>
      <c r="I315" t="str">
        <f>IF(E315="","",_xlfn.XLOOKUP(E315,tblUsers[user_id],tblUsers[segment],"Owner Not Found"))</f>
        <v>SMB</v>
      </c>
      <c r="J315">
        <f>IF(E315="","",_xlfn.XLOOKUP(E315,tblUsers[user_id],tblUsers[territory_id],"Owner Not Found"))</f>
        <v>2</v>
      </c>
      <c r="K315" t="str">
        <f t="shared" si="9"/>
        <v>Routing Compatible</v>
      </c>
    </row>
    <row r="316" spans="1:11">
      <c r="A316" t="s">
        <v>2649</v>
      </c>
      <c r="B316" t="s">
        <v>2651</v>
      </c>
      <c r="C316" t="s">
        <v>17</v>
      </c>
      <c r="D316" t="s">
        <v>68</v>
      </c>
      <c r="E316" t="s">
        <v>69</v>
      </c>
      <c r="F316" t="str">
        <f t="shared" si="8"/>
        <v>MM</v>
      </c>
      <c r="G316">
        <f>_xlfn.XLOOKUP(D316,tblStates[state_code],tblStates[territory_id],"Needs Review - Territory")</f>
        <v>3</v>
      </c>
      <c r="H316" t="str">
        <f>IF(E316="","",_xlfn.XLOOKUP(E316,tblUsers[user_id],tblUsers[job_title],"Owner Not Found"))</f>
        <v>SMB Account Executive</v>
      </c>
      <c r="I316" t="str">
        <f>IF(E316="","",_xlfn.XLOOKUP(E316,tblUsers[user_id],tblUsers[segment],"Owner Not Found"))</f>
        <v>SMB</v>
      </c>
      <c r="J316">
        <f>IF(E316="","",_xlfn.XLOOKUP(E316,tblUsers[user_id],tblUsers[territory_id],"Owner Not Found"))</f>
        <v>3</v>
      </c>
      <c r="K316" t="str">
        <f t="shared" si="9"/>
        <v>Wrong Segment</v>
      </c>
    </row>
    <row r="317" spans="1:11">
      <c r="A317" t="s">
        <v>2652</v>
      </c>
      <c r="B317" t="s">
        <v>2654</v>
      </c>
      <c r="C317" t="s">
        <v>24</v>
      </c>
      <c r="D317" t="s">
        <v>440</v>
      </c>
      <c r="E317" t="s">
        <v>69</v>
      </c>
      <c r="F317" t="str">
        <f t="shared" si="8"/>
        <v>SMB</v>
      </c>
      <c r="G317">
        <f>_xlfn.XLOOKUP(D317,tblStates[state_code],tblStates[territory_id],"Needs Review - Territory")</f>
        <v>3</v>
      </c>
      <c r="H317" t="str">
        <f>IF(E317="","",_xlfn.XLOOKUP(E317,tblUsers[user_id],tblUsers[job_title],"Owner Not Found"))</f>
        <v>SMB Account Executive</v>
      </c>
      <c r="I317" t="str">
        <f>IF(E317="","",_xlfn.XLOOKUP(E317,tblUsers[user_id],tblUsers[segment],"Owner Not Found"))</f>
        <v>SMB</v>
      </c>
      <c r="J317">
        <f>IF(E317="","",_xlfn.XLOOKUP(E317,tblUsers[user_id],tblUsers[territory_id],"Owner Not Found"))</f>
        <v>3</v>
      </c>
      <c r="K317" t="str">
        <f t="shared" si="9"/>
        <v>Routing Compatible</v>
      </c>
    </row>
    <row r="318" spans="1:11">
      <c r="A318" t="s">
        <v>2656</v>
      </c>
      <c r="B318" t="s">
        <v>2659</v>
      </c>
      <c r="C318" t="s">
        <v>30</v>
      </c>
      <c r="D318" t="s">
        <v>366</v>
      </c>
      <c r="E318" t="s">
        <v>18</v>
      </c>
      <c r="F318" t="str">
        <f t="shared" si="8"/>
        <v>MM</v>
      </c>
      <c r="G318">
        <f>_xlfn.XLOOKUP(D318,tblStates[state_code],tblStates[territory_id],"Needs Review - Territory")</f>
        <v>1</v>
      </c>
      <c r="H318" t="str">
        <f>IF(E318="","",_xlfn.XLOOKUP(E318,tblUsers[user_id],tblUsers[job_title],"Owner Not Found"))</f>
        <v>Mid-Market Account Executive</v>
      </c>
      <c r="I318" t="str">
        <f>IF(E318="","",_xlfn.XLOOKUP(E318,tblUsers[user_id],tblUsers[segment],"Owner Not Found"))</f>
        <v>MM</v>
      </c>
      <c r="J318">
        <f>IF(E318="","",_xlfn.XLOOKUP(E318,tblUsers[user_id],tblUsers[territory_id],"Owner Not Found"))</f>
        <v>1</v>
      </c>
      <c r="K318" t="str">
        <f t="shared" si="9"/>
        <v>Routing Compatible</v>
      </c>
    </row>
    <row r="319" spans="1:11">
      <c r="A319" t="s">
        <v>2661</v>
      </c>
      <c r="B319" t="s">
        <v>2664</v>
      </c>
      <c r="C319" t="s">
        <v>30</v>
      </c>
      <c r="D319" t="s">
        <v>415</v>
      </c>
      <c r="E319" t="s">
        <v>55</v>
      </c>
      <c r="F319" t="str">
        <f t="shared" si="8"/>
        <v>MM</v>
      </c>
      <c r="G319">
        <f>_xlfn.XLOOKUP(D319,tblStates[state_code],tblStates[territory_id],"Needs Review - Territory")</f>
        <v>3</v>
      </c>
      <c r="H319" t="str">
        <f>IF(E319="","",_xlfn.XLOOKUP(E319,tblUsers[user_id],tblUsers[job_title],"Owner Not Found"))</f>
        <v>Mid-Market Account Executive</v>
      </c>
      <c r="I319" t="str">
        <f>IF(E319="","",_xlfn.XLOOKUP(E319,tblUsers[user_id],tblUsers[segment],"Owner Not Found"))</f>
        <v>MM</v>
      </c>
      <c r="J319">
        <f>IF(E319="","",_xlfn.XLOOKUP(E319,tblUsers[user_id],tblUsers[territory_id],"Owner Not Found"))</f>
        <v>3</v>
      </c>
      <c r="K319" t="str">
        <f t="shared" si="9"/>
        <v>Routing Compatible</v>
      </c>
    </row>
    <row r="320" spans="1:11">
      <c r="A320" t="s">
        <v>2665</v>
      </c>
      <c r="B320" t="s">
        <v>2668</v>
      </c>
      <c r="C320" t="s">
        <v>24</v>
      </c>
      <c r="D320" t="s">
        <v>205</v>
      </c>
      <c r="E320" t="s">
        <v>25</v>
      </c>
      <c r="F320" t="str">
        <f t="shared" si="8"/>
        <v>SMB</v>
      </c>
      <c r="G320">
        <f>_xlfn.XLOOKUP(D320,tblStates[state_code],tblStates[territory_id],"Needs Review - Territory")</f>
        <v>4</v>
      </c>
      <c r="H320" t="str">
        <f>IF(E320="","",_xlfn.XLOOKUP(E320,tblUsers[user_id],tblUsers[job_title],"Owner Not Found"))</f>
        <v>SMB Account Executive</v>
      </c>
      <c r="I320" t="str">
        <f>IF(E320="","",_xlfn.XLOOKUP(E320,tblUsers[user_id],tblUsers[segment],"Owner Not Found"))</f>
        <v>SMB</v>
      </c>
      <c r="J320">
        <f>IF(E320="","",_xlfn.XLOOKUP(E320,tblUsers[user_id],tblUsers[territory_id],"Owner Not Found"))</f>
        <v>2</v>
      </c>
      <c r="K320" t="str">
        <f t="shared" si="9"/>
        <v>Wrong AE Territory</v>
      </c>
    </row>
    <row r="321" spans="1:11">
      <c r="A321" t="s">
        <v>2669</v>
      </c>
      <c r="B321" t="s">
        <v>2672</v>
      </c>
      <c r="C321" t="s">
        <v>30</v>
      </c>
      <c r="D321" t="s">
        <v>120</v>
      </c>
      <c r="E321" t="s">
        <v>82</v>
      </c>
      <c r="F321" t="str">
        <f t="shared" si="8"/>
        <v>MM</v>
      </c>
      <c r="G321">
        <f>_xlfn.XLOOKUP(D321,tblStates[state_code],tblStates[territory_id],"Needs Review - Territory")</f>
        <v>2</v>
      </c>
      <c r="H321" t="str">
        <f>IF(E321="","",_xlfn.XLOOKUP(E321,tblUsers[user_id],tblUsers[job_title],"Owner Not Found"))</f>
        <v>Mid-Market Account Executive</v>
      </c>
      <c r="I321" t="str">
        <f>IF(E321="","",_xlfn.XLOOKUP(E321,tblUsers[user_id],tblUsers[segment],"Owner Not Found"))</f>
        <v>MM</v>
      </c>
      <c r="J321">
        <f>IF(E321="","",_xlfn.XLOOKUP(E321,tblUsers[user_id],tblUsers[territory_id],"Owner Not Found"))</f>
        <v>2</v>
      </c>
      <c r="K321" t="str">
        <f t="shared" si="9"/>
        <v>Routing Compatible</v>
      </c>
    </row>
    <row r="322" spans="1:11">
      <c r="A322" t="s">
        <v>2674</v>
      </c>
      <c r="B322" t="s">
        <v>2676</v>
      </c>
      <c r="C322" t="s">
        <v>30</v>
      </c>
      <c r="D322" t="s">
        <v>205</v>
      </c>
      <c r="E322" t="s">
        <v>36</v>
      </c>
      <c r="F322" t="str">
        <f t="shared" si="8"/>
        <v>MM</v>
      </c>
      <c r="G322">
        <f>_xlfn.XLOOKUP(D322,tblStates[state_code],tblStates[territory_id],"Needs Review - Territory")</f>
        <v>4</v>
      </c>
      <c r="H322" t="str">
        <f>IF(E322="","",_xlfn.XLOOKUP(E322,tblUsers[user_id],tblUsers[job_title],"Owner Not Found"))</f>
        <v>Mid-Market Account Executive</v>
      </c>
      <c r="I322" t="str">
        <f>IF(E322="","",_xlfn.XLOOKUP(E322,tblUsers[user_id],tblUsers[segment],"Owner Not Found"))</f>
        <v>MM</v>
      </c>
      <c r="J322">
        <f>IF(E322="","",_xlfn.XLOOKUP(E322,tblUsers[user_id],tblUsers[territory_id],"Owner Not Found"))</f>
        <v>4</v>
      </c>
      <c r="K322" t="str">
        <f t="shared" si="9"/>
        <v>Routing Compatible</v>
      </c>
    </row>
    <row r="323" spans="1:11">
      <c r="A323" t="s">
        <v>2677</v>
      </c>
      <c r="B323" t="s">
        <v>2679</v>
      </c>
      <c r="C323" t="s">
        <v>24</v>
      </c>
      <c r="D323" t="s">
        <v>440</v>
      </c>
      <c r="E323" t="s">
        <v>69</v>
      </c>
      <c r="F323" t="str">
        <f t="shared" ref="F323:F386" si="10">IF(C323="SMB","SMB",IF(OR(C323="Mid-Market",C323="Upper Mid-Market"),"MM","Needs Review - Segment"))</f>
        <v>SMB</v>
      </c>
      <c r="G323">
        <f>_xlfn.XLOOKUP(D323,tblStates[state_code],tblStates[territory_id],"Needs Review - Territory")</f>
        <v>3</v>
      </c>
      <c r="H323" t="str">
        <f>IF(E323="","",_xlfn.XLOOKUP(E323,tblUsers[user_id],tblUsers[job_title],"Owner Not Found"))</f>
        <v>SMB Account Executive</v>
      </c>
      <c r="I323" t="str">
        <f>IF(E323="","",_xlfn.XLOOKUP(E323,tblUsers[user_id],tblUsers[segment],"Owner Not Found"))</f>
        <v>SMB</v>
      </c>
      <c r="J323">
        <f>IF(E323="","",_xlfn.XLOOKUP(E323,tblUsers[user_id],tblUsers[territory_id],"Owner Not Found"))</f>
        <v>3</v>
      </c>
      <c r="K323" t="str">
        <f t="shared" ref="K323:K386" si="11">IF(E323="","Unassigned",IF(F323="Needs Review - Segment","Needs Review - Segment",IF(G323="Needs Review - Territory","Needs Review - Territory",IF(I323&lt;&gt;F323,"Wrong Segment",IF(AND(ISNUMBER(SEARCH("Account Executive",H323)),J323&lt;&gt;G323),"Wrong AE Territory",IF(OR(ISNUMBER(SEARCH("Account Executive",H323)),H323="Sales Development Representative"),"Routing Compatible","Unexpected Owner Role"))))))</f>
        <v>Routing Compatible</v>
      </c>
    </row>
    <row r="324" spans="1:11">
      <c r="A324" t="s">
        <v>2681</v>
      </c>
      <c r="B324" t="s">
        <v>2684</v>
      </c>
      <c r="C324" t="s">
        <v>30</v>
      </c>
      <c r="D324" t="s">
        <v>64</v>
      </c>
      <c r="F324" t="str">
        <f t="shared" si="10"/>
        <v>MM</v>
      </c>
      <c r="G324">
        <f>_xlfn.XLOOKUP(D324,tblStates[state_code],tblStates[territory_id],"Needs Review - Territory")</f>
        <v>3</v>
      </c>
      <c r="H324" t="str">
        <f>IF(E324="","",_xlfn.XLOOKUP(E324,tblUsers[user_id],tblUsers[job_title],"Owner Not Found"))</f>
        <v/>
      </c>
      <c r="I324" t="str">
        <f>IF(E324="","",_xlfn.XLOOKUP(E324,tblUsers[user_id],tblUsers[segment],"Owner Not Found"))</f>
        <v/>
      </c>
      <c r="J324" t="str">
        <f>IF(E324="","",_xlfn.XLOOKUP(E324,tblUsers[user_id],tblUsers[territory_id],"Owner Not Found"))</f>
        <v/>
      </c>
      <c r="K324" t="str">
        <f t="shared" si="11"/>
        <v>Unassigned</v>
      </c>
    </row>
    <row r="325" spans="1:11">
      <c r="A325" t="s">
        <v>2686</v>
      </c>
      <c r="B325" t="s">
        <v>2688</v>
      </c>
      <c r="C325" t="s">
        <v>24</v>
      </c>
      <c r="D325" t="s">
        <v>216</v>
      </c>
      <c r="E325" t="s">
        <v>91</v>
      </c>
      <c r="F325" t="str">
        <f t="shared" si="10"/>
        <v>SMB</v>
      </c>
      <c r="G325">
        <f>_xlfn.XLOOKUP(D325,tblStates[state_code],tblStates[territory_id],"Needs Review - Territory")</f>
        <v>1</v>
      </c>
      <c r="H325" t="str">
        <f>IF(E325="","",_xlfn.XLOOKUP(E325,tblUsers[user_id],tblUsers[job_title],"Owner Not Found"))</f>
        <v>SMB Account Executive</v>
      </c>
      <c r="I325" t="str">
        <f>IF(E325="","",_xlfn.XLOOKUP(E325,tblUsers[user_id],tblUsers[segment],"Owner Not Found"))</f>
        <v>SMB</v>
      </c>
      <c r="J325">
        <f>IF(E325="","",_xlfn.XLOOKUP(E325,tblUsers[user_id],tblUsers[territory_id],"Owner Not Found"))</f>
        <v>1</v>
      </c>
      <c r="K325" t="str">
        <f t="shared" si="11"/>
        <v>Routing Compatible</v>
      </c>
    </row>
    <row r="326" spans="1:11">
      <c r="A326" t="s">
        <v>2689</v>
      </c>
      <c r="B326" t="s">
        <v>2691</v>
      </c>
      <c r="C326" t="s">
        <v>30</v>
      </c>
      <c r="D326" t="s">
        <v>68</v>
      </c>
      <c r="E326" t="s">
        <v>55</v>
      </c>
      <c r="F326" t="str">
        <f t="shared" si="10"/>
        <v>MM</v>
      </c>
      <c r="G326">
        <f>_xlfn.XLOOKUP(D326,tblStates[state_code],tblStates[territory_id],"Needs Review - Territory")</f>
        <v>3</v>
      </c>
      <c r="H326" t="str">
        <f>IF(E326="","",_xlfn.XLOOKUP(E326,tblUsers[user_id],tblUsers[job_title],"Owner Not Found"))</f>
        <v>Mid-Market Account Executive</v>
      </c>
      <c r="I326" t="str">
        <f>IF(E326="","",_xlfn.XLOOKUP(E326,tblUsers[user_id],tblUsers[segment],"Owner Not Found"))</f>
        <v>MM</v>
      </c>
      <c r="J326">
        <f>IF(E326="","",_xlfn.XLOOKUP(E326,tblUsers[user_id],tblUsers[territory_id],"Owner Not Found"))</f>
        <v>3</v>
      </c>
      <c r="K326" t="str">
        <f t="shared" si="11"/>
        <v>Routing Compatible</v>
      </c>
    </row>
    <row r="327" spans="1:11">
      <c r="A327" t="s">
        <v>2692</v>
      </c>
      <c r="B327" t="s">
        <v>2695</v>
      </c>
      <c r="C327" t="s">
        <v>24</v>
      </c>
      <c r="D327" t="s">
        <v>236</v>
      </c>
      <c r="E327" t="s">
        <v>91</v>
      </c>
      <c r="F327" t="str">
        <f t="shared" si="10"/>
        <v>SMB</v>
      </c>
      <c r="G327">
        <f>_xlfn.XLOOKUP(D327,tblStates[state_code],tblStates[territory_id],"Needs Review - Territory")</f>
        <v>1</v>
      </c>
      <c r="H327" t="str">
        <f>IF(E327="","",_xlfn.XLOOKUP(E327,tblUsers[user_id],tblUsers[job_title],"Owner Not Found"))</f>
        <v>SMB Account Executive</v>
      </c>
      <c r="I327" t="str">
        <f>IF(E327="","",_xlfn.XLOOKUP(E327,tblUsers[user_id],tblUsers[segment],"Owner Not Found"))</f>
        <v>SMB</v>
      </c>
      <c r="J327">
        <f>IF(E327="","",_xlfn.XLOOKUP(E327,tblUsers[user_id],tblUsers[territory_id],"Owner Not Found"))</f>
        <v>1</v>
      </c>
      <c r="K327" t="str">
        <f t="shared" si="11"/>
        <v>Routing Compatible</v>
      </c>
    </row>
    <row r="328" spans="1:11">
      <c r="A328" t="s">
        <v>2696</v>
      </c>
      <c r="B328" t="s">
        <v>2698</v>
      </c>
      <c r="C328" t="s">
        <v>24</v>
      </c>
      <c r="D328" t="s">
        <v>140</v>
      </c>
      <c r="E328" t="s">
        <v>25</v>
      </c>
      <c r="F328" t="str">
        <f t="shared" si="10"/>
        <v>SMB</v>
      </c>
      <c r="G328">
        <f>_xlfn.XLOOKUP(D328,tblStates[state_code],tblStates[territory_id],"Needs Review - Territory")</f>
        <v>2</v>
      </c>
      <c r="H328" t="str">
        <f>IF(E328="","",_xlfn.XLOOKUP(E328,tblUsers[user_id],tblUsers[job_title],"Owner Not Found"))</f>
        <v>SMB Account Executive</v>
      </c>
      <c r="I328" t="str">
        <f>IF(E328="","",_xlfn.XLOOKUP(E328,tblUsers[user_id],tblUsers[segment],"Owner Not Found"))</f>
        <v>SMB</v>
      </c>
      <c r="J328">
        <f>IF(E328="","",_xlfn.XLOOKUP(E328,tblUsers[user_id],tblUsers[territory_id],"Owner Not Found"))</f>
        <v>2</v>
      </c>
      <c r="K328" t="str">
        <f t="shared" si="11"/>
        <v>Routing Compatible</v>
      </c>
    </row>
    <row r="329" spans="1:11">
      <c r="A329" t="s">
        <v>2699</v>
      </c>
      <c r="B329" t="s">
        <v>2701</v>
      </c>
      <c r="C329" t="s">
        <v>30</v>
      </c>
      <c r="D329" t="s">
        <v>16</v>
      </c>
      <c r="E329" t="s">
        <v>18</v>
      </c>
      <c r="F329" t="str">
        <f t="shared" si="10"/>
        <v>MM</v>
      </c>
      <c r="G329">
        <f>_xlfn.XLOOKUP(D329,tblStates[state_code],tblStates[territory_id],"Needs Review - Territory")</f>
        <v>1</v>
      </c>
      <c r="H329" t="str">
        <f>IF(E329="","",_xlfn.XLOOKUP(E329,tblUsers[user_id],tblUsers[job_title],"Owner Not Found"))</f>
        <v>Mid-Market Account Executive</v>
      </c>
      <c r="I329" t="str">
        <f>IF(E329="","",_xlfn.XLOOKUP(E329,tblUsers[user_id],tblUsers[segment],"Owner Not Found"))</f>
        <v>MM</v>
      </c>
      <c r="J329">
        <f>IF(E329="","",_xlfn.XLOOKUP(E329,tblUsers[user_id],tblUsers[territory_id],"Owner Not Found"))</f>
        <v>1</v>
      </c>
      <c r="K329" t="str">
        <f t="shared" si="11"/>
        <v>Routing Compatible</v>
      </c>
    </row>
    <row r="330" spans="1:11">
      <c r="A330" t="s">
        <v>2702</v>
      </c>
      <c r="B330" t="s">
        <v>2704</v>
      </c>
      <c r="C330" t="s">
        <v>30</v>
      </c>
      <c r="D330" t="s">
        <v>81</v>
      </c>
      <c r="E330" t="s">
        <v>82</v>
      </c>
      <c r="F330" t="str">
        <f t="shared" si="10"/>
        <v>MM</v>
      </c>
      <c r="G330">
        <f>_xlfn.XLOOKUP(D330,tblStates[state_code],tblStates[territory_id],"Needs Review - Territory")</f>
        <v>2</v>
      </c>
      <c r="H330" t="str">
        <f>IF(E330="","",_xlfn.XLOOKUP(E330,tblUsers[user_id],tblUsers[job_title],"Owner Not Found"))</f>
        <v>Mid-Market Account Executive</v>
      </c>
      <c r="I330" t="str">
        <f>IF(E330="","",_xlfn.XLOOKUP(E330,tblUsers[user_id],tblUsers[segment],"Owner Not Found"))</f>
        <v>MM</v>
      </c>
      <c r="J330">
        <f>IF(E330="","",_xlfn.XLOOKUP(E330,tblUsers[user_id],tblUsers[territory_id],"Owner Not Found"))</f>
        <v>2</v>
      </c>
      <c r="K330" t="str">
        <f t="shared" si="11"/>
        <v>Routing Compatible</v>
      </c>
    </row>
    <row r="331" spans="1:11">
      <c r="A331" t="s">
        <v>2705</v>
      </c>
      <c r="B331" t="s">
        <v>2708</v>
      </c>
      <c r="C331" t="s">
        <v>24</v>
      </c>
      <c r="D331" t="s">
        <v>50</v>
      </c>
      <c r="E331" t="s">
        <v>59</v>
      </c>
      <c r="F331" t="str">
        <f t="shared" si="10"/>
        <v>SMB</v>
      </c>
      <c r="G331">
        <f>_xlfn.XLOOKUP(D331,tblStates[state_code],tblStates[territory_id],"Needs Review - Territory")</f>
        <v>4</v>
      </c>
      <c r="H331" t="str">
        <f>IF(E331="","",_xlfn.XLOOKUP(E331,tblUsers[user_id],tblUsers[job_title],"Owner Not Found"))</f>
        <v>SMB Account Executive</v>
      </c>
      <c r="I331" t="str">
        <f>IF(E331="","",_xlfn.XLOOKUP(E331,tblUsers[user_id],tblUsers[segment],"Owner Not Found"))</f>
        <v>SMB</v>
      </c>
      <c r="J331">
        <f>IF(E331="","",_xlfn.XLOOKUP(E331,tblUsers[user_id],tblUsers[territory_id],"Owner Not Found"))</f>
        <v>4</v>
      </c>
      <c r="K331" t="str">
        <f t="shared" si="11"/>
        <v>Routing Compatible</v>
      </c>
    </row>
    <row r="332" spans="1:11">
      <c r="A332" t="s">
        <v>2710</v>
      </c>
      <c r="B332" t="s">
        <v>2713</v>
      </c>
      <c r="C332" t="s">
        <v>24</v>
      </c>
      <c r="D332" t="s">
        <v>90</v>
      </c>
      <c r="E332" t="s">
        <v>91</v>
      </c>
      <c r="F332" t="str">
        <f t="shared" si="10"/>
        <v>SMB</v>
      </c>
      <c r="G332">
        <f>_xlfn.XLOOKUP(D332,tblStates[state_code],tblStates[territory_id],"Needs Review - Territory")</f>
        <v>1</v>
      </c>
      <c r="H332" t="str">
        <f>IF(E332="","",_xlfn.XLOOKUP(E332,tblUsers[user_id],tblUsers[job_title],"Owner Not Found"))</f>
        <v>SMB Account Executive</v>
      </c>
      <c r="I332" t="str">
        <f>IF(E332="","",_xlfn.XLOOKUP(E332,tblUsers[user_id],tblUsers[segment],"Owner Not Found"))</f>
        <v>SMB</v>
      </c>
      <c r="J332">
        <f>IF(E332="","",_xlfn.XLOOKUP(E332,tblUsers[user_id],tblUsers[territory_id],"Owner Not Found"))</f>
        <v>1</v>
      </c>
      <c r="K332" t="str">
        <f t="shared" si="11"/>
        <v>Routing Compatible</v>
      </c>
    </row>
    <row r="333" spans="1:11">
      <c r="A333" t="s">
        <v>2714</v>
      </c>
      <c r="B333" t="s">
        <v>2716</v>
      </c>
      <c r="C333" t="s">
        <v>30</v>
      </c>
      <c r="D333" t="s">
        <v>54</v>
      </c>
      <c r="E333" t="s">
        <v>69</v>
      </c>
      <c r="F333" t="str">
        <f t="shared" si="10"/>
        <v>MM</v>
      </c>
      <c r="G333">
        <f>_xlfn.XLOOKUP(D333,tblStates[state_code],tblStates[territory_id],"Needs Review - Territory")</f>
        <v>3</v>
      </c>
      <c r="H333" t="str">
        <f>IF(E333="","",_xlfn.XLOOKUP(E333,tblUsers[user_id],tblUsers[job_title],"Owner Not Found"))</f>
        <v>SMB Account Executive</v>
      </c>
      <c r="I333" t="str">
        <f>IF(E333="","",_xlfn.XLOOKUP(E333,tblUsers[user_id],tblUsers[segment],"Owner Not Found"))</f>
        <v>SMB</v>
      </c>
      <c r="J333">
        <f>IF(E333="","",_xlfn.XLOOKUP(E333,tblUsers[user_id],tblUsers[territory_id],"Owner Not Found"))</f>
        <v>3</v>
      </c>
      <c r="K333" t="str">
        <f t="shared" si="11"/>
        <v>Wrong Segment</v>
      </c>
    </row>
    <row r="334" spans="1:11">
      <c r="A334" t="s">
        <v>2717</v>
      </c>
      <c r="B334" t="s">
        <v>2719</v>
      </c>
      <c r="C334" t="s">
        <v>30</v>
      </c>
      <c r="D334" t="s">
        <v>16</v>
      </c>
      <c r="E334" t="s">
        <v>18</v>
      </c>
      <c r="F334" t="str">
        <f t="shared" si="10"/>
        <v>MM</v>
      </c>
      <c r="G334">
        <f>_xlfn.XLOOKUP(D334,tblStates[state_code],tblStates[territory_id],"Needs Review - Territory")</f>
        <v>1</v>
      </c>
      <c r="H334" t="str">
        <f>IF(E334="","",_xlfn.XLOOKUP(E334,tblUsers[user_id],tblUsers[job_title],"Owner Not Found"))</f>
        <v>Mid-Market Account Executive</v>
      </c>
      <c r="I334" t="str">
        <f>IF(E334="","",_xlfn.XLOOKUP(E334,tblUsers[user_id],tblUsers[segment],"Owner Not Found"))</f>
        <v>MM</v>
      </c>
      <c r="J334">
        <f>IF(E334="","",_xlfn.XLOOKUP(E334,tblUsers[user_id],tblUsers[territory_id],"Owner Not Found"))</f>
        <v>1</v>
      </c>
      <c r="K334" t="str">
        <f t="shared" si="11"/>
        <v>Routing Compatible</v>
      </c>
    </row>
    <row r="335" spans="1:11">
      <c r="A335" t="s">
        <v>2720</v>
      </c>
      <c r="B335" t="s">
        <v>2722</v>
      </c>
      <c r="C335" t="s">
        <v>24</v>
      </c>
      <c r="D335" t="s">
        <v>16</v>
      </c>
      <c r="E335" t="s">
        <v>91</v>
      </c>
      <c r="F335" t="str">
        <f t="shared" si="10"/>
        <v>SMB</v>
      </c>
      <c r="G335">
        <f>_xlfn.XLOOKUP(D335,tblStates[state_code],tblStates[territory_id],"Needs Review - Territory")</f>
        <v>1</v>
      </c>
      <c r="H335" t="str">
        <f>IF(E335="","",_xlfn.XLOOKUP(E335,tblUsers[user_id],tblUsers[job_title],"Owner Not Found"))</f>
        <v>SMB Account Executive</v>
      </c>
      <c r="I335" t="str">
        <f>IF(E335="","",_xlfn.XLOOKUP(E335,tblUsers[user_id],tblUsers[segment],"Owner Not Found"))</f>
        <v>SMB</v>
      </c>
      <c r="J335">
        <f>IF(E335="","",_xlfn.XLOOKUP(E335,tblUsers[user_id],tblUsers[territory_id],"Owner Not Found"))</f>
        <v>1</v>
      </c>
      <c r="K335" t="str">
        <f t="shared" si="11"/>
        <v>Routing Compatible</v>
      </c>
    </row>
    <row r="336" spans="1:11">
      <c r="A336" t="s">
        <v>2723</v>
      </c>
      <c r="B336" t="s">
        <v>2725</v>
      </c>
      <c r="C336" t="s">
        <v>24</v>
      </c>
      <c r="D336" t="s">
        <v>23</v>
      </c>
      <c r="E336" t="s">
        <v>25</v>
      </c>
      <c r="F336" t="str">
        <f t="shared" si="10"/>
        <v>SMB</v>
      </c>
      <c r="G336">
        <f>_xlfn.XLOOKUP(D336,tblStates[state_code],tblStates[territory_id],"Needs Review - Territory")</f>
        <v>2</v>
      </c>
      <c r="H336" t="str">
        <f>IF(E336="","",_xlfn.XLOOKUP(E336,tblUsers[user_id],tblUsers[job_title],"Owner Not Found"))</f>
        <v>SMB Account Executive</v>
      </c>
      <c r="I336" t="str">
        <f>IF(E336="","",_xlfn.XLOOKUP(E336,tblUsers[user_id],tblUsers[segment],"Owner Not Found"))</f>
        <v>SMB</v>
      </c>
      <c r="J336">
        <f>IF(E336="","",_xlfn.XLOOKUP(E336,tblUsers[user_id],tblUsers[territory_id],"Owner Not Found"))</f>
        <v>2</v>
      </c>
      <c r="K336" t="str">
        <f t="shared" si="11"/>
        <v>Routing Compatible</v>
      </c>
    </row>
    <row r="337" spans="1:11">
      <c r="A337" t="s">
        <v>2726</v>
      </c>
      <c r="B337" t="s">
        <v>2728</v>
      </c>
      <c r="C337" t="s">
        <v>24</v>
      </c>
      <c r="D337" t="s">
        <v>23</v>
      </c>
      <c r="E337" t="s">
        <v>25</v>
      </c>
      <c r="F337" t="str">
        <f t="shared" si="10"/>
        <v>SMB</v>
      </c>
      <c r="G337">
        <f>_xlfn.XLOOKUP(D337,tblStates[state_code],tblStates[territory_id],"Needs Review - Territory")</f>
        <v>2</v>
      </c>
      <c r="H337" t="str">
        <f>IF(E337="","",_xlfn.XLOOKUP(E337,tblUsers[user_id],tblUsers[job_title],"Owner Not Found"))</f>
        <v>SMB Account Executive</v>
      </c>
      <c r="I337" t="str">
        <f>IF(E337="","",_xlfn.XLOOKUP(E337,tblUsers[user_id],tblUsers[segment],"Owner Not Found"))</f>
        <v>SMB</v>
      </c>
      <c r="J337">
        <f>IF(E337="","",_xlfn.XLOOKUP(E337,tblUsers[user_id],tblUsers[territory_id],"Owner Not Found"))</f>
        <v>2</v>
      </c>
      <c r="K337" t="str">
        <f t="shared" si="11"/>
        <v>Routing Compatible</v>
      </c>
    </row>
    <row r="338" spans="1:11">
      <c r="A338" t="s">
        <v>2729</v>
      </c>
      <c r="B338" t="s">
        <v>2731</v>
      </c>
      <c r="C338" t="s">
        <v>24</v>
      </c>
      <c r="D338" t="s">
        <v>249</v>
      </c>
      <c r="E338" t="s">
        <v>25</v>
      </c>
      <c r="F338" t="str">
        <f t="shared" si="10"/>
        <v>SMB</v>
      </c>
      <c r="G338">
        <f>_xlfn.XLOOKUP(D338,tblStates[state_code],tblStates[territory_id],"Needs Review - Territory")</f>
        <v>4</v>
      </c>
      <c r="H338" t="str">
        <f>IF(E338="","",_xlfn.XLOOKUP(E338,tblUsers[user_id],tblUsers[job_title],"Owner Not Found"))</f>
        <v>SMB Account Executive</v>
      </c>
      <c r="I338" t="str">
        <f>IF(E338="","",_xlfn.XLOOKUP(E338,tblUsers[user_id],tblUsers[segment],"Owner Not Found"))</f>
        <v>SMB</v>
      </c>
      <c r="J338">
        <f>IF(E338="","",_xlfn.XLOOKUP(E338,tblUsers[user_id],tblUsers[territory_id],"Owner Not Found"))</f>
        <v>2</v>
      </c>
      <c r="K338" t="str">
        <f t="shared" si="11"/>
        <v>Wrong AE Territory</v>
      </c>
    </row>
    <row r="339" spans="1:11">
      <c r="A339" t="s">
        <v>2732</v>
      </c>
      <c r="B339" t="s">
        <v>2735</v>
      </c>
      <c r="C339" t="s">
        <v>24</v>
      </c>
      <c r="D339" t="s">
        <v>16</v>
      </c>
      <c r="E339" t="s">
        <v>91</v>
      </c>
      <c r="F339" t="str">
        <f t="shared" si="10"/>
        <v>SMB</v>
      </c>
      <c r="G339">
        <f>_xlfn.XLOOKUP(D339,tblStates[state_code],tblStates[territory_id],"Needs Review - Territory")</f>
        <v>1</v>
      </c>
      <c r="H339" t="str">
        <f>IF(E339="","",_xlfn.XLOOKUP(E339,tblUsers[user_id],tblUsers[job_title],"Owner Not Found"))</f>
        <v>SMB Account Executive</v>
      </c>
      <c r="I339" t="str">
        <f>IF(E339="","",_xlfn.XLOOKUP(E339,tblUsers[user_id],tblUsers[segment],"Owner Not Found"))</f>
        <v>SMB</v>
      </c>
      <c r="J339">
        <f>IF(E339="","",_xlfn.XLOOKUP(E339,tblUsers[user_id],tblUsers[territory_id],"Owner Not Found"))</f>
        <v>1</v>
      </c>
      <c r="K339" t="str">
        <f t="shared" si="11"/>
        <v>Routing Compatible</v>
      </c>
    </row>
    <row r="340" spans="1:11">
      <c r="A340" t="s">
        <v>2736</v>
      </c>
      <c r="B340" t="s">
        <v>2738</v>
      </c>
      <c r="C340" t="s">
        <v>30</v>
      </c>
      <c r="D340" t="s">
        <v>140</v>
      </c>
      <c r="E340" t="s">
        <v>82</v>
      </c>
      <c r="F340" t="str">
        <f t="shared" si="10"/>
        <v>MM</v>
      </c>
      <c r="G340">
        <f>_xlfn.XLOOKUP(D340,tblStates[state_code],tblStates[territory_id],"Needs Review - Territory")</f>
        <v>2</v>
      </c>
      <c r="H340" t="str">
        <f>IF(E340="","",_xlfn.XLOOKUP(E340,tblUsers[user_id],tblUsers[job_title],"Owner Not Found"))</f>
        <v>Mid-Market Account Executive</v>
      </c>
      <c r="I340" t="str">
        <f>IF(E340="","",_xlfn.XLOOKUP(E340,tblUsers[user_id],tblUsers[segment],"Owner Not Found"))</f>
        <v>MM</v>
      </c>
      <c r="J340">
        <f>IF(E340="","",_xlfn.XLOOKUP(E340,tblUsers[user_id],tblUsers[territory_id],"Owner Not Found"))</f>
        <v>2</v>
      </c>
      <c r="K340" t="str">
        <f t="shared" si="11"/>
        <v>Routing Compatible</v>
      </c>
    </row>
    <row r="341" spans="1:11">
      <c r="A341" t="s">
        <v>2740</v>
      </c>
      <c r="B341" t="s">
        <v>2742</v>
      </c>
      <c r="C341" t="s">
        <v>24</v>
      </c>
      <c r="D341" t="s">
        <v>385</v>
      </c>
      <c r="E341" t="s">
        <v>91</v>
      </c>
      <c r="F341" t="str">
        <f t="shared" si="10"/>
        <v>SMB</v>
      </c>
      <c r="G341">
        <f>_xlfn.XLOOKUP(D341,tblStates[state_code],tblStates[territory_id],"Needs Review - Territory")</f>
        <v>1</v>
      </c>
      <c r="H341" t="str">
        <f>IF(E341="","",_xlfn.XLOOKUP(E341,tblUsers[user_id],tblUsers[job_title],"Owner Not Found"))</f>
        <v>SMB Account Executive</v>
      </c>
      <c r="I341" t="str">
        <f>IF(E341="","",_xlfn.XLOOKUP(E341,tblUsers[user_id],tblUsers[segment],"Owner Not Found"))</f>
        <v>SMB</v>
      </c>
      <c r="J341">
        <f>IF(E341="","",_xlfn.XLOOKUP(E341,tblUsers[user_id],tblUsers[territory_id],"Owner Not Found"))</f>
        <v>1</v>
      </c>
      <c r="K341" t="str">
        <f t="shared" si="11"/>
        <v>Routing Compatible</v>
      </c>
    </row>
    <row r="342" spans="1:11">
      <c r="A342" t="s">
        <v>2743</v>
      </c>
      <c r="B342" t="s">
        <v>2745</v>
      </c>
      <c r="C342" t="s">
        <v>30</v>
      </c>
      <c r="D342" t="s">
        <v>249</v>
      </c>
      <c r="E342" t="s">
        <v>36</v>
      </c>
      <c r="F342" t="str">
        <f t="shared" si="10"/>
        <v>MM</v>
      </c>
      <c r="G342">
        <f>_xlfn.XLOOKUP(D342,tblStates[state_code],tblStates[territory_id],"Needs Review - Territory")</f>
        <v>4</v>
      </c>
      <c r="H342" t="str">
        <f>IF(E342="","",_xlfn.XLOOKUP(E342,tblUsers[user_id],tblUsers[job_title],"Owner Not Found"))</f>
        <v>Mid-Market Account Executive</v>
      </c>
      <c r="I342" t="str">
        <f>IF(E342="","",_xlfn.XLOOKUP(E342,tblUsers[user_id],tblUsers[segment],"Owner Not Found"))</f>
        <v>MM</v>
      </c>
      <c r="J342">
        <f>IF(E342="","",_xlfn.XLOOKUP(E342,tblUsers[user_id],tblUsers[territory_id],"Owner Not Found"))</f>
        <v>4</v>
      </c>
      <c r="K342" t="str">
        <f t="shared" si="11"/>
        <v>Routing Compatible</v>
      </c>
    </row>
    <row r="343" spans="1:11">
      <c r="A343" t="s">
        <v>2746</v>
      </c>
      <c r="B343" t="s">
        <v>2748</v>
      </c>
      <c r="C343" t="s">
        <v>24</v>
      </c>
      <c r="D343" t="s">
        <v>154</v>
      </c>
      <c r="E343" t="s">
        <v>25</v>
      </c>
      <c r="F343" t="str">
        <f t="shared" si="10"/>
        <v>SMB</v>
      </c>
      <c r="G343">
        <f>_xlfn.XLOOKUP(D343,tblStates[state_code],tblStates[territory_id],"Needs Review - Territory")</f>
        <v>2</v>
      </c>
      <c r="H343" t="str">
        <f>IF(E343="","",_xlfn.XLOOKUP(E343,tblUsers[user_id],tblUsers[job_title],"Owner Not Found"))</f>
        <v>SMB Account Executive</v>
      </c>
      <c r="I343" t="str">
        <f>IF(E343="","",_xlfn.XLOOKUP(E343,tblUsers[user_id],tblUsers[segment],"Owner Not Found"))</f>
        <v>SMB</v>
      </c>
      <c r="J343">
        <f>IF(E343="","",_xlfn.XLOOKUP(E343,tblUsers[user_id],tblUsers[territory_id],"Owner Not Found"))</f>
        <v>2</v>
      </c>
      <c r="K343" t="str">
        <f t="shared" si="11"/>
        <v>Routing Compatible</v>
      </c>
    </row>
    <row r="344" spans="1:11">
      <c r="A344" t="s">
        <v>2749</v>
      </c>
      <c r="B344" t="s">
        <v>2751</v>
      </c>
      <c r="C344" t="s">
        <v>24</v>
      </c>
      <c r="D344" t="s">
        <v>140</v>
      </c>
      <c r="E344" t="s">
        <v>25</v>
      </c>
      <c r="F344" t="str">
        <f t="shared" si="10"/>
        <v>SMB</v>
      </c>
      <c r="G344">
        <f>_xlfn.XLOOKUP(D344,tblStates[state_code],tblStates[territory_id],"Needs Review - Territory")</f>
        <v>2</v>
      </c>
      <c r="H344" t="str">
        <f>IF(E344="","",_xlfn.XLOOKUP(E344,tblUsers[user_id],tblUsers[job_title],"Owner Not Found"))</f>
        <v>SMB Account Executive</v>
      </c>
      <c r="I344" t="str">
        <f>IF(E344="","",_xlfn.XLOOKUP(E344,tblUsers[user_id],tblUsers[segment],"Owner Not Found"))</f>
        <v>SMB</v>
      </c>
      <c r="J344">
        <f>IF(E344="","",_xlfn.XLOOKUP(E344,tblUsers[user_id],tblUsers[territory_id],"Owner Not Found"))</f>
        <v>2</v>
      </c>
      <c r="K344" t="str">
        <f t="shared" si="11"/>
        <v>Routing Compatible</v>
      </c>
    </row>
    <row r="345" spans="1:11">
      <c r="A345" t="s">
        <v>2752</v>
      </c>
      <c r="B345" t="s">
        <v>2754</v>
      </c>
      <c r="C345" t="s">
        <v>24</v>
      </c>
      <c r="D345" t="s">
        <v>249</v>
      </c>
      <c r="E345" t="s">
        <v>59</v>
      </c>
      <c r="F345" t="str">
        <f t="shared" si="10"/>
        <v>SMB</v>
      </c>
      <c r="G345">
        <f>_xlfn.XLOOKUP(D345,tblStates[state_code],tblStates[territory_id],"Needs Review - Territory")</f>
        <v>4</v>
      </c>
      <c r="H345" t="str">
        <f>IF(E345="","",_xlfn.XLOOKUP(E345,tblUsers[user_id],tblUsers[job_title],"Owner Not Found"))</f>
        <v>SMB Account Executive</v>
      </c>
      <c r="I345" t="str">
        <f>IF(E345="","",_xlfn.XLOOKUP(E345,tblUsers[user_id],tblUsers[segment],"Owner Not Found"))</f>
        <v>SMB</v>
      </c>
      <c r="J345">
        <f>IF(E345="","",_xlfn.XLOOKUP(E345,tblUsers[user_id],tblUsers[territory_id],"Owner Not Found"))</f>
        <v>4</v>
      </c>
      <c r="K345" t="str">
        <f t="shared" si="11"/>
        <v>Routing Compatible</v>
      </c>
    </row>
    <row r="346" spans="1:11">
      <c r="A346" t="s">
        <v>2756</v>
      </c>
      <c r="B346" t="s">
        <v>2758</v>
      </c>
      <c r="C346" t="s">
        <v>30</v>
      </c>
      <c r="D346" t="s">
        <v>216</v>
      </c>
      <c r="E346" t="s">
        <v>18</v>
      </c>
      <c r="F346" t="str">
        <f t="shared" si="10"/>
        <v>MM</v>
      </c>
      <c r="G346">
        <f>_xlfn.XLOOKUP(D346,tblStates[state_code],tblStates[territory_id],"Needs Review - Territory")</f>
        <v>1</v>
      </c>
      <c r="H346" t="str">
        <f>IF(E346="","",_xlfn.XLOOKUP(E346,tblUsers[user_id],tblUsers[job_title],"Owner Not Found"))</f>
        <v>Mid-Market Account Executive</v>
      </c>
      <c r="I346" t="str">
        <f>IF(E346="","",_xlfn.XLOOKUP(E346,tblUsers[user_id],tblUsers[segment],"Owner Not Found"))</f>
        <v>MM</v>
      </c>
      <c r="J346">
        <f>IF(E346="","",_xlfn.XLOOKUP(E346,tblUsers[user_id],tblUsers[territory_id],"Owner Not Found"))</f>
        <v>1</v>
      </c>
      <c r="K346" t="str">
        <f t="shared" si="11"/>
        <v>Routing Compatible</v>
      </c>
    </row>
    <row r="347" spans="1:11">
      <c r="A347" t="s">
        <v>2759</v>
      </c>
      <c r="B347" t="s">
        <v>2762</v>
      </c>
      <c r="D347" t="s">
        <v>249</v>
      </c>
      <c r="F347" t="str">
        <f t="shared" si="10"/>
        <v>Needs Review - Segment</v>
      </c>
      <c r="G347">
        <f>_xlfn.XLOOKUP(D347,tblStates[state_code],tblStates[territory_id],"Needs Review - Territory")</f>
        <v>4</v>
      </c>
      <c r="H347" t="str">
        <f>IF(E347="","",_xlfn.XLOOKUP(E347,tblUsers[user_id],tblUsers[job_title],"Owner Not Found"))</f>
        <v/>
      </c>
      <c r="I347" t="str">
        <f>IF(E347="","",_xlfn.XLOOKUP(E347,tblUsers[user_id],tblUsers[segment],"Owner Not Found"))</f>
        <v/>
      </c>
      <c r="J347" t="str">
        <f>IF(E347="","",_xlfn.XLOOKUP(E347,tblUsers[user_id],tblUsers[territory_id],"Owner Not Found"))</f>
        <v/>
      </c>
      <c r="K347" t="str">
        <f t="shared" si="11"/>
        <v>Unassigned</v>
      </c>
    </row>
    <row r="348" spans="1:11">
      <c r="A348" t="s">
        <v>2764</v>
      </c>
      <c r="B348" t="s">
        <v>2766</v>
      </c>
      <c r="C348" t="s">
        <v>17</v>
      </c>
      <c r="E348" t="s">
        <v>82</v>
      </c>
      <c r="F348" t="str">
        <f t="shared" si="10"/>
        <v>MM</v>
      </c>
      <c r="G348" t="str">
        <f>_xlfn.XLOOKUP(D348,tblStates[state_code],tblStates[territory_id],"Needs Review - Territory")</f>
        <v>Needs Review - Territory</v>
      </c>
      <c r="H348" t="str">
        <f>IF(E348="","",_xlfn.XLOOKUP(E348,tblUsers[user_id],tblUsers[job_title],"Owner Not Found"))</f>
        <v>Mid-Market Account Executive</v>
      </c>
      <c r="I348" t="str">
        <f>IF(E348="","",_xlfn.XLOOKUP(E348,tblUsers[user_id],tblUsers[segment],"Owner Not Found"))</f>
        <v>MM</v>
      </c>
      <c r="J348">
        <f>IF(E348="","",_xlfn.XLOOKUP(E348,tblUsers[user_id],tblUsers[territory_id],"Owner Not Found"))</f>
        <v>2</v>
      </c>
      <c r="K348" t="str">
        <f t="shared" si="11"/>
        <v>Needs Review - Territory</v>
      </c>
    </row>
    <row r="349" spans="1:11">
      <c r="A349" t="s">
        <v>2767</v>
      </c>
      <c r="B349" t="s">
        <v>2769</v>
      </c>
      <c r="C349" t="s">
        <v>30</v>
      </c>
      <c r="D349" t="s">
        <v>161</v>
      </c>
      <c r="E349" t="s">
        <v>36</v>
      </c>
      <c r="F349" t="str">
        <f t="shared" si="10"/>
        <v>MM</v>
      </c>
      <c r="G349">
        <f>_xlfn.XLOOKUP(D349,tblStates[state_code],tblStates[territory_id],"Needs Review - Territory")</f>
        <v>4</v>
      </c>
      <c r="H349" t="str">
        <f>IF(E349="","",_xlfn.XLOOKUP(E349,tblUsers[user_id],tblUsers[job_title],"Owner Not Found"))</f>
        <v>Mid-Market Account Executive</v>
      </c>
      <c r="I349" t="str">
        <f>IF(E349="","",_xlfn.XLOOKUP(E349,tblUsers[user_id],tblUsers[segment],"Owner Not Found"))</f>
        <v>MM</v>
      </c>
      <c r="J349">
        <f>IF(E349="","",_xlfn.XLOOKUP(E349,tblUsers[user_id],tblUsers[territory_id],"Owner Not Found"))</f>
        <v>4</v>
      </c>
      <c r="K349" t="str">
        <f t="shared" si="11"/>
        <v>Routing Compatible</v>
      </c>
    </row>
    <row r="350" spans="1:11">
      <c r="A350" t="s">
        <v>2770</v>
      </c>
      <c r="B350" t="s">
        <v>2772</v>
      </c>
      <c r="C350" t="s">
        <v>30</v>
      </c>
      <c r="D350" t="s">
        <v>50</v>
      </c>
      <c r="E350" t="s">
        <v>36</v>
      </c>
      <c r="F350" t="str">
        <f t="shared" si="10"/>
        <v>MM</v>
      </c>
      <c r="G350">
        <f>_xlfn.XLOOKUP(D350,tblStates[state_code],tblStates[territory_id],"Needs Review - Territory")</f>
        <v>4</v>
      </c>
      <c r="H350" t="str">
        <f>IF(E350="","",_xlfn.XLOOKUP(E350,tblUsers[user_id],tblUsers[job_title],"Owner Not Found"))</f>
        <v>Mid-Market Account Executive</v>
      </c>
      <c r="I350" t="str">
        <f>IF(E350="","",_xlfn.XLOOKUP(E350,tblUsers[user_id],tblUsers[segment],"Owner Not Found"))</f>
        <v>MM</v>
      </c>
      <c r="J350">
        <f>IF(E350="","",_xlfn.XLOOKUP(E350,tblUsers[user_id],tblUsers[territory_id],"Owner Not Found"))</f>
        <v>4</v>
      </c>
      <c r="K350" t="str">
        <f t="shared" si="11"/>
        <v>Routing Compatible</v>
      </c>
    </row>
    <row r="351" spans="1:11">
      <c r="A351" t="s">
        <v>2773</v>
      </c>
      <c r="B351" t="s">
        <v>2775</v>
      </c>
      <c r="C351" t="s">
        <v>30</v>
      </c>
      <c r="D351" t="s">
        <v>366</v>
      </c>
      <c r="E351" t="s">
        <v>18</v>
      </c>
      <c r="F351" t="str">
        <f t="shared" si="10"/>
        <v>MM</v>
      </c>
      <c r="G351">
        <f>_xlfn.XLOOKUP(D351,tblStates[state_code],tblStates[territory_id],"Needs Review - Territory")</f>
        <v>1</v>
      </c>
      <c r="H351" t="str">
        <f>IF(E351="","",_xlfn.XLOOKUP(E351,tblUsers[user_id],tblUsers[job_title],"Owner Not Found"))</f>
        <v>Mid-Market Account Executive</v>
      </c>
      <c r="I351" t="str">
        <f>IF(E351="","",_xlfn.XLOOKUP(E351,tblUsers[user_id],tblUsers[segment],"Owner Not Found"))</f>
        <v>MM</v>
      </c>
      <c r="J351">
        <f>IF(E351="","",_xlfn.XLOOKUP(E351,tblUsers[user_id],tblUsers[territory_id],"Owner Not Found"))</f>
        <v>1</v>
      </c>
      <c r="K351" t="str">
        <f t="shared" si="11"/>
        <v>Routing Compatible</v>
      </c>
    </row>
    <row r="352" spans="1:11">
      <c r="A352" t="s">
        <v>2776</v>
      </c>
      <c r="B352" t="s">
        <v>2778</v>
      </c>
      <c r="C352" t="s">
        <v>17</v>
      </c>
      <c r="D352" t="s">
        <v>95</v>
      </c>
      <c r="E352" t="s">
        <v>91</v>
      </c>
      <c r="F352" t="str">
        <f t="shared" si="10"/>
        <v>MM</v>
      </c>
      <c r="G352">
        <f>_xlfn.XLOOKUP(D352,tblStates[state_code],tblStates[territory_id],"Needs Review - Territory")</f>
        <v>1</v>
      </c>
      <c r="H352" t="str">
        <f>IF(E352="","",_xlfn.XLOOKUP(E352,tblUsers[user_id],tblUsers[job_title],"Owner Not Found"))</f>
        <v>SMB Account Executive</v>
      </c>
      <c r="I352" t="str">
        <f>IF(E352="","",_xlfn.XLOOKUP(E352,tblUsers[user_id],tblUsers[segment],"Owner Not Found"))</f>
        <v>SMB</v>
      </c>
      <c r="J352">
        <f>IF(E352="","",_xlfn.XLOOKUP(E352,tblUsers[user_id],tblUsers[territory_id],"Owner Not Found"))</f>
        <v>1</v>
      </c>
      <c r="K352" t="str">
        <f t="shared" si="11"/>
        <v>Wrong Segment</v>
      </c>
    </row>
    <row r="353" spans="1:11">
      <c r="A353" t="s">
        <v>2779</v>
      </c>
      <c r="B353" t="s">
        <v>2781</v>
      </c>
      <c r="C353" t="s">
        <v>30</v>
      </c>
      <c r="D353" t="s">
        <v>81</v>
      </c>
      <c r="E353" t="s">
        <v>82</v>
      </c>
      <c r="F353" t="str">
        <f t="shared" si="10"/>
        <v>MM</v>
      </c>
      <c r="G353">
        <f>_xlfn.XLOOKUP(D353,tblStates[state_code],tblStates[territory_id],"Needs Review - Territory")</f>
        <v>2</v>
      </c>
      <c r="H353" t="str">
        <f>IF(E353="","",_xlfn.XLOOKUP(E353,tblUsers[user_id],tblUsers[job_title],"Owner Not Found"))</f>
        <v>Mid-Market Account Executive</v>
      </c>
      <c r="I353" t="str">
        <f>IF(E353="","",_xlfn.XLOOKUP(E353,tblUsers[user_id],tblUsers[segment],"Owner Not Found"))</f>
        <v>MM</v>
      </c>
      <c r="J353">
        <f>IF(E353="","",_xlfn.XLOOKUP(E353,tblUsers[user_id],tblUsers[territory_id],"Owner Not Found"))</f>
        <v>2</v>
      </c>
      <c r="K353" t="str">
        <f t="shared" si="11"/>
        <v>Routing Compatible</v>
      </c>
    </row>
    <row r="354" spans="1:11">
      <c r="A354" t="s">
        <v>2782</v>
      </c>
      <c r="B354" t="s">
        <v>2784</v>
      </c>
      <c r="C354" t="s">
        <v>30</v>
      </c>
      <c r="D354" t="s">
        <v>50</v>
      </c>
      <c r="E354" t="s">
        <v>36</v>
      </c>
      <c r="F354" t="str">
        <f t="shared" si="10"/>
        <v>MM</v>
      </c>
      <c r="G354">
        <f>_xlfn.XLOOKUP(D354,tblStates[state_code],tblStates[territory_id],"Needs Review - Territory")</f>
        <v>4</v>
      </c>
      <c r="H354" t="str">
        <f>IF(E354="","",_xlfn.XLOOKUP(E354,tblUsers[user_id],tblUsers[job_title],"Owner Not Found"))</f>
        <v>Mid-Market Account Executive</v>
      </c>
      <c r="I354" t="str">
        <f>IF(E354="","",_xlfn.XLOOKUP(E354,tblUsers[user_id],tblUsers[segment],"Owner Not Found"))</f>
        <v>MM</v>
      </c>
      <c r="J354">
        <f>IF(E354="","",_xlfn.XLOOKUP(E354,tblUsers[user_id],tblUsers[territory_id],"Owner Not Found"))</f>
        <v>4</v>
      </c>
      <c r="K354" t="str">
        <f t="shared" si="11"/>
        <v>Routing Compatible</v>
      </c>
    </row>
    <row r="355" spans="1:11">
      <c r="A355" t="s">
        <v>2785</v>
      </c>
      <c r="B355" t="s">
        <v>2787</v>
      </c>
      <c r="C355" t="s">
        <v>30</v>
      </c>
      <c r="D355" t="s">
        <v>68</v>
      </c>
      <c r="E355" t="s">
        <v>55</v>
      </c>
      <c r="F355" t="str">
        <f t="shared" si="10"/>
        <v>MM</v>
      </c>
      <c r="G355">
        <f>_xlfn.XLOOKUP(D355,tblStates[state_code],tblStates[territory_id],"Needs Review - Territory")</f>
        <v>3</v>
      </c>
      <c r="H355" t="str">
        <f>IF(E355="","",_xlfn.XLOOKUP(E355,tblUsers[user_id],tblUsers[job_title],"Owner Not Found"))</f>
        <v>Mid-Market Account Executive</v>
      </c>
      <c r="I355" t="str">
        <f>IF(E355="","",_xlfn.XLOOKUP(E355,tblUsers[user_id],tblUsers[segment],"Owner Not Found"))</f>
        <v>MM</v>
      </c>
      <c r="J355">
        <f>IF(E355="","",_xlfn.XLOOKUP(E355,tblUsers[user_id],tblUsers[territory_id],"Owner Not Found"))</f>
        <v>3</v>
      </c>
      <c r="K355" t="str">
        <f t="shared" si="11"/>
        <v>Routing Compatible</v>
      </c>
    </row>
    <row r="356" spans="1:11">
      <c r="A356" t="s">
        <v>2788</v>
      </c>
      <c r="B356" t="s">
        <v>2791</v>
      </c>
      <c r="C356" t="s">
        <v>30</v>
      </c>
      <c r="D356" t="s">
        <v>23</v>
      </c>
      <c r="E356" t="s">
        <v>82</v>
      </c>
      <c r="F356" t="str">
        <f t="shared" si="10"/>
        <v>MM</v>
      </c>
      <c r="G356">
        <f>_xlfn.XLOOKUP(D356,tblStates[state_code],tblStates[territory_id],"Needs Review - Territory")</f>
        <v>2</v>
      </c>
      <c r="H356" t="str">
        <f>IF(E356="","",_xlfn.XLOOKUP(E356,tblUsers[user_id],tblUsers[job_title],"Owner Not Found"))</f>
        <v>Mid-Market Account Executive</v>
      </c>
      <c r="I356" t="str">
        <f>IF(E356="","",_xlfn.XLOOKUP(E356,tblUsers[user_id],tblUsers[segment],"Owner Not Found"))</f>
        <v>MM</v>
      </c>
      <c r="J356">
        <f>IF(E356="","",_xlfn.XLOOKUP(E356,tblUsers[user_id],tblUsers[territory_id],"Owner Not Found"))</f>
        <v>2</v>
      </c>
      <c r="K356" t="str">
        <f t="shared" si="11"/>
        <v>Routing Compatible</v>
      </c>
    </row>
    <row r="357" spans="1:11">
      <c r="A357" t="s">
        <v>2792</v>
      </c>
      <c r="B357" t="s">
        <v>2794</v>
      </c>
      <c r="C357" t="s">
        <v>24</v>
      </c>
      <c r="D357" t="s">
        <v>1077</v>
      </c>
      <c r="E357" t="s">
        <v>69</v>
      </c>
      <c r="F357" t="str">
        <f t="shared" si="10"/>
        <v>SMB</v>
      </c>
      <c r="G357">
        <f>_xlfn.XLOOKUP(D357,tblStates[state_code],tblStates[territory_id],"Needs Review - Territory")</f>
        <v>3</v>
      </c>
      <c r="H357" t="str">
        <f>IF(E357="","",_xlfn.XLOOKUP(E357,tblUsers[user_id],tblUsers[job_title],"Owner Not Found"))</f>
        <v>SMB Account Executive</v>
      </c>
      <c r="I357" t="str">
        <f>IF(E357="","",_xlfn.XLOOKUP(E357,tblUsers[user_id],tblUsers[segment],"Owner Not Found"))</f>
        <v>SMB</v>
      </c>
      <c r="J357">
        <f>IF(E357="","",_xlfn.XLOOKUP(E357,tblUsers[user_id],tblUsers[territory_id],"Owner Not Found"))</f>
        <v>3</v>
      </c>
      <c r="K357" t="str">
        <f t="shared" si="11"/>
        <v>Routing Compatible</v>
      </c>
    </row>
    <row r="358" spans="1:11">
      <c r="A358" t="s">
        <v>2795</v>
      </c>
      <c r="B358" t="s">
        <v>2797</v>
      </c>
      <c r="C358" t="s">
        <v>30</v>
      </c>
      <c r="D358" t="s">
        <v>171</v>
      </c>
      <c r="E358" t="s">
        <v>55</v>
      </c>
      <c r="F358" t="str">
        <f t="shared" si="10"/>
        <v>MM</v>
      </c>
      <c r="G358">
        <f>_xlfn.XLOOKUP(D358,tblStates[state_code],tblStates[territory_id],"Needs Review - Territory")</f>
        <v>1</v>
      </c>
      <c r="H358" t="str">
        <f>IF(E358="","",_xlfn.XLOOKUP(E358,tblUsers[user_id],tblUsers[job_title],"Owner Not Found"))</f>
        <v>Mid-Market Account Executive</v>
      </c>
      <c r="I358" t="str">
        <f>IF(E358="","",_xlfn.XLOOKUP(E358,tblUsers[user_id],tblUsers[segment],"Owner Not Found"))</f>
        <v>MM</v>
      </c>
      <c r="J358">
        <f>IF(E358="","",_xlfn.XLOOKUP(E358,tblUsers[user_id],tblUsers[territory_id],"Owner Not Found"))</f>
        <v>3</v>
      </c>
      <c r="K358" t="str">
        <f t="shared" si="11"/>
        <v>Wrong AE Territory</v>
      </c>
    </row>
    <row r="359" spans="1:11">
      <c r="A359" t="s">
        <v>2798</v>
      </c>
      <c r="B359" t="s">
        <v>2800</v>
      </c>
      <c r="C359" t="s">
        <v>24</v>
      </c>
      <c r="D359" t="s">
        <v>226</v>
      </c>
      <c r="E359" t="s">
        <v>69</v>
      </c>
      <c r="F359" t="str">
        <f t="shared" si="10"/>
        <v>SMB</v>
      </c>
      <c r="G359">
        <f>_xlfn.XLOOKUP(D359,tblStates[state_code],tblStates[territory_id],"Needs Review - Territory")</f>
        <v>3</v>
      </c>
      <c r="H359" t="str">
        <f>IF(E359="","",_xlfn.XLOOKUP(E359,tblUsers[user_id],tblUsers[job_title],"Owner Not Found"))</f>
        <v>SMB Account Executive</v>
      </c>
      <c r="I359" t="str">
        <f>IF(E359="","",_xlfn.XLOOKUP(E359,tblUsers[user_id],tblUsers[segment],"Owner Not Found"))</f>
        <v>SMB</v>
      </c>
      <c r="J359">
        <f>IF(E359="","",_xlfn.XLOOKUP(E359,tblUsers[user_id],tblUsers[territory_id],"Owner Not Found"))</f>
        <v>3</v>
      </c>
      <c r="K359" t="str">
        <f t="shared" si="11"/>
        <v>Routing Compatible</v>
      </c>
    </row>
    <row r="360" spans="1:11">
      <c r="A360" t="s">
        <v>2801</v>
      </c>
      <c r="B360" t="s">
        <v>2803</v>
      </c>
      <c r="C360" t="s">
        <v>24</v>
      </c>
      <c r="D360" t="s">
        <v>223</v>
      </c>
      <c r="E360" t="s">
        <v>91</v>
      </c>
      <c r="F360" t="str">
        <f t="shared" si="10"/>
        <v>SMB</v>
      </c>
      <c r="G360">
        <f>_xlfn.XLOOKUP(D360,tblStates[state_code],tblStates[territory_id],"Needs Review - Territory")</f>
        <v>1</v>
      </c>
      <c r="H360" t="str">
        <f>IF(E360="","",_xlfn.XLOOKUP(E360,tblUsers[user_id],tblUsers[job_title],"Owner Not Found"))</f>
        <v>SMB Account Executive</v>
      </c>
      <c r="I360" t="str">
        <f>IF(E360="","",_xlfn.XLOOKUP(E360,tblUsers[user_id],tblUsers[segment],"Owner Not Found"))</f>
        <v>SMB</v>
      </c>
      <c r="J360">
        <f>IF(E360="","",_xlfn.XLOOKUP(E360,tblUsers[user_id],tblUsers[territory_id],"Owner Not Found"))</f>
        <v>1</v>
      </c>
      <c r="K360" t="str">
        <f t="shared" si="11"/>
        <v>Routing Compatible</v>
      </c>
    </row>
    <row r="361" spans="1:11">
      <c r="A361" t="s">
        <v>2804</v>
      </c>
      <c r="B361" t="s">
        <v>2806</v>
      </c>
      <c r="C361" t="s">
        <v>24</v>
      </c>
      <c r="D361" t="s">
        <v>212</v>
      </c>
      <c r="E361" t="s">
        <v>69</v>
      </c>
      <c r="F361" t="str">
        <f t="shared" si="10"/>
        <v>SMB</v>
      </c>
      <c r="G361">
        <f>_xlfn.XLOOKUP(D361,tblStates[state_code],tblStates[territory_id],"Needs Review - Territory")</f>
        <v>3</v>
      </c>
      <c r="H361" t="str">
        <f>IF(E361="","",_xlfn.XLOOKUP(E361,tblUsers[user_id],tblUsers[job_title],"Owner Not Found"))</f>
        <v>SMB Account Executive</v>
      </c>
      <c r="I361" t="str">
        <f>IF(E361="","",_xlfn.XLOOKUP(E361,tblUsers[user_id],tblUsers[segment],"Owner Not Found"))</f>
        <v>SMB</v>
      </c>
      <c r="J361">
        <f>IF(E361="","",_xlfn.XLOOKUP(E361,tblUsers[user_id],tblUsers[territory_id],"Owner Not Found"))</f>
        <v>3</v>
      </c>
      <c r="K361" t="str">
        <f t="shared" si="11"/>
        <v>Routing Compatible</v>
      </c>
    </row>
    <row r="362" spans="1:11">
      <c r="A362" t="s">
        <v>2807</v>
      </c>
      <c r="B362" t="s">
        <v>2809</v>
      </c>
      <c r="C362" t="s">
        <v>24</v>
      </c>
      <c r="D362" t="s">
        <v>50</v>
      </c>
      <c r="E362" t="s">
        <v>59</v>
      </c>
      <c r="F362" t="str">
        <f t="shared" si="10"/>
        <v>SMB</v>
      </c>
      <c r="G362">
        <f>_xlfn.XLOOKUP(D362,tblStates[state_code],tblStates[territory_id],"Needs Review - Territory")</f>
        <v>4</v>
      </c>
      <c r="H362" t="str">
        <f>IF(E362="","",_xlfn.XLOOKUP(E362,tblUsers[user_id],tblUsers[job_title],"Owner Not Found"))</f>
        <v>SMB Account Executive</v>
      </c>
      <c r="I362" t="str">
        <f>IF(E362="","",_xlfn.XLOOKUP(E362,tblUsers[user_id],tblUsers[segment],"Owner Not Found"))</f>
        <v>SMB</v>
      </c>
      <c r="J362">
        <f>IF(E362="","",_xlfn.XLOOKUP(E362,tblUsers[user_id],tblUsers[territory_id],"Owner Not Found"))</f>
        <v>4</v>
      </c>
      <c r="K362" t="str">
        <f t="shared" si="11"/>
        <v>Routing Compatible</v>
      </c>
    </row>
    <row r="363" spans="1:11">
      <c r="A363" t="s">
        <v>2810</v>
      </c>
      <c r="B363" t="s">
        <v>2813</v>
      </c>
      <c r="C363" t="s">
        <v>30</v>
      </c>
      <c r="D363" t="s">
        <v>81</v>
      </c>
      <c r="E363" t="s">
        <v>82</v>
      </c>
      <c r="F363" t="str">
        <f t="shared" si="10"/>
        <v>MM</v>
      </c>
      <c r="G363">
        <f>_xlfn.XLOOKUP(D363,tblStates[state_code],tblStates[territory_id],"Needs Review - Territory")</f>
        <v>2</v>
      </c>
      <c r="H363" t="str">
        <f>IF(E363="","",_xlfn.XLOOKUP(E363,tblUsers[user_id],tblUsers[job_title],"Owner Not Found"))</f>
        <v>Mid-Market Account Executive</v>
      </c>
      <c r="I363" t="str">
        <f>IF(E363="","",_xlfn.XLOOKUP(E363,tblUsers[user_id],tblUsers[segment],"Owner Not Found"))</f>
        <v>MM</v>
      </c>
      <c r="J363">
        <f>IF(E363="","",_xlfn.XLOOKUP(E363,tblUsers[user_id],tblUsers[territory_id],"Owner Not Found"))</f>
        <v>2</v>
      </c>
      <c r="K363" t="str">
        <f t="shared" si="11"/>
        <v>Routing Compatible</v>
      </c>
    </row>
    <row r="364" spans="1:11">
      <c r="A364" t="s">
        <v>2814</v>
      </c>
      <c r="B364" t="s">
        <v>2816</v>
      </c>
      <c r="C364" t="s">
        <v>17</v>
      </c>
      <c r="D364" t="s">
        <v>226</v>
      </c>
      <c r="E364" t="s">
        <v>55</v>
      </c>
      <c r="F364" t="str">
        <f t="shared" si="10"/>
        <v>MM</v>
      </c>
      <c r="G364">
        <f>_xlfn.XLOOKUP(D364,tblStates[state_code],tblStates[territory_id],"Needs Review - Territory")</f>
        <v>3</v>
      </c>
      <c r="H364" t="str">
        <f>IF(E364="","",_xlfn.XLOOKUP(E364,tblUsers[user_id],tblUsers[job_title],"Owner Not Found"))</f>
        <v>Mid-Market Account Executive</v>
      </c>
      <c r="I364" t="str">
        <f>IF(E364="","",_xlfn.XLOOKUP(E364,tblUsers[user_id],tblUsers[segment],"Owner Not Found"))</f>
        <v>MM</v>
      </c>
      <c r="J364">
        <f>IF(E364="","",_xlfn.XLOOKUP(E364,tblUsers[user_id],tblUsers[territory_id],"Owner Not Found"))</f>
        <v>3</v>
      </c>
      <c r="K364" t="str">
        <f t="shared" si="11"/>
        <v>Routing Compatible</v>
      </c>
    </row>
    <row r="365" spans="1:11">
      <c r="A365" t="s">
        <v>2817</v>
      </c>
      <c r="B365" t="s">
        <v>2819</v>
      </c>
      <c r="C365" t="s">
        <v>24</v>
      </c>
      <c r="D365" t="s">
        <v>68</v>
      </c>
      <c r="E365" t="s">
        <v>69</v>
      </c>
      <c r="F365" t="str">
        <f t="shared" si="10"/>
        <v>SMB</v>
      </c>
      <c r="G365">
        <f>_xlfn.XLOOKUP(D365,tblStates[state_code],tblStates[territory_id],"Needs Review - Territory")</f>
        <v>3</v>
      </c>
      <c r="H365" t="str">
        <f>IF(E365="","",_xlfn.XLOOKUP(E365,tblUsers[user_id],tblUsers[job_title],"Owner Not Found"))</f>
        <v>SMB Account Executive</v>
      </c>
      <c r="I365" t="str">
        <f>IF(E365="","",_xlfn.XLOOKUP(E365,tblUsers[user_id],tblUsers[segment],"Owner Not Found"))</f>
        <v>SMB</v>
      </c>
      <c r="J365">
        <f>IF(E365="","",_xlfn.XLOOKUP(E365,tblUsers[user_id],tblUsers[territory_id],"Owner Not Found"))</f>
        <v>3</v>
      </c>
      <c r="K365" t="str">
        <f t="shared" si="11"/>
        <v>Routing Compatible</v>
      </c>
    </row>
    <row r="366" spans="1:11">
      <c r="A366" t="s">
        <v>2820</v>
      </c>
      <c r="B366" t="s">
        <v>2822</v>
      </c>
      <c r="C366" t="s">
        <v>30</v>
      </c>
      <c r="D366" t="s">
        <v>23</v>
      </c>
      <c r="E366" t="s">
        <v>82</v>
      </c>
      <c r="F366" t="str">
        <f t="shared" si="10"/>
        <v>MM</v>
      </c>
      <c r="G366">
        <f>_xlfn.XLOOKUP(D366,tblStates[state_code],tblStates[territory_id],"Needs Review - Territory")</f>
        <v>2</v>
      </c>
      <c r="H366" t="str">
        <f>IF(E366="","",_xlfn.XLOOKUP(E366,tblUsers[user_id],tblUsers[job_title],"Owner Not Found"))</f>
        <v>Mid-Market Account Executive</v>
      </c>
      <c r="I366" t="str">
        <f>IF(E366="","",_xlfn.XLOOKUP(E366,tblUsers[user_id],tblUsers[segment],"Owner Not Found"))</f>
        <v>MM</v>
      </c>
      <c r="J366">
        <f>IF(E366="","",_xlfn.XLOOKUP(E366,tblUsers[user_id],tblUsers[territory_id],"Owner Not Found"))</f>
        <v>2</v>
      </c>
      <c r="K366" t="str">
        <f t="shared" si="11"/>
        <v>Routing Compatible</v>
      </c>
    </row>
    <row r="367" spans="1:11">
      <c r="A367" t="s">
        <v>2823</v>
      </c>
      <c r="B367" t="s">
        <v>2825</v>
      </c>
      <c r="C367" t="s">
        <v>24</v>
      </c>
      <c r="D367" t="s">
        <v>1039</v>
      </c>
      <c r="E367" t="s">
        <v>91</v>
      </c>
      <c r="F367" t="str">
        <f t="shared" si="10"/>
        <v>SMB</v>
      </c>
      <c r="G367">
        <f>_xlfn.XLOOKUP(D367,tblStates[state_code],tblStates[territory_id],"Needs Review - Territory")</f>
        <v>1</v>
      </c>
      <c r="H367" t="str">
        <f>IF(E367="","",_xlfn.XLOOKUP(E367,tblUsers[user_id],tblUsers[job_title],"Owner Not Found"))</f>
        <v>SMB Account Executive</v>
      </c>
      <c r="I367" t="str">
        <f>IF(E367="","",_xlfn.XLOOKUP(E367,tblUsers[user_id],tblUsers[segment],"Owner Not Found"))</f>
        <v>SMB</v>
      </c>
      <c r="J367">
        <f>IF(E367="","",_xlfn.XLOOKUP(E367,tblUsers[user_id],tblUsers[territory_id],"Owner Not Found"))</f>
        <v>1</v>
      </c>
      <c r="K367" t="str">
        <f t="shared" si="11"/>
        <v>Routing Compatible</v>
      </c>
    </row>
    <row r="368" spans="1:11">
      <c r="A368" t="s">
        <v>2826</v>
      </c>
      <c r="B368" t="s">
        <v>2829</v>
      </c>
      <c r="C368" t="s">
        <v>24</v>
      </c>
      <c r="D368" t="s">
        <v>16</v>
      </c>
      <c r="E368" t="s">
        <v>91</v>
      </c>
      <c r="F368" t="str">
        <f t="shared" si="10"/>
        <v>SMB</v>
      </c>
      <c r="G368">
        <f>_xlfn.XLOOKUP(D368,tblStates[state_code],tblStates[territory_id],"Needs Review - Territory")</f>
        <v>1</v>
      </c>
      <c r="H368" t="str">
        <f>IF(E368="","",_xlfn.XLOOKUP(E368,tblUsers[user_id],tblUsers[job_title],"Owner Not Found"))</f>
        <v>SMB Account Executive</v>
      </c>
      <c r="I368" t="str">
        <f>IF(E368="","",_xlfn.XLOOKUP(E368,tblUsers[user_id],tblUsers[segment],"Owner Not Found"))</f>
        <v>SMB</v>
      </c>
      <c r="J368">
        <f>IF(E368="","",_xlfn.XLOOKUP(E368,tblUsers[user_id],tblUsers[territory_id],"Owner Not Found"))</f>
        <v>1</v>
      </c>
      <c r="K368" t="str">
        <f t="shared" si="11"/>
        <v>Routing Compatible</v>
      </c>
    </row>
    <row r="369" spans="1:11">
      <c r="A369" t="s">
        <v>2830</v>
      </c>
      <c r="B369" t="s">
        <v>2832</v>
      </c>
      <c r="C369" t="s">
        <v>24</v>
      </c>
      <c r="D369" t="s">
        <v>95</v>
      </c>
      <c r="E369" t="s">
        <v>91</v>
      </c>
      <c r="F369" t="str">
        <f t="shared" si="10"/>
        <v>SMB</v>
      </c>
      <c r="G369">
        <f>_xlfn.XLOOKUP(D369,tblStates[state_code],tblStates[territory_id],"Needs Review - Territory")</f>
        <v>1</v>
      </c>
      <c r="H369" t="str">
        <f>IF(E369="","",_xlfn.XLOOKUP(E369,tblUsers[user_id],tblUsers[job_title],"Owner Not Found"))</f>
        <v>SMB Account Executive</v>
      </c>
      <c r="I369" t="str">
        <f>IF(E369="","",_xlfn.XLOOKUP(E369,tblUsers[user_id],tblUsers[segment],"Owner Not Found"))</f>
        <v>SMB</v>
      </c>
      <c r="J369">
        <f>IF(E369="","",_xlfn.XLOOKUP(E369,tblUsers[user_id],tblUsers[territory_id],"Owner Not Found"))</f>
        <v>1</v>
      </c>
      <c r="K369" t="str">
        <f t="shared" si="11"/>
        <v>Routing Compatible</v>
      </c>
    </row>
    <row r="370" spans="1:11">
      <c r="A370" t="s">
        <v>2833</v>
      </c>
      <c r="B370" t="s">
        <v>2836</v>
      </c>
      <c r="C370" t="s">
        <v>24</v>
      </c>
      <c r="D370" t="s">
        <v>249</v>
      </c>
      <c r="E370" t="s">
        <v>59</v>
      </c>
      <c r="F370" t="str">
        <f t="shared" si="10"/>
        <v>SMB</v>
      </c>
      <c r="G370">
        <f>_xlfn.XLOOKUP(D370,tblStates[state_code],tblStates[territory_id],"Needs Review - Territory")</f>
        <v>4</v>
      </c>
      <c r="H370" t="str">
        <f>IF(E370="","",_xlfn.XLOOKUP(E370,tblUsers[user_id],tblUsers[job_title],"Owner Not Found"))</f>
        <v>SMB Account Executive</v>
      </c>
      <c r="I370" t="str">
        <f>IF(E370="","",_xlfn.XLOOKUP(E370,tblUsers[user_id],tblUsers[segment],"Owner Not Found"))</f>
        <v>SMB</v>
      </c>
      <c r="J370">
        <f>IF(E370="","",_xlfn.XLOOKUP(E370,tblUsers[user_id],tblUsers[territory_id],"Owner Not Found"))</f>
        <v>4</v>
      </c>
      <c r="K370" t="str">
        <f t="shared" si="11"/>
        <v>Routing Compatible</v>
      </c>
    </row>
    <row r="371" spans="1:11">
      <c r="A371" t="s">
        <v>2837</v>
      </c>
      <c r="B371" t="s">
        <v>2839</v>
      </c>
      <c r="C371" t="s">
        <v>24</v>
      </c>
      <c r="D371" t="s">
        <v>366</v>
      </c>
      <c r="E371" t="s">
        <v>91</v>
      </c>
      <c r="F371" t="str">
        <f t="shared" si="10"/>
        <v>SMB</v>
      </c>
      <c r="G371">
        <f>_xlfn.XLOOKUP(D371,tblStates[state_code],tblStates[territory_id],"Needs Review - Territory")</f>
        <v>1</v>
      </c>
      <c r="H371" t="str">
        <f>IF(E371="","",_xlfn.XLOOKUP(E371,tblUsers[user_id],tblUsers[job_title],"Owner Not Found"))</f>
        <v>SMB Account Executive</v>
      </c>
      <c r="I371" t="str">
        <f>IF(E371="","",_xlfn.XLOOKUP(E371,tblUsers[user_id],tblUsers[segment],"Owner Not Found"))</f>
        <v>SMB</v>
      </c>
      <c r="J371">
        <f>IF(E371="","",_xlfn.XLOOKUP(E371,tblUsers[user_id],tblUsers[territory_id],"Owner Not Found"))</f>
        <v>1</v>
      </c>
      <c r="K371" t="str">
        <f t="shared" si="11"/>
        <v>Routing Compatible</v>
      </c>
    </row>
    <row r="372" spans="1:11">
      <c r="A372" t="s">
        <v>2840</v>
      </c>
      <c r="B372" t="s">
        <v>2842</v>
      </c>
      <c r="C372" t="s">
        <v>30</v>
      </c>
      <c r="D372" t="s">
        <v>249</v>
      </c>
      <c r="E372" t="s">
        <v>36</v>
      </c>
      <c r="F372" t="str">
        <f t="shared" si="10"/>
        <v>MM</v>
      </c>
      <c r="G372">
        <f>_xlfn.XLOOKUP(D372,tblStates[state_code],tblStates[territory_id],"Needs Review - Territory")</f>
        <v>4</v>
      </c>
      <c r="H372" t="str">
        <f>IF(E372="","",_xlfn.XLOOKUP(E372,tblUsers[user_id],tblUsers[job_title],"Owner Not Found"))</f>
        <v>Mid-Market Account Executive</v>
      </c>
      <c r="I372" t="str">
        <f>IF(E372="","",_xlfn.XLOOKUP(E372,tblUsers[user_id],tblUsers[segment],"Owner Not Found"))</f>
        <v>MM</v>
      </c>
      <c r="J372">
        <f>IF(E372="","",_xlfn.XLOOKUP(E372,tblUsers[user_id],tblUsers[territory_id],"Owner Not Found"))</f>
        <v>4</v>
      </c>
      <c r="K372" t="str">
        <f t="shared" si="11"/>
        <v>Routing Compatible</v>
      </c>
    </row>
    <row r="373" spans="1:11">
      <c r="A373" t="s">
        <v>2843</v>
      </c>
      <c r="B373" t="s">
        <v>2845</v>
      </c>
      <c r="C373" t="s">
        <v>17</v>
      </c>
      <c r="D373" t="s">
        <v>50</v>
      </c>
      <c r="E373" t="s">
        <v>36</v>
      </c>
      <c r="F373" t="str">
        <f t="shared" si="10"/>
        <v>MM</v>
      </c>
      <c r="G373">
        <f>_xlfn.XLOOKUP(D373,tblStates[state_code],tblStates[territory_id],"Needs Review - Territory")</f>
        <v>4</v>
      </c>
      <c r="H373" t="str">
        <f>IF(E373="","",_xlfn.XLOOKUP(E373,tblUsers[user_id],tblUsers[job_title],"Owner Not Found"))</f>
        <v>Mid-Market Account Executive</v>
      </c>
      <c r="I373" t="str">
        <f>IF(E373="","",_xlfn.XLOOKUP(E373,tblUsers[user_id],tblUsers[segment],"Owner Not Found"))</f>
        <v>MM</v>
      </c>
      <c r="J373">
        <f>IF(E373="","",_xlfn.XLOOKUP(E373,tblUsers[user_id],tblUsers[territory_id],"Owner Not Found"))</f>
        <v>4</v>
      </c>
      <c r="K373" t="str">
        <f t="shared" si="11"/>
        <v>Routing Compatible</v>
      </c>
    </row>
    <row r="374" spans="1:11">
      <c r="A374" t="s">
        <v>2846</v>
      </c>
      <c r="B374" t="s">
        <v>2849</v>
      </c>
      <c r="C374" t="s">
        <v>24</v>
      </c>
      <c r="D374" t="s">
        <v>90</v>
      </c>
      <c r="E374" t="s">
        <v>91</v>
      </c>
      <c r="F374" t="str">
        <f t="shared" si="10"/>
        <v>SMB</v>
      </c>
      <c r="G374">
        <f>_xlfn.XLOOKUP(D374,tblStates[state_code],tblStates[territory_id],"Needs Review - Territory")</f>
        <v>1</v>
      </c>
      <c r="H374" t="str">
        <f>IF(E374="","",_xlfn.XLOOKUP(E374,tblUsers[user_id],tblUsers[job_title],"Owner Not Found"))</f>
        <v>SMB Account Executive</v>
      </c>
      <c r="I374" t="str">
        <f>IF(E374="","",_xlfn.XLOOKUP(E374,tblUsers[user_id],tblUsers[segment],"Owner Not Found"))</f>
        <v>SMB</v>
      </c>
      <c r="J374">
        <f>IF(E374="","",_xlfn.XLOOKUP(E374,tblUsers[user_id],tblUsers[territory_id],"Owner Not Found"))</f>
        <v>1</v>
      </c>
      <c r="K374" t="str">
        <f t="shared" si="11"/>
        <v>Routing Compatible</v>
      </c>
    </row>
    <row r="375" spans="1:11">
      <c r="A375" t="s">
        <v>2850</v>
      </c>
      <c r="B375" t="s">
        <v>2852</v>
      </c>
      <c r="D375" t="s">
        <v>366</v>
      </c>
      <c r="F375" t="str">
        <f t="shared" si="10"/>
        <v>Needs Review - Segment</v>
      </c>
      <c r="G375">
        <f>_xlfn.XLOOKUP(D375,tblStates[state_code],tblStates[territory_id],"Needs Review - Territory")</f>
        <v>1</v>
      </c>
      <c r="H375" t="str">
        <f>IF(E375="","",_xlfn.XLOOKUP(E375,tblUsers[user_id],tblUsers[job_title],"Owner Not Found"))</f>
        <v/>
      </c>
      <c r="I375" t="str">
        <f>IF(E375="","",_xlfn.XLOOKUP(E375,tblUsers[user_id],tblUsers[segment],"Owner Not Found"))</f>
        <v/>
      </c>
      <c r="J375" t="str">
        <f>IF(E375="","",_xlfn.XLOOKUP(E375,tblUsers[user_id],tblUsers[territory_id],"Owner Not Found"))</f>
        <v/>
      </c>
      <c r="K375" t="str">
        <f t="shared" si="11"/>
        <v>Unassigned</v>
      </c>
    </row>
    <row r="376" spans="1:11">
      <c r="A376" t="s">
        <v>2853</v>
      </c>
      <c r="B376" t="s">
        <v>2855</v>
      </c>
      <c r="C376" t="s">
        <v>30</v>
      </c>
      <c r="D376" t="s">
        <v>81</v>
      </c>
      <c r="E376" t="s">
        <v>82</v>
      </c>
      <c r="F376" t="str">
        <f t="shared" si="10"/>
        <v>MM</v>
      </c>
      <c r="G376">
        <f>_xlfn.XLOOKUP(D376,tblStates[state_code],tblStates[territory_id],"Needs Review - Territory")</f>
        <v>2</v>
      </c>
      <c r="H376" t="str">
        <f>IF(E376="","",_xlfn.XLOOKUP(E376,tblUsers[user_id],tblUsers[job_title],"Owner Not Found"))</f>
        <v>Mid-Market Account Executive</v>
      </c>
      <c r="I376" t="str">
        <f>IF(E376="","",_xlfn.XLOOKUP(E376,tblUsers[user_id],tblUsers[segment],"Owner Not Found"))</f>
        <v>MM</v>
      </c>
      <c r="J376">
        <f>IF(E376="","",_xlfn.XLOOKUP(E376,tblUsers[user_id],tblUsers[territory_id],"Owner Not Found"))</f>
        <v>2</v>
      </c>
      <c r="K376" t="str">
        <f t="shared" si="11"/>
        <v>Routing Compatible</v>
      </c>
    </row>
    <row r="377" spans="1:11">
      <c r="A377" t="s">
        <v>2856</v>
      </c>
      <c r="B377" t="s">
        <v>2858</v>
      </c>
      <c r="D377" t="s">
        <v>339</v>
      </c>
      <c r="F377" t="str">
        <f t="shared" si="10"/>
        <v>Needs Review - Segment</v>
      </c>
      <c r="G377">
        <f>_xlfn.XLOOKUP(D377,tblStates[state_code],tblStates[territory_id],"Needs Review - Territory")</f>
        <v>3</v>
      </c>
      <c r="H377" t="str">
        <f>IF(E377="","",_xlfn.XLOOKUP(E377,tblUsers[user_id],tblUsers[job_title],"Owner Not Found"))</f>
        <v/>
      </c>
      <c r="I377" t="str">
        <f>IF(E377="","",_xlfn.XLOOKUP(E377,tblUsers[user_id],tblUsers[segment],"Owner Not Found"))</f>
        <v/>
      </c>
      <c r="J377" t="str">
        <f>IF(E377="","",_xlfn.XLOOKUP(E377,tblUsers[user_id],tblUsers[territory_id],"Owner Not Found"))</f>
        <v/>
      </c>
      <c r="K377" t="str">
        <f t="shared" si="11"/>
        <v>Unassigned</v>
      </c>
    </row>
    <row r="378" spans="1:11">
      <c r="A378" t="s">
        <v>2859</v>
      </c>
      <c r="B378" t="s">
        <v>2861</v>
      </c>
      <c r="C378" t="s">
        <v>24</v>
      </c>
      <c r="D378" t="s">
        <v>216</v>
      </c>
      <c r="E378" t="s">
        <v>91</v>
      </c>
      <c r="F378" t="str">
        <f t="shared" si="10"/>
        <v>SMB</v>
      </c>
      <c r="G378">
        <f>_xlfn.XLOOKUP(D378,tblStates[state_code],tblStates[territory_id],"Needs Review - Territory")</f>
        <v>1</v>
      </c>
      <c r="H378" t="str">
        <f>IF(E378="","",_xlfn.XLOOKUP(E378,tblUsers[user_id],tblUsers[job_title],"Owner Not Found"))</f>
        <v>SMB Account Executive</v>
      </c>
      <c r="I378" t="str">
        <f>IF(E378="","",_xlfn.XLOOKUP(E378,tblUsers[user_id],tblUsers[segment],"Owner Not Found"))</f>
        <v>SMB</v>
      </c>
      <c r="J378">
        <f>IF(E378="","",_xlfn.XLOOKUP(E378,tblUsers[user_id],tblUsers[territory_id],"Owner Not Found"))</f>
        <v>1</v>
      </c>
      <c r="K378" t="str">
        <f t="shared" si="11"/>
        <v>Routing Compatible</v>
      </c>
    </row>
    <row r="379" spans="1:11">
      <c r="A379" t="s">
        <v>2862</v>
      </c>
      <c r="B379" t="s">
        <v>2864</v>
      </c>
      <c r="C379" t="s">
        <v>24</v>
      </c>
      <c r="D379" t="s">
        <v>249</v>
      </c>
      <c r="E379" t="s">
        <v>59</v>
      </c>
      <c r="F379" t="str">
        <f t="shared" si="10"/>
        <v>SMB</v>
      </c>
      <c r="G379">
        <f>_xlfn.XLOOKUP(D379,tblStates[state_code],tblStates[territory_id],"Needs Review - Territory")</f>
        <v>4</v>
      </c>
      <c r="H379" t="str">
        <f>IF(E379="","",_xlfn.XLOOKUP(E379,tblUsers[user_id],tblUsers[job_title],"Owner Not Found"))</f>
        <v>SMB Account Executive</v>
      </c>
      <c r="I379" t="str">
        <f>IF(E379="","",_xlfn.XLOOKUP(E379,tblUsers[user_id],tblUsers[segment],"Owner Not Found"))</f>
        <v>SMB</v>
      </c>
      <c r="J379">
        <f>IF(E379="","",_xlfn.XLOOKUP(E379,tblUsers[user_id],tblUsers[territory_id],"Owner Not Found"))</f>
        <v>4</v>
      </c>
      <c r="K379" t="str">
        <f t="shared" si="11"/>
        <v>Routing Compatible</v>
      </c>
    </row>
    <row r="380" spans="1:11">
      <c r="A380" t="s">
        <v>2865</v>
      </c>
      <c r="B380" t="s">
        <v>2866</v>
      </c>
      <c r="C380" t="s">
        <v>24</v>
      </c>
      <c r="D380" t="s">
        <v>385</v>
      </c>
      <c r="E380" t="s">
        <v>91</v>
      </c>
      <c r="F380" t="str">
        <f t="shared" si="10"/>
        <v>SMB</v>
      </c>
      <c r="G380">
        <f>_xlfn.XLOOKUP(D380,tblStates[state_code],tblStates[territory_id],"Needs Review - Territory")</f>
        <v>1</v>
      </c>
      <c r="H380" t="str">
        <f>IF(E380="","",_xlfn.XLOOKUP(E380,tblUsers[user_id],tblUsers[job_title],"Owner Not Found"))</f>
        <v>SMB Account Executive</v>
      </c>
      <c r="I380" t="str">
        <f>IF(E380="","",_xlfn.XLOOKUP(E380,tblUsers[user_id],tblUsers[segment],"Owner Not Found"))</f>
        <v>SMB</v>
      </c>
      <c r="J380">
        <f>IF(E380="","",_xlfn.XLOOKUP(E380,tblUsers[user_id],tblUsers[territory_id],"Owner Not Found"))</f>
        <v>1</v>
      </c>
      <c r="K380" t="str">
        <f t="shared" si="11"/>
        <v>Routing Compatible</v>
      </c>
    </row>
    <row r="381" spans="1:11">
      <c r="A381" t="s">
        <v>2867</v>
      </c>
      <c r="B381" t="s">
        <v>2869</v>
      </c>
      <c r="C381" t="s">
        <v>17</v>
      </c>
      <c r="D381" t="s">
        <v>81</v>
      </c>
      <c r="E381" t="s">
        <v>82</v>
      </c>
      <c r="F381" t="str">
        <f t="shared" si="10"/>
        <v>MM</v>
      </c>
      <c r="G381">
        <f>_xlfn.XLOOKUP(D381,tblStates[state_code],tblStates[territory_id],"Needs Review - Territory")</f>
        <v>2</v>
      </c>
      <c r="H381" t="str">
        <f>IF(E381="","",_xlfn.XLOOKUP(E381,tblUsers[user_id],tblUsers[job_title],"Owner Not Found"))</f>
        <v>Mid-Market Account Executive</v>
      </c>
      <c r="I381" t="str">
        <f>IF(E381="","",_xlfn.XLOOKUP(E381,tblUsers[user_id],tblUsers[segment],"Owner Not Found"))</f>
        <v>MM</v>
      </c>
      <c r="J381">
        <f>IF(E381="","",_xlfn.XLOOKUP(E381,tblUsers[user_id],tblUsers[territory_id],"Owner Not Found"))</f>
        <v>2</v>
      </c>
      <c r="K381" t="str">
        <f t="shared" si="11"/>
        <v>Routing Compatible</v>
      </c>
    </row>
    <row r="382" spans="1:11">
      <c r="A382" t="s">
        <v>2870</v>
      </c>
      <c r="B382" t="s">
        <v>2872</v>
      </c>
      <c r="C382" t="s">
        <v>24</v>
      </c>
      <c r="D382" t="s">
        <v>41</v>
      </c>
      <c r="E382" t="s">
        <v>25</v>
      </c>
      <c r="F382" t="str">
        <f t="shared" si="10"/>
        <v>SMB</v>
      </c>
      <c r="G382">
        <f>_xlfn.XLOOKUP(D382,tblStates[state_code],tblStates[territory_id],"Needs Review - Territory")</f>
        <v>2</v>
      </c>
      <c r="H382" t="str">
        <f>IF(E382="","",_xlfn.XLOOKUP(E382,tblUsers[user_id],tblUsers[job_title],"Owner Not Found"))</f>
        <v>SMB Account Executive</v>
      </c>
      <c r="I382" t="str">
        <f>IF(E382="","",_xlfn.XLOOKUP(E382,tblUsers[user_id],tblUsers[segment],"Owner Not Found"))</f>
        <v>SMB</v>
      </c>
      <c r="J382">
        <f>IF(E382="","",_xlfn.XLOOKUP(E382,tblUsers[user_id],tblUsers[territory_id],"Owner Not Found"))</f>
        <v>2</v>
      </c>
      <c r="K382" t="str">
        <f t="shared" si="11"/>
        <v>Routing Compatible</v>
      </c>
    </row>
    <row r="383" spans="1:11">
      <c r="A383" t="s">
        <v>2873</v>
      </c>
      <c r="B383" t="s">
        <v>2876</v>
      </c>
      <c r="C383" t="s">
        <v>30</v>
      </c>
      <c r="D383" t="s">
        <v>178</v>
      </c>
      <c r="E383" t="s">
        <v>36</v>
      </c>
      <c r="F383" t="str">
        <f t="shared" si="10"/>
        <v>MM</v>
      </c>
      <c r="G383">
        <f>_xlfn.XLOOKUP(D383,tblStates[state_code],tblStates[territory_id],"Needs Review - Territory")</f>
        <v>4</v>
      </c>
      <c r="H383" t="str">
        <f>IF(E383="","",_xlfn.XLOOKUP(E383,tblUsers[user_id],tblUsers[job_title],"Owner Not Found"))</f>
        <v>Mid-Market Account Executive</v>
      </c>
      <c r="I383" t="str">
        <f>IF(E383="","",_xlfn.XLOOKUP(E383,tblUsers[user_id],tblUsers[segment],"Owner Not Found"))</f>
        <v>MM</v>
      </c>
      <c r="J383">
        <f>IF(E383="","",_xlfn.XLOOKUP(E383,tblUsers[user_id],tblUsers[territory_id],"Owner Not Found"))</f>
        <v>4</v>
      </c>
      <c r="K383" t="str">
        <f t="shared" si="11"/>
        <v>Routing Compatible</v>
      </c>
    </row>
    <row r="384" spans="1:11">
      <c r="A384" t="s">
        <v>2877</v>
      </c>
      <c r="B384" t="s">
        <v>2880</v>
      </c>
      <c r="C384" t="s">
        <v>24</v>
      </c>
      <c r="D384" t="s">
        <v>90</v>
      </c>
      <c r="E384" t="s">
        <v>91</v>
      </c>
      <c r="F384" t="str">
        <f t="shared" si="10"/>
        <v>SMB</v>
      </c>
      <c r="G384">
        <f>_xlfn.XLOOKUP(D384,tblStates[state_code],tblStates[territory_id],"Needs Review - Territory")</f>
        <v>1</v>
      </c>
      <c r="H384" t="str">
        <f>IF(E384="","",_xlfn.XLOOKUP(E384,tblUsers[user_id],tblUsers[job_title],"Owner Not Found"))</f>
        <v>SMB Account Executive</v>
      </c>
      <c r="I384" t="str">
        <f>IF(E384="","",_xlfn.XLOOKUP(E384,tblUsers[user_id],tblUsers[segment],"Owner Not Found"))</f>
        <v>SMB</v>
      </c>
      <c r="J384">
        <f>IF(E384="","",_xlfn.XLOOKUP(E384,tblUsers[user_id],tblUsers[territory_id],"Owner Not Found"))</f>
        <v>1</v>
      </c>
      <c r="K384" t="str">
        <f t="shared" si="11"/>
        <v>Routing Compatible</v>
      </c>
    </row>
    <row r="385" spans="1:11">
      <c r="A385" t="s">
        <v>2881</v>
      </c>
      <c r="B385" t="s">
        <v>2884</v>
      </c>
      <c r="C385" t="s">
        <v>30</v>
      </c>
      <c r="D385" t="s">
        <v>54</v>
      </c>
      <c r="E385" t="s">
        <v>55</v>
      </c>
      <c r="F385" t="str">
        <f t="shared" si="10"/>
        <v>MM</v>
      </c>
      <c r="G385">
        <f>_xlfn.XLOOKUP(D385,tblStates[state_code],tblStates[territory_id],"Needs Review - Territory")</f>
        <v>3</v>
      </c>
      <c r="H385" t="str">
        <f>IF(E385="","",_xlfn.XLOOKUP(E385,tblUsers[user_id],tblUsers[job_title],"Owner Not Found"))</f>
        <v>Mid-Market Account Executive</v>
      </c>
      <c r="I385" t="str">
        <f>IF(E385="","",_xlfn.XLOOKUP(E385,tblUsers[user_id],tblUsers[segment],"Owner Not Found"))</f>
        <v>MM</v>
      </c>
      <c r="J385">
        <f>IF(E385="","",_xlfn.XLOOKUP(E385,tblUsers[user_id],tblUsers[territory_id],"Owner Not Found"))</f>
        <v>3</v>
      </c>
      <c r="K385" t="str">
        <f t="shared" si="11"/>
        <v>Routing Compatible</v>
      </c>
    </row>
    <row r="386" spans="1:11">
      <c r="A386" t="s">
        <v>2885</v>
      </c>
      <c r="B386" t="s">
        <v>2887</v>
      </c>
      <c r="C386" t="s">
        <v>24</v>
      </c>
      <c r="D386" t="s">
        <v>249</v>
      </c>
      <c r="E386" t="s">
        <v>59</v>
      </c>
      <c r="F386" t="str">
        <f t="shared" si="10"/>
        <v>SMB</v>
      </c>
      <c r="G386">
        <f>_xlfn.XLOOKUP(D386,tblStates[state_code],tblStates[territory_id],"Needs Review - Territory")</f>
        <v>4</v>
      </c>
      <c r="H386" t="str">
        <f>IF(E386="","",_xlfn.XLOOKUP(E386,tblUsers[user_id],tblUsers[job_title],"Owner Not Found"))</f>
        <v>SMB Account Executive</v>
      </c>
      <c r="I386" t="str">
        <f>IF(E386="","",_xlfn.XLOOKUP(E386,tblUsers[user_id],tblUsers[segment],"Owner Not Found"))</f>
        <v>SMB</v>
      </c>
      <c r="J386">
        <f>IF(E386="","",_xlfn.XLOOKUP(E386,tblUsers[user_id],tblUsers[territory_id],"Owner Not Found"))</f>
        <v>4</v>
      </c>
      <c r="K386" t="str">
        <f t="shared" si="11"/>
        <v>Routing Compatible</v>
      </c>
    </row>
    <row r="387" spans="1:11">
      <c r="A387" t="s">
        <v>2888</v>
      </c>
      <c r="B387" t="s">
        <v>2890</v>
      </c>
      <c r="C387" t="s">
        <v>30</v>
      </c>
      <c r="D387" t="s">
        <v>182</v>
      </c>
      <c r="E387" t="s">
        <v>36</v>
      </c>
      <c r="F387" t="str">
        <f t="shared" ref="F387:F450" si="12">IF(C387="SMB","SMB",IF(OR(C387="Mid-Market",C387="Upper Mid-Market"),"MM","Needs Review - Segment"))</f>
        <v>MM</v>
      </c>
      <c r="G387">
        <f>_xlfn.XLOOKUP(D387,tblStates[state_code],tblStates[territory_id],"Needs Review - Territory")</f>
        <v>4</v>
      </c>
      <c r="H387" t="str">
        <f>IF(E387="","",_xlfn.XLOOKUP(E387,tblUsers[user_id],tblUsers[job_title],"Owner Not Found"))</f>
        <v>Mid-Market Account Executive</v>
      </c>
      <c r="I387" t="str">
        <f>IF(E387="","",_xlfn.XLOOKUP(E387,tblUsers[user_id],tblUsers[segment],"Owner Not Found"))</f>
        <v>MM</v>
      </c>
      <c r="J387">
        <f>IF(E387="","",_xlfn.XLOOKUP(E387,tblUsers[user_id],tblUsers[territory_id],"Owner Not Found"))</f>
        <v>4</v>
      </c>
      <c r="K387" t="str">
        <f t="shared" ref="K387:K450" si="13">IF(E387="","Unassigned",IF(F387="Needs Review - Segment","Needs Review - Segment",IF(G387="Needs Review - Territory","Needs Review - Territory",IF(I387&lt;&gt;F387,"Wrong Segment",IF(AND(ISNUMBER(SEARCH("Account Executive",H387)),J387&lt;&gt;G387),"Wrong AE Territory",IF(OR(ISNUMBER(SEARCH("Account Executive",H387)),H387="Sales Development Representative"),"Routing Compatible","Unexpected Owner Role"))))))</f>
        <v>Routing Compatible</v>
      </c>
    </row>
    <row r="388" spans="1:11">
      <c r="A388" t="s">
        <v>2891</v>
      </c>
      <c r="B388" t="s">
        <v>2893</v>
      </c>
      <c r="C388" t="s">
        <v>24</v>
      </c>
      <c r="D388" t="s">
        <v>64</v>
      </c>
      <c r="E388" t="s">
        <v>69</v>
      </c>
      <c r="F388" t="str">
        <f t="shared" si="12"/>
        <v>SMB</v>
      </c>
      <c r="G388">
        <f>_xlfn.XLOOKUP(D388,tblStates[state_code],tblStates[territory_id],"Needs Review - Territory")</f>
        <v>3</v>
      </c>
      <c r="H388" t="str">
        <f>IF(E388="","",_xlfn.XLOOKUP(E388,tblUsers[user_id],tblUsers[job_title],"Owner Not Found"))</f>
        <v>SMB Account Executive</v>
      </c>
      <c r="I388" t="str">
        <f>IF(E388="","",_xlfn.XLOOKUP(E388,tblUsers[user_id],tblUsers[segment],"Owner Not Found"))</f>
        <v>SMB</v>
      </c>
      <c r="J388">
        <f>IF(E388="","",_xlfn.XLOOKUP(E388,tblUsers[user_id],tblUsers[territory_id],"Owner Not Found"))</f>
        <v>3</v>
      </c>
      <c r="K388" t="str">
        <f t="shared" si="13"/>
        <v>Routing Compatible</v>
      </c>
    </row>
    <row r="389" spans="1:11">
      <c r="A389" t="s">
        <v>2895</v>
      </c>
      <c r="B389" t="s">
        <v>2897</v>
      </c>
      <c r="C389" t="s">
        <v>24</v>
      </c>
      <c r="D389" t="s">
        <v>16</v>
      </c>
      <c r="E389" t="s">
        <v>91</v>
      </c>
      <c r="F389" t="str">
        <f t="shared" si="12"/>
        <v>SMB</v>
      </c>
      <c r="G389">
        <f>_xlfn.XLOOKUP(D389,tblStates[state_code],tblStates[territory_id],"Needs Review - Territory")</f>
        <v>1</v>
      </c>
      <c r="H389" t="str">
        <f>IF(E389="","",_xlfn.XLOOKUP(E389,tblUsers[user_id],tblUsers[job_title],"Owner Not Found"))</f>
        <v>SMB Account Executive</v>
      </c>
      <c r="I389" t="str">
        <f>IF(E389="","",_xlfn.XLOOKUP(E389,tblUsers[user_id],tblUsers[segment],"Owner Not Found"))</f>
        <v>SMB</v>
      </c>
      <c r="J389">
        <f>IF(E389="","",_xlfn.XLOOKUP(E389,tblUsers[user_id],tblUsers[territory_id],"Owner Not Found"))</f>
        <v>1</v>
      </c>
      <c r="K389" t="str">
        <f t="shared" si="13"/>
        <v>Routing Compatible</v>
      </c>
    </row>
    <row r="390" spans="1:11">
      <c r="A390" t="s">
        <v>2898</v>
      </c>
      <c r="B390" t="s">
        <v>2900</v>
      </c>
      <c r="C390" t="s">
        <v>30</v>
      </c>
      <c r="D390" t="s">
        <v>95</v>
      </c>
      <c r="E390" t="s">
        <v>18</v>
      </c>
      <c r="F390" t="str">
        <f t="shared" si="12"/>
        <v>MM</v>
      </c>
      <c r="G390">
        <f>_xlfn.XLOOKUP(D390,tblStates[state_code],tblStates[territory_id],"Needs Review - Territory")</f>
        <v>1</v>
      </c>
      <c r="H390" t="str">
        <f>IF(E390="","",_xlfn.XLOOKUP(E390,tblUsers[user_id],tblUsers[job_title],"Owner Not Found"))</f>
        <v>Mid-Market Account Executive</v>
      </c>
      <c r="I390" t="str">
        <f>IF(E390="","",_xlfn.XLOOKUP(E390,tblUsers[user_id],tblUsers[segment],"Owner Not Found"))</f>
        <v>MM</v>
      </c>
      <c r="J390">
        <f>IF(E390="","",_xlfn.XLOOKUP(E390,tblUsers[user_id],tblUsers[territory_id],"Owner Not Found"))</f>
        <v>1</v>
      </c>
      <c r="K390" t="str">
        <f t="shared" si="13"/>
        <v>Routing Compatible</v>
      </c>
    </row>
    <row r="391" spans="1:11">
      <c r="A391" t="s">
        <v>2901</v>
      </c>
      <c r="B391" t="s">
        <v>2904</v>
      </c>
      <c r="C391" t="s">
        <v>24</v>
      </c>
      <c r="D391" t="s">
        <v>1079</v>
      </c>
      <c r="E391" t="s">
        <v>69</v>
      </c>
      <c r="F391" t="str">
        <f t="shared" si="12"/>
        <v>SMB</v>
      </c>
      <c r="G391">
        <f>_xlfn.XLOOKUP(D391,tblStates[state_code],tblStates[territory_id],"Needs Review - Territory")</f>
        <v>3</v>
      </c>
      <c r="H391" t="str">
        <f>IF(E391="","",_xlfn.XLOOKUP(E391,tblUsers[user_id],tblUsers[job_title],"Owner Not Found"))</f>
        <v>SMB Account Executive</v>
      </c>
      <c r="I391" t="str">
        <f>IF(E391="","",_xlfn.XLOOKUP(E391,tblUsers[user_id],tblUsers[segment],"Owner Not Found"))</f>
        <v>SMB</v>
      </c>
      <c r="J391">
        <f>IF(E391="","",_xlfn.XLOOKUP(E391,tblUsers[user_id],tblUsers[territory_id],"Owner Not Found"))</f>
        <v>3</v>
      </c>
      <c r="K391" t="str">
        <f t="shared" si="13"/>
        <v>Routing Compatible</v>
      </c>
    </row>
    <row r="392" spans="1:11">
      <c r="A392" t="s">
        <v>2905</v>
      </c>
      <c r="B392" t="s">
        <v>2908</v>
      </c>
      <c r="C392" t="s">
        <v>24</v>
      </c>
      <c r="D392" t="s">
        <v>560</v>
      </c>
      <c r="E392" t="s">
        <v>25</v>
      </c>
      <c r="F392" t="str">
        <f t="shared" si="12"/>
        <v>SMB</v>
      </c>
      <c r="G392">
        <f>_xlfn.XLOOKUP(D392,tblStates[state_code],tblStates[territory_id],"Needs Review - Territory")</f>
        <v>2</v>
      </c>
      <c r="H392" t="str">
        <f>IF(E392="","",_xlfn.XLOOKUP(E392,tblUsers[user_id],tblUsers[job_title],"Owner Not Found"))</f>
        <v>SMB Account Executive</v>
      </c>
      <c r="I392" t="str">
        <f>IF(E392="","",_xlfn.XLOOKUP(E392,tblUsers[user_id],tblUsers[segment],"Owner Not Found"))</f>
        <v>SMB</v>
      </c>
      <c r="J392">
        <f>IF(E392="","",_xlfn.XLOOKUP(E392,tblUsers[user_id],tblUsers[territory_id],"Owner Not Found"))</f>
        <v>2</v>
      </c>
      <c r="K392" t="str">
        <f t="shared" si="13"/>
        <v>Routing Compatible</v>
      </c>
    </row>
    <row r="393" spans="1:11">
      <c r="A393" t="s">
        <v>2909</v>
      </c>
      <c r="B393" t="s">
        <v>2911</v>
      </c>
      <c r="C393" t="s">
        <v>24</v>
      </c>
      <c r="D393" t="s">
        <v>385</v>
      </c>
      <c r="E393" t="s">
        <v>91</v>
      </c>
      <c r="F393" t="str">
        <f t="shared" si="12"/>
        <v>SMB</v>
      </c>
      <c r="G393">
        <f>_xlfn.XLOOKUP(D393,tblStates[state_code],tblStates[territory_id],"Needs Review - Territory")</f>
        <v>1</v>
      </c>
      <c r="H393" t="str">
        <f>IF(E393="","",_xlfn.XLOOKUP(E393,tblUsers[user_id],tblUsers[job_title],"Owner Not Found"))</f>
        <v>SMB Account Executive</v>
      </c>
      <c r="I393" t="str">
        <f>IF(E393="","",_xlfn.XLOOKUP(E393,tblUsers[user_id],tblUsers[segment],"Owner Not Found"))</f>
        <v>SMB</v>
      </c>
      <c r="J393">
        <f>IF(E393="","",_xlfn.XLOOKUP(E393,tblUsers[user_id],tblUsers[territory_id],"Owner Not Found"))</f>
        <v>1</v>
      </c>
      <c r="K393" t="str">
        <f t="shared" si="13"/>
        <v>Routing Compatible</v>
      </c>
    </row>
    <row r="394" spans="1:11">
      <c r="A394" t="s">
        <v>2912</v>
      </c>
      <c r="B394" t="s">
        <v>2914</v>
      </c>
      <c r="C394" t="s">
        <v>24</v>
      </c>
      <c r="D394" t="s">
        <v>1039</v>
      </c>
      <c r="E394" t="s">
        <v>91</v>
      </c>
      <c r="F394" t="str">
        <f t="shared" si="12"/>
        <v>SMB</v>
      </c>
      <c r="G394">
        <f>_xlfn.XLOOKUP(D394,tblStates[state_code],tblStates[territory_id],"Needs Review - Territory")</f>
        <v>1</v>
      </c>
      <c r="H394" t="str">
        <f>IF(E394="","",_xlfn.XLOOKUP(E394,tblUsers[user_id],tblUsers[job_title],"Owner Not Found"))</f>
        <v>SMB Account Executive</v>
      </c>
      <c r="I394" t="str">
        <f>IF(E394="","",_xlfn.XLOOKUP(E394,tblUsers[user_id],tblUsers[segment],"Owner Not Found"))</f>
        <v>SMB</v>
      </c>
      <c r="J394">
        <f>IF(E394="","",_xlfn.XLOOKUP(E394,tblUsers[user_id],tblUsers[territory_id],"Owner Not Found"))</f>
        <v>1</v>
      </c>
      <c r="K394" t="str">
        <f t="shared" si="13"/>
        <v>Routing Compatible</v>
      </c>
    </row>
    <row r="395" spans="1:11">
      <c r="A395" t="s">
        <v>2915</v>
      </c>
      <c r="B395" t="s">
        <v>2917</v>
      </c>
      <c r="C395" t="s">
        <v>24</v>
      </c>
      <c r="D395" t="s">
        <v>226</v>
      </c>
      <c r="E395" t="s">
        <v>69</v>
      </c>
      <c r="F395" t="str">
        <f t="shared" si="12"/>
        <v>SMB</v>
      </c>
      <c r="G395">
        <f>_xlfn.XLOOKUP(D395,tblStates[state_code],tblStates[territory_id],"Needs Review - Territory")</f>
        <v>3</v>
      </c>
      <c r="H395" t="str">
        <f>IF(E395="","",_xlfn.XLOOKUP(E395,tblUsers[user_id],tblUsers[job_title],"Owner Not Found"))</f>
        <v>SMB Account Executive</v>
      </c>
      <c r="I395" t="str">
        <f>IF(E395="","",_xlfn.XLOOKUP(E395,tblUsers[user_id],tblUsers[segment],"Owner Not Found"))</f>
        <v>SMB</v>
      </c>
      <c r="J395">
        <f>IF(E395="","",_xlfn.XLOOKUP(E395,tblUsers[user_id],tblUsers[territory_id],"Owner Not Found"))</f>
        <v>3</v>
      </c>
      <c r="K395" t="str">
        <f t="shared" si="13"/>
        <v>Routing Compatible</v>
      </c>
    </row>
    <row r="396" spans="1:11">
      <c r="A396" t="s">
        <v>2918</v>
      </c>
      <c r="B396" t="s">
        <v>2920</v>
      </c>
      <c r="C396" t="s">
        <v>24</v>
      </c>
      <c r="D396" t="s">
        <v>216</v>
      </c>
      <c r="E396" t="s">
        <v>91</v>
      </c>
      <c r="F396" t="str">
        <f t="shared" si="12"/>
        <v>SMB</v>
      </c>
      <c r="G396">
        <f>_xlfn.XLOOKUP(D396,tblStates[state_code],tblStates[territory_id],"Needs Review - Territory")</f>
        <v>1</v>
      </c>
      <c r="H396" t="str">
        <f>IF(E396="","",_xlfn.XLOOKUP(E396,tblUsers[user_id],tblUsers[job_title],"Owner Not Found"))</f>
        <v>SMB Account Executive</v>
      </c>
      <c r="I396" t="str">
        <f>IF(E396="","",_xlfn.XLOOKUP(E396,tblUsers[user_id],tblUsers[segment],"Owner Not Found"))</f>
        <v>SMB</v>
      </c>
      <c r="J396">
        <f>IF(E396="","",_xlfn.XLOOKUP(E396,tblUsers[user_id],tblUsers[territory_id],"Owner Not Found"))</f>
        <v>1</v>
      </c>
      <c r="K396" t="str">
        <f t="shared" si="13"/>
        <v>Routing Compatible</v>
      </c>
    </row>
    <row r="397" spans="1:11">
      <c r="A397" t="s">
        <v>2921</v>
      </c>
      <c r="B397" t="s">
        <v>2923</v>
      </c>
      <c r="C397" t="s">
        <v>30</v>
      </c>
      <c r="D397" t="s">
        <v>154</v>
      </c>
      <c r="E397" t="s">
        <v>82</v>
      </c>
      <c r="F397" t="str">
        <f t="shared" si="12"/>
        <v>MM</v>
      </c>
      <c r="G397">
        <f>_xlfn.XLOOKUP(D397,tblStates[state_code],tblStates[territory_id],"Needs Review - Territory")</f>
        <v>2</v>
      </c>
      <c r="H397" t="str">
        <f>IF(E397="","",_xlfn.XLOOKUP(E397,tblUsers[user_id],tblUsers[job_title],"Owner Not Found"))</f>
        <v>Mid-Market Account Executive</v>
      </c>
      <c r="I397" t="str">
        <f>IF(E397="","",_xlfn.XLOOKUP(E397,tblUsers[user_id],tblUsers[segment],"Owner Not Found"))</f>
        <v>MM</v>
      </c>
      <c r="J397">
        <f>IF(E397="","",_xlfn.XLOOKUP(E397,tblUsers[user_id],tblUsers[territory_id],"Owner Not Found"))</f>
        <v>2</v>
      </c>
      <c r="K397" t="str">
        <f t="shared" si="13"/>
        <v>Routing Compatible</v>
      </c>
    </row>
    <row r="398" spans="1:11">
      <c r="A398" t="s">
        <v>2924</v>
      </c>
      <c r="B398" t="s">
        <v>2926</v>
      </c>
      <c r="C398" t="s">
        <v>24</v>
      </c>
      <c r="D398" t="s">
        <v>560</v>
      </c>
      <c r="E398" t="s">
        <v>25</v>
      </c>
      <c r="F398" t="str">
        <f t="shared" si="12"/>
        <v>SMB</v>
      </c>
      <c r="G398">
        <f>_xlfn.XLOOKUP(D398,tblStates[state_code],tblStates[territory_id],"Needs Review - Territory")</f>
        <v>2</v>
      </c>
      <c r="H398" t="str">
        <f>IF(E398="","",_xlfn.XLOOKUP(E398,tblUsers[user_id],tblUsers[job_title],"Owner Not Found"))</f>
        <v>SMB Account Executive</v>
      </c>
      <c r="I398" t="str">
        <f>IF(E398="","",_xlfn.XLOOKUP(E398,tblUsers[user_id],tblUsers[segment],"Owner Not Found"))</f>
        <v>SMB</v>
      </c>
      <c r="J398">
        <f>IF(E398="","",_xlfn.XLOOKUP(E398,tblUsers[user_id],tblUsers[territory_id],"Owner Not Found"))</f>
        <v>2</v>
      </c>
      <c r="K398" t="str">
        <f t="shared" si="13"/>
        <v>Routing Compatible</v>
      </c>
    </row>
    <row r="399" spans="1:11">
      <c r="A399" t="s">
        <v>2927</v>
      </c>
      <c r="B399" t="s">
        <v>2929</v>
      </c>
      <c r="C399" t="s">
        <v>30</v>
      </c>
      <c r="D399" t="s">
        <v>216</v>
      </c>
      <c r="E399" t="s">
        <v>18</v>
      </c>
      <c r="F399" t="str">
        <f t="shared" si="12"/>
        <v>MM</v>
      </c>
      <c r="G399">
        <f>_xlfn.XLOOKUP(D399,tblStates[state_code],tblStates[territory_id],"Needs Review - Territory")</f>
        <v>1</v>
      </c>
      <c r="H399" t="str">
        <f>IF(E399="","",_xlfn.XLOOKUP(E399,tblUsers[user_id],tblUsers[job_title],"Owner Not Found"))</f>
        <v>Mid-Market Account Executive</v>
      </c>
      <c r="I399" t="str">
        <f>IF(E399="","",_xlfn.XLOOKUP(E399,tblUsers[user_id],tblUsers[segment],"Owner Not Found"))</f>
        <v>MM</v>
      </c>
      <c r="J399">
        <f>IF(E399="","",_xlfn.XLOOKUP(E399,tblUsers[user_id],tblUsers[territory_id],"Owner Not Found"))</f>
        <v>1</v>
      </c>
      <c r="K399" t="str">
        <f t="shared" si="13"/>
        <v>Routing Compatible</v>
      </c>
    </row>
    <row r="400" spans="1:11">
      <c r="A400" t="s">
        <v>2930</v>
      </c>
      <c r="B400" t="s">
        <v>2932</v>
      </c>
      <c r="D400" t="s">
        <v>50</v>
      </c>
      <c r="F400" t="str">
        <f t="shared" si="12"/>
        <v>Needs Review - Segment</v>
      </c>
      <c r="G400">
        <f>_xlfn.XLOOKUP(D400,tblStates[state_code],tblStates[territory_id],"Needs Review - Territory")</f>
        <v>4</v>
      </c>
      <c r="H400" t="str">
        <f>IF(E400="","",_xlfn.XLOOKUP(E400,tblUsers[user_id],tblUsers[job_title],"Owner Not Found"))</f>
        <v/>
      </c>
      <c r="I400" t="str">
        <f>IF(E400="","",_xlfn.XLOOKUP(E400,tblUsers[user_id],tblUsers[segment],"Owner Not Found"))</f>
        <v/>
      </c>
      <c r="J400" t="str">
        <f>IF(E400="","",_xlfn.XLOOKUP(E400,tblUsers[user_id],tblUsers[territory_id],"Owner Not Found"))</f>
        <v/>
      </c>
      <c r="K400" t="str">
        <f t="shared" si="13"/>
        <v>Unassigned</v>
      </c>
    </row>
    <row r="401" spans="1:11">
      <c r="A401" t="s">
        <v>2934</v>
      </c>
      <c r="B401" t="s">
        <v>2936</v>
      </c>
      <c r="C401" t="s">
        <v>30</v>
      </c>
      <c r="D401" t="s">
        <v>140</v>
      </c>
      <c r="E401" t="s">
        <v>82</v>
      </c>
      <c r="F401" t="str">
        <f t="shared" si="12"/>
        <v>MM</v>
      </c>
      <c r="G401">
        <f>_xlfn.XLOOKUP(D401,tblStates[state_code],tblStates[territory_id],"Needs Review - Territory")</f>
        <v>2</v>
      </c>
      <c r="H401" t="str">
        <f>IF(E401="","",_xlfn.XLOOKUP(E401,tblUsers[user_id],tblUsers[job_title],"Owner Not Found"))</f>
        <v>Mid-Market Account Executive</v>
      </c>
      <c r="I401" t="str">
        <f>IF(E401="","",_xlfn.XLOOKUP(E401,tblUsers[user_id],tblUsers[segment],"Owner Not Found"))</f>
        <v>MM</v>
      </c>
      <c r="J401">
        <f>IF(E401="","",_xlfn.XLOOKUP(E401,tblUsers[user_id],tblUsers[territory_id],"Owner Not Found"))</f>
        <v>2</v>
      </c>
      <c r="K401" t="str">
        <f t="shared" si="13"/>
        <v>Routing Compatible</v>
      </c>
    </row>
    <row r="402" spans="1:11">
      <c r="A402" t="s">
        <v>2937</v>
      </c>
      <c r="B402" t="s">
        <v>2939</v>
      </c>
      <c r="C402" t="s">
        <v>30</v>
      </c>
      <c r="D402" t="s">
        <v>23</v>
      </c>
      <c r="E402" t="s">
        <v>82</v>
      </c>
      <c r="F402" t="str">
        <f t="shared" si="12"/>
        <v>MM</v>
      </c>
      <c r="G402">
        <f>_xlfn.XLOOKUP(D402,tblStates[state_code],tblStates[territory_id],"Needs Review - Territory")</f>
        <v>2</v>
      </c>
      <c r="H402" t="str">
        <f>IF(E402="","",_xlfn.XLOOKUP(E402,tblUsers[user_id],tblUsers[job_title],"Owner Not Found"))</f>
        <v>Mid-Market Account Executive</v>
      </c>
      <c r="I402" t="str">
        <f>IF(E402="","",_xlfn.XLOOKUP(E402,tblUsers[user_id],tblUsers[segment],"Owner Not Found"))</f>
        <v>MM</v>
      </c>
      <c r="J402">
        <f>IF(E402="","",_xlfn.XLOOKUP(E402,tblUsers[user_id],tblUsers[territory_id],"Owner Not Found"))</f>
        <v>2</v>
      </c>
      <c r="K402" t="str">
        <f t="shared" si="13"/>
        <v>Routing Compatible</v>
      </c>
    </row>
    <row r="403" spans="1:11">
      <c r="A403" t="s">
        <v>2940</v>
      </c>
      <c r="B403" t="s">
        <v>2942</v>
      </c>
      <c r="D403" t="s">
        <v>216</v>
      </c>
      <c r="F403" t="str">
        <f t="shared" si="12"/>
        <v>Needs Review - Segment</v>
      </c>
      <c r="G403">
        <f>_xlfn.XLOOKUP(D403,tblStates[state_code],tblStates[territory_id],"Needs Review - Territory")</f>
        <v>1</v>
      </c>
      <c r="H403" t="str">
        <f>IF(E403="","",_xlfn.XLOOKUP(E403,tblUsers[user_id],tblUsers[job_title],"Owner Not Found"))</f>
        <v/>
      </c>
      <c r="I403" t="str">
        <f>IF(E403="","",_xlfn.XLOOKUP(E403,tblUsers[user_id],tblUsers[segment],"Owner Not Found"))</f>
        <v/>
      </c>
      <c r="J403" t="str">
        <f>IF(E403="","",_xlfn.XLOOKUP(E403,tblUsers[user_id],tblUsers[territory_id],"Owner Not Found"))</f>
        <v/>
      </c>
      <c r="K403" t="str">
        <f t="shared" si="13"/>
        <v>Unassigned</v>
      </c>
    </row>
    <row r="404" spans="1:11">
      <c r="A404" t="s">
        <v>2943</v>
      </c>
      <c r="B404" t="s">
        <v>2945</v>
      </c>
      <c r="C404" t="s">
        <v>30</v>
      </c>
      <c r="D404" t="s">
        <v>1034</v>
      </c>
      <c r="E404" t="s">
        <v>36</v>
      </c>
      <c r="F404" t="str">
        <f t="shared" si="12"/>
        <v>MM</v>
      </c>
      <c r="G404">
        <f>_xlfn.XLOOKUP(D404,tblStates[state_code],tblStates[territory_id],"Needs Review - Territory")</f>
        <v>4</v>
      </c>
      <c r="H404" t="str">
        <f>IF(E404="","",_xlfn.XLOOKUP(E404,tblUsers[user_id],tblUsers[job_title],"Owner Not Found"))</f>
        <v>Mid-Market Account Executive</v>
      </c>
      <c r="I404" t="str">
        <f>IF(E404="","",_xlfn.XLOOKUP(E404,tblUsers[user_id],tblUsers[segment],"Owner Not Found"))</f>
        <v>MM</v>
      </c>
      <c r="J404">
        <f>IF(E404="","",_xlfn.XLOOKUP(E404,tblUsers[user_id],tblUsers[territory_id],"Owner Not Found"))</f>
        <v>4</v>
      </c>
      <c r="K404" t="str">
        <f t="shared" si="13"/>
        <v>Routing Compatible</v>
      </c>
    </row>
    <row r="405" spans="1:11">
      <c r="A405" t="s">
        <v>2946</v>
      </c>
      <c r="B405" t="s">
        <v>2948</v>
      </c>
      <c r="C405" t="s">
        <v>30</v>
      </c>
      <c r="D405" t="s">
        <v>23</v>
      </c>
      <c r="E405" t="s">
        <v>82</v>
      </c>
      <c r="F405" t="str">
        <f t="shared" si="12"/>
        <v>MM</v>
      </c>
      <c r="G405">
        <f>_xlfn.XLOOKUP(D405,tblStates[state_code],tblStates[territory_id],"Needs Review - Territory")</f>
        <v>2</v>
      </c>
      <c r="H405" t="str">
        <f>IF(E405="","",_xlfn.XLOOKUP(E405,tblUsers[user_id],tblUsers[job_title],"Owner Not Found"))</f>
        <v>Mid-Market Account Executive</v>
      </c>
      <c r="I405" t="str">
        <f>IF(E405="","",_xlfn.XLOOKUP(E405,tblUsers[user_id],tblUsers[segment],"Owner Not Found"))</f>
        <v>MM</v>
      </c>
      <c r="J405">
        <f>IF(E405="","",_xlfn.XLOOKUP(E405,tblUsers[user_id],tblUsers[territory_id],"Owner Not Found"))</f>
        <v>2</v>
      </c>
      <c r="K405" t="str">
        <f t="shared" si="13"/>
        <v>Routing Compatible</v>
      </c>
    </row>
    <row r="406" spans="1:11">
      <c r="A406" t="s">
        <v>2949</v>
      </c>
      <c r="B406" t="s">
        <v>2951</v>
      </c>
      <c r="D406" t="s">
        <v>16</v>
      </c>
      <c r="F406" t="str">
        <f t="shared" si="12"/>
        <v>Needs Review - Segment</v>
      </c>
      <c r="G406">
        <f>_xlfn.XLOOKUP(D406,tblStates[state_code],tblStates[territory_id],"Needs Review - Territory")</f>
        <v>1</v>
      </c>
      <c r="H406" t="str">
        <f>IF(E406="","",_xlfn.XLOOKUP(E406,tblUsers[user_id],tblUsers[job_title],"Owner Not Found"))</f>
        <v/>
      </c>
      <c r="I406" t="str">
        <f>IF(E406="","",_xlfn.XLOOKUP(E406,tblUsers[user_id],tblUsers[segment],"Owner Not Found"))</f>
        <v/>
      </c>
      <c r="J406" t="str">
        <f>IF(E406="","",_xlfn.XLOOKUP(E406,tblUsers[user_id],tblUsers[territory_id],"Owner Not Found"))</f>
        <v/>
      </c>
      <c r="K406" t="str">
        <f t="shared" si="13"/>
        <v>Unassigned</v>
      </c>
    </row>
    <row r="407" spans="1:11">
      <c r="A407" t="s">
        <v>2952</v>
      </c>
      <c r="B407" t="s">
        <v>2953</v>
      </c>
      <c r="C407" t="s">
        <v>30</v>
      </c>
      <c r="D407" t="s">
        <v>178</v>
      </c>
      <c r="E407" t="s">
        <v>36</v>
      </c>
      <c r="F407" t="str">
        <f t="shared" si="12"/>
        <v>MM</v>
      </c>
      <c r="G407">
        <f>_xlfn.XLOOKUP(D407,tblStates[state_code],tblStates[territory_id],"Needs Review - Territory")</f>
        <v>4</v>
      </c>
      <c r="H407" t="str">
        <f>IF(E407="","",_xlfn.XLOOKUP(E407,tblUsers[user_id],tblUsers[job_title],"Owner Not Found"))</f>
        <v>Mid-Market Account Executive</v>
      </c>
      <c r="I407" t="str">
        <f>IF(E407="","",_xlfn.XLOOKUP(E407,tblUsers[user_id],tblUsers[segment],"Owner Not Found"))</f>
        <v>MM</v>
      </c>
      <c r="J407">
        <f>IF(E407="","",_xlfn.XLOOKUP(E407,tblUsers[user_id],tblUsers[territory_id],"Owner Not Found"))</f>
        <v>4</v>
      </c>
      <c r="K407" t="str">
        <f t="shared" si="13"/>
        <v>Routing Compatible</v>
      </c>
    </row>
    <row r="408" spans="1:11">
      <c r="A408" t="s">
        <v>2954</v>
      </c>
      <c r="B408" t="s">
        <v>2956</v>
      </c>
      <c r="C408" t="s">
        <v>30</v>
      </c>
      <c r="D408" t="s">
        <v>216</v>
      </c>
      <c r="E408" t="s">
        <v>18</v>
      </c>
      <c r="F408" t="str">
        <f t="shared" si="12"/>
        <v>MM</v>
      </c>
      <c r="G408">
        <f>_xlfn.XLOOKUP(D408,tblStates[state_code],tblStates[territory_id],"Needs Review - Territory")</f>
        <v>1</v>
      </c>
      <c r="H408" t="str">
        <f>IF(E408="","",_xlfn.XLOOKUP(E408,tblUsers[user_id],tblUsers[job_title],"Owner Not Found"))</f>
        <v>Mid-Market Account Executive</v>
      </c>
      <c r="I408" t="str">
        <f>IF(E408="","",_xlfn.XLOOKUP(E408,tblUsers[user_id],tblUsers[segment],"Owner Not Found"))</f>
        <v>MM</v>
      </c>
      <c r="J408">
        <f>IF(E408="","",_xlfn.XLOOKUP(E408,tblUsers[user_id],tblUsers[territory_id],"Owner Not Found"))</f>
        <v>1</v>
      </c>
      <c r="K408" t="str">
        <f t="shared" si="13"/>
        <v>Routing Compatible</v>
      </c>
    </row>
    <row r="409" spans="1:11">
      <c r="A409" t="s">
        <v>2957</v>
      </c>
      <c r="B409" t="s">
        <v>2959</v>
      </c>
      <c r="C409" t="s">
        <v>24</v>
      </c>
      <c r="D409" t="s">
        <v>154</v>
      </c>
      <c r="E409" t="s">
        <v>25</v>
      </c>
      <c r="F409" t="str">
        <f t="shared" si="12"/>
        <v>SMB</v>
      </c>
      <c r="G409">
        <f>_xlfn.XLOOKUP(D409,tblStates[state_code],tblStates[territory_id],"Needs Review - Territory")</f>
        <v>2</v>
      </c>
      <c r="H409" t="str">
        <f>IF(E409="","",_xlfn.XLOOKUP(E409,tblUsers[user_id],tblUsers[job_title],"Owner Not Found"))</f>
        <v>SMB Account Executive</v>
      </c>
      <c r="I409" t="str">
        <f>IF(E409="","",_xlfn.XLOOKUP(E409,tblUsers[user_id],tblUsers[segment],"Owner Not Found"))</f>
        <v>SMB</v>
      </c>
      <c r="J409">
        <f>IF(E409="","",_xlfn.XLOOKUP(E409,tblUsers[user_id],tblUsers[territory_id],"Owner Not Found"))</f>
        <v>2</v>
      </c>
      <c r="K409" t="str">
        <f t="shared" si="13"/>
        <v>Routing Compatible</v>
      </c>
    </row>
    <row r="410" spans="1:11">
      <c r="A410" t="s">
        <v>2960</v>
      </c>
      <c r="B410" t="s">
        <v>2962</v>
      </c>
      <c r="C410" t="s">
        <v>30</v>
      </c>
      <c r="D410" t="s">
        <v>81</v>
      </c>
      <c r="E410" t="s">
        <v>82</v>
      </c>
      <c r="F410" t="str">
        <f t="shared" si="12"/>
        <v>MM</v>
      </c>
      <c r="G410">
        <f>_xlfn.XLOOKUP(D410,tblStates[state_code],tblStates[territory_id],"Needs Review - Territory")</f>
        <v>2</v>
      </c>
      <c r="H410" t="str">
        <f>IF(E410="","",_xlfn.XLOOKUP(E410,tblUsers[user_id],tblUsers[job_title],"Owner Not Found"))</f>
        <v>Mid-Market Account Executive</v>
      </c>
      <c r="I410" t="str">
        <f>IF(E410="","",_xlfn.XLOOKUP(E410,tblUsers[user_id],tblUsers[segment],"Owner Not Found"))</f>
        <v>MM</v>
      </c>
      <c r="J410">
        <f>IF(E410="","",_xlfn.XLOOKUP(E410,tblUsers[user_id],tblUsers[territory_id],"Owner Not Found"))</f>
        <v>2</v>
      </c>
      <c r="K410" t="str">
        <f t="shared" si="13"/>
        <v>Routing Compatible</v>
      </c>
    </row>
    <row r="411" spans="1:11">
      <c r="A411" t="s">
        <v>2963</v>
      </c>
      <c r="B411" t="s">
        <v>2965</v>
      </c>
      <c r="C411" t="s">
        <v>24</v>
      </c>
      <c r="D411" t="s">
        <v>64</v>
      </c>
      <c r="F411" t="str">
        <f t="shared" si="12"/>
        <v>SMB</v>
      </c>
      <c r="G411">
        <f>_xlfn.XLOOKUP(D411,tblStates[state_code],tblStates[territory_id],"Needs Review - Territory")</f>
        <v>3</v>
      </c>
      <c r="H411" t="str">
        <f>IF(E411="","",_xlfn.XLOOKUP(E411,tblUsers[user_id],tblUsers[job_title],"Owner Not Found"))</f>
        <v/>
      </c>
      <c r="I411" t="str">
        <f>IF(E411="","",_xlfn.XLOOKUP(E411,tblUsers[user_id],tblUsers[segment],"Owner Not Found"))</f>
        <v/>
      </c>
      <c r="J411" t="str">
        <f>IF(E411="","",_xlfn.XLOOKUP(E411,tblUsers[user_id],tblUsers[territory_id],"Owner Not Found"))</f>
        <v/>
      </c>
      <c r="K411" t="str">
        <f t="shared" si="13"/>
        <v>Unassigned</v>
      </c>
    </row>
    <row r="412" spans="1:11">
      <c r="A412" t="s">
        <v>2966</v>
      </c>
      <c r="B412" t="s">
        <v>2969</v>
      </c>
      <c r="C412" t="s">
        <v>24</v>
      </c>
      <c r="D412" t="s">
        <v>385</v>
      </c>
      <c r="E412" t="s">
        <v>91</v>
      </c>
      <c r="F412" t="str">
        <f t="shared" si="12"/>
        <v>SMB</v>
      </c>
      <c r="G412">
        <f>_xlfn.XLOOKUP(D412,tblStates[state_code],tblStates[territory_id],"Needs Review - Territory")</f>
        <v>1</v>
      </c>
      <c r="H412" t="str">
        <f>IF(E412="","",_xlfn.XLOOKUP(E412,tblUsers[user_id],tblUsers[job_title],"Owner Not Found"))</f>
        <v>SMB Account Executive</v>
      </c>
      <c r="I412" t="str">
        <f>IF(E412="","",_xlfn.XLOOKUP(E412,tblUsers[user_id],tblUsers[segment],"Owner Not Found"))</f>
        <v>SMB</v>
      </c>
      <c r="J412">
        <f>IF(E412="","",_xlfn.XLOOKUP(E412,tblUsers[user_id],tblUsers[territory_id],"Owner Not Found"))</f>
        <v>1</v>
      </c>
      <c r="K412" t="str">
        <f t="shared" si="13"/>
        <v>Routing Compatible</v>
      </c>
    </row>
    <row r="413" spans="1:11">
      <c r="A413" t="s">
        <v>2970</v>
      </c>
      <c r="B413" t="s">
        <v>2972</v>
      </c>
      <c r="C413" t="s">
        <v>24</v>
      </c>
      <c r="D413" t="s">
        <v>50</v>
      </c>
      <c r="E413" t="s">
        <v>59</v>
      </c>
      <c r="F413" t="str">
        <f t="shared" si="12"/>
        <v>SMB</v>
      </c>
      <c r="G413">
        <f>_xlfn.XLOOKUP(D413,tblStates[state_code],tblStates[territory_id],"Needs Review - Territory")</f>
        <v>4</v>
      </c>
      <c r="H413" t="str">
        <f>IF(E413="","",_xlfn.XLOOKUP(E413,tblUsers[user_id],tblUsers[job_title],"Owner Not Found"))</f>
        <v>SMB Account Executive</v>
      </c>
      <c r="I413" t="str">
        <f>IF(E413="","",_xlfn.XLOOKUP(E413,tblUsers[user_id],tblUsers[segment],"Owner Not Found"))</f>
        <v>SMB</v>
      </c>
      <c r="J413">
        <f>IF(E413="","",_xlfn.XLOOKUP(E413,tblUsers[user_id],tblUsers[territory_id],"Owner Not Found"))</f>
        <v>4</v>
      </c>
      <c r="K413" t="str">
        <f t="shared" si="13"/>
        <v>Routing Compatible</v>
      </c>
    </row>
    <row r="414" spans="1:11">
      <c r="A414" t="s">
        <v>2973</v>
      </c>
      <c r="B414" t="s">
        <v>2975</v>
      </c>
      <c r="C414" t="s">
        <v>30</v>
      </c>
      <c r="E414" t="s">
        <v>36</v>
      </c>
      <c r="F414" t="str">
        <f t="shared" si="12"/>
        <v>MM</v>
      </c>
      <c r="G414" t="str">
        <f>_xlfn.XLOOKUP(D414,tblStates[state_code],tblStates[territory_id],"Needs Review - Territory")</f>
        <v>Needs Review - Territory</v>
      </c>
      <c r="H414" t="str">
        <f>IF(E414="","",_xlfn.XLOOKUP(E414,tblUsers[user_id],tblUsers[job_title],"Owner Not Found"))</f>
        <v>Mid-Market Account Executive</v>
      </c>
      <c r="I414" t="str">
        <f>IF(E414="","",_xlfn.XLOOKUP(E414,tblUsers[user_id],tblUsers[segment],"Owner Not Found"))</f>
        <v>MM</v>
      </c>
      <c r="J414">
        <f>IF(E414="","",_xlfn.XLOOKUP(E414,tblUsers[user_id],tblUsers[territory_id],"Owner Not Found"))</f>
        <v>4</v>
      </c>
      <c r="K414" t="str">
        <f t="shared" si="13"/>
        <v>Needs Review - Territory</v>
      </c>
    </row>
    <row r="415" spans="1:11">
      <c r="A415" t="s">
        <v>2976</v>
      </c>
      <c r="B415" t="s">
        <v>2978</v>
      </c>
      <c r="D415" t="s">
        <v>154</v>
      </c>
      <c r="F415" t="str">
        <f t="shared" si="12"/>
        <v>Needs Review - Segment</v>
      </c>
      <c r="G415">
        <f>_xlfn.XLOOKUP(D415,tblStates[state_code],tblStates[territory_id],"Needs Review - Territory")</f>
        <v>2</v>
      </c>
      <c r="H415" t="str">
        <f>IF(E415="","",_xlfn.XLOOKUP(E415,tblUsers[user_id],tblUsers[job_title],"Owner Not Found"))</f>
        <v/>
      </c>
      <c r="I415" t="str">
        <f>IF(E415="","",_xlfn.XLOOKUP(E415,tblUsers[user_id],tblUsers[segment],"Owner Not Found"))</f>
        <v/>
      </c>
      <c r="J415" t="str">
        <f>IF(E415="","",_xlfn.XLOOKUP(E415,tblUsers[user_id],tblUsers[territory_id],"Owner Not Found"))</f>
        <v/>
      </c>
      <c r="K415" t="str">
        <f t="shared" si="13"/>
        <v>Unassigned</v>
      </c>
    </row>
    <row r="416" spans="1:11">
      <c r="A416" t="s">
        <v>2979</v>
      </c>
      <c r="B416" t="s">
        <v>2981</v>
      </c>
      <c r="C416" t="s">
        <v>30</v>
      </c>
      <c r="D416" t="s">
        <v>223</v>
      </c>
      <c r="E416" t="s">
        <v>18</v>
      </c>
      <c r="F416" t="str">
        <f t="shared" si="12"/>
        <v>MM</v>
      </c>
      <c r="G416">
        <f>_xlfn.XLOOKUP(D416,tblStates[state_code],tblStates[territory_id],"Needs Review - Territory")</f>
        <v>1</v>
      </c>
      <c r="H416" t="str">
        <f>IF(E416="","",_xlfn.XLOOKUP(E416,tblUsers[user_id],tblUsers[job_title],"Owner Not Found"))</f>
        <v>Mid-Market Account Executive</v>
      </c>
      <c r="I416" t="str">
        <f>IF(E416="","",_xlfn.XLOOKUP(E416,tblUsers[user_id],tblUsers[segment],"Owner Not Found"))</f>
        <v>MM</v>
      </c>
      <c r="J416">
        <f>IF(E416="","",_xlfn.XLOOKUP(E416,tblUsers[user_id],tblUsers[territory_id],"Owner Not Found"))</f>
        <v>1</v>
      </c>
      <c r="K416" t="str">
        <f t="shared" si="13"/>
        <v>Routing Compatible</v>
      </c>
    </row>
    <row r="417" spans="1:11">
      <c r="A417" t="s">
        <v>2982</v>
      </c>
      <c r="B417" t="s">
        <v>2984</v>
      </c>
      <c r="C417" t="s">
        <v>24</v>
      </c>
      <c r="D417" t="s">
        <v>16</v>
      </c>
      <c r="E417" t="s">
        <v>91</v>
      </c>
      <c r="F417" t="str">
        <f t="shared" si="12"/>
        <v>SMB</v>
      </c>
      <c r="G417">
        <f>_xlfn.XLOOKUP(D417,tblStates[state_code],tblStates[territory_id],"Needs Review - Territory")</f>
        <v>1</v>
      </c>
      <c r="H417" t="str">
        <f>IF(E417="","",_xlfn.XLOOKUP(E417,tblUsers[user_id],tblUsers[job_title],"Owner Not Found"))</f>
        <v>SMB Account Executive</v>
      </c>
      <c r="I417" t="str">
        <f>IF(E417="","",_xlfn.XLOOKUP(E417,tblUsers[user_id],tblUsers[segment],"Owner Not Found"))</f>
        <v>SMB</v>
      </c>
      <c r="J417">
        <f>IF(E417="","",_xlfn.XLOOKUP(E417,tblUsers[user_id],tblUsers[territory_id],"Owner Not Found"))</f>
        <v>1</v>
      </c>
      <c r="K417" t="str">
        <f t="shared" si="13"/>
        <v>Routing Compatible</v>
      </c>
    </row>
    <row r="418" spans="1:11">
      <c r="A418" t="s">
        <v>2985</v>
      </c>
      <c r="B418" t="s">
        <v>2987</v>
      </c>
      <c r="C418" t="s">
        <v>30</v>
      </c>
      <c r="D418" t="s">
        <v>192</v>
      </c>
      <c r="E418" t="s">
        <v>18</v>
      </c>
      <c r="F418" t="str">
        <f t="shared" si="12"/>
        <v>MM</v>
      </c>
      <c r="G418">
        <f>_xlfn.XLOOKUP(D418,tblStates[state_code],tblStates[territory_id],"Needs Review - Territory")</f>
        <v>1</v>
      </c>
      <c r="H418" t="str">
        <f>IF(E418="","",_xlfn.XLOOKUP(E418,tblUsers[user_id],tblUsers[job_title],"Owner Not Found"))</f>
        <v>Mid-Market Account Executive</v>
      </c>
      <c r="I418" t="str">
        <f>IF(E418="","",_xlfn.XLOOKUP(E418,tblUsers[user_id],tblUsers[segment],"Owner Not Found"))</f>
        <v>MM</v>
      </c>
      <c r="J418">
        <f>IF(E418="","",_xlfn.XLOOKUP(E418,tblUsers[user_id],tblUsers[territory_id],"Owner Not Found"))</f>
        <v>1</v>
      </c>
      <c r="K418" t="str">
        <f t="shared" si="13"/>
        <v>Routing Compatible</v>
      </c>
    </row>
    <row r="419" spans="1:11">
      <c r="A419" t="s">
        <v>2988</v>
      </c>
      <c r="B419" t="s">
        <v>2990</v>
      </c>
      <c r="C419" t="s">
        <v>24</v>
      </c>
      <c r="D419" t="s">
        <v>50</v>
      </c>
      <c r="E419" t="s">
        <v>59</v>
      </c>
      <c r="F419" t="str">
        <f t="shared" si="12"/>
        <v>SMB</v>
      </c>
      <c r="G419">
        <f>_xlfn.XLOOKUP(D419,tblStates[state_code],tblStates[territory_id],"Needs Review - Territory")</f>
        <v>4</v>
      </c>
      <c r="H419" t="str">
        <f>IF(E419="","",_xlfn.XLOOKUP(E419,tblUsers[user_id],tblUsers[job_title],"Owner Not Found"))</f>
        <v>SMB Account Executive</v>
      </c>
      <c r="I419" t="str">
        <f>IF(E419="","",_xlfn.XLOOKUP(E419,tblUsers[user_id],tblUsers[segment],"Owner Not Found"))</f>
        <v>SMB</v>
      </c>
      <c r="J419">
        <f>IF(E419="","",_xlfn.XLOOKUP(E419,tblUsers[user_id],tblUsers[territory_id],"Owner Not Found"))</f>
        <v>4</v>
      </c>
      <c r="K419" t="str">
        <f t="shared" si="13"/>
        <v>Routing Compatible</v>
      </c>
    </row>
    <row r="420" spans="1:11">
      <c r="A420" t="s">
        <v>2991</v>
      </c>
      <c r="B420" t="s">
        <v>2993</v>
      </c>
      <c r="C420" t="s">
        <v>30</v>
      </c>
      <c r="D420" t="s">
        <v>216</v>
      </c>
      <c r="E420" t="s">
        <v>18</v>
      </c>
      <c r="F420" t="str">
        <f t="shared" si="12"/>
        <v>MM</v>
      </c>
      <c r="G420">
        <f>_xlfn.XLOOKUP(D420,tblStates[state_code],tblStates[territory_id],"Needs Review - Territory")</f>
        <v>1</v>
      </c>
      <c r="H420" t="str">
        <f>IF(E420="","",_xlfn.XLOOKUP(E420,tblUsers[user_id],tblUsers[job_title],"Owner Not Found"))</f>
        <v>Mid-Market Account Executive</v>
      </c>
      <c r="I420" t="str">
        <f>IF(E420="","",_xlfn.XLOOKUP(E420,tblUsers[user_id],tblUsers[segment],"Owner Not Found"))</f>
        <v>MM</v>
      </c>
      <c r="J420">
        <f>IF(E420="","",_xlfn.XLOOKUP(E420,tblUsers[user_id],tblUsers[territory_id],"Owner Not Found"))</f>
        <v>1</v>
      </c>
      <c r="K420" t="str">
        <f t="shared" si="13"/>
        <v>Routing Compatible</v>
      </c>
    </row>
    <row r="421" spans="1:11">
      <c r="A421" t="s">
        <v>2994</v>
      </c>
      <c r="B421" t="s">
        <v>2996</v>
      </c>
      <c r="C421" t="s">
        <v>24</v>
      </c>
      <c r="D421" t="s">
        <v>68</v>
      </c>
      <c r="E421" t="s">
        <v>69</v>
      </c>
      <c r="F421" t="str">
        <f t="shared" si="12"/>
        <v>SMB</v>
      </c>
      <c r="G421">
        <f>_xlfn.XLOOKUP(D421,tblStates[state_code],tblStates[territory_id],"Needs Review - Territory")</f>
        <v>3</v>
      </c>
      <c r="H421" t="str">
        <f>IF(E421="","",_xlfn.XLOOKUP(E421,tblUsers[user_id],tblUsers[job_title],"Owner Not Found"))</f>
        <v>SMB Account Executive</v>
      </c>
      <c r="I421" t="str">
        <f>IF(E421="","",_xlfn.XLOOKUP(E421,tblUsers[user_id],tblUsers[segment],"Owner Not Found"))</f>
        <v>SMB</v>
      </c>
      <c r="J421">
        <f>IF(E421="","",_xlfn.XLOOKUP(E421,tblUsers[user_id],tblUsers[territory_id],"Owner Not Found"))</f>
        <v>3</v>
      </c>
      <c r="K421" t="str">
        <f t="shared" si="13"/>
        <v>Routing Compatible</v>
      </c>
    </row>
    <row r="422" spans="1:11">
      <c r="A422" t="s">
        <v>2997</v>
      </c>
      <c r="B422" t="s">
        <v>2999</v>
      </c>
      <c r="C422" t="s">
        <v>24</v>
      </c>
      <c r="D422" t="s">
        <v>23</v>
      </c>
      <c r="E422" t="s">
        <v>25</v>
      </c>
      <c r="F422" t="str">
        <f t="shared" si="12"/>
        <v>SMB</v>
      </c>
      <c r="G422">
        <f>_xlfn.XLOOKUP(D422,tblStates[state_code],tblStates[territory_id],"Needs Review - Territory")</f>
        <v>2</v>
      </c>
      <c r="H422" t="str">
        <f>IF(E422="","",_xlfn.XLOOKUP(E422,tblUsers[user_id],tblUsers[job_title],"Owner Not Found"))</f>
        <v>SMB Account Executive</v>
      </c>
      <c r="I422" t="str">
        <f>IF(E422="","",_xlfn.XLOOKUP(E422,tblUsers[user_id],tblUsers[segment],"Owner Not Found"))</f>
        <v>SMB</v>
      </c>
      <c r="J422">
        <f>IF(E422="","",_xlfn.XLOOKUP(E422,tblUsers[user_id],tblUsers[territory_id],"Owner Not Found"))</f>
        <v>2</v>
      </c>
      <c r="K422" t="str">
        <f t="shared" si="13"/>
        <v>Routing Compatible</v>
      </c>
    </row>
    <row r="423" spans="1:11">
      <c r="A423" t="s">
        <v>3000</v>
      </c>
      <c r="B423" t="s">
        <v>3002</v>
      </c>
      <c r="C423" t="s">
        <v>24</v>
      </c>
      <c r="D423" t="s">
        <v>41</v>
      </c>
      <c r="E423" t="s">
        <v>25</v>
      </c>
      <c r="F423" t="str">
        <f t="shared" si="12"/>
        <v>SMB</v>
      </c>
      <c r="G423">
        <f>_xlfn.XLOOKUP(D423,tblStates[state_code],tblStates[territory_id],"Needs Review - Territory")</f>
        <v>2</v>
      </c>
      <c r="H423" t="str">
        <f>IF(E423="","",_xlfn.XLOOKUP(E423,tblUsers[user_id],tblUsers[job_title],"Owner Not Found"))</f>
        <v>SMB Account Executive</v>
      </c>
      <c r="I423" t="str">
        <f>IF(E423="","",_xlfn.XLOOKUP(E423,tblUsers[user_id],tblUsers[segment],"Owner Not Found"))</f>
        <v>SMB</v>
      </c>
      <c r="J423">
        <f>IF(E423="","",_xlfn.XLOOKUP(E423,tblUsers[user_id],tblUsers[territory_id],"Owner Not Found"))</f>
        <v>2</v>
      </c>
      <c r="K423" t="str">
        <f t="shared" si="13"/>
        <v>Routing Compatible</v>
      </c>
    </row>
    <row r="424" spans="1:11">
      <c r="A424" t="s">
        <v>3003</v>
      </c>
      <c r="B424" t="s">
        <v>3005</v>
      </c>
      <c r="C424" t="s">
        <v>17</v>
      </c>
      <c r="D424" t="s">
        <v>205</v>
      </c>
      <c r="E424" t="s">
        <v>36</v>
      </c>
      <c r="F424" t="str">
        <f t="shared" si="12"/>
        <v>MM</v>
      </c>
      <c r="G424">
        <f>_xlfn.XLOOKUP(D424,tblStates[state_code],tblStates[territory_id],"Needs Review - Territory")</f>
        <v>4</v>
      </c>
      <c r="H424" t="str">
        <f>IF(E424="","",_xlfn.XLOOKUP(E424,tblUsers[user_id],tblUsers[job_title],"Owner Not Found"))</f>
        <v>Mid-Market Account Executive</v>
      </c>
      <c r="I424" t="str">
        <f>IF(E424="","",_xlfn.XLOOKUP(E424,tblUsers[user_id],tblUsers[segment],"Owner Not Found"))</f>
        <v>MM</v>
      </c>
      <c r="J424">
        <f>IF(E424="","",_xlfn.XLOOKUP(E424,tblUsers[user_id],tblUsers[territory_id],"Owner Not Found"))</f>
        <v>4</v>
      </c>
      <c r="K424" t="str">
        <f t="shared" si="13"/>
        <v>Routing Compatible</v>
      </c>
    </row>
    <row r="425" spans="1:11">
      <c r="A425" t="s">
        <v>3006</v>
      </c>
      <c r="B425" t="s">
        <v>3008</v>
      </c>
      <c r="C425" t="s">
        <v>30</v>
      </c>
      <c r="D425" t="s">
        <v>226</v>
      </c>
      <c r="E425" t="s">
        <v>55</v>
      </c>
      <c r="F425" t="str">
        <f t="shared" si="12"/>
        <v>MM</v>
      </c>
      <c r="G425">
        <f>_xlfn.XLOOKUP(D425,tblStates[state_code],tblStates[territory_id],"Needs Review - Territory")</f>
        <v>3</v>
      </c>
      <c r="H425" t="str">
        <f>IF(E425="","",_xlfn.XLOOKUP(E425,tblUsers[user_id],tblUsers[job_title],"Owner Not Found"))</f>
        <v>Mid-Market Account Executive</v>
      </c>
      <c r="I425" t="str">
        <f>IF(E425="","",_xlfn.XLOOKUP(E425,tblUsers[user_id],tblUsers[segment],"Owner Not Found"))</f>
        <v>MM</v>
      </c>
      <c r="J425">
        <f>IF(E425="","",_xlfn.XLOOKUP(E425,tblUsers[user_id],tblUsers[territory_id],"Owner Not Found"))</f>
        <v>3</v>
      </c>
      <c r="K425" t="str">
        <f t="shared" si="13"/>
        <v>Routing Compatible</v>
      </c>
    </row>
    <row r="426" spans="1:11">
      <c r="A426" t="s">
        <v>3009</v>
      </c>
      <c r="B426" t="s">
        <v>3011</v>
      </c>
      <c r="C426" t="s">
        <v>30</v>
      </c>
      <c r="D426" t="s">
        <v>140</v>
      </c>
      <c r="E426" t="s">
        <v>82</v>
      </c>
      <c r="F426" t="str">
        <f t="shared" si="12"/>
        <v>MM</v>
      </c>
      <c r="G426">
        <f>_xlfn.XLOOKUP(D426,tblStates[state_code],tblStates[territory_id],"Needs Review - Territory")</f>
        <v>2</v>
      </c>
      <c r="H426" t="str">
        <f>IF(E426="","",_xlfn.XLOOKUP(E426,tblUsers[user_id],tblUsers[job_title],"Owner Not Found"))</f>
        <v>Mid-Market Account Executive</v>
      </c>
      <c r="I426" t="str">
        <f>IF(E426="","",_xlfn.XLOOKUP(E426,tblUsers[user_id],tblUsers[segment],"Owner Not Found"))</f>
        <v>MM</v>
      </c>
      <c r="J426">
        <f>IF(E426="","",_xlfn.XLOOKUP(E426,tblUsers[user_id],tblUsers[territory_id],"Owner Not Found"))</f>
        <v>2</v>
      </c>
      <c r="K426" t="str">
        <f t="shared" si="13"/>
        <v>Routing Compatible</v>
      </c>
    </row>
    <row r="427" spans="1:11">
      <c r="A427" t="s">
        <v>3012</v>
      </c>
      <c r="B427" t="s">
        <v>3014</v>
      </c>
      <c r="C427" t="s">
        <v>30</v>
      </c>
      <c r="D427" t="s">
        <v>140</v>
      </c>
      <c r="E427" t="s">
        <v>82</v>
      </c>
      <c r="F427" t="str">
        <f t="shared" si="12"/>
        <v>MM</v>
      </c>
      <c r="G427">
        <f>_xlfn.XLOOKUP(D427,tblStates[state_code],tblStates[territory_id],"Needs Review - Territory")</f>
        <v>2</v>
      </c>
      <c r="H427" t="str">
        <f>IF(E427="","",_xlfn.XLOOKUP(E427,tblUsers[user_id],tblUsers[job_title],"Owner Not Found"))</f>
        <v>Mid-Market Account Executive</v>
      </c>
      <c r="I427" t="str">
        <f>IF(E427="","",_xlfn.XLOOKUP(E427,tblUsers[user_id],tblUsers[segment],"Owner Not Found"))</f>
        <v>MM</v>
      </c>
      <c r="J427">
        <f>IF(E427="","",_xlfn.XLOOKUP(E427,tblUsers[user_id],tblUsers[territory_id],"Owner Not Found"))</f>
        <v>2</v>
      </c>
      <c r="K427" t="str">
        <f t="shared" si="13"/>
        <v>Routing Compatible</v>
      </c>
    </row>
    <row r="428" spans="1:11">
      <c r="A428" t="s">
        <v>3015</v>
      </c>
      <c r="B428" t="s">
        <v>3017</v>
      </c>
      <c r="C428" t="s">
        <v>30</v>
      </c>
      <c r="D428" t="s">
        <v>223</v>
      </c>
      <c r="E428" t="s">
        <v>25</v>
      </c>
      <c r="F428" t="str">
        <f t="shared" si="12"/>
        <v>MM</v>
      </c>
      <c r="G428">
        <f>_xlfn.XLOOKUP(D428,tblStates[state_code],tblStates[territory_id],"Needs Review - Territory")</f>
        <v>1</v>
      </c>
      <c r="H428" t="str">
        <f>IF(E428="","",_xlfn.XLOOKUP(E428,tblUsers[user_id],tblUsers[job_title],"Owner Not Found"))</f>
        <v>SMB Account Executive</v>
      </c>
      <c r="I428" t="str">
        <f>IF(E428="","",_xlfn.XLOOKUP(E428,tblUsers[user_id],tblUsers[segment],"Owner Not Found"))</f>
        <v>SMB</v>
      </c>
      <c r="J428">
        <f>IF(E428="","",_xlfn.XLOOKUP(E428,tblUsers[user_id],tblUsers[territory_id],"Owner Not Found"))</f>
        <v>2</v>
      </c>
      <c r="K428" t="str">
        <f t="shared" si="13"/>
        <v>Wrong Segment</v>
      </c>
    </row>
    <row r="429" spans="1:11">
      <c r="A429" t="s">
        <v>3018</v>
      </c>
      <c r="B429" t="s">
        <v>3020</v>
      </c>
      <c r="C429" t="s">
        <v>30</v>
      </c>
      <c r="D429" t="s">
        <v>68</v>
      </c>
      <c r="E429" t="s">
        <v>55</v>
      </c>
      <c r="F429" t="str">
        <f t="shared" si="12"/>
        <v>MM</v>
      </c>
      <c r="G429">
        <f>_xlfn.XLOOKUP(D429,tblStates[state_code],tblStates[territory_id],"Needs Review - Territory")</f>
        <v>3</v>
      </c>
      <c r="H429" t="str">
        <f>IF(E429="","",_xlfn.XLOOKUP(E429,tblUsers[user_id],tblUsers[job_title],"Owner Not Found"))</f>
        <v>Mid-Market Account Executive</v>
      </c>
      <c r="I429" t="str">
        <f>IF(E429="","",_xlfn.XLOOKUP(E429,tblUsers[user_id],tblUsers[segment],"Owner Not Found"))</f>
        <v>MM</v>
      </c>
      <c r="J429">
        <f>IF(E429="","",_xlfn.XLOOKUP(E429,tblUsers[user_id],tblUsers[territory_id],"Owner Not Found"))</f>
        <v>3</v>
      </c>
      <c r="K429" t="str">
        <f t="shared" si="13"/>
        <v>Routing Compatible</v>
      </c>
    </row>
    <row r="430" spans="1:11">
      <c r="A430" t="s">
        <v>3021</v>
      </c>
      <c r="B430" t="s">
        <v>3023</v>
      </c>
      <c r="C430" t="s">
        <v>24</v>
      </c>
      <c r="D430" t="s">
        <v>95</v>
      </c>
      <c r="E430" t="s">
        <v>91</v>
      </c>
      <c r="F430" t="str">
        <f t="shared" si="12"/>
        <v>SMB</v>
      </c>
      <c r="G430">
        <f>_xlfn.XLOOKUP(D430,tblStates[state_code],tblStates[territory_id],"Needs Review - Territory")</f>
        <v>1</v>
      </c>
      <c r="H430" t="str">
        <f>IF(E430="","",_xlfn.XLOOKUP(E430,tblUsers[user_id],tblUsers[job_title],"Owner Not Found"))</f>
        <v>SMB Account Executive</v>
      </c>
      <c r="I430" t="str">
        <f>IF(E430="","",_xlfn.XLOOKUP(E430,tblUsers[user_id],tblUsers[segment],"Owner Not Found"))</f>
        <v>SMB</v>
      </c>
      <c r="J430">
        <f>IF(E430="","",_xlfn.XLOOKUP(E430,tblUsers[user_id],tblUsers[territory_id],"Owner Not Found"))</f>
        <v>1</v>
      </c>
      <c r="K430" t="str">
        <f t="shared" si="13"/>
        <v>Routing Compatible</v>
      </c>
    </row>
    <row r="431" spans="1:11">
      <c r="A431" t="s">
        <v>3024</v>
      </c>
      <c r="B431" t="s">
        <v>3026</v>
      </c>
      <c r="C431" t="s">
        <v>24</v>
      </c>
      <c r="D431" t="s">
        <v>205</v>
      </c>
      <c r="E431" t="s">
        <v>59</v>
      </c>
      <c r="F431" t="str">
        <f t="shared" si="12"/>
        <v>SMB</v>
      </c>
      <c r="G431">
        <f>_xlfn.XLOOKUP(D431,tblStates[state_code],tblStates[territory_id],"Needs Review - Territory")</f>
        <v>4</v>
      </c>
      <c r="H431" t="str">
        <f>IF(E431="","",_xlfn.XLOOKUP(E431,tblUsers[user_id],tblUsers[job_title],"Owner Not Found"))</f>
        <v>SMB Account Executive</v>
      </c>
      <c r="I431" t="str">
        <f>IF(E431="","",_xlfn.XLOOKUP(E431,tblUsers[user_id],tblUsers[segment],"Owner Not Found"))</f>
        <v>SMB</v>
      </c>
      <c r="J431">
        <f>IF(E431="","",_xlfn.XLOOKUP(E431,tblUsers[user_id],tblUsers[territory_id],"Owner Not Found"))</f>
        <v>4</v>
      </c>
      <c r="K431" t="str">
        <f t="shared" si="13"/>
        <v>Routing Compatible</v>
      </c>
    </row>
    <row r="432" spans="1:11">
      <c r="A432" t="s">
        <v>3027</v>
      </c>
      <c r="B432" t="s">
        <v>3029</v>
      </c>
      <c r="C432" t="s">
        <v>24</v>
      </c>
      <c r="D432" t="s">
        <v>366</v>
      </c>
      <c r="E432" t="s">
        <v>91</v>
      </c>
      <c r="F432" t="str">
        <f t="shared" si="12"/>
        <v>SMB</v>
      </c>
      <c r="G432">
        <f>_xlfn.XLOOKUP(D432,tblStates[state_code],tblStates[territory_id],"Needs Review - Territory")</f>
        <v>1</v>
      </c>
      <c r="H432" t="str">
        <f>IF(E432="","",_xlfn.XLOOKUP(E432,tblUsers[user_id],tblUsers[job_title],"Owner Not Found"))</f>
        <v>SMB Account Executive</v>
      </c>
      <c r="I432" t="str">
        <f>IF(E432="","",_xlfn.XLOOKUP(E432,tblUsers[user_id],tblUsers[segment],"Owner Not Found"))</f>
        <v>SMB</v>
      </c>
      <c r="J432">
        <f>IF(E432="","",_xlfn.XLOOKUP(E432,tblUsers[user_id],tblUsers[territory_id],"Owner Not Found"))</f>
        <v>1</v>
      </c>
      <c r="K432" t="str">
        <f t="shared" si="13"/>
        <v>Routing Compatible</v>
      </c>
    </row>
    <row r="433" spans="1:11">
      <c r="A433" t="s">
        <v>3030</v>
      </c>
      <c r="B433" t="s">
        <v>3032</v>
      </c>
      <c r="C433" t="s">
        <v>24</v>
      </c>
      <c r="D433" t="s">
        <v>120</v>
      </c>
      <c r="E433" t="s">
        <v>25</v>
      </c>
      <c r="F433" t="str">
        <f t="shared" si="12"/>
        <v>SMB</v>
      </c>
      <c r="G433">
        <f>_xlfn.XLOOKUP(D433,tblStates[state_code],tblStates[territory_id],"Needs Review - Territory")</f>
        <v>2</v>
      </c>
      <c r="H433" t="str">
        <f>IF(E433="","",_xlfn.XLOOKUP(E433,tblUsers[user_id],tblUsers[job_title],"Owner Not Found"))</f>
        <v>SMB Account Executive</v>
      </c>
      <c r="I433" t="str">
        <f>IF(E433="","",_xlfn.XLOOKUP(E433,tblUsers[user_id],tblUsers[segment],"Owner Not Found"))</f>
        <v>SMB</v>
      </c>
      <c r="J433">
        <f>IF(E433="","",_xlfn.XLOOKUP(E433,tblUsers[user_id],tblUsers[territory_id],"Owner Not Found"))</f>
        <v>2</v>
      </c>
      <c r="K433" t="str">
        <f t="shared" si="13"/>
        <v>Routing Compatible</v>
      </c>
    </row>
    <row r="434" spans="1:11">
      <c r="A434" t="s">
        <v>3033</v>
      </c>
      <c r="B434" t="s">
        <v>3035</v>
      </c>
      <c r="C434" t="s">
        <v>24</v>
      </c>
      <c r="D434" t="s">
        <v>576</v>
      </c>
      <c r="E434" t="s">
        <v>25</v>
      </c>
      <c r="F434" t="str">
        <f t="shared" si="12"/>
        <v>SMB</v>
      </c>
      <c r="G434">
        <f>_xlfn.XLOOKUP(D434,tblStates[state_code],tblStates[territory_id],"Needs Review - Territory")</f>
        <v>2</v>
      </c>
      <c r="H434" t="str">
        <f>IF(E434="","",_xlfn.XLOOKUP(E434,tblUsers[user_id],tblUsers[job_title],"Owner Not Found"))</f>
        <v>SMB Account Executive</v>
      </c>
      <c r="I434" t="str">
        <f>IF(E434="","",_xlfn.XLOOKUP(E434,tblUsers[user_id],tblUsers[segment],"Owner Not Found"))</f>
        <v>SMB</v>
      </c>
      <c r="J434">
        <f>IF(E434="","",_xlfn.XLOOKUP(E434,tblUsers[user_id],tblUsers[territory_id],"Owner Not Found"))</f>
        <v>2</v>
      </c>
      <c r="K434" t="str">
        <f t="shared" si="13"/>
        <v>Routing Compatible</v>
      </c>
    </row>
    <row r="435" spans="1:11">
      <c r="A435" t="s">
        <v>3036</v>
      </c>
      <c r="B435" t="s">
        <v>3038</v>
      </c>
      <c r="C435" t="s">
        <v>24</v>
      </c>
      <c r="D435" t="s">
        <v>23</v>
      </c>
      <c r="E435" t="s">
        <v>25</v>
      </c>
      <c r="F435" t="str">
        <f t="shared" si="12"/>
        <v>SMB</v>
      </c>
      <c r="G435">
        <f>_xlfn.XLOOKUP(D435,tblStates[state_code],tblStates[territory_id],"Needs Review - Territory")</f>
        <v>2</v>
      </c>
      <c r="H435" t="str">
        <f>IF(E435="","",_xlfn.XLOOKUP(E435,tblUsers[user_id],tblUsers[job_title],"Owner Not Found"))</f>
        <v>SMB Account Executive</v>
      </c>
      <c r="I435" t="str">
        <f>IF(E435="","",_xlfn.XLOOKUP(E435,tblUsers[user_id],tblUsers[segment],"Owner Not Found"))</f>
        <v>SMB</v>
      </c>
      <c r="J435">
        <f>IF(E435="","",_xlfn.XLOOKUP(E435,tblUsers[user_id],tblUsers[territory_id],"Owner Not Found"))</f>
        <v>2</v>
      </c>
      <c r="K435" t="str">
        <f t="shared" si="13"/>
        <v>Routing Compatible</v>
      </c>
    </row>
    <row r="436" spans="1:11">
      <c r="A436" t="s">
        <v>3039</v>
      </c>
      <c r="B436" t="s">
        <v>3041</v>
      </c>
      <c r="C436" t="s">
        <v>24</v>
      </c>
      <c r="D436" t="s">
        <v>404</v>
      </c>
      <c r="E436" t="s">
        <v>25</v>
      </c>
      <c r="F436" t="str">
        <f t="shared" si="12"/>
        <v>SMB</v>
      </c>
      <c r="G436">
        <f>_xlfn.XLOOKUP(D436,tblStates[state_code],tblStates[territory_id],"Needs Review - Territory")</f>
        <v>2</v>
      </c>
      <c r="H436" t="str">
        <f>IF(E436="","",_xlfn.XLOOKUP(E436,tblUsers[user_id],tblUsers[job_title],"Owner Not Found"))</f>
        <v>SMB Account Executive</v>
      </c>
      <c r="I436" t="str">
        <f>IF(E436="","",_xlfn.XLOOKUP(E436,tblUsers[user_id],tblUsers[segment],"Owner Not Found"))</f>
        <v>SMB</v>
      </c>
      <c r="J436">
        <f>IF(E436="","",_xlfn.XLOOKUP(E436,tblUsers[user_id],tblUsers[territory_id],"Owner Not Found"))</f>
        <v>2</v>
      </c>
      <c r="K436" t="str">
        <f t="shared" si="13"/>
        <v>Routing Compatible</v>
      </c>
    </row>
    <row r="437" spans="1:11">
      <c r="A437" t="s">
        <v>3042</v>
      </c>
      <c r="B437" t="s">
        <v>3044</v>
      </c>
      <c r="C437" t="s">
        <v>24</v>
      </c>
      <c r="D437" t="s">
        <v>440</v>
      </c>
      <c r="E437" t="s">
        <v>69</v>
      </c>
      <c r="F437" t="str">
        <f t="shared" si="12"/>
        <v>SMB</v>
      </c>
      <c r="G437">
        <f>_xlfn.XLOOKUP(D437,tblStates[state_code],tblStates[territory_id],"Needs Review - Territory")</f>
        <v>3</v>
      </c>
      <c r="H437" t="str">
        <f>IF(E437="","",_xlfn.XLOOKUP(E437,tblUsers[user_id],tblUsers[job_title],"Owner Not Found"))</f>
        <v>SMB Account Executive</v>
      </c>
      <c r="I437" t="str">
        <f>IF(E437="","",_xlfn.XLOOKUP(E437,tblUsers[user_id],tblUsers[segment],"Owner Not Found"))</f>
        <v>SMB</v>
      </c>
      <c r="J437">
        <f>IF(E437="","",_xlfn.XLOOKUP(E437,tblUsers[user_id],tblUsers[territory_id],"Owner Not Found"))</f>
        <v>3</v>
      </c>
      <c r="K437" t="str">
        <f t="shared" si="13"/>
        <v>Routing Compatible</v>
      </c>
    </row>
    <row r="438" spans="1:11">
      <c r="A438" t="s">
        <v>3045</v>
      </c>
      <c r="B438" t="s">
        <v>3047</v>
      </c>
      <c r="C438" t="s">
        <v>30</v>
      </c>
      <c r="D438" t="s">
        <v>23</v>
      </c>
      <c r="E438" t="s">
        <v>82</v>
      </c>
      <c r="F438" t="str">
        <f t="shared" si="12"/>
        <v>MM</v>
      </c>
      <c r="G438">
        <f>_xlfn.XLOOKUP(D438,tblStates[state_code],tblStates[territory_id],"Needs Review - Territory")</f>
        <v>2</v>
      </c>
      <c r="H438" t="str">
        <f>IF(E438="","",_xlfn.XLOOKUP(E438,tblUsers[user_id],tblUsers[job_title],"Owner Not Found"))</f>
        <v>Mid-Market Account Executive</v>
      </c>
      <c r="I438" t="str">
        <f>IF(E438="","",_xlfn.XLOOKUP(E438,tblUsers[user_id],tblUsers[segment],"Owner Not Found"))</f>
        <v>MM</v>
      </c>
      <c r="J438">
        <f>IF(E438="","",_xlfn.XLOOKUP(E438,tblUsers[user_id],tblUsers[territory_id],"Owner Not Found"))</f>
        <v>2</v>
      </c>
      <c r="K438" t="str">
        <f t="shared" si="13"/>
        <v>Routing Compatible</v>
      </c>
    </row>
    <row r="439" spans="1:11">
      <c r="A439" t="s">
        <v>3048</v>
      </c>
      <c r="B439" t="s">
        <v>3050</v>
      </c>
      <c r="C439" t="s">
        <v>24</v>
      </c>
      <c r="D439" t="s">
        <v>226</v>
      </c>
      <c r="E439" t="s">
        <v>69</v>
      </c>
      <c r="F439" t="str">
        <f t="shared" si="12"/>
        <v>SMB</v>
      </c>
      <c r="G439">
        <f>_xlfn.XLOOKUP(D439,tblStates[state_code],tblStates[territory_id],"Needs Review - Territory")</f>
        <v>3</v>
      </c>
      <c r="H439" t="str">
        <f>IF(E439="","",_xlfn.XLOOKUP(E439,tblUsers[user_id],tblUsers[job_title],"Owner Not Found"))</f>
        <v>SMB Account Executive</v>
      </c>
      <c r="I439" t="str">
        <f>IF(E439="","",_xlfn.XLOOKUP(E439,tblUsers[user_id],tblUsers[segment],"Owner Not Found"))</f>
        <v>SMB</v>
      </c>
      <c r="J439">
        <f>IF(E439="","",_xlfn.XLOOKUP(E439,tblUsers[user_id],tblUsers[territory_id],"Owner Not Found"))</f>
        <v>3</v>
      </c>
      <c r="K439" t="str">
        <f t="shared" si="13"/>
        <v>Routing Compatible</v>
      </c>
    </row>
    <row r="440" spans="1:11">
      <c r="A440" t="s">
        <v>3051</v>
      </c>
      <c r="B440" t="s">
        <v>3053</v>
      </c>
      <c r="C440" t="s">
        <v>24</v>
      </c>
      <c r="D440" t="s">
        <v>249</v>
      </c>
      <c r="E440" t="s">
        <v>59</v>
      </c>
      <c r="F440" t="str">
        <f t="shared" si="12"/>
        <v>SMB</v>
      </c>
      <c r="G440">
        <f>_xlfn.XLOOKUP(D440,tblStates[state_code],tblStates[territory_id],"Needs Review - Territory")</f>
        <v>4</v>
      </c>
      <c r="H440" t="str">
        <f>IF(E440="","",_xlfn.XLOOKUP(E440,tblUsers[user_id],tblUsers[job_title],"Owner Not Found"))</f>
        <v>SMB Account Executive</v>
      </c>
      <c r="I440" t="str">
        <f>IF(E440="","",_xlfn.XLOOKUP(E440,tblUsers[user_id],tblUsers[segment],"Owner Not Found"))</f>
        <v>SMB</v>
      </c>
      <c r="J440">
        <f>IF(E440="","",_xlfn.XLOOKUP(E440,tblUsers[user_id],tblUsers[territory_id],"Owner Not Found"))</f>
        <v>4</v>
      </c>
      <c r="K440" t="str">
        <f t="shared" si="13"/>
        <v>Routing Compatible</v>
      </c>
    </row>
    <row r="441" spans="1:11">
      <c r="A441" t="s">
        <v>3054</v>
      </c>
      <c r="B441" t="s">
        <v>3056</v>
      </c>
      <c r="C441" t="s">
        <v>24</v>
      </c>
      <c r="D441" t="s">
        <v>285</v>
      </c>
      <c r="E441" t="s">
        <v>59</v>
      </c>
      <c r="F441" t="str">
        <f t="shared" si="12"/>
        <v>SMB</v>
      </c>
      <c r="G441">
        <f>_xlfn.XLOOKUP(D441,tblStates[state_code],tblStates[territory_id],"Needs Review - Territory")</f>
        <v>4</v>
      </c>
      <c r="H441" t="str">
        <f>IF(E441="","",_xlfn.XLOOKUP(E441,tblUsers[user_id],tblUsers[job_title],"Owner Not Found"))</f>
        <v>SMB Account Executive</v>
      </c>
      <c r="I441" t="str">
        <f>IF(E441="","",_xlfn.XLOOKUP(E441,tblUsers[user_id],tblUsers[segment],"Owner Not Found"))</f>
        <v>SMB</v>
      </c>
      <c r="J441">
        <f>IF(E441="","",_xlfn.XLOOKUP(E441,tblUsers[user_id],tblUsers[territory_id],"Owner Not Found"))</f>
        <v>4</v>
      </c>
      <c r="K441" t="str">
        <f t="shared" si="13"/>
        <v>Routing Compatible</v>
      </c>
    </row>
    <row r="442" spans="1:11">
      <c r="A442" t="s">
        <v>3057</v>
      </c>
      <c r="B442" t="s">
        <v>3059</v>
      </c>
      <c r="C442" t="s">
        <v>30</v>
      </c>
      <c r="D442" t="s">
        <v>120</v>
      </c>
      <c r="F442" t="str">
        <f t="shared" si="12"/>
        <v>MM</v>
      </c>
      <c r="G442">
        <f>_xlfn.XLOOKUP(D442,tblStates[state_code],tblStates[territory_id],"Needs Review - Territory")</f>
        <v>2</v>
      </c>
      <c r="H442" t="str">
        <f>IF(E442="","",_xlfn.XLOOKUP(E442,tblUsers[user_id],tblUsers[job_title],"Owner Not Found"))</f>
        <v/>
      </c>
      <c r="I442" t="str">
        <f>IF(E442="","",_xlfn.XLOOKUP(E442,tblUsers[user_id],tblUsers[segment],"Owner Not Found"))</f>
        <v/>
      </c>
      <c r="J442" t="str">
        <f>IF(E442="","",_xlfn.XLOOKUP(E442,tblUsers[user_id],tblUsers[territory_id],"Owner Not Found"))</f>
        <v/>
      </c>
      <c r="K442" t="str">
        <f t="shared" si="13"/>
        <v>Unassigned</v>
      </c>
    </row>
    <row r="443" spans="1:11">
      <c r="A443" t="s">
        <v>3060</v>
      </c>
      <c r="B443" t="s">
        <v>3062</v>
      </c>
      <c r="C443" t="s">
        <v>30</v>
      </c>
      <c r="D443" t="s">
        <v>366</v>
      </c>
      <c r="E443" t="s">
        <v>18</v>
      </c>
      <c r="F443" t="str">
        <f t="shared" si="12"/>
        <v>MM</v>
      </c>
      <c r="G443">
        <f>_xlfn.XLOOKUP(D443,tblStates[state_code],tblStates[territory_id],"Needs Review - Territory")</f>
        <v>1</v>
      </c>
      <c r="H443" t="str">
        <f>IF(E443="","",_xlfn.XLOOKUP(E443,tblUsers[user_id],tblUsers[job_title],"Owner Not Found"))</f>
        <v>Mid-Market Account Executive</v>
      </c>
      <c r="I443" t="str">
        <f>IF(E443="","",_xlfn.XLOOKUP(E443,tblUsers[user_id],tblUsers[segment],"Owner Not Found"))</f>
        <v>MM</v>
      </c>
      <c r="J443">
        <f>IF(E443="","",_xlfn.XLOOKUP(E443,tblUsers[user_id],tblUsers[territory_id],"Owner Not Found"))</f>
        <v>1</v>
      </c>
      <c r="K443" t="str">
        <f t="shared" si="13"/>
        <v>Routing Compatible</v>
      </c>
    </row>
    <row r="444" spans="1:11">
      <c r="A444" t="s">
        <v>3063</v>
      </c>
      <c r="B444" t="s">
        <v>3065</v>
      </c>
      <c r="C444" t="s">
        <v>17</v>
      </c>
      <c r="D444" t="s">
        <v>140</v>
      </c>
      <c r="E444" t="s">
        <v>25</v>
      </c>
      <c r="F444" t="str">
        <f t="shared" si="12"/>
        <v>MM</v>
      </c>
      <c r="G444">
        <f>_xlfn.XLOOKUP(D444,tblStates[state_code],tblStates[territory_id],"Needs Review - Territory")</f>
        <v>2</v>
      </c>
      <c r="H444" t="str">
        <f>IF(E444="","",_xlfn.XLOOKUP(E444,tblUsers[user_id],tblUsers[job_title],"Owner Not Found"))</f>
        <v>SMB Account Executive</v>
      </c>
      <c r="I444" t="str">
        <f>IF(E444="","",_xlfn.XLOOKUP(E444,tblUsers[user_id],tblUsers[segment],"Owner Not Found"))</f>
        <v>SMB</v>
      </c>
      <c r="J444">
        <f>IF(E444="","",_xlfn.XLOOKUP(E444,tblUsers[user_id],tblUsers[territory_id],"Owner Not Found"))</f>
        <v>2</v>
      </c>
      <c r="K444" t="str">
        <f t="shared" si="13"/>
        <v>Wrong Segment</v>
      </c>
    </row>
    <row r="445" spans="1:11">
      <c r="A445" t="s">
        <v>3066</v>
      </c>
      <c r="B445" t="s">
        <v>3068</v>
      </c>
      <c r="C445" t="s">
        <v>24</v>
      </c>
      <c r="D445" t="s">
        <v>385</v>
      </c>
      <c r="E445" t="s">
        <v>91</v>
      </c>
      <c r="F445" t="str">
        <f t="shared" si="12"/>
        <v>SMB</v>
      </c>
      <c r="G445">
        <f>_xlfn.XLOOKUP(D445,tblStates[state_code],tblStates[territory_id],"Needs Review - Territory")</f>
        <v>1</v>
      </c>
      <c r="H445" t="str">
        <f>IF(E445="","",_xlfn.XLOOKUP(E445,tblUsers[user_id],tblUsers[job_title],"Owner Not Found"))</f>
        <v>SMB Account Executive</v>
      </c>
      <c r="I445" t="str">
        <f>IF(E445="","",_xlfn.XLOOKUP(E445,tblUsers[user_id],tblUsers[segment],"Owner Not Found"))</f>
        <v>SMB</v>
      </c>
      <c r="J445">
        <f>IF(E445="","",_xlfn.XLOOKUP(E445,tblUsers[user_id],tblUsers[territory_id],"Owner Not Found"))</f>
        <v>1</v>
      </c>
      <c r="K445" t="str">
        <f t="shared" si="13"/>
        <v>Routing Compatible</v>
      </c>
    </row>
    <row r="446" spans="1:11">
      <c r="A446" t="s">
        <v>3069</v>
      </c>
      <c r="B446" t="s">
        <v>3071</v>
      </c>
      <c r="C446" t="s">
        <v>24</v>
      </c>
      <c r="D446" t="s">
        <v>64</v>
      </c>
      <c r="E446" t="s">
        <v>69</v>
      </c>
      <c r="F446" t="str">
        <f t="shared" si="12"/>
        <v>SMB</v>
      </c>
      <c r="G446">
        <f>_xlfn.XLOOKUP(D446,tblStates[state_code],tblStates[territory_id],"Needs Review - Territory")</f>
        <v>3</v>
      </c>
      <c r="H446" t="str">
        <f>IF(E446="","",_xlfn.XLOOKUP(E446,tblUsers[user_id],tblUsers[job_title],"Owner Not Found"))</f>
        <v>SMB Account Executive</v>
      </c>
      <c r="I446" t="str">
        <f>IF(E446="","",_xlfn.XLOOKUP(E446,tblUsers[user_id],tblUsers[segment],"Owner Not Found"))</f>
        <v>SMB</v>
      </c>
      <c r="J446">
        <f>IF(E446="","",_xlfn.XLOOKUP(E446,tblUsers[user_id],tblUsers[territory_id],"Owner Not Found"))</f>
        <v>3</v>
      </c>
      <c r="K446" t="str">
        <f t="shared" si="13"/>
        <v>Routing Compatible</v>
      </c>
    </row>
    <row r="447" spans="1:11">
      <c r="A447" t="s">
        <v>3072</v>
      </c>
      <c r="B447" t="s">
        <v>3074</v>
      </c>
      <c r="C447" t="s">
        <v>17</v>
      </c>
      <c r="D447" t="s">
        <v>46</v>
      </c>
      <c r="E447" t="s">
        <v>18</v>
      </c>
      <c r="F447" t="str">
        <f t="shared" si="12"/>
        <v>MM</v>
      </c>
      <c r="G447">
        <f>_xlfn.XLOOKUP(D447,tblStates[state_code],tblStates[territory_id],"Needs Review - Territory")</f>
        <v>1</v>
      </c>
      <c r="H447" t="str">
        <f>IF(E447="","",_xlfn.XLOOKUP(E447,tblUsers[user_id],tblUsers[job_title],"Owner Not Found"))</f>
        <v>Mid-Market Account Executive</v>
      </c>
      <c r="I447" t="str">
        <f>IF(E447="","",_xlfn.XLOOKUP(E447,tblUsers[user_id],tblUsers[segment],"Owner Not Found"))</f>
        <v>MM</v>
      </c>
      <c r="J447">
        <f>IF(E447="","",_xlfn.XLOOKUP(E447,tblUsers[user_id],tblUsers[territory_id],"Owner Not Found"))</f>
        <v>1</v>
      </c>
      <c r="K447" t="str">
        <f t="shared" si="13"/>
        <v>Routing Compatible</v>
      </c>
    </row>
    <row r="448" spans="1:11">
      <c r="A448" t="s">
        <v>3075</v>
      </c>
      <c r="B448" t="s">
        <v>3077</v>
      </c>
      <c r="C448" t="s">
        <v>24</v>
      </c>
      <c r="D448" t="s">
        <v>1039</v>
      </c>
      <c r="E448" t="s">
        <v>91</v>
      </c>
      <c r="F448" t="str">
        <f t="shared" si="12"/>
        <v>SMB</v>
      </c>
      <c r="G448">
        <f>_xlfn.XLOOKUP(D448,tblStates[state_code],tblStates[territory_id],"Needs Review - Territory")</f>
        <v>1</v>
      </c>
      <c r="H448" t="str">
        <f>IF(E448="","",_xlfn.XLOOKUP(E448,tblUsers[user_id],tblUsers[job_title],"Owner Not Found"))</f>
        <v>SMB Account Executive</v>
      </c>
      <c r="I448" t="str">
        <f>IF(E448="","",_xlfn.XLOOKUP(E448,tblUsers[user_id],tblUsers[segment],"Owner Not Found"))</f>
        <v>SMB</v>
      </c>
      <c r="J448">
        <f>IF(E448="","",_xlfn.XLOOKUP(E448,tblUsers[user_id],tblUsers[territory_id],"Owner Not Found"))</f>
        <v>1</v>
      </c>
      <c r="K448" t="str">
        <f t="shared" si="13"/>
        <v>Routing Compatible</v>
      </c>
    </row>
    <row r="449" spans="1:11">
      <c r="A449" t="s">
        <v>3078</v>
      </c>
      <c r="B449" t="s">
        <v>3080</v>
      </c>
      <c r="C449" t="s">
        <v>30</v>
      </c>
      <c r="D449" t="s">
        <v>140</v>
      </c>
      <c r="E449" t="s">
        <v>82</v>
      </c>
      <c r="F449" t="str">
        <f t="shared" si="12"/>
        <v>MM</v>
      </c>
      <c r="G449">
        <f>_xlfn.XLOOKUP(D449,tblStates[state_code],tblStates[territory_id],"Needs Review - Territory")</f>
        <v>2</v>
      </c>
      <c r="H449" t="str">
        <f>IF(E449="","",_xlfn.XLOOKUP(E449,tblUsers[user_id],tblUsers[job_title],"Owner Not Found"))</f>
        <v>Mid-Market Account Executive</v>
      </c>
      <c r="I449" t="str">
        <f>IF(E449="","",_xlfn.XLOOKUP(E449,tblUsers[user_id],tblUsers[segment],"Owner Not Found"))</f>
        <v>MM</v>
      </c>
      <c r="J449">
        <f>IF(E449="","",_xlfn.XLOOKUP(E449,tblUsers[user_id],tblUsers[territory_id],"Owner Not Found"))</f>
        <v>2</v>
      </c>
      <c r="K449" t="str">
        <f t="shared" si="13"/>
        <v>Routing Compatible</v>
      </c>
    </row>
    <row r="450" spans="1:11">
      <c r="A450" t="s">
        <v>3081</v>
      </c>
      <c r="B450" t="s">
        <v>3083</v>
      </c>
      <c r="C450" t="s">
        <v>24</v>
      </c>
      <c r="D450" t="s">
        <v>339</v>
      </c>
      <c r="E450" t="s">
        <v>69</v>
      </c>
      <c r="F450" t="str">
        <f t="shared" si="12"/>
        <v>SMB</v>
      </c>
      <c r="G450">
        <f>_xlfn.XLOOKUP(D450,tblStates[state_code],tblStates[territory_id],"Needs Review - Territory")</f>
        <v>3</v>
      </c>
      <c r="H450" t="str">
        <f>IF(E450="","",_xlfn.XLOOKUP(E450,tblUsers[user_id],tblUsers[job_title],"Owner Not Found"))</f>
        <v>SMB Account Executive</v>
      </c>
      <c r="I450" t="str">
        <f>IF(E450="","",_xlfn.XLOOKUP(E450,tblUsers[user_id],tblUsers[segment],"Owner Not Found"))</f>
        <v>SMB</v>
      </c>
      <c r="J450">
        <f>IF(E450="","",_xlfn.XLOOKUP(E450,tblUsers[user_id],tblUsers[territory_id],"Owner Not Found"))</f>
        <v>3</v>
      </c>
      <c r="K450" t="str">
        <f t="shared" si="13"/>
        <v>Routing Compatible</v>
      </c>
    </row>
    <row r="451" spans="1:11">
      <c r="A451" t="s">
        <v>3084</v>
      </c>
      <c r="B451" t="s">
        <v>3086</v>
      </c>
      <c r="C451" t="s">
        <v>30</v>
      </c>
      <c r="D451" t="s">
        <v>226</v>
      </c>
      <c r="E451" t="s">
        <v>55</v>
      </c>
      <c r="F451" t="str">
        <f t="shared" ref="F451:F514" si="14">IF(C451="SMB","SMB",IF(OR(C451="Mid-Market",C451="Upper Mid-Market"),"MM","Needs Review - Segment"))</f>
        <v>MM</v>
      </c>
      <c r="G451">
        <f>_xlfn.XLOOKUP(D451,tblStates[state_code],tblStates[territory_id],"Needs Review - Territory")</f>
        <v>3</v>
      </c>
      <c r="H451" t="str">
        <f>IF(E451="","",_xlfn.XLOOKUP(E451,tblUsers[user_id],tblUsers[job_title],"Owner Not Found"))</f>
        <v>Mid-Market Account Executive</v>
      </c>
      <c r="I451" t="str">
        <f>IF(E451="","",_xlfn.XLOOKUP(E451,tblUsers[user_id],tblUsers[segment],"Owner Not Found"))</f>
        <v>MM</v>
      </c>
      <c r="J451">
        <f>IF(E451="","",_xlfn.XLOOKUP(E451,tblUsers[user_id],tblUsers[territory_id],"Owner Not Found"))</f>
        <v>3</v>
      </c>
      <c r="K451" t="str">
        <f t="shared" ref="K451:K514" si="15">IF(E451="","Unassigned",IF(F451="Needs Review - Segment","Needs Review - Segment",IF(G451="Needs Review - Territory","Needs Review - Territory",IF(I451&lt;&gt;F451,"Wrong Segment",IF(AND(ISNUMBER(SEARCH("Account Executive",H451)),J451&lt;&gt;G451),"Wrong AE Territory",IF(OR(ISNUMBER(SEARCH("Account Executive",H451)),H451="Sales Development Representative"),"Routing Compatible","Unexpected Owner Role"))))))</f>
        <v>Routing Compatible</v>
      </c>
    </row>
    <row r="452" spans="1:11">
      <c r="A452" t="s">
        <v>3087</v>
      </c>
      <c r="B452" t="s">
        <v>3089</v>
      </c>
      <c r="C452" t="s">
        <v>17</v>
      </c>
      <c r="D452" t="s">
        <v>205</v>
      </c>
      <c r="E452" t="s">
        <v>59</v>
      </c>
      <c r="F452" t="str">
        <f t="shared" si="14"/>
        <v>MM</v>
      </c>
      <c r="G452">
        <f>_xlfn.XLOOKUP(D452,tblStates[state_code],tblStates[territory_id],"Needs Review - Territory")</f>
        <v>4</v>
      </c>
      <c r="H452" t="str">
        <f>IF(E452="","",_xlfn.XLOOKUP(E452,tblUsers[user_id],tblUsers[job_title],"Owner Not Found"))</f>
        <v>SMB Account Executive</v>
      </c>
      <c r="I452" t="str">
        <f>IF(E452="","",_xlfn.XLOOKUP(E452,tblUsers[user_id],tblUsers[segment],"Owner Not Found"))</f>
        <v>SMB</v>
      </c>
      <c r="J452">
        <f>IF(E452="","",_xlfn.XLOOKUP(E452,tblUsers[user_id],tblUsers[territory_id],"Owner Not Found"))</f>
        <v>4</v>
      </c>
      <c r="K452" t="str">
        <f t="shared" si="15"/>
        <v>Wrong Segment</v>
      </c>
    </row>
    <row r="453" spans="1:11">
      <c r="A453" t="s">
        <v>3090</v>
      </c>
      <c r="B453" t="s">
        <v>3092</v>
      </c>
      <c r="C453" t="s">
        <v>24</v>
      </c>
      <c r="D453" t="s">
        <v>23</v>
      </c>
      <c r="E453" t="s">
        <v>25</v>
      </c>
      <c r="F453" t="str">
        <f t="shared" si="14"/>
        <v>SMB</v>
      </c>
      <c r="G453">
        <f>_xlfn.XLOOKUP(D453,tblStates[state_code],tblStates[territory_id],"Needs Review - Territory")</f>
        <v>2</v>
      </c>
      <c r="H453" t="str">
        <f>IF(E453="","",_xlfn.XLOOKUP(E453,tblUsers[user_id],tblUsers[job_title],"Owner Not Found"))</f>
        <v>SMB Account Executive</v>
      </c>
      <c r="I453" t="str">
        <f>IF(E453="","",_xlfn.XLOOKUP(E453,tblUsers[user_id],tblUsers[segment],"Owner Not Found"))</f>
        <v>SMB</v>
      </c>
      <c r="J453">
        <f>IF(E453="","",_xlfn.XLOOKUP(E453,tblUsers[user_id],tblUsers[territory_id],"Owner Not Found"))</f>
        <v>2</v>
      </c>
      <c r="K453" t="str">
        <f t="shared" si="15"/>
        <v>Routing Compatible</v>
      </c>
    </row>
    <row r="454" spans="1:11">
      <c r="A454" t="s">
        <v>3093</v>
      </c>
      <c r="B454" t="s">
        <v>3095</v>
      </c>
      <c r="C454" t="s">
        <v>30</v>
      </c>
      <c r="D454" t="s">
        <v>249</v>
      </c>
      <c r="E454" t="s">
        <v>36</v>
      </c>
      <c r="F454" t="str">
        <f t="shared" si="14"/>
        <v>MM</v>
      </c>
      <c r="G454">
        <f>_xlfn.XLOOKUP(D454,tblStates[state_code],tblStates[territory_id],"Needs Review - Territory")</f>
        <v>4</v>
      </c>
      <c r="H454" t="str">
        <f>IF(E454="","",_xlfn.XLOOKUP(E454,tblUsers[user_id],tblUsers[job_title],"Owner Not Found"))</f>
        <v>Mid-Market Account Executive</v>
      </c>
      <c r="I454" t="str">
        <f>IF(E454="","",_xlfn.XLOOKUP(E454,tblUsers[user_id],tblUsers[segment],"Owner Not Found"))</f>
        <v>MM</v>
      </c>
      <c r="J454">
        <f>IF(E454="","",_xlfn.XLOOKUP(E454,tblUsers[user_id],tblUsers[territory_id],"Owner Not Found"))</f>
        <v>4</v>
      </c>
      <c r="K454" t="str">
        <f t="shared" si="15"/>
        <v>Routing Compatible</v>
      </c>
    </row>
    <row r="455" spans="1:11">
      <c r="A455" t="s">
        <v>3096</v>
      </c>
      <c r="B455" t="s">
        <v>3098</v>
      </c>
      <c r="C455" t="s">
        <v>30</v>
      </c>
      <c r="D455" t="s">
        <v>249</v>
      </c>
      <c r="E455" t="s">
        <v>55</v>
      </c>
      <c r="F455" t="str">
        <f t="shared" si="14"/>
        <v>MM</v>
      </c>
      <c r="G455">
        <f>_xlfn.XLOOKUP(D455,tblStates[state_code],tblStates[territory_id],"Needs Review - Territory")</f>
        <v>4</v>
      </c>
      <c r="H455" t="str">
        <f>IF(E455="","",_xlfn.XLOOKUP(E455,tblUsers[user_id],tblUsers[job_title],"Owner Not Found"))</f>
        <v>Mid-Market Account Executive</v>
      </c>
      <c r="I455" t="str">
        <f>IF(E455="","",_xlfn.XLOOKUP(E455,tblUsers[user_id],tblUsers[segment],"Owner Not Found"))</f>
        <v>MM</v>
      </c>
      <c r="J455">
        <f>IF(E455="","",_xlfn.XLOOKUP(E455,tblUsers[user_id],tblUsers[territory_id],"Owner Not Found"))</f>
        <v>3</v>
      </c>
      <c r="K455" t="str">
        <f t="shared" si="15"/>
        <v>Wrong AE Territory</v>
      </c>
    </row>
    <row r="456" spans="1:11">
      <c r="A456" t="s">
        <v>3099</v>
      </c>
      <c r="B456" t="s">
        <v>3101</v>
      </c>
      <c r="C456" t="s">
        <v>24</v>
      </c>
      <c r="D456" t="s">
        <v>205</v>
      </c>
      <c r="E456" t="s">
        <v>59</v>
      </c>
      <c r="F456" t="str">
        <f t="shared" si="14"/>
        <v>SMB</v>
      </c>
      <c r="G456">
        <f>_xlfn.XLOOKUP(D456,tblStates[state_code],tblStates[territory_id],"Needs Review - Territory")</f>
        <v>4</v>
      </c>
      <c r="H456" t="str">
        <f>IF(E456="","",_xlfn.XLOOKUP(E456,tblUsers[user_id],tblUsers[job_title],"Owner Not Found"))</f>
        <v>SMB Account Executive</v>
      </c>
      <c r="I456" t="str">
        <f>IF(E456="","",_xlfn.XLOOKUP(E456,tblUsers[user_id],tblUsers[segment],"Owner Not Found"))</f>
        <v>SMB</v>
      </c>
      <c r="J456">
        <f>IF(E456="","",_xlfn.XLOOKUP(E456,tblUsers[user_id],tblUsers[territory_id],"Owner Not Found"))</f>
        <v>4</v>
      </c>
      <c r="K456" t="str">
        <f t="shared" si="15"/>
        <v>Routing Compatible</v>
      </c>
    </row>
    <row r="457" spans="1:11">
      <c r="A457" t="s">
        <v>3102</v>
      </c>
      <c r="B457" t="s">
        <v>3104</v>
      </c>
      <c r="C457" t="s">
        <v>30</v>
      </c>
      <c r="D457" t="s">
        <v>154</v>
      </c>
      <c r="E457" t="s">
        <v>82</v>
      </c>
      <c r="F457" t="str">
        <f t="shared" si="14"/>
        <v>MM</v>
      </c>
      <c r="G457">
        <f>_xlfn.XLOOKUP(D457,tblStates[state_code],tblStates[territory_id],"Needs Review - Territory")</f>
        <v>2</v>
      </c>
      <c r="H457" t="str">
        <f>IF(E457="","",_xlfn.XLOOKUP(E457,tblUsers[user_id],tblUsers[job_title],"Owner Not Found"))</f>
        <v>Mid-Market Account Executive</v>
      </c>
      <c r="I457" t="str">
        <f>IF(E457="","",_xlfn.XLOOKUP(E457,tblUsers[user_id],tblUsers[segment],"Owner Not Found"))</f>
        <v>MM</v>
      </c>
      <c r="J457">
        <f>IF(E457="","",_xlfn.XLOOKUP(E457,tblUsers[user_id],tblUsers[territory_id],"Owner Not Found"))</f>
        <v>2</v>
      </c>
      <c r="K457" t="str">
        <f t="shared" si="15"/>
        <v>Routing Compatible</v>
      </c>
    </row>
    <row r="458" spans="1:11">
      <c r="A458" t="s">
        <v>3105</v>
      </c>
      <c r="B458" t="s">
        <v>3107</v>
      </c>
      <c r="C458" t="s">
        <v>30</v>
      </c>
      <c r="D458" t="s">
        <v>140</v>
      </c>
      <c r="E458" t="s">
        <v>82</v>
      </c>
      <c r="F458" t="str">
        <f t="shared" si="14"/>
        <v>MM</v>
      </c>
      <c r="G458">
        <f>_xlfn.XLOOKUP(D458,tblStates[state_code],tblStates[territory_id],"Needs Review - Territory")</f>
        <v>2</v>
      </c>
      <c r="H458" t="str">
        <f>IF(E458="","",_xlfn.XLOOKUP(E458,tblUsers[user_id],tblUsers[job_title],"Owner Not Found"))</f>
        <v>Mid-Market Account Executive</v>
      </c>
      <c r="I458" t="str">
        <f>IF(E458="","",_xlfn.XLOOKUP(E458,tblUsers[user_id],tblUsers[segment],"Owner Not Found"))</f>
        <v>MM</v>
      </c>
      <c r="J458">
        <f>IF(E458="","",_xlfn.XLOOKUP(E458,tblUsers[user_id],tblUsers[territory_id],"Owner Not Found"))</f>
        <v>2</v>
      </c>
      <c r="K458" t="str">
        <f t="shared" si="15"/>
        <v>Routing Compatible</v>
      </c>
    </row>
    <row r="459" spans="1:11">
      <c r="A459" t="s">
        <v>3108</v>
      </c>
      <c r="B459" t="s">
        <v>3110</v>
      </c>
      <c r="C459" t="s">
        <v>24</v>
      </c>
      <c r="D459" t="s">
        <v>50</v>
      </c>
      <c r="E459" t="s">
        <v>59</v>
      </c>
      <c r="F459" t="str">
        <f t="shared" si="14"/>
        <v>SMB</v>
      </c>
      <c r="G459">
        <f>_xlfn.XLOOKUP(D459,tblStates[state_code],tblStates[territory_id],"Needs Review - Territory")</f>
        <v>4</v>
      </c>
      <c r="H459" t="str">
        <f>IF(E459="","",_xlfn.XLOOKUP(E459,tblUsers[user_id],tblUsers[job_title],"Owner Not Found"))</f>
        <v>SMB Account Executive</v>
      </c>
      <c r="I459" t="str">
        <f>IF(E459="","",_xlfn.XLOOKUP(E459,tblUsers[user_id],tblUsers[segment],"Owner Not Found"))</f>
        <v>SMB</v>
      </c>
      <c r="J459">
        <f>IF(E459="","",_xlfn.XLOOKUP(E459,tblUsers[user_id],tblUsers[territory_id],"Owner Not Found"))</f>
        <v>4</v>
      </c>
      <c r="K459" t="str">
        <f t="shared" si="15"/>
        <v>Routing Compatible</v>
      </c>
    </row>
    <row r="460" spans="1:11">
      <c r="A460" t="s">
        <v>3111</v>
      </c>
      <c r="B460" t="s">
        <v>3113</v>
      </c>
      <c r="C460" t="s">
        <v>30</v>
      </c>
      <c r="D460" t="s">
        <v>1042</v>
      </c>
      <c r="E460" t="s">
        <v>18</v>
      </c>
      <c r="F460" t="str">
        <f t="shared" si="14"/>
        <v>MM</v>
      </c>
      <c r="G460">
        <f>_xlfn.XLOOKUP(D460,tblStates[state_code],tblStates[territory_id],"Needs Review - Territory")</f>
        <v>1</v>
      </c>
      <c r="H460" t="str">
        <f>IF(E460="","",_xlfn.XLOOKUP(E460,tblUsers[user_id],tblUsers[job_title],"Owner Not Found"))</f>
        <v>Mid-Market Account Executive</v>
      </c>
      <c r="I460" t="str">
        <f>IF(E460="","",_xlfn.XLOOKUP(E460,tblUsers[user_id],tblUsers[segment],"Owner Not Found"))</f>
        <v>MM</v>
      </c>
      <c r="J460">
        <f>IF(E460="","",_xlfn.XLOOKUP(E460,tblUsers[user_id],tblUsers[territory_id],"Owner Not Found"))</f>
        <v>1</v>
      </c>
      <c r="K460" t="str">
        <f t="shared" si="15"/>
        <v>Routing Compatible</v>
      </c>
    </row>
    <row r="461" spans="1:11">
      <c r="A461" t="s">
        <v>3114</v>
      </c>
      <c r="B461" t="s">
        <v>3116</v>
      </c>
      <c r="C461" t="s">
        <v>24</v>
      </c>
      <c r="D461" t="s">
        <v>16</v>
      </c>
      <c r="E461" t="s">
        <v>91</v>
      </c>
      <c r="F461" t="str">
        <f t="shared" si="14"/>
        <v>SMB</v>
      </c>
      <c r="G461">
        <f>_xlfn.XLOOKUP(D461,tblStates[state_code],tblStates[territory_id],"Needs Review - Territory")</f>
        <v>1</v>
      </c>
      <c r="H461" t="str">
        <f>IF(E461="","",_xlfn.XLOOKUP(E461,tblUsers[user_id],tblUsers[job_title],"Owner Not Found"))</f>
        <v>SMB Account Executive</v>
      </c>
      <c r="I461" t="str">
        <f>IF(E461="","",_xlfn.XLOOKUP(E461,tblUsers[user_id],tblUsers[segment],"Owner Not Found"))</f>
        <v>SMB</v>
      </c>
      <c r="J461">
        <f>IF(E461="","",_xlfn.XLOOKUP(E461,tblUsers[user_id],tblUsers[territory_id],"Owner Not Found"))</f>
        <v>1</v>
      </c>
      <c r="K461" t="str">
        <f t="shared" si="15"/>
        <v>Routing Compatible</v>
      </c>
    </row>
    <row r="462" spans="1:11">
      <c r="A462" t="s">
        <v>3117</v>
      </c>
      <c r="B462" t="s">
        <v>3119</v>
      </c>
      <c r="C462" t="s">
        <v>24</v>
      </c>
      <c r="D462" t="s">
        <v>140</v>
      </c>
      <c r="E462" t="s">
        <v>25</v>
      </c>
      <c r="F462" t="str">
        <f t="shared" si="14"/>
        <v>SMB</v>
      </c>
      <c r="G462">
        <f>_xlfn.XLOOKUP(D462,tblStates[state_code],tblStates[territory_id],"Needs Review - Territory")</f>
        <v>2</v>
      </c>
      <c r="H462" t="str">
        <f>IF(E462="","",_xlfn.XLOOKUP(E462,tblUsers[user_id],tblUsers[job_title],"Owner Not Found"))</f>
        <v>SMB Account Executive</v>
      </c>
      <c r="I462" t="str">
        <f>IF(E462="","",_xlfn.XLOOKUP(E462,tblUsers[user_id],tblUsers[segment],"Owner Not Found"))</f>
        <v>SMB</v>
      </c>
      <c r="J462">
        <f>IF(E462="","",_xlfn.XLOOKUP(E462,tblUsers[user_id],tblUsers[territory_id],"Owner Not Found"))</f>
        <v>2</v>
      </c>
      <c r="K462" t="str">
        <f t="shared" si="15"/>
        <v>Routing Compatible</v>
      </c>
    </row>
    <row r="463" spans="1:11">
      <c r="A463" t="s">
        <v>3120</v>
      </c>
      <c r="B463" t="s">
        <v>3122</v>
      </c>
      <c r="C463" t="s">
        <v>30</v>
      </c>
      <c r="D463" t="s">
        <v>23</v>
      </c>
      <c r="E463" t="s">
        <v>82</v>
      </c>
      <c r="F463" t="str">
        <f t="shared" si="14"/>
        <v>MM</v>
      </c>
      <c r="G463">
        <f>_xlfn.XLOOKUP(D463,tblStates[state_code],tblStates[territory_id],"Needs Review - Territory")</f>
        <v>2</v>
      </c>
      <c r="H463" t="str">
        <f>IF(E463="","",_xlfn.XLOOKUP(E463,tblUsers[user_id],tblUsers[job_title],"Owner Not Found"))</f>
        <v>Mid-Market Account Executive</v>
      </c>
      <c r="I463" t="str">
        <f>IF(E463="","",_xlfn.XLOOKUP(E463,tblUsers[user_id],tblUsers[segment],"Owner Not Found"))</f>
        <v>MM</v>
      </c>
      <c r="J463">
        <f>IF(E463="","",_xlfn.XLOOKUP(E463,tblUsers[user_id],tblUsers[territory_id],"Owner Not Found"))</f>
        <v>2</v>
      </c>
      <c r="K463" t="str">
        <f t="shared" si="15"/>
        <v>Routing Compatible</v>
      </c>
    </row>
    <row r="464" spans="1:11">
      <c r="A464" t="s">
        <v>3123</v>
      </c>
      <c r="B464" t="s">
        <v>3125</v>
      </c>
      <c r="C464" t="s">
        <v>30</v>
      </c>
      <c r="D464" t="s">
        <v>50</v>
      </c>
      <c r="E464" t="s">
        <v>36</v>
      </c>
      <c r="F464" t="str">
        <f t="shared" si="14"/>
        <v>MM</v>
      </c>
      <c r="G464">
        <f>_xlfn.XLOOKUP(D464,tblStates[state_code],tblStates[territory_id],"Needs Review - Territory")</f>
        <v>4</v>
      </c>
      <c r="H464" t="str">
        <f>IF(E464="","",_xlfn.XLOOKUP(E464,tblUsers[user_id],tblUsers[job_title],"Owner Not Found"))</f>
        <v>Mid-Market Account Executive</v>
      </c>
      <c r="I464" t="str">
        <f>IF(E464="","",_xlfn.XLOOKUP(E464,tblUsers[user_id],tblUsers[segment],"Owner Not Found"))</f>
        <v>MM</v>
      </c>
      <c r="J464">
        <f>IF(E464="","",_xlfn.XLOOKUP(E464,tblUsers[user_id],tblUsers[territory_id],"Owner Not Found"))</f>
        <v>4</v>
      </c>
      <c r="K464" t="str">
        <f t="shared" si="15"/>
        <v>Routing Compatible</v>
      </c>
    </row>
    <row r="465" spans="1:11">
      <c r="A465" t="s">
        <v>3126</v>
      </c>
      <c r="B465" t="s">
        <v>3128</v>
      </c>
      <c r="C465" t="s">
        <v>24</v>
      </c>
      <c r="D465" t="s">
        <v>216</v>
      </c>
      <c r="E465" t="s">
        <v>36</v>
      </c>
      <c r="F465" t="str">
        <f t="shared" si="14"/>
        <v>SMB</v>
      </c>
      <c r="G465">
        <f>_xlfn.XLOOKUP(D465,tblStates[state_code],tblStates[territory_id],"Needs Review - Territory")</f>
        <v>1</v>
      </c>
      <c r="H465" t="str">
        <f>IF(E465="","",_xlfn.XLOOKUP(E465,tblUsers[user_id],tblUsers[job_title],"Owner Not Found"))</f>
        <v>Mid-Market Account Executive</v>
      </c>
      <c r="I465" t="str">
        <f>IF(E465="","",_xlfn.XLOOKUP(E465,tblUsers[user_id],tblUsers[segment],"Owner Not Found"))</f>
        <v>MM</v>
      </c>
      <c r="J465">
        <f>IF(E465="","",_xlfn.XLOOKUP(E465,tblUsers[user_id],tblUsers[territory_id],"Owner Not Found"))</f>
        <v>4</v>
      </c>
      <c r="K465" t="str">
        <f t="shared" si="15"/>
        <v>Wrong Segment</v>
      </c>
    </row>
    <row r="466" spans="1:11">
      <c r="A466" t="s">
        <v>3129</v>
      </c>
      <c r="B466" t="s">
        <v>3131</v>
      </c>
      <c r="C466" t="s">
        <v>24</v>
      </c>
      <c r="D466" t="s">
        <v>81</v>
      </c>
      <c r="E466" t="s">
        <v>91</v>
      </c>
      <c r="F466" t="str">
        <f t="shared" si="14"/>
        <v>SMB</v>
      </c>
      <c r="G466">
        <f>_xlfn.XLOOKUP(D466,tblStates[state_code],tblStates[territory_id],"Needs Review - Territory")</f>
        <v>2</v>
      </c>
      <c r="H466" t="str">
        <f>IF(E466="","",_xlfn.XLOOKUP(E466,tblUsers[user_id],tblUsers[job_title],"Owner Not Found"))</f>
        <v>SMB Account Executive</v>
      </c>
      <c r="I466" t="str">
        <f>IF(E466="","",_xlfn.XLOOKUP(E466,tblUsers[user_id],tblUsers[segment],"Owner Not Found"))</f>
        <v>SMB</v>
      </c>
      <c r="J466">
        <f>IF(E466="","",_xlfn.XLOOKUP(E466,tblUsers[user_id],tblUsers[territory_id],"Owner Not Found"))</f>
        <v>1</v>
      </c>
      <c r="K466" t="str">
        <f t="shared" si="15"/>
        <v>Wrong AE Territory</v>
      </c>
    </row>
    <row r="467" spans="1:11">
      <c r="A467" t="s">
        <v>3132</v>
      </c>
      <c r="B467" t="s">
        <v>3134</v>
      </c>
      <c r="C467" t="s">
        <v>24</v>
      </c>
      <c r="D467" t="s">
        <v>16</v>
      </c>
      <c r="E467" t="s">
        <v>91</v>
      </c>
      <c r="F467" t="str">
        <f t="shared" si="14"/>
        <v>SMB</v>
      </c>
      <c r="G467">
        <f>_xlfn.XLOOKUP(D467,tblStates[state_code],tblStates[territory_id],"Needs Review - Territory")</f>
        <v>1</v>
      </c>
      <c r="H467" t="str">
        <f>IF(E467="","",_xlfn.XLOOKUP(E467,tblUsers[user_id],tblUsers[job_title],"Owner Not Found"))</f>
        <v>SMB Account Executive</v>
      </c>
      <c r="I467" t="str">
        <f>IF(E467="","",_xlfn.XLOOKUP(E467,tblUsers[user_id],tblUsers[segment],"Owner Not Found"))</f>
        <v>SMB</v>
      </c>
      <c r="J467">
        <f>IF(E467="","",_xlfn.XLOOKUP(E467,tblUsers[user_id],tblUsers[territory_id],"Owner Not Found"))</f>
        <v>1</v>
      </c>
      <c r="K467" t="str">
        <f t="shared" si="15"/>
        <v>Routing Compatible</v>
      </c>
    </row>
    <row r="468" spans="1:11">
      <c r="A468" t="s">
        <v>3135</v>
      </c>
      <c r="B468" t="s">
        <v>3137</v>
      </c>
      <c r="C468" t="s">
        <v>24</v>
      </c>
      <c r="D468" t="s">
        <v>295</v>
      </c>
      <c r="E468" t="s">
        <v>25</v>
      </c>
      <c r="F468" t="str">
        <f t="shared" si="14"/>
        <v>SMB</v>
      </c>
      <c r="G468">
        <f>_xlfn.XLOOKUP(D468,tblStates[state_code],tblStates[territory_id],"Needs Review - Territory")</f>
        <v>2</v>
      </c>
      <c r="H468" t="str">
        <f>IF(E468="","",_xlfn.XLOOKUP(E468,tblUsers[user_id],tblUsers[job_title],"Owner Not Found"))</f>
        <v>SMB Account Executive</v>
      </c>
      <c r="I468" t="str">
        <f>IF(E468="","",_xlfn.XLOOKUP(E468,tblUsers[user_id],tblUsers[segment],"Owner Not Found"))</f>
        <v>SMB</v>
      </c>
      <c r="J468">
        <f>IF(E468="","",_xlfn.XLOOKUP(E468,tblUsers[user_id],tblUsers[territory_id],"Owner Not Found"))</f>
        <v>2</v>
      </c>
      <c r="K468" t="str">
        <f t="shared" si="15"/>
        <v>Routing Compatible</v>
      </c>
    </row>
    <row r="469" spans="1:11">
      <c r="A469" t="s">
        <v>3138</v>
      </c>
      <c r="B469" t="s">
        <v>3140</v>
      </c>
      <c r="C469" t="s">
        <v>30</v>
      </c>
      <c r="D469" t="s">
        <v>35</v>
      </c>
      <c r="E469" t="s">
        <v>36</v>
      </c>
      <c r="F469" t="str">
        <f t="shared" si="14"/>
        <v>MM</v>
      </c>
      <c r="G469">
        <f>_xlfn.XLOOKUP(D469,tblStates[state_code],tblStates[territory_id],"Needs Review - Territory")</f>
        <v>4</v>
      </c>
      <c r="H469" t="str">
        <f>IF(E469="","",_xlfn.XLOOKUP(E469,tblUsers[user_id],tblUsers[job_title],"Owner Not Found"))</f>
        <v>Mid-Market Account Executive</v>
      </c>
      <c r="I469" t="str">
        <f>IF(E469="","",_xlfn.XLOOKUP(E469,tblUsers[user_id],tblUsers[segment],"Owner Not Found"))</f>
        <v>MM</v>
      </c>
      <c r="J469">
        <f>IF(E469="","",_xlfn.XLOOKUP(E469,tblUsers[user_id],tblUsers[territory_id],"Owner Not Found"))</f>
        <v>4</v>
      </c>
      <c r="K469" t="str">
        <f t="shared" si="15"/>
        <v>Routing Compatible</v>
      </c>
    </row>
    <row r="470" spans="1:11">
      <c r="A470" t="s">
        <v>3141</v>
      </c>
      <c r="B470" t="s">
        <v>3143</v>
      </c>
      <c r="C470" t="s">
        <v>24</v>
      </c>
      <c r="D470" t="s">
        <v>212</v>
      </c>
      <c r="E470" t="s">
        <v>69</v>
      </c>
      <c r="F470" t="str">
        <f t="shared" si="14"/>
        <v>SMB</v>
      </c>
      <c r="G470">
        <f>_xlfn.XLOOKUP(D470,tblStates[state_code],tblStates[territory_id],"Needs Review - Territory")</f>
        <v>3</v>
      </c>
      <c r="H470" t="str">
        <f>IF(E470="","",_xlfn.XLOOKUP(E470,tblUsers[user_id],tblUsers[job_title],"Owner Not Found"))</f>
        <v>SMB Account Executive</v>
      </c>
      <c r="I470" t="str">
        <f>IF(E470="","",_xlfn.XLOOKUP(E470,tblUsers[user_id],tblUsers[segment],"Owner Not Found"))</f>
        <v>SMB</v>
      </c>
      <c r="J470">
        <f>IF(E470="","",_xlfn.XLOOKUP(E470,tblUsers[user_id],tblUsers[territory_id],"Owner Not Found"))</f>
        <v>3</v>
      </c>
      <c r="K470" t="str">
        <f t="shared" si="15"/>
        <v>Routing Compatible</v>
      </c>
    </row>
    <row r="471" spans="1:11">
      <c r="A471" t="s">
        <v>3144</v>
      </c>
      <c r="B471" t="s">
        <v>3146</v>
      </c>
      <c r="C471" t="s">
        <v>24</v>
      </c>
      <c r="D471" t="s">
        <v>576</v>
      </c>
      <c r="E471" t="s">
        <v>25</v>
      </c>
      <c r="F471" t="str">
        <f t="shared" si="14"/>
        <v>SMB</v>
      </c>
      <c r="G471">
        <f>_xlfn.XLOOKUP(D471,tblStates[state_code],tblStates[territory_id],"Needs Review - Territory")</f>
        <v>2</v>
      </c>
      <c r="H471" t="str">
        <f>IF(E471="","",_xlfn.XLOOKUP(E471,tblUsers[user_id],tblUsers[job_title],"Owner Not Found"))</f>
        <v>SMB Account Executive</v>
      </c>
      <c r="I471" t="str">
        <f>IF(E471="","",_xlfn.XLOOKUP(E471,tblUsers[user_id],tblUsers[segment],"Owner Not Found"))</f>
        <v>SMB</v>
      </c>
      <c r="J471">
        <f>IF(E471="","",_xlfn.XLOOKUP(E471,tblUsers[user_id],tblUsers[territory_id],"Owner Not Found"))</f>
        <v>2</v>
      </c>
      <c r="K471" t="str">
        <f t="shared" si="15"/>
        <v>Routing Compatible</v>
      </c>
    </row>
    <row r="472" spans="1:11">
      <c r="A472" t="s">
        <v>3147</v>
      </c>
      <c r="B472" t="s">
        <v>3149</v>
      </c>
      <c r="C472" t="s">
        <v>24</v>
      </c>
      <c r="D472" t="s">
        <v>50</v>
      </c>
      <c r="E472" t="s">
        <v>59</v>
      </c>
      <c r="F472" t="str">
        <f t="shared" si="14"/>
        <v>SMB</v>
      </c>
      <c r="G472">
        <f>_xlfn.XLOOKUP(D472,tblStates[state_code],tblStates[territory_id],"Needs Review - Territory")</f>
        <v>4</v>
      </c>
      <c r="H472" t="str">
        <f>IF(E472="","",_xlfn.XLOOKUP(E472,tblUsers[user_id],tblUsers[job_title],"Owner Not Found"))</f>
        <v>SMB Account Executive</v>
      </c>
      <c r="I472" t="str">
        <f>IF(E472="","",_xlfn.XLOOKUP(E472,tblUsers[user_id],tblUsers[segment],"Owner Not Found"))</f>
        <v>SMB</v>
      </c>
      <c r="J472">
        <f>IF(E472="","",_xlfn.XLOOKUP(E472,tblUsers[user_id],tblUsers[territory_id],"Owner Not Found"))</f>
        <v>4</v>
      </c>
      <c r="K472" t="str">
        <f t="shared" si="15"/>
        <v>Routing Compatible</v>
      </c>
    </row>
    <row r="473" spans="1:11">
      <c r="A473" t="s">
        <v>3150</v>
      </c>
      <c r="B473" t="s">
        <v>3152</v>
      </c>
      <c r="C473" t="s">
        <v>17</v>
      </c>
      <c r="D473" t="s">
        <v>68</v>
      </c>
      <c r="E473" t="s">
        <v>55</v>
      </c>
      <c r="F473" t="str">
        <f t="shared" si="14"/>
        <v>MM</v>
      </c>
      <c r="G473">
        <f>_xlfn.XLOOKUP(D473,tblStates[state_code],tblStates[territory_id],"Needs Review - Territory")</f>
        <v>3</v>
      </c>
      <c r="H473" t="str">
        <f>IF(E473="","",_xlfn.XLOOKUP(E473,tblUsers[user_id],tblUsers[job_title],"Owner Not Found"))</f>
        <v>Mid-Market Account Executive</v>
      </c>
      <c r="I473" t="str">
        <f>IF(E473="","",_xlfn.XLOOKUP(E473,tblUsers[user_id],tblUsers[segment],"Owner Not Found"))</f>
        <v>MM</v>
      </c>
      <c r="J473">
        <f>IF(E473="","",_xlfn.XLOOKUP(E473,tblUsers[user_id],tblUsers[territory_id],"Owner Not Found"))</f>
        <v>3</v>
      </c>
      <c r="K473" t="str">
        <f t="shared" si="15"/>
        <v>Routing Compatible</v>
      </c>
    </row>
    <row r="474" spans="1:11">
      <c r="A474" t="s">
        <v>3153</v>
      </c>
      <c r="B474" t="s">
        <v>3155</v>
      </c>
      <c r="D474" t="s">
        <v>50</v>
      </c>
      <c r="F474" t="str">
        <f t="shared" si="14"/>
        <v>Needs Review - Segment</v>
      </c>
      <c r="G474">
        <f>_xlfn.XLOOKUP(D474,tblStates[state_code],tblStates[territory_id],"Needs Review - Territory")</f>
        <v>4</v>
      </c>
      <c r="H474" t="str">
        <f>IF(E474="","",_xlfn.XLOOKUP(E474,tblUsers[user_id],tblUsers[job_title],"Owner Not Found"))</f>
        <v/>
      </c>
      <c r="I474" t="str">
        <f>IF(E474="","",_xlfn.XLOOKUP(E474,tblUsers[user_id],tblUsers[segment],"Owner Not Found"))</f>
        <v/>
      </c>
      <c r="J474" t="str">
        <f>IF(E474="","",_xlfn.XLOOKUP(E474,tblUsers[user_id],tblUsers[territory_id],"Owner Not Found"))</f>
        <v/>
      </c>
      <c r="K474" t="str">
        <f t="shared" si="15"/>
        <v>Unassigned</v>
      </c>
    </row>
    <row r="475" spans="1:11">
      <c r="A475" t="s">
        <v>3156</v>
      </c>
      <c r="B475" t="s">
        <v>3158</v>
      </c>
      <c r="C475" t="s">
        <v>30</v>
      </c>
      <c r="D475" t="s">
        <v>560</v>
      </c>
      <c r="E475" t="s">
        <v>82</v>
      </c>
      <c r="F475" t="str">
        <f t="shared" si="14"/>
        <v>MM</v>
      </c>
      <c r="G475">
        <f>_xlfn.XLOOKUP(D475,tblStates[state_code],tblStates[territory_id],"Needs Review - Territory")</f>
        <v>2</v>
      </c>
      <c r="H475" t="str">
        <f>IF(E475="","",_xlfn.XLOOKUP(E475,tblUsers[user_id],tblUsers[job_title],"Owner Not Found"))</f>
        <v>Mid-Market Account Executive</v>
      </c>
      <c r="I475" t="str">
        <f>IF(E475="","",_xlfn.XLOOKUP(E475,tblUsers[user_id],tblUsers[segment],"Owner Not Found"))</f>
        <v>MM</v>
      </c>
      <c r="J475">
        <f>IF(E475="","",_xlfn.XLOOKUP(E475,tblUsers[user_id],tblUsers[territory_id],"Owner Not Found"))</f>
        <v>2</v>
      </c>
      <c r="K475" t="str">
        <f t="shared" si="15"/>
        <v>Routing Compatible</v>
      </c>
    </row>
    <row r="476" spans="1:11">
      <c r="A476" t="s">
        <v>3159</v>
      </c>
      <c r="B476" t="s">
        <v>3161</v>
      </c>
      <c r="C476" t="s">
        <v>24</v>
      </c>
      <c r="D476" t="s">
        <v>226</v>
      </c>
      <c r="E476" t="s">
        <v>69</v>
      </c>
      <c r="F476" t="str">
        <f t="shared" si="14"/>
        <v>SMB</v>
      </c>
      <c r="G476">
        <f>_xlfn.XLOOKUP(D476,tblStates[state_code],tblStates[territory_id],"Needs Review - Territory")</f>
        <v>3</v>
      </c>
      <c r="H476" t="str">
        <f>IF(E476="","",_xlfn.XLOOKUP(E476,tblUsers[user_id],tblUsers[job_title],"Owner Not Found"))</f>
        <v>SMB Account Executive</v>
      </c>
      <c r="I476" t="str">
        <f>IF(E476="","",_xlfn.XLOOKUP(E476,tblUsers[user_id],tblUsers[segment],"Owner Not Found"))</f>
        <v>SMB</v>
      </c>
      <c r="J476">
        <f>IF(E476="","",_xlfn.XLOOKUP(E476,tblUsers[user_id],tblUsers[territory_id],"Owner Not Found"))</f>
        <v>3</v>
      </c>
      <c r="K476" t="str">
        <f t="shared" si="15"/>
        <v>Routing Compatible</v>
      </c>
    </row>
    <row r="477" spans="1:11">
      <c r="A477" t="s">
        <v>3162</v>
      </c>
      <c r="B477" t="s">
        <v>3164</v>
      </c>
      <c r="C477" t="s">
        <v>24</v>
      </c>
      <c r="D477" t="s">
        <v>64</v>
      </c>
      <c r="E477" t="s">
        <v>69</v>
      </c>
      <c r="F477" t="str">
        <f t="shared" si="14"/>
        <v>SMB</v>
      </c>
      <c r="G477">
        <f>_xlfn.XLOOKUP(D477,tblStates[state_code],tblStates[territory_id],"Needs Review - Territory")</f>
        <v>3</v>
      </c>
      <c r="H477" t="str">
        <f>IF(E477="","",_xlfn.XLOOKUP(E477,tblUsers[user_id],tblUsers[job_title],"Owner Not Found"))</f>
        <v>SMB Account Executive</v>
      </c>
      <c r="I477" t="str">
        <f>IF(E477="","",_xlfn.XLOOKUP(E477,tblUsers[user_id],tblUsers[segment],"Owner Not Found"))</f>
        <v>SMB</v>
      </c>
      <c r="J477">
        <f>IF(E477="","",_xlfn.XLOOKUP(E477,tblUsers[user_id],tblUsers[territory_id],"Owner Not Found"))</f>
        <v>3</v>
      </c>
      <c r="K477" t="str">
        <f t="shared" si="15"/>
        <v>Routing Compatible</v>
      </c>
    </row>
    <row r="478" spans="1:11">
      <c r="A478" t="s">
        <v>3165</v>
      </c>
      <c r="B478" t="s">
        <v>3167</v>
      </c>
      <c r="C478" t="s">
        <v>24</v>
      </c>
      <c r="D478" t="s">
        <v>295</v>
      </c>
      <c r="E478" t="s">
        <v>25</v>
      </c>
      <c r="F478" t="str">
        <f t="shared" si="14"/>
        <v>SMB</v>
      </c>
      <c r="G478">
        <f>_xlfn.XLOOKUP(D478,tblStates[state_code],tblStates[territory_id],"Needs Review - Territory")</f>
        <v>2</v>
      </c>
      <c r="H478" t="str">
        <f>IF(E478="","",_xlfn.XLOOKUP(E478,tblUsers[user_id],tblUsers[job_title],"Owner Not Found"))</f>
        <v>SMB Account Executive</v>
      </c>
      <c r="I478" t="str">
        <f>IF(E478="","",_xlfn.XLOOKUP(E478,tblUsers[user_id],tblUsers[segment],"Owner Not Found"))</f>
        <v>SMB</v>
      </c>
      <c r="J478">
        <f>IF(E478="","",_xlfn.XLOOKUP(E478,tblUsers[user_id],tblUsers[territory_id],"Owner Not Found"))</f>
        <v>2</v>
      </c>
      <c r="K478" t="str">
        <f t="shared" si="15"/>
        <v>Routing Compatible</v>
      </c>
    </row>
    <row r="479" spans="1:11">
      <c r="A479" t="s">
        <v>3168</v>
      </c>
      <c r="B479" t="s">
        <v>3171</v>
      </c>
      <c r="C479" t="s">
        <v>24</v>
      </c>
      <c r="D479" t="s">
        <v>50</v>
      </c>
      <c r="E479" t="s">
        <v>59</v>
      </c>
      <c r="F479" t="str">
        <f t="shared" si="14"/>
        <v>SMB</v>
      </c>
      <c r="G479">
        <f>_xlfn.XLOOKUP(D479,tblStates[state_code],tblStates[territory_id],"Needs Review - Territory")</f>
        <v>4</v>
      </c>
      <c r="H479" t="str">
        <f>IF(E479="","",_xlfn.XLOOKUP(E479,tblUsers[user_id],tblUsers[job_title],"Owner Not Found"))</f>
        <v>SMB Account Executive</v>
      </c>
      <c r="I479" t="str">
        <f>IF(E479="","",_xlfn.XLOOKUP(E479,tblUsers[user_id],tblUsers[segment],"Owner Not Found"))</f>
        <v>SMB</v>
      </c>
      <c r="J479">
        <f>IF(E479="","",_xlfn.XLOOKUP(E479,tblUsers[user_id],tblUsers[territory_id],"Owner Not Found"))</f>
        <v>4</v>
      </c>
      <c r="K479" t="str">
        <f t="shared" si="15"/>
        <v>Routing Compatible</v>
      </c>
    </row>
    <row r="480" spans="1:11">
      <c r="A480" t="s">
        <v>3172</v>
      </c>
      <c r="B480" t="s">
        <v>3174</v>
      </c>
      <c r="C480" t="s">
        <v>24</v>
      </c>
      <c r="D480" t="s">
        <v>23</v>
      </c>
      <c r="E480" t="s">
        <v>25</v>
      </c>
      <c r="F480" t="str">
        <f t="shared" si="14"/>
        <v>SMB</v>
      </c>
      <c r="G480">
        <f>_xlfn.XLOOKUP(D480,tblStates[state_code],tblStates[territory_id],"Needs Review - Territory")</f>
        <v>2</v>
      </c>
      <c r="H480" t="str">
        <f>IF(E480="","",_xlfn.XLOOKUP(E480,tblUsers[user_id],tblUsers[job_title],"Owner Not Found"))</f>
        <v>SMB Account Executive</v>
      </c>
      <c r="I480" t="str">
        <f>IF(E480="","",_xlfn.XLOOKUP(E480,tblUsers[user_id],tblUsers[segment],"Owner Not Found"))</f>
        <v>SMB</v>
      </c>
      <c r="J480">
        <f>IF(E480="","",_xlfn.XLOOKUP(E480,tblUsers[user_id],tblUsers[territory_id],"Owner Not Found"))</f>
        <v>2</v>
      </c>
      <c r="K480" t="str">
        <f t="shared" si="15"/>
        <v>Routing Compatible</v>
      </c>
    </row>
    <row r="481" spans="1:11">
      <c r="A481" t="s">
        <v>3175</v>
      </c>
      <c r="B481" t="s">
        <v>3177</v>
      </c>
      <c r="C481" t="s">
        <v>30</v>
      </c>
      <c r="D481" t="s">
        <v>140</v>
      </c>
      <c r="E481" t="s">
        <v>82</v>
      </c>
      <c r="F481" t="str">
        <f t="shared" si="14"/>
        <v>MM</v>
      </c>
      <c r="G481">
        <f>_xlfn.XLOOKUP(D481,tblStates[state_code],tblStates[territory_id],"Needs Review - Territory")</f>
        <v>2</v>
      </c>
      <c r="H481" t="str">
        <f>IF(E481="","",_xlfn.XLOOKUP(E481,tblUsers[user_id],tblUsers[job_title],"Owner Not Found"))</f>
        <v>Mid-Market Account Executive</v>
      </c>
      <c r="I481" t="str">
        <f>IF(E481="","",_xlfn.XLOOKUP(E481,tblUsers[user_id],tblUsers[segment],"Owner Not Found"))</f>
        <v>MM</v>
      </c>
      <c r="J481">
        <f>IF(E481="","",_xlfn.XLOOKUP(E481,tblUsers[user_id],tblUsers[territory_id],"Owner Not Found"))</f>
        <v>2</v>
      </c>
      <c r="K481" t="str">
        <f t="shared" si="15"/>
        <v>Routing Compatible</v>
      </c>
    </row>
    <row r="482" spans="1:11">
      <c r="A482" t="s">
        <v>3178</v>
      </c>
      <c r="B482" t="s">
        <v>3180</v>
      </c>
      <c r="C482" t="s">
        <v>24</v>
      </c>
      <c r="D482" t="s">
        <v>23</v>
      </c>
      <c r="E482" t="s">
        <v>25</v>
      </c>
      <c r="F482" t="str">
        <f t="shared" si="14"/>
        <v>SMB</v>
      </c>
      <c r="G482">
        <f>_xlfn.XLOOKUP(D482,tblStates[state_code],tblStates[territory_id],"Needs Review - Territory")</f>
        <v>2</v>
      </c>
      <c r="H482" t="str">
        <f>IF(E482="","",_xlfn.XLOOKUP(E482,tblUsers[user_id],tblUsers[job_title],"Owner Not Found"))</f>
        <v>SMB Account Executive</v>
      </c>
      <c r="I482" t="str">
        <f>IF(E482="","",_xlfn.XLOOKUP(E482,tblUsers[user_id],tblUsers[segment],"Owner Not Found"))</f>
        <v>SMB</v>
      </c>
      <c r="J482">
        <f>IF(E482="","",_xlfn.XLOOKUP(E482,tblUsers[user_id],tblUsers[territory_id],"Owner Not Found"))</f>
        <v>2</v>
      </c>
      <c r="K482" t="str">
        <f t="shared" si="15"/>
        <v>Routing Compatible</v>
      </c>
    </row>
    <row r="483" spans="1:11">
      <c r="A483" t="s">
        <v>3181</v>
      </c>
      <c r="B483" t="s">
        <v>3183</v>
      </c>
      <c r="C483" t="s">
        <v>24</v>
      </c>
      <c r="D483" t="s">
        <v>408</v>
      </c>
      <c r="E483" t="s">
        <v>69</v>
      </c>
      <c r="F483" t="str">
        <f t="shared" si="14"/>
        <v>SMB</v>
      </c>
      <c r="G483">
        <f>_xlfn.XLOOKUP(D483,tblStates[state_code],tblStates[territory_id],"Needs Review - Territory")</f>
        <v>3</v>
      </c>
      <c r="H483" t="str">
        <f>IF(E483="","",_xlfn.XLOOKUP(E483,tblUsers[user_id],tblUsers[job_title],"Owner Not Found"))</f>
        <v>SMB Account Executive</v>
      </c>
      <c r="I483" t="str">
        <f>IF(E483="","",_xlfn.XLOOKUP(E483,tblUsers[user_id],tblUsers[segment],"Owner Not Found"))</f>
        <v>SMB</v>
      </c>
      <c r="J483">
        <f>IF(E483="","",_xlfn.XLOOKUP(E483,tblUsers[user_id],tblUsers[territory_id],"Owner Not Found"))</f>
        <v>3</v>
      </c>
      <c r="K483" t="str">
        <f t="shared" si="15"/>
        <v>Routing Compatible</v>
      </c>
    </row>
    <row r="484" spans="1:11">
      <c r="A484" t="s">
        <v>3184</v>
      </c>
      <c r="B484" t="s">
        <v>3186</v>
      </c>
      <c r="C484" t="s">
        <v>30</v>
      </c>
      <c r="D484" t="s">
        <v>182</v>
      </c>
      <c r="E484" t="s">
        <v>36</v>
      </c>
      <c r="F484" t="str">
        <f t="shared" si="14"/>
        <v>MM</v>
      </c>
      <c r="G484">
        <f>_xlfn.XLOOKUP(D484,tblStates[state_code],tblStates[territory_id],"Needs Review - Territory")</f>
        <v>4</v>
      </c>
      <c r="H484" t="str">
        <f>IF(E484="","",_xlfn.XLOOKUP(E484,tblUsers[user_id],tblUsers[job_title],"Owner Not Found"))</f>
        <v>Mid-Market Account Executive</v>
      </c>
      <c r="I484" t="str">
        <f>IF(E484="","",_xlfn.XLOOKUP(E484,tblUsers[user_id],tblUsers[segment],"Owner Not Found"))</f>
        <v>MM</v>
      </c>
      <c r="J484">
        <f>IF(E484="","",_xlfn.XLOOKUP(E484,tblUsers[user_id],tblUsers[territory_id],"Owner Not Found"))</f>
        <v>4</v>
      </c>
      <c r="K484" t="str">
        <f t="shared" si="15"/>
        <v>Routing Compatible</v>
      </c>
    </row>
    <row r="485" spans="1:11">
      <c r="A485" t="s">
        <v>3187</v>
      </c>
      <c r="B485" t="s">
        <v>3189</v>
      </c>
      <c r="D485" t="s">
        <v>205</v>
      </c>
      <c r="F485" t="str">
        <f t="shared" si="14"/>
        <v>Needs Review - Segment</v>
      </c>
      <c r="G485">
        <f>_xlfn.XLOOKUP(D485,tblStates[state_code],tblStates[territory_id],"Needs Review - Territory")</f>
        <v>4</v>
      </c>
      <c r="H485" t="str">
        <f>IF(E485="","",_xlfn.XLOOKUP(E485,tblUsers[user_id],tblUsers[job_title],"Owner Not Found"))</f>
        <v/>
      </c>
      <c r="I485" t="str">
        <f>IF(E485="","",_xlfn.XLOOKUP(E485,tblUsers[user_id],tblUsers[segment],"Owner Not Found"))</f>
        <v/>
      </c>
      <c r="J485" t="str">
        <f>IF(E485="","",_xlfn.XLOOKUP(E485,tblUsers[user_id],tblUsers[territory_id],"Owner Not Found"))</f>
        <v/>
      </c>
      <c r="K485" t="str">
        <f t="shared" si="15"/>
        <v>Unassigned</v>
      </c>
    </row>
    <row r="486" spans="1:11">
      <c r="A486" t="s">
        <v>3190</v>
      </c>
      <c r="B486" t="s">
        <v>3192</v>
      </c>
      <c r="C486" t="s">
        <v>24</v>
      </c>
      <c r="D486" t="s">
        <v>41</v>
      </c>
      <c r="E486" t="s">
        <v>25</v>
      </c>
      <c r="F486" t="str">
        <f t="shared" si="14"/>
        <v>SMB</v>
      </c>
      <c r="G486">
        <f>_xlfn.XLOOKUP(D486,tblStates[state_code],tblStates[territory_id],"Needs Review - Territory")</f>
        <v>2</v>
      </c>
      <c r="H486" t="str">
        <f>IF(E486="","",_xlfn.XLOOKUP(E486,tblUsers[user_id],tblUsers[job_title],"Owner Not Found"))</f>
        <v>SMB Account Executive</v>
      </c>
      <c r="I486" t="str">
        <f>IF(E486="","",_xlfn.XLOOKUP(E486,tblUsers[user_id],tblUsers[segment],"Owner Not Found"))</f>
        <v>SMB</v>
      </c>
      <c r="J486">
        <f>IF(E486="","",_xlfn.XLOOKUP(E486,tblUsers[user_id],tblUsers[territory_id],"Owner Not Found"))</f>
        <v>2</v>
      </c>
      <c r="K486" t="str">
        <f t="shared" si="15"/>
        <v>Routing Compatible</v>
      </c>
    </row>
    <row r="487" spans="1:11">
      <c r="A487" t="s">
        <v>3193</v>
      </c>
      <c r="B487" t="s">
        <v>3195</v>
      </c>
      <c r="C487" t="s">
        <v>24</v>
      </c>
      <c r="D487" t="s">
        <v>415</v>
      </c>
      <c r="E487" t="s">
        <v>69</v>
      </c>
      <c r="F487" t="str">
        <f t="shared" si="14"/>
        <v>SMB</v>
      </c>
      <c r="G487">
        <f>_xlfn.XLOOKUP(D487,tblStates[state_code],tblStates[territory_id],"Needs Review - Territory")</f>
        <v>3</v>
      </c>
      <c r="H487" t="str">
        <f>IF(E487="","",_xlfn.XLOOKUP(E487,tblUsers[user_id],tblUsers[job_title],"Owner Not Found"))</f>
        <v>SMB Account Executive</v>
      </c>
      <c r="I487" t="str">
        <f>IF(E487="","",_xlfn.XLOOKUP(E487,tblUsers[user_id],tblUsers[segment],"Owner Not Found"))</f>
        <v>SMB</v>
      </c>
      <c r="J487">
        <f>IF(E487="","",_xlfn.XLOOKUP(E487,tblUsers[user_id],tblUsers[territory_id],"Owner Not Found"))</f>
        <v>3</v>
      </c>
      <c r="K487" t="str">
        <f t="shared" si="15"/>
        <v>Routing Compatible</v>
      </c>
    </row>
    <row r="488" spans="1:11">
      <c r="A488" t="s">
        <v>3196</v>
      </c>
      <c r="B488" t="s">
        <v>3198</v>
      </c>
      <c r="C488" t="s">
        <v>30</v>
      </c>
      <c r="D488" t="s">
        <v>23</v>
      </c>
      <c r="E488" t="s">
        <v>82</v>
      </c>
      <c r="F488" t="str">
        <f t="shared" si="14"/>
        <v>MM</v>
      </c>
      <c r="G488">
        <f>_xlfn.XLOOKUP(D488,tblStates[state_code],tblStates[territory_id],"Needs Review - Territory")</f>
        <v>2</v>
      </c>
      <c r="H488" t="str">
        <f>IF(E488="","",_xlfn.XLOOKUP(E488,tblUsers[user_id],tblUsers[job_title],"Owner Not Found"))</f>
        <v>Mid-Market Account Executive</v>
      </c>
      <c r="I488" t="str">
        <f>IF(E488="","",_xlfn.XLOOKUP(E488,tblUsers[user_id],tblUsers[segment],"Owner Not Found"))</f>
        <v>MM</v>
      </c>
      <c r="J488">
        <f>IF(E488="","",_xlfn.XLOOKUP(E488,tblUsers[user_id],tblUsers[territory_id],"Owner Not Found"))</f>
        <v>2</v>
      </c>
      <c r="K488" t="str">
        <f t="shared" si="15"/>
        <v>Routing Compatible</v>
      </c>
    </row>
    <row r="489" spans="1:11">
      <c r="A489" t="s">
        <v>3199</v>
      </c>
      <c r="B489" t="s">
        <v>3201</v>
      </c>
      <c r="C489" t="s">
        <v>24</v>
      </c>
      <c r="D489" t="s">
        <v>638</v>
      </c>
      <c r="E489" t="s">
        <v>69</v>
      </c>
      <c r="F489" t="str">
        <f t="shared" si="14"/>
        <v>SMB</v>
      </c>
      <c r="G489">
        <f>_xlfn.XLOOKUP(D489,tblStates[state_code],tblStates[territory_id],"Needs Review - Territory")</f>
        <v>3</v>
      </c>
      <c r="H489" t="str">
        <f>IF(E489="","",_xlfn.XLOOKUP(E489,tblUsers[user_id],tblUsers[job_title],"Owner Not Found"))</f>
        <v>SMB Account Executive</v>
      </c>
      <c r="I489" t="str">
        <f>IF(E489="","",_xlfn.XLOOKUP(E489,tblUsers[user_id],tblUsers[segment],"Owner Not Found"))</f>
        <v>SMB</v>
      </c>
      <c r="J489">
        <f>IF(E489="","",_xlfn.XLOOKUP(E489,tblUsers[user_id],tblUsers[territory_id],"Owner Not Found"))</f>
        <v>3</v>
      </c>
      <c r="K489" t="str">
        <f t="shared" si="15"/>
        <v>Routing Compatible</v>
      </c>
    </row>
    <row r="490" spans="1:11">
      <c r="A490" t="s">
        <v>3202</v>
      </c>
      <c r="B490" t="s">
        <v>3204</v>
      </c>
      <c r="C490" t="s">
        <v>30</v>
      </c>
      <c r="D490" t="s">
        <v>140</v>
      </c>
      <c r="E490" t="s">
        <v>82</v>
      </c>
      <c r="F490" t="str">
        <f t="shared" si="14"/>
        <v>MM</v>
      </c>
      <c r="G490">
        <f>_xlfn.XLOOKUP(D490,tblStates[state_code],tblStates[territory_id],"Needs Review - Territory")</f>
        <v>2</v>
      </c>
      <c r="H490" t="str">
        <f>IF(E490="","",_xlfn.XLOOKUP(E490,tblUsers[user_id],tblUsers[job_title],"Owner Not Found"))</f>
        <v>Mid-Market Account Executive</v>
      </c>
      <c r="I490" t="str">
        <f>IF(E490="","",_xlfn.XLOOKUP(E490,tblUsers[user_id],tblUsers[segment],"Owner Not Found"))</f>
        <v>MM</v>
      </c>
      <c r="J490">
        <f>IF(E490="","",_xlfn.XLOOKUP(E490,tblUsers[user_id],tblUsers[territory_id],"Owner Not Found"))</f>
        <v>2</v>
      </c>
      <c r="K490" t="str">
        <f t="shared" si="15"/>
        <v>Routing Compatible</v>
      </c>
    </row>
    <row r="491" spans="1:11">
      <c r="A491" t="s">
        <v>3205</v>
      </c>
      <c r="B491" t="s">
        <v>3207</v>
      </c>
      <c r="C491" t="s">
        <v>30</v>
      </c>
      <c r="D491" t="s">
        <v>64</v>
      </c>
      <c r="E491" t="s">
        <v>55</v>
      </c>
      <c r="F491" t="str">
        <f t="shared" si="14"/>
        <v>MM</v>
      </c>
      <c r="G491">
        <f>_xlfn.XLOOKUP(D491,tblStates[state_code],tblStates[territory_id],"Needs Review - Territory")</f>
        <v>3</v>
      </c>
      <c r="H491" t="str">
        <f>IF(E491="","",_xlfn.XLOOKUP(E491,tblUsers[user_id],tblUsers[job_title],"Owner Not Found"))</f>
        <v>Mid-Market Account Executive</v>
      </c>
      <c r="I491" t="str">
        <f>IF(E491="","",_xlfn.XLOOKUP(E491,tblUsers[user_id],tblUsers[segment],"Owner Not Found"))</f>
        <v>MM</v>
      </c>
      <c r="J491">
        <f>IF(E491="","",_xlfn.XLOOKUP(E491,tblUsers[user_id],tblUsers[territory_id],"Owner Not Found"))</f>
        <v>3</v>
      </c>
      <c r="K491" t="str">
        <f t="shared" si="15"/>
        <v>Routing Compatible</v>
      </c>
    </row>
    <row r="492" spans="1:11">
      <c r="A492" t="s">
        <v>3208</v>
      </c>
      <c r="B492" t="s">
        <v>3210</v>
      </c>
      <c r="C492" t="s">
        <v>30</v>
      </c>
      <c r="D492" t="s">
        <v>81</v>
      </c>
      <c r="E492" t="s">
        <v>82</v>
      </c>
      <c r="F492" t="str">
        <f t="shared" si="14"/>
        <v>MM</v>
      </c>
      <c r="G492">
        <f>_xlfn.XLOOKUP(D492,tblStates[state_code],tblStates[territory_id],"Needs Review - Territory")</f>
        <v>2</v>
      </c>
      <c r="H492" t="str">
        <f>IF(E492="","",_xlfn.XLOOKUP(E492,tblUsers[user_id],tblUsers[job_title],"Owner Not Found"))</f>
        <v>Mid-Market Account Executive</v>
      </c>
      <c r="I492" t="str">
        <f>IF(E492="","",_xlfn.XLOOKUP(E492,tblUsers[user_id],tblUsers[segment],"Owner Not Found"))</f>
        <v>MM</v>
      </c>
      <c r="J492">
        <f>IF(E492="","",_xlfn.XLOOKUP(E492,tblUsers[user_id],tblUsers[territory_id],"Owner Not Found"))</f>
        <v>2</v>
      </c>
      <c r="K492" t="str">
        <f t="shared" si="15"/>
        <v>Routing Compatible</v>
      </c>
    </row>
    <row r="493" spans="1:11">
      <c r="A493" t="s">
        <v>3211</v>
      </c>
      <c r="B493" t="s">
        <v>3213</v>
      </c>
      <c r="C493" t="s">
        <v>30</v>
      </c>
      <c r="D493" t="s">
        <v>366</v>
      </c>
      <c r="E493" t="s">
        <v>18</v>
      </c>
      <c r="F493" t="str">
        <f t="shared" si="14"/>
        <v>MM</v>
      </c>
      <c r="G493">
        <f>_xlfn.XLOOKUP(D493,tblStates[state_code],tblStates[territory_id],"Needs Review - Territory")</f>
        <v>1</v>
      </c>
      <c r="H493" t="str">
        <f>IF(E493="","",_xlfn.XLOOKUP(E493,tblUsers[user_id],tblUsers[job_title],"Owner Not Found"))</f>
        <v>Mid-Market Account Executive</v>
      </c>
      <c r="I493" t="str">
        <f>IF(E493="","",_xlfn.XLOOKUP(E493,tblUsers[user_id],tblUsers[segment],"Owner Not Found"))</f>
        <v>MM</v>
      </c>
      <c r="J493">
        <f>IF(E493="","",_xlfn.XLOOKUP(E493,tblUsers[user_id],tblUsers[territory_id],"Owner Not Found"))</f>
        <v>1</v>
      </c>
      <c r="K493" t="str">
        <f t="shared" si="15"/>
        <v>Routing Compatible</v>
      </c>
    </row>
    <row r="494" spans="1:11">
      <c r="A494" t="s">
        <v>3214</v>
      </c>
      <c r="B494" t="s">
        <v>3216</v>
      </c>
      <c r="C494" t="s">
        <v>24</v>
      </c>
      <c r="D494" t="s">
        <v>81</v>
      </c>
      <c r="E494" t="s">
        <v>25</v>
      </c>
      <c r="F494" t="str">
        <f t="shared" si="14"/>
        <v>SMB</v>
      </c>
      <c r="G494">
        <f>_xlfn.XLOOKUP(D494,tblStates[state_code],tblStates[territory_id],"Needs Review - Territory")</f>
        <v>2</v>
      </c>
      <c r="H494" t="str">
        <f>IF(E494="","",_xlfn.XLOOKUP(E494,tblUsers[user_id],tblUsers[job_title],"Owner Not Found"))</f>
        <v>SMB Account Executive</v>
      </c>
      <c r="I494" t="str">
        <f>IF(E494="","",_xlfn.XLOOKUP(E494,tblUsers[user_id],tblUsers[segment],"Owner Not Found"))</f>
        <v>SMB</v>
      </c>
      <c r="J494">
        <f>IF(E494="","",_xlfn.XLOOKUP(E494,tblUsers[user_id],tblUsers[territory_id],"Owner Not Found"))</f>
        <v>2</v>
      </c>
      <c r="K494" t="str">
        <f t="shared" si="15"/>
        <v>Routing Compatible</v>
      </c>
    </row>
    <row r="495" spans="1:11">
      <c r="A495" t="s">
        <v>3217</v>
      </c>
      <c r="B495" t="s">
        <v>3219</v>
      </c>
      <c r="D495" t="s">
        <v>154</v>
      </c>
      <c r="F495" t="str">
        <f t="shared" si="14"/>
        <v>Needs Review - Segment</v>
      </c>
      <c r="G495">
        <f>_xlfn.XLOOKUP(D495,tblStates[state_code],tblStates[territory_id],"Needs Review - Territory")</f>
        <v>2</v>
      </c>
      <c r="H495" t="str">
        <f>IF(E495="","",_xlfn.XLOOKUP(E495,tblUsers[user_id],tblUsers[job_title],"Owner Not Found"))</f>
        <v/>
      </c>
      <c r="I495" t="str">
        <f>IF(E495="","",_xlfn.XLOOKUP(E495,tblUsers[user_id],tblUsers[segment],"Owner Not Found"))</f>
        <v/>
      </c>
      <c r="J495" t="str">
        <f>IF(E495="","",_xlfn.XLOOKUP(E495,tblUsers[user_id],tblUsers[territory_id],"Owner Not Found"))</f>
        <v/>
      </c>
      <c r="K495" t="str">
        <f t="shared" si="15"/>
        <v>Unassigned</v>
      </c>
    </row>
    <row r="496" spans="1:11">
      <c r="A496" t="s">
        <v>3220</v>
      </c>
      <c r="B496" t="s">
        <v>3222</v>
      </c>
      <c r="C496" t="s">
        <v>17</v>
      </c>
      <c r="D496" t="s">
        <v>95</v>
      </c>
      <c r="E496" t="s">
        <v>18</v>
      </c>
      <c r="F496" t="str">
        <f t="shared" si="14"/>
        <v>MM</v>
      </c>
      <c r="G496">
        <f>_xlfn.XLOOKUP(D496,tblStates[state_code],tblStates[territory_id],"Needs Review - Territory")</f>
        <v>1</v>
      </c>
      <c r="H496" t="str">
        <f>IF(E496="","",_xlfn.XLOOKUP(E496,tblUsers[user_id],tblUsers[job_title],"Owner Not Found"))</f>
        <v>Mid-Market Account Executive</v>
      </c>
      <c r="I496" t="str">
        <f>IF(E496="","",_xlfn.XLOOKUP(E496,tblUsers[user_id],tblUsers[segment],"Owner Not Found"))</f>
        <v>MM</v>
      </c>
      <c r="J496">
        <f>IF(E496="","",_xlfn.XLOOKUP(E496,tblUsers[user_id],tblUsers[territory_id],"Owner Not Found"))</f>
        <v>1</v>
      </c>
      <c r="K496" t="str">
        <f t="shared" si="15"/>
        <v>Routing Compatible</v>
      </c>
    </row>
    <row r="497" spans="1:11">
      <c r="A497" t="s">
        <v>3223</v>
      </c>
      <c r="B497" t="s">
        <v>3225</v>
      </c>
      <c r="C497" t="s">
        <v>24</v>
      </c>
      <c r="D497" t="s">
        <v>41</v>
      </c>
      <c r="E497" t="s">
        <v>25</v>
      </c>
      <c r="F497" t="str">
        <f t="shared" si="14"/>
        <v>SMB</v>
      </c>
      <c r="G497">
        <f>_xlfn.XLOOKUP(D497,tblStates[state_code],tblStates[territory_id],"Needs Review - Territory")</f>
        <v>2</v>
      </c>
      <c r="H497" t="str">
        <f>IF(E497="","",_xlfn.XLOOKUP(E497,tblUsers[user_id],tblUsers[job_title],"Owner Not Found"))</f>
        <v>SMB Account Executive</v>
      </c>
      <c r="I497" t="str">
        <f>IF(E497="","",_xlfn.XLOOKUP(E497,tblUsers[user_id],tblUsers[segment],"Owner Not Found"))</f>
        <v>SMB</v>
      </c>
      <c r="J497">
        <f>IF(E497="","",_xlfn.XLOOKUP(E497,tblUsers[user_id],tblUsers[territory_id],"Owner Not Found"))</f>
        <v>2</v>
      </c>
      <c r="K497" t="str">
        <f t="shared" si="15"/>
        <v>Routing Compatible</v>
      </c>
    </row>
    <row r="498" spans="1:11">
      <c r="A498" t="s">
        <v>3226</v>
      </c>
      <c r="B498" t="s">
        <v>3228</v>
      </c>
      <c r="C498" t="s">
        <v>30</v>
      </c>
      <c r="D498" t="s">
        <v>216</v>
      </c>
      <c r="E498" t="s">
        <v>18</v>
      </c>
      <c r="F498" t="str">
        <f t="shared" si="14"/>
        <v>MM</v>
      </c>
      <c r="G498">
        <f>_xlfn.XLOOKUP(D498,tblStates[state_code],tblStates[territory_id],"Needs Review - Territory")</f>
        <v>1</v>
      </c>
      <c r="H498" t="str">
        <f>IF(E498="","",_xlfn.XLOOKUP(E498,tblUsers[user_id],tblUsers[job_title],"Owner Not Found"))</f>
        <v>Mid-Market Account Executive</v>
      </c>
      <c r="I498" t="str">
        <f>IF(E498="","",_xlfn.XLOOKUP(E498,tblUsers[user_id],tblUsers[segment],"Owner Not Found"))</f>
        <v>MM</v>
      </c>
      <c r="J498">
        <f>IF(E498="","",_xlfn.XLOOKUP(E498,tblUsers[user_id],tblUsers[territory_id],"Owner Not Found"))</f>
        <v>1</v>
      </c>
      <c r="K498" t="str">
        <f t="shared" si="15"/>
        <v>Routing Compatible</v>
      </c>
    </row>
    <row r="499" spans="1:11">
      <c r="A499" t="s">
        <v>3229</v>
      </c>
      <c r="B499" t="s">
        <v>3231</v>
      </c>
      <c r="C499" t="s">
        <v>24</v>
      </c>
      <c r="D499" t="s">
        <v>216</v>
      </c>
      <c r="E499" t="s">
        <v>91</v>
      </c>
      <c r="F499" t="str">
        <f t="shared" si="14"/>
        <v>SMB</v>
      </c>
      <c r="G499">
        <f>_xlfn.XLOOKUP(D499,tblStates[state_code],tblStates[territory_id],"Needs Review - Territory")</f>
        <v>1</v>
      </c>
      <c r="H499" t="str">
        <f>IF(E499="","",_xlfn.XLOOKUP(E499,tblUsers[user_id],tblUsers[job_title],"Owner Not Found"))</f>
        <v>SMB Account Executive</v>
      </c>
      <c r="I499" t="str">
        <f>IF(E499="","",_xlfn.XLOOKUP(E499,tblUsers[user_id],tblUsers[segment],"Owner Not Found"))</f>
        <v>SMB</v>
      </c>
      <c r="J499">
        <f>IF(E499="","",_xlfn.XLOOKUP(E499,tblUsers[user_id],tblUsers[territory_id],"Owner Not Found"))</f>
        <v>1</v>
      </c>
      <c r="K499" t="str">
        <f t="shared" si="15"/>
        <v>Routing Compatible</v>
      </c>
    </row>
    <row r="500" spans="1:11">
      <c r="A500" t="s">
        <v>3232</v>
      </c>
      <c r="B500" t="s">
        <v>3234</v>
      </c>
      <c r="C500" t="s">
        <v>24</v>
      </c>
      <c r="D500" t="s">
        <v>154</v>
      </c>
      <c r="E500" t="s">
        <v>25</v>
      </c>
      <c r="F500" t="str">
        <f t="shared" si="14"/>
        <v>SMB</v>
      </c>
      <c r="G500">
        <f>_xlfn.XLOOKUP(D500,tblStates[state_code],tblStates[territory_id],"Needs Review - Territory")</f>
        <v>2</v>
      </c>
      <c r="H500" t="str">
        <f>IF(E500="","",_xlfn.XLOOKUP(E500,tblUsers[user_id],tblUsers[job_title],"Owner Not Found"))</f>
        <v>SMB Account Executive</v>
      </c>
      <c r="I500" t="str">
        <f>IF(E500="","",_xlfn.XLOOKUP(E500,tblUsers[user_id],tblUsers[segment],"Owner Not Found"))</f>
        <v>SMB</v>
      </c>
      <c r="J500">
        <f>IF(E500="","",_xlfn.XLOOKUP(E500,tblUsers[user_id],tblUsers[territory_id],"Owner Not Found"))</f>
        <v>2</v>
      </c>
      <c r="K500" t="str">
        <f t="shared" si="15"/>
        <v>Routing Compatible</v>
      </c>
    </row>
    <row r="501" spans="1:11">
      <c r="A501" t="s">
        <v>3235</v>
      </c>
      <c r="B501" t="s">
        <v>3237</v>
      </c>
      <c r="C501" t="s">
        <v>24</v>
      </c>
      <c r="E501" t="s">
        <v>69</v>
      </c>
      <c r="F501" t="str">
        <f t="shared" si="14"/>
        <v>SMB</v>
      </c>
      <c r="G501" t="str">
        <f>_xlfn.XLOOKUP(D501,tblStates[state_code],tblStates[territory_id],"Needs Review - Territory")</f>
        <v>Needs Review - Territory</v>
      </c>
      <c r="H501" t="str">
        <f>IF(E501="","",_xlfn.XLOOKUP(E501,tblUsers[user_id],tblUsers[job_title],"Owner Not Found"))</f>
        <v>SMB Account Executive</v>
      </c>
      <c r="I501" t="str">
        <f>IF(E501="","",_xlfn.XLOOKUP(E501,tblUsers[user_id],tblUsers[segment],"Owner Not Found"))</f>
        <v>SMB</v>
      </c>
      <c r="J501">
        <f>IF(E501="","",_xlfn.XLOOKUP(E501,tblUsers[user_id],tblUsers[territory_id],"Owner Not Found"))</f>
        <v>3</v>
      </c>
      <c r="K501" t="str">
        <f t="shared" si="15"/>
        <v>Needs Review - Territory</v>
      </c>
    </row>
    <row r="502" spans="1:11">
      <c r="A502" t="s">
        <v>3238</v>
      </c>
      <c r="B502" t="s">
        <v>3240</v>
      </c>
      <c r="C502" t="s">
        <v>24</v>
      </c>
      <c r="D502" t="s">
        <v>236</v>
      </c>
      <c r="E502" t="s">
        <v>91</v>
      </c>
      <c r="F502" t="str">
        <f t="shared" si="14"/>
        <v>SMB</v>
      </c>
      <c r="G502">
        <f>_xlfn.XLOOKUP(D502,tblStates[state_code],tblStates[territory_id],"Needs Review - Territory")</f>
        <v>1</v>
      </c>
      <c r="H502" t="str">
        <f>IF(E502="","",_xlfn.XLOOKUP(E502,tblUsers[user_id],tblUsers[job_title],"Owner Not Found"))</f>
        <v>SMB Account Executive</v>
      </c>
      <c r="I502" t="str">
        <f>IF(E502="","",_xlfn.XLOOKUP(E502,tblUsers[user_id],tblUsers[segment],"Owner Not Found"))</f>
        <v>SMB</v>
      </c>
      <c r="J502">
        <f>IF(E502="","",_xlfn.XLOOKUP(E502,tblUsers[user_id],tblUsers[territory_id],"Owner Not Found"))</f>
        <v>1</v>
      </c>
      <c r="K502" t="str">
        <f t="shared" si="15"/>
        <v>Routing Compatible</v>
      </c>
    </row>
    <row r="503" spans="1:11">
      <c r="A503" t="s">
        <v>3241</v>
      </c>
      <c r="B503" t="s">
        <v>3243</v>
      </c>
      <c r="C503" t="s">
        <v>24</v>
      </c>
      <c r="D503" t="s">
        <v>638</v>
      </c>
      <c r="E503" t="s">
        <v>69</v>
      </c>
      <c r="F503" t="str">
        <f t="shared" si="14"/>
        <v>SMB</v>
      </c>
      <c r="G503">
        <f>_xlfn.XLOOKUP(D503,tblStates[state_code],tblStates[territory_id],"Needs Review - Territory")</f>
        <v>3</v>
      </c>
      <c r="H503" t="str">
        <f>IF(E503="","",_xlfn.XLOOKUP(E503,tblUsers[user_id],tblUsers[job_title],"Owner Not Found"))</f>
        <v>SMB Account Executive</v>
      </c>
      <c r="I503" t="str">
        <f>IF(E503="","",_xlfn.XLOOKUP(E503,tblUsers[user_id],tblUsers[segment],"Owner Not Found"))</f>
        <v>SMB</v>
      </c>
      <c r="J503">
        <f>IF(E503="","",_xlfn.XLOOKUP(E503,tblUsers[user_id],tblUsers[territory_id],"Owner Not Found"))</f>
        <v>3</v>
      </c>
      <c r="K503" t="str">
        <f t="shared" si="15"/>
        <v>Routing Compatible</v>
      </c>
    </row>
    <row r="504" spans="1:11">
      <c r="A504" t="s">
        <v>3244</v>
      </c>
      <c r="B504" t="s">
        <v>3246</v>
      </c>
      <c r="D504" t="s">
        <v>41</v>
      </c>
      <c r="F504" t="str">
        <f t="shared" si="14"/>
        <v>Needs Review - Segment</v>
      </c>
      <c r="G504">
        <f>_xlfn.XLOOKUP(D504,tblStates[state_code],tblStates[territory_id],"Needs Review - Territory")</f>
        <v>2</v>
      </c>
      <c r="H504" t="str">
        <f>IF(E504="","",_xlfn.XLOOKUP(E504,tblUsers[user_id],tblUsers[job_title],"Owner Not Found"))</f>
        <v/>
      </c>
      <c r="I504" t="str">
        <f>IF(E504="","",_xlfn.XLOOKUP(E504,tblUsers[user_id],tblUsers[segment],"Owner Not Found"))</f>
        <v/>
      </c>
      <c r="J504" t="str">
        <f>IF(E504="","",_xlfn.XLOOKUP(E504,tblUsers[user_id],tblUsers[territory_id],"Owner Not Found"))</f>
        <v/>
      </c>
      <c r="K504" t="str">
        <f t="shared" si="15"/>
        <v>Unassigned</v>
      </c>
    </row>
    <row r="505" spans="1:11">
      <c r="A505" t="s">
        <v>3247</v>
      </c>
      <c r="B505" t="s">
        <v>3249</v>
      </c>
      <c r="C505" t="s">
        <v>30</v>
      </c>
      <c r="D505" t="s">
        <v>95</v>
      </c>
      <c r="E505" t="s">
        <v>18</v>
      </c>
      <c r="F505" t="str">
        <f t="shared" si="14"/>
        <v>MM</v>
      </c>
      <c r="G505">
        <f>_xlfn.XLOOKUP(D505,tblStates[state_code],tblStates[territory_id],"Needs Review - Territory")</f>
        <v>1</v>
      </c>
      <c r="H505" t="str">
        <f>IF(E505="","",_xlfn.XLOOKUP(E505,tblUsers[user_id],tblUsers[job_title],"Owner Not Found"))</f>
        <v>Mid-Market Account Executive</v>
      </c>
      <c r="I505" t="str">
        <f>IF(E505="","",_xlfn.XLOOKUP(E505,tblUsers[user_id],tblUsers[segment],"Owner Not Found"))</f>
        <v>MM</v>
      </c>
      <c r="J505">
        <f>IF(E505="","",_xlfn.XLOOKUP(E505,tblUsers[user_id],tblUsers[territory_id],"Owner Not Found"))</f>
        <v>1</v>
      </c>
      <c r="K505" t="str">
        <f t="shared" si="15"/>
        <v>Routing Compatible</v>
      </c>
    </row>
    <row r="506" spans="1:11">
      <c r="A506" t="s">
        <v>3250</v>
      </c>
      <c r="B506" t="s">
        <v>3252</v>
      </c>
      <c r="C506" t="s">
        <v>30</v>
      </c>
      <c r="D506" t="s">
        <v>249</v>
      </c>
      <c r="E506" t="s">
        <v>36</v>
      </c>
      <c r="F506" t="str">
        <f t="shared" si="14"/>
        <v>MM</v>
      </c>
      <c r="G506">
        <f>_xlfn.XLOOKUP(D506,tblStates[state_code],tblStates[territory_id],"Needs Review - Territory")</f>
        <v>4</v>
      </c>
      <c r="H506" t="str">
        <f>IF(E506="","",_xlfn.XLOOKUP(E506,tblUsers[user_id],tblUsers[job_title],"Owner Not Found"))</f>
        <v>Mid-Market Account Executive</v>
      </c>
      <c r="I506" t="str">
        <f>IF(E506="","",_xlfn.XLOOKUP(E506,tblUsers[user_id],tblUsers[segment],"Owner Not Found"))</f>
        <v>MM</v>
      </c>
      <c r="J506">
        <f>IF(E506="","",_xlfn.XLOOKUP(E506,tblUsers[user_id],tblUsers[territory_id],"Owner Not Found"))</f>
        <v>4</v>
      </c>
      <c r="K506" t="str">
        <f t="shared" si="15"/>
        <v>Routing Compatible</v>
      </c>
    </row>
    <row r="507" spans="1:11">
      <c r="A507" t="s">
        <v>3253</v>
      </c>
      <c r="B507" t="s">
        <v>3255</v>
      </c>
      <c r="C507" t="s">
        <v>24</v>
      </c>
      <c r="D507" t="s">
        <v>154</v>
      </c>
      <c r="E507" t="s">
        <v>25</v>
      </c>
      <c r="F507" t="str">
        <f t="shared" si="14"/>
        <v>SMB</v>
      </c>
      <c r="G507">
        <f>_xlfn.XLOOKUP(D507,tblStates[state_code],tblStates[territory_id],"Needs Review - Territory")</f>
        <v>2</v>
      </c>
      <c r="H507" t="str">
        <f>IF(E507="","",_xlfn.XLOOKUP(E507,tblUsers[user_id],tblUsers[job_title],"Owner Not Found"))</f>
        <v>SMB Account Executive</v>
      </c>
      <c r="I507" t="str">
        <f>IF(E507="","",_xlfn.XLOOKUP(E507,tblUsers[user_id],tblUsers[segment],"Owner Not Found"))</f>
        <v>SMB</v>
      </c>
      <c r="J507">
        <f>IF(E507="","",_xlfn.XLOOKUP(E507,tblUsers[user_id],tblUsers[territory_id],"Owner Not Found"))</f>
        <v>2</v>
      </c>
      <c r="K507" t="str">
        <f t="shared" si="15"/>
        <v>Routing Compatible</v>
      </c>
    </row>
    <row r="508" spans="1:11">
      <c r="A508" t="s">
        <v>3256</v>
      </c>
      <c r="B508" t="s">
        <v>3258</v>
      </c>
      <c r="C508" t="s">
        <v>24</v>
      </c>
      <c r="D508" t="s">
        <v>68</v>
      </c>
      <c r="E508" t="s">
        <v>25</v>
      </c>
      <c r="F508" t="str">
        <f t="shared" si="14"/>
        <v>SMB</v>
      </c>
      <c r="G508">
        <f>_xlfn.XLOOKUP(D508,tblStates[state_code],tblStates[territory_id],"Needs Review - Territory")</f>
        <v>3</v>
      </c>
      <c r="H508" t="str">
        <f>IF(E508="","",_xlfn.XLOOKUP(E508,tblUsers[user_id],tblUsers[job_title],"Owner Not Found"))</f>
        <v>SMB Account Executive</v>
      </c>
      <c r="I508" t="str">
        <f>IF(E508="","",_xlfn.XLOOKUP(E508,tblUsers[user_id],tblUsers[segment],"Owner Not Found"))</f>
        <v>SMB</v>
      </c>
      <c r="J508">
        <f>IF(E508="","",_xlfn.XLOOKUP(E508,tblUsers[user_id],tblUsers[territory_id],"Owner Not Found"))</f>
        <v>2</v>
      </c>
      <c r="K508" t="str">
        <f t="shared" si="15"/>
        <v>Wrong AE Territory</v>
      </c>
    </row>
    <row r="509" spans="1:11">
      <c r="A509" t="s">
        <v>3259</v>
      </c>
      <c r="B509" t="s">
        <v>3261</v>
      </c>
      <c r="C509" t="s">
        <v>30</v>
      </c>
      <c r="D509" t="s">
        <v>81</v>
      </c>
      <c r="E509" t="s">
        <v>82</v>
      </c>
      <c r="F509" t="str">
        <f t="shared" si="14"/>
        <v>MM</v>
      </c>
      <c r="G509">
        <f>_xlfn.XLOOKUP(D509,tblStates[state_code],tblStates[territory_id],"Needs Review - Territory")</f>
        <v>2</v>
      </c>
      <c r="H509" t="str">
        <f>IF(E509="","",_xlfn.XLOOKUP(E509,tblUsers[user_id],tblUsers[job_title],"Owner Not Found"))</f>
        <v>Mid-Market Account Executive</v>
      </c>
      <c r="I509" t="str">
        <f>IF(E509="","",_xlfn.XLOOKUP(E509,tblUsers[user_id],tblUsers[segment],"Owner Not Found"))</f>
        <v>MM</v>
      </c>
      <c r="J509">
        <f>IF(E509="","",_xlfn.XLOOKUP(E509,tblUsers[user_id],tblUsers[territory_id],"Owner Not Found"))</f>
        <v>2</v>
      </c>
      <c r="K509" t="str">
        <f t="shared" si="15"/>
        <v>Routing Compatible</v>
      </c>
    </row>
    <row r="510" spans="1:11">
      <c r="A510" t="s">
        <v>3262</v>
      </c>
      <c r="B510" t="s">
        <v>3264</v>
      </c>
      <c r="C510" t="s">
        <v>24</v>
      </c>
      <c r="D510" t="s">
        <v>16</v>
      </c>
      <c r="E510" t="s">
        <v>91</v>
      </c>
      <c r="F510" t="str">
        <f t="shared" si="14"/>
        <v>SMB</v>
      </c>
      <c r="G510">
        <f>_xlfn.XLOOKUP(D510,tblStates[state_code],tblStates[territory_id],"Needs Review - Territory")</f>
        <v>1</v>
      </c>
      <c r="H510" t="str">
        <f>IF(E510="","",_xlfn.XLOOKUP(E510,tblUsers[user_id],tblUsers[job_title],"Owner Not Found"))</f>
        <v>SMB Account Executive</v>
      </c>
      <c r="I510" t="str">
        <f>IF(E510="","",_xlfn.XLOOKUP(E510,tblUsers[user_id],tblUsers[segment],"Owner Not Found"))</f>
        <v>SMB</v>
      </c>
      <c r="J510">
        <f>IF(E510="","",_xlfn.XLOOKUP(E510,tblUsers[user_id],tblUsers[territory_id],"Owner Not Found"))</f>
        <v>1</v>
      </c>
      <c r="K510" t="str">
        <f t="shared" si="15"/>
        <v>Routing Compatible</v>
      </c>
    </row>
    <row r="511" spans="1:11">
      <c r="A511" t="s">
        <v>3265</v>
      </c>
      <c r="B511" t="s">
        <v>3267</v>
      </c>
      <c r="C511" t="s">
        <v>30</v>
      </c>
      <c r="D511" t="s">
        <v>171</v>
      </c>
      <c r="E511" t="s">
        <v>18</v>
      </c>
      <c r="F511" t="str">
        <f t="shared" si="14"/>
        <v>MM</v>
      </c>
      <c r="G511">
        <f>_xlfn.XLOOKUP(D511,tblStates[state_code],tblStates[territory_id],"Needs Review - Territory")</f>
        <v>1</v>
      </c>
      <c r="H511" t="str">
        <f>IF(E511="","",_xlfn.XLOOKUP(E511,tblUsers[user_id],tblUsers[job_title],"Owner Not Found"))</f>
        <v>Mid-Market Account Executive</v>
      </c>
      <c r="I511" t="str">
        <f>IF(E511="","",_xlfn.XLOOKUP(E511,tblUsers[user_id],tblUsers[segment],"Owner Not Found"))</f>
        <v>MM</v>
      </c>
      <c r="J511">
        <f>IF(E511="","",_xlfn.XLOOKUP(E511,tblUsers[user_id],tblUsers[territory_id],"Owner Not Found"))</f>
        <v>1</v>
      </c>
      <c r="K511" t="str">
        <f t="shared" si="15"/>
        <v>Routing Compatible</v>
      </c>
    </row>
    <row r="512" spans="1:11">
      <c r="A512" t="s">
        <v>3268</v>
      </c>
      <c r="B512" t="s">
        <v>3270</v>
      </c>
      <c r="C512" t="s">
        <v>24</v>
      </c>
      <c r="D512" t="s">
        <v>212</v>
      </c>
      <c r="E512" t="s">
        <v>69</v>
      </c>
      <c r="F512" t="str">
        <f t="shared" si="14"/>
        <v>SMB</v>
      </c>
      <c r="G512">
        <f>_xlfn.XLOOKUP(D512,tblStates[state_code],tblStates[territory_id],"Needs Review - Territory")</f>
        <v>3</v>
      </c>
      <c r="H512" t="str">
        <f>IF(E512="","",_xlfn.XLOOKUP(E512,tblUsers[user_id],tblUsers[job_title],"Owner Not Found"))</f>
        <v>SMB Account Executive</v>
      </c>
      <c r="I512" t="str">
        <f>IF(E512="","",_xlfn.XLOOKUP(E512,tblUsers[user_id],tblUsers[segment],"Owner Not Found"))</f>
        <v>SMB</v>
      </c>
      <c r="J512">
        <f>IF(E512="","",_xlfn.XLOOKUP(E512,tblUsers[user_id],tblUsers[territory_id],"Owner Not Found"))</f>
        <v>3</v>
      </c>
      <c r="K512" t="str">
        <f t="shared" si="15"/>
        <v>Routing Compatible</v>
      </c>
    </row>
    <row r="513" spans="1:11">
      <c r="A513" t="s">
        <v>3271</v>
      </c>
      <c r="B513" t="s">
        <v>3273</v>
      </c>
      <c r="C513" t="s">
        <v>30</v>
      </c>
      <c r="D513" t="s">
        <v>140</v>
      </c>
      <c r="E513" t="s">
        <v>82</v>
      </c>
      <c r="F513" t="str">
        <f t="shared" si="14"/>
        <v>MM</v>
      </c>
      <c r="G513">
        <f>_xlfn.XLOOKUP(D513,tblStates[state_code],tblStates[territory_id],"Needs Review - Territory")</f>
        <v>2</v>
      </c>
      <c r="H513" t="str">
        <f>IF(E513="","",_xlfn.XLOOKUP(E513,tblUsers[user_id],tblUsers[job_title],"Owner Not Found"))</f>
        <v>Mid-Market Account Executive</v>
      </c>
      <c r="I513" t="str">
        <f>IF(E513="","",_xlfn.XLOOKUP(E513,tblUsers[user_id],tblUsers[segment],"Owner Not Found"))</f>
        <v>MM</v>
      </c>
      <c r="J513">
        <f>IF(E513="","",_xlfn.XLOOKUP(E513,tblUsers[user_id],tblUsers[territory_id],"Owner Not Found"))</f>
        <v>2</v>
      </c>
      <c r="K513" t="str">
        <f t="shared" si="15"/>
        <v>Routing Compatible</v>
      </c>
    </row>
    <row r="514" spans="1:11">
      <c r="A514" t="s">
        <v>3274</v>
      </c>
      <c r="B514" t="s">
        <v>3276</v>
      </c>
      <c r="C514" t="s">
        <v>24</v>
      </c>
      <c r="D514" t="s">
        <v>1034</v>
      </c>
      <c r="E514" t="s">
        <v>59</v>
      </c>
      <c r="F514" t="str">
        <f t="shared" si="14"/>
        <v>SMB</v>
      </c>
      <c r="G514">
        <f>_xlfn.XLOOKUP(D514,tblStates[state_code],tblStates[territory_id],"Needs Review - Territory")</f>
        <v>4</v>
      </c>
      <c r="H514" t="str">
        <f>IF(E514="","",_xlfn.XLOOKUP(E514,tblUsers[user_id],tblUsers[job_title],"Owner Not Found"))</f>
        <v>SMB Account Executive</v>
      </c>
      <c r="I514" t="str">
        <f>IF(E514="","",_xlfn.XLOOKUP(E514,tblUsers[user_id],tblUsers[segment],"Owner Not Found"))</f>
        <v>SMB</v>
      </c>
      <c r="J514">
        <f>IF(E514="","",_xlfn.XLOOKUP(E514,tblUsers[user_id],tblUsers[territory_id],"Owner Not Found"))</f>
        <v>4</v>
      </c>
      <c r="K514" t="str">
        <f t="shared" si="15"/>
        <v>Routing Compatible</v>
      </c>
    </row>
    <row r="515" spans="1:11">
      <c r="A515" t="s">
        <v>3277</v>
      </c>
      <c r="B515" t="s">
        <v>3279</v>
      </c>
      <c r="C515" t="s">
        <v>30</v>
      </c>
      <c r="D515" t="s">
        <v>50</v>
      </c>
      <c r="E515" t="s">
        <v>36</v>
      </c>
      <c r="F515" t="str">
        <f t="shared" ref="F515:F578" si="16">IF(C515="SMB","SMB",IF(OR(C515="Mid-Market",C515="Upper Mid-Market"),"MM","Needs Review - Segment"))</f>
        <v>MM</v>
      </c>
      <c r="G515">
        <f>_xlfn.XLOOKUP(D515,tblStates[state_code],tblStates[territory_id],"Needs Review - Territory")</f>
        <v>4</v>
      </c>
      <c r="H515" t="str">
        <f>IF(E515="","",_xlfn.XLOOKUP(E515,tblUsers[user_id],tblUsers[job_title],"Owner Not Found"))</f>
        <v>Mid-Market Account Executive</v>
      </c>
      <c r="I515" t="str">
        <f>IF(E515="","",_xlfn.XLOOKUP(E515,tblUsers[user_id],tblUsers[segment],"Owner Not Found"))</f>
        <v>MM</v>
      </c>
      <c r="J515">
        <f>IF(E515="","",_xlfn.XLOOKUP(E515,tblUsers[user_id],tblUsers[territory_id],"Owner Not Found"))</f>
        <v>4</v>
      </c>
      <c r="K515" t="str">
        <f t="shared" ref="K515:K578" si="17">IF(E515="","Unassigned",IF(F515="Needs Review - Segment","Needs Review - Segment",IF(G515="Needs Review - Territory","Needs Review - Territory",IF(I515&lt;&gt;F515,"Wrong Segment",IF(AND(ISNUMBER(SEARCH("Account Executive",H515)),J515&lt;&gt;G515),"Wrong AE Territory",IF(OR(ISNUMBER(SEARCH("Account Executive",H515)),H515="Sales Development Representative"),"Routing Compatible","Unexpected Owner Role"))))))</f>
        <v>Routing Compatible</v>
      </c>
    </row>
    <row r="516" spans="1:11">
      <c r="A516" t="s">
        <v>3280</v>
      </c>
      <c r="B516" t="s">
        <v>3282</v>
      </c>
      <c r="C516" t="s">
        <v>30</v>
      </c>
      <c r="D516" t="s">
        <v>404</v>
      </c>
      <c r="E516" t="s">
        <v>82</v>
      </c>
      <c r="F516" t="str">
        <f t="shared" si="16"/>
        <v>MM</v>
      </c>
      <c r="G516">
        <f>_xlfn.XLOOKUP(D516,tblStates[state_code],tblStates[territory_id],"Needs Review - Territory")</f>
        <v>2</v>
      </c>
      <c r="H516" t="str">
        <f>IF(E516="","",_xlfn.XLOOKUP(E516,tblUsers[user_id],tblUsers[job_title],"Owner Not Found"))</f>
        <v>Mid-Market Account Executive</v>
      </c>
      <c r="I516" t="str">
        <f>IF(E516="","",_xlfn.XLOOKUP(E516,tblUsers[user_id],tblUsers[segment],"Owner Not Found"))</f>
        <v>MM</v>
      </c>
      <c r="J516">
        <f>IF(E516="","",_xlfn.XLOOKUP(E516,tblUsers[user_id],tblUsers[territory_id],"Owner Not Found"))</f>
        <v>2</v>
      </c>
      <c r="K516" t="str">
        <f t="shared" si="17"/>
        <v>Routing Compatible</v>
      </c>
    </row>
    <row r="517" spans="1:11">
      <c r="A517" t="s">
        <v>3283</v>
      </c>
      <c r="B517" t="s">
        <v>3285</v>
      </c>
      <c r="C517" t="s">
        <v>30</v>
      </c>
      <c r="D517" t="s">
        <v>212</v>
      </c>
      <c r="F517" t="str">
        <f t="shared" si="16"/>
        <v>MM</v>
      </c>
      <c r="G517">
        <f>_xlfn.XLOOKUP(D517,tblStates[state_code],tblStates[territory_id],"Needs Review - Territory")</f>
        <v>3</v>
      </c>
      <c r="H517" t="str">
        <f>IF(E517="","",_xlfn.XLOOKUP(E517,tblUsers[user_id],tblUsers[job_title],"Owner Not Found"))</f>
        <v/>
      </c>
      <c r="I517" t="str">
        <f>IF(E517="","",_xlfn.XLOOKUP(E517,tblUsers[user_id],tblUsers[segment],"Owner Not Found"))</f>
        <v/>
      </c>
      <c r="J517" t="str">
        <f>IF(E517="","",_xlfn.XLOOKUP(E517,tblUsers[user_id],tblUsers[territory_id],"Owner Not Found"))</f>
        <v/>
      </c>
      <c r="K517" t="str">
        <f t="shared" si="17"/>
        <v>Unassigned</v>
      </c>
    </row>
    <row r="518" spans="1:11">
      <c r="A518" t="s">
        <v>3286</v>
      </c>
      <c r="B518" t="s">
        <v>3288</v>
      </c>
      <c r="C518" t="s">
        <v>24</v>
      </c>
      <c r="D518" t="s">
        <v>54</v>
      </c>
      <c r="E518" t="s">
        <v>69</v>
      </c>
      <c r="F518" t="str">
        <f t="shared" si="16"/>
        <v>SMB</v>
      </c>
      <c r="G518">
        <f>_xlfn.XLOOKUP(D518,tblStates[state_code],tblStates[territory_id],"Needs Review - Territory")</f>
        <v>3</v>
      </c>
      <c r="H518" t="str">
        <f>IF(E518="","",_xlfn.XLOOKUP(E518,tblUsers[user_id],tblUsers[job_title],"Owner Not Found"))</f>
        <v>SMB Account Executive</v>
      </c>
      <c r="I518" t="str">
        <f>IF(E518="","",_xlfn.XLOOKUP(E518,tblUsers[user_id],tblUsers[segment],"Owner Not Found"))</f>
        <v>SMB</v>
      </c>
      <c r="J518">
        <f>IF(E518="","",_xlfn.XLOOKUP(E518,tblUsers[user_id],tblUsers[territory_id],"Owner Not Found"))</f>
        <v>3</v>
      </c>
      <c r="K518" t="str">
        <f t="shared" si="17"/>
        <v>Routing Compatible</v>
      </c>
    </row>
    <row r="519" spans="1:11">
      <c r="A519" t="s">
        <v>3289</v>
      </c>
      <c r="B519" t="s">
        <v>3291</v>
      </c>
      <c r="C519" t="s">
        <v>24</v>
      </c>
      <c r="D519" t="s">
        <v>41</v>
      </c>
      <c r="E519" t="s">
        <v>25</v>
      </c>
      <c r="F519" t="str">
        <f t="shared" si="16"/>
        <v>SMB</v>
      </c>
      <c r="G519">
        <f>_xlfn.XLOOKUP(D519,tblStates[state_code],tblStates[territory_id],"Needs Review - Territory")</f>
        <v>2</v>
      </c>
      <c r="H519" t="str">
        <f>IF(E519="","",_xlfn.XLOOKUP(E519,tblUsers[user_id],tblUsers[job_title],"Owner Not Found"))</f>
        <v>SMB Account Executive</v>
      </c>
      <c r="I519" t="str">
        <f>IF(E519="","",_xlfn.XLOOKUP(E519,tblUsers[user_id],tblUsers[segment],"Owner Not Found"))</f>
        <v>SMB</v>
      </c>
      <c r="J519">
        <f>IF(E519="","",_xlfn.XLOOKUP(E519,tblUsers[user_id],tblUsers[territory_id],"Owner Not Found"))</f>
        <v>2</v>
      </c>
      <c r="K519" t="str">
        <f t="shared" si="17"/>
        <v>Routing Compatible</v>
      </c>
    </row>
    <row r="520" spans="1:11">
      <c r="A520" t="s">
        <v>3293</v>
      </c>
      <c r="B520" t="s">
        <v>3295</v>
      </c>
      <c r="C520" t="s">
        <v>17</v>
      </c>
      <c r="D520" t="s">
        <v>90</v>
      </c>
      <c r="E520" t="s">
        <v>18</v>
      </c>
      <c r="F520" t="str">
        <f t="shared" si="16"/>
        <v>MM</v>
      </c>
      <c r="G520">
        <f>_xlfn.XLOOKUP(D520,tblStates[state_code],tblStates[territory_id],"Needs Review - Territory")</f>
        <v>1</v>
      </c>
      <c r="H520" t="str">
        <f>IF(E520="","",_xlfn.XLOOKUP(E520,tblUsers[user_id],tblUsers[job_title],"Owner Not Found"))</f>
        <v>Mid-Market Account Executive</v>
      </c>
      <c r="I520" t="str">
        <f>IF(E520="","",_xlfn.XLOOKUP(E520,tblUsers[user_id],tblUsers[segment],"Owner Not Found"))</f>
        <v>MM</v>
      </c>
      <c r="J520">
        <f>IF(E520="","",_xlfn.XLOOKUP(E520,tblUsers[user_id],tblUsers[territory_id],"Owner Not Found"))</f>
        <v>1</v>
      </c>
      <c r="K520" t="str">
        <f t="shared" si="17"/>
        <v>Routing Compatible</v>
      </c>
    </row>
    <row r="521" spans="1:11">
      <c r="A521" t="s">
        <v>3296</v>
      </c>
      <c r="B521" t="s">
        <v>3298</v>
      </c>
      <c r="C521" t="s">
        <v>24</v>
      </c>
      <c r="D521" t="s">
        <v>249</v>
      </c>
      <c r="E521" t="s">
        <v>59</v>
      </c>
      <c r="F521" t="str">
        <f t="shared" si="16"/>
        <v>SMB</v>
      </c>
      <c r="G521">
        <f>_xlfn.XLOOKUP(D521,tblStates[state_code],tblStates[territory_id],"Needs Review - Territory")</f>
        <v>4</v>
      </c>
      <c r="H521" t="str">
        <f>IF(E521="","",_xlfn.XLOOKUP(E521,tblUsers[user_id],tblUsers[job_title],"Owner Not Found"))</f>
        <v>SMB Account Executive</v>
      </c>
      <c r="I521" t="str">
        <f>IF(E521="","",_xlfn.XLOOKUP(E521,tblUsers[user_id],tblUsers[segment],"Owner Not Found"))</f>
        <v>SMB</v>
      </c>
      <c r="J521">
        <f>IF(E521="","",_xlfn.XLOOKUP(E521,tblUsers[user_id],tblUsers[territory_id],"Owner Not Found"))</f>
        <v>4</v>
      </c>
      <c r="K521" t="str">
        <f t="shared" si="17"/>
        <v>Routing Compatible</v>
      </c>
    </row>
    <row r="522" spans="1:11">
      <c r="A522" t="s">
        <v>3299</v>
      </c>
      <c r="B522" t="s">
        <v>3301</v>
      </c>
      <c r="C522" t="s">
        <v>30</v>
      </c>
      <c r="D522" t="s">
        <v>140</v>
      </c>
      <c r="E522" t="s">
        <v>82</v>
      </c>
      <c r="F522" t="str">
        <f t="shared" si="16"/>
        <v>MM</v>
      </c>
      <c r="G522">
        <f>_xlfn.XLOOKUP(D522,tblStates[state_code],tblStates[territory_id],"Needs Review - Territory")</f>
        <v>2</v>
      </c>
      <c r="H522" t="str">
        <f>IF(E522="","",_xlfn.XLOOKUP(E522,tblUsers[user_id],tblUsers[job_title],"Owner Not Found"))</f>
        <v>Mid-Market Account Executive</v>
      </c>
      <c r="I522" t="str">
        <f>IF(E522="","",_xlfn.XLOOKUP(E522,tblUsers[user_id],tblUsers[segment],"Owner Not Found"))</f>
        <v>MM</v>
      </c>
      <c r="J522">
        <f>IF(E522="","",_xlfn.XLOOKUP(E522,tblUsers[user_id],tblUsers[territory_id],"Owner Not Found"))</f>
        <v>2</v>
      </c>
      <c r="K522" t="str">
        <f t="shared" si="17"/>
        <v>Routing Compatible</v>
      </c>
    </row>
    <row r="523" spans="1:11">
      <c r="A523" t="s">
        <v>3302</v>
      </c>
      <c r="B523" t="s">
        <v>3304</v>
      </c>
      <c r="C523" t="s">
        <v>24</v>
      </c>
      <c r="D523" t="s">
        <v>54</v>
      </c>
      <c r="E523" t="s">
        <v>55</v>
      </c>
      <c r="F523" t="str">
        <f t="shared" si="16"/>
        <v>SMB</v>
      </c>
      <c r="G523">
        <f>_xlfn.XLOOKUP(D523,tblStates[state_code],tblStates[territory_id],"Needs Review - Territory")</f>
        <v>3</v>
      </c>
      <c r="H523" t="str">
        <f>IF(E523="","",_xlfn.XLOOKUP(E523,tblUsers[user_id],tblUsers[job_title],"Owner Not Found"))</f>
        <v>Mid-Market Account Executive</v>
      </c>
      <c r="I523" t="str">
        <f>IF(E523="","",_xlfn.XLOOKUP(E523,tblUsers[user_id],tblUsers[segment],"Owner Not Found"))</f>
        <v>MM</v>
      </c>
      <c r="J523">
        <f>IF(E523="","",_xlfn.XLOOKUP(E523,tblUsers[user_id],tblUsers[territory_id],"Owner Not Found"))</f>
        <v>3</v>
      </c>
      <c r="K523" t="str">
        <f t="shared" si="17"/>
        <v>Wrong Segment</v>
      </c>
    </row>
    <row r="524" spans="1:11">
      <c r="A524" t="s">
        <v>3305</v>
      </c>
      <c r="B524" t="s">
        <v>3307</v>
      </c>
      <c r="C524" t="s">
        <v>30</v>
      </c>
      <c r="D524" t="s">
        <v>366</v>
      </c>
      <c r="E524" t="s">
        <v>18</v>
      </c>
      <c r="F524" t="str">
        <f t="shared" si="16"/>
        <v>MM</v>
      </c>
      <c r="G524">
        <f>_xlfn.XLOOKUP(D524,tblStates[state_code],tblStates[territory_id],"Needs Review - Territory")</f>
        <v>1</v>
      </c>
      <c r="H524" t="str">
        <f>IF(E524="","",_xlfn.XLOOKUP(E524,tblUsers[user_id],tblUsers[job_title],"Owner Not Found"))</f>
        <v>Mid-Market Account Executive</v>
      </c>
      <c r="I524" t="str">
        <f>IF(E524="","",_xlfn.XLOOKUP(E524,tblUsers[user_id],tblUsers[segment],"Owner Not Found"))</f>
        <v>MM</v>
      </c>
      <c r="J524">
        <f>IF(E524="","",_xlfn.XLOOKUP(E524,tblUsers[user_id],tblUsers[territory_id],"Owner Not Found"))</f>
        <v>1</v>
      </c>
      <c r="K524" t="str">
        <f t="shared" si="17"/>
        <v>Routing Compatible</v>
      </c>
    </row>
    <row r="525" spans="1:11">
      <c r="A525" t="s">
        <v>3308</v>
      </c>
      <c r="B525" t="s">
        <v>3310</v>
      </c>
      <c r="C525" t="s">
        <v>30</v>
      </c>
      <c r="D525" t="s">
        <v>212</v>
      </c>
      <c r="E525" t="s">
        <v>55</v>
      </c>
      <c r="F525" t="str">
        <f t="shared" si="16"/>
        <v>MM</v>
      </c>
      <c r="G525">
        <f>_xlfn.XLOOKUP(D525,tblStates[state_code],tblStates[territory_id],"Needs Review - Territory")</f>
        <v>3</v>
      </c>
      <c r="H525" t="str">
        <f>IF(E525="","",_xlfn.XLOOKUP(E525,tblUsers[user_id],tblUsers[job_title],"Owner Not Found"))</f>
        <v>Mid-Market Account Executive</v>
      </c>
      <c r="I525" t="str">
        <f>IF(E525="","",_xlfn.XLOOKUP(E525,tblUsers[user_id],tblUsers[segment],"Owner Not Found"))</f>
        <v>MM</v>
      </c>
      <c r="J525">
        <f>IF(E525="","",_xlfn.XLOOKUP(E525,tblUsers[user_id],tblUsers[territory_id],"Owner Not Found"))</f>
        <v>3</v>
      </c>
      <c r="K525" t="str">
        <f t="shared" si="17"/>
        <v>Routing Compatible</v>
      </c>
    </row>
    <row r="526" spans="1:11">
      <c r="A526" t="s">
        <v>3311</v>
      </c>
      <c r="B526" t="s">
        <v>3313</v>
      </c>
      <c r="C526" t="s">
        <v>30</v>
      </c>
      <c r="D526" t="s">
        <v>90</v>
      </c>
      <c r="E526" t="s">
        <v>18</v>
      </c>
      <c r="F526" t="str">
        <f t="shared" si="16"/>
        <v>MM</v>
      </c>
      <c r="G526">
        <f>_xlfn.XLOOKUP(D526,tblStates[state_code],tblStates[territory_id],"Needs Review - Territory")</f>
        <v>1</v>
      </c>
      <c r="H526" t="str">
        <f>IF(E526="","",_xlfn.XLOOKUP(E526,tblUsers[user_id],tblUsers[job_title],"Owner Not Found"))</f>
        <v>Mid-Market Account Executive</v>
      </c>
      <c r="I526" t="str">
        <f>IF(E526="","",_xlfn.XLOOKUP(E526,tblUsers[user_id],tblUsers[segment],"Owner Not Found"))</f>
        <v>MM</v>
      </c>
      <c r="J526">
        <f>IF(E526="","",_xlfn.XLOOKUP(E526,tblUsers[user_id],tblUsers[territory_id],"Owner Not Found"))</f>
        <v>1</v>
      </c>
      <c r="K526" t="str">
        <f t="shared" si="17"/>
        <v>Routing Compatible</v>
      </c>
    </row>
    <row r="527" spans="1:11">
      <c r="A527" t="s">
        <v>3314</v>
      </c>
      <c r="B527" t="s">
        <v>3316</v>
      </c>
      <c r="C527" t="s">
        <v>24</v>
      </c>
      <c r="D527" t="s">
        <v>23</v>
      </c>
      <c r="E527" t="s">
        <v>25</v>
      </c>
      <c r="F527" t="str">
        <f t="shared" si="16"/>
        <v>SMB</v>
      </c>
      <c r="G527">
        <f>_xlfn.XLOOKUP(D527,tblStates[state_code],tblStates[territory_id],"Needs Review - Territory")</f>
        <v>2</v>
      </c>
      <c r="H527" t="str">
        <f>IF(E527="","",_xlfn.XLOOKUP(E527,tblUsers[user_id],tblUsers[job_title],"Owner Not Found"))</f>
        <v>SMB Account Executive</v>
      </c>
      <c r="I527" t="str">
        <f>IF(E527="","",_xlfn.XLOOKUP(E527,tblUsers[user_id],tblUsers[segment],"Owner Not Found"))</f>
        <v>SMB</v>
      </c>
      <c r="J527">
        <f>IF(E527="","",_xlfn.XLOOKUP(E527,tblUsers[user_id],tblUsers[territory_id],"Owner Not Found"))</f>
        <v>2</v>
      </c>
      <c r="K527" t="str">
        <f t="shared" si="17"/>
        <v>Routing Compatible</v>
      </c>
    </row>
    <row r="528" spans="1:11">
      <c r="A528" t="s">
        <v>3317</v>
      </c>
      <c r="B528" t="s">
        <v>3319</v>
      </c>
      <c r="C528" t="s">
        <v>30</v>
      </c>
      <c r="D528" t="s">
        <v>216</v>
      </c>
      <c r="E528" t="s">
        <v>18</v>
      </c>
      <c r="F528" t="str">
        <f t="shared" si="16"/>
        <v>MM</v>
      </c>
      <c r="G528">
        <f>_xlfn.XLOOKUP(D528,tblStates[state_code],tblStates[territory_id],"Needs Review - Territory")</f>
        <v>1</v>
      </c>
      <c r="H528" t="str">
        <f>IF(E528="","",_xlfn.XLOOKUP(E528,tblUsers[user_id],tblUsers[job_title],"Owner Not Found"))</f>
        <v>Mid-Market Account Executive</v>
      </c>
      <c r="I528" t="str">
        <f>IF(E528="","",_xlfn.XLOOKUP(E528,tblUsers[user_id],tblUsers[segment],"Owner Not Found"))</f>
        <v>MM</v>
      </c>
      <c r="J528">
        <f>IF(E528="","",_xlfn.XLOOKUP(E528,tblUsers[user_id],tblUsers[territory_id],"Owner Not Found"))</f>
        <v>1</v>
      </c>
      <c r="K528" t="str">
        <f t="shared" si="17"/>
        <v>Routing Compatible</v>
      </c>
    </row>
    <row r="529" spans="1:11">
      <c r="A529" t="s">
        <v>3320</v>
      </c>
      <c r="B529" t="s">
        <v>3322</v>
      </c>
      <c r="D529" t="s">
        <v>212</v>
      </c>
      <c r="F529" t="str">
        <f t="shared" si="16"/>
        <v>Needs Review - Segment</v>
      </c>
      <c r="G529">
        <f>_xlfn.XLOOKUP(D529,tblStates[state_code],tblStates[territory_id],"Needs Review - Territory")</f>
        <v>3</v>
      </c>
      <c r="H529" t="str">
        <f>IF(E529="","",_xlfn.XLOOKUP(E529,tblUsers[user_id],tblUsers[job_title],"Owner Not Found"))</f>
        <v/>
      </c>
      <c r="I529" t="str">
        <f>IF(E529="","",_xlfn.XLOOKUP(E529,tblUsers[user_id],tblUsers[segment],"Owner Not Found"))</f>
        <v/>
      </c>
      <c r="J529" t="str">
        <f>IF(E529="","",_xlfn.XLOOKUP(E529,tblUsers[user_id],tblUsers[territory_id],"Owner Not Found"))</f>
        <v/>
      </c>
      <c r="K529" t="str">
        <f t="shared" si="17"/>
        <v>Unassigned</v>
      </c>
    </row>
    <row r="530" spans="1:11">
      <c r="A530" t="s">
        <v>3323</v>
      </c>
      <c r="B530" t="s">
        <v>3325</v>
      </c>
      <c r="C530" t="s">
        <v>24</v>
      </c>
      <c r="D530" t="s">
        <v>339</v>
      </c>
      <c r="E530" t="s">
        <v>59</v>
      </c>
      <c r="F530" t="str">
        <f t="shared" si="16"/>
        <v>SMB</v>
      </c>
      <c r="G530">
        <f>_xlfn.XLOOKUP(D530,tblStates[state_code],tblStates[territory_id],"Needs Review - Territory")</f>
        <v>3</v>
      </c>
      <c r="H530" t="str">
        <f>IF(E530="","",_xlfn.XLOOKUP(E530,tblUsers[user_id],tblUsers[job_title],"Owner Not Found"))</f>
        <v>SMB Account Executive</v>
      </c>
      <c r="I530" t="str">
        <f>IF(E530="","",_xlfn.XLOOKUP(E530,tblUsers[user_id],tblUsers[segment],"Owner Not Found"))</f>
        <v>SMB</v>
      </c>
      <c r="J530">
        <f>IF(E530="","",_xlfn.XLOOKUP(E530,tblUsers[user_id],tblUsers[territory_id],"Owner Not Found"))</f>
        <v>4</v>
      </c>
      <c r="K530" t="str">
        <f t="shared" si="17"/>
        <v>Wrong AE Territory</v>
      </c>
    </row>
    <row r="531" spans="1:11">
      <c r="A531" t="s">
        <v>3326</v>
      </c>
      <c r="B531" t="s">
        <v>3328</v>
      </c>
      <c r="C531" t="s">
        <v>30</v>
      </c>
      <c r="D531" t="s">
        <v>120</v>
      </c>
      <c r="E531" t="s">
        <v>82</v>
      </c>
      <c r="F531" t="str">
        <f t="shared" si="16"/>
        <v>MM</v>
      </c>
      <c r="G531">
        <f>_xlfn.XLOOKUP(D531,tblStates[state_code],tblStates[territory_id],"Needs Review - Territory")</f>
        <v>2</v>
      </c>
      <c r="H531" t="str">
        <f>IF(E531="","",_xlfn.XLOOKUP(E531,tblUsers[user_id],tblUsers[job_title],"Owner Not Found"))</f>
        <v>Mid-Market Account Executive</v>
      </c>
      <c r="I531" t="str">
        <f>IF(E531="","",_xlfn.XLOOKUP(E531,tblUsers[user_id],tblUsers[segment],"Owner Not Found"))</f>
        <v>MM</v>
      </c>
      <c r="J531">
        <f>IF(E531="","",_xlfn.XLOOKUP(E531,tblUsers[user_id],tblUsers[territory_id],"Owner Not Found"))</f>
        <v>2</v>
      </c>
      <c r="K531" t="str">
        <f t="shared" si="17"/>
        <v>Routing Compatible</v>
      </c>
    </row>
    <row r="532" spans="1:11">
      <c r="A532" t="s">
        <v>3329</v>
      </c>
      <c r="B532" t="s">
        <v>3331</v>
      </c>
      <c r="C532" t="s">
        <v>30</v>
      </c>
      <c r="D532" t="s">
        <v>50</v>
      </c>
      <c r="E532" t="s">
        <v>36</v>
      </c>
      <c r="F532" t="str">
        <f t="shared" si="16"/>
        <v>MM</v>
      </c>
      <c r="G532">
        <f>_xlfn.XLOOKUP(D532,tblStates[state_code],tblStates[territory_id],"Needs Review - Territory")</f>
        <v>4</v>
      </c>
      <c r="H532" t="str">
        <f>IF(E532="","",_xlfn.XLOOKUP(E532,tblUsers[user_id],tblUsers[job_title],"Owner Not Found"))</f>
        <v>Mid-Market Account Executive</v>
      </c>
      <c r="I532" t="str">
        <f>IF(E532="","",_xlfn.XLOOKUP(E532,tblUsers[user_id],tblUsers[segment],"Owner Not Found"))</f>
        <v>MM</v>
      </c>
      <c r="J532">
        <f>IF(E532="","",_xlfn.XLOOKUP(E532,tblUsers[user_id],tblUsers[territory_id],"Owner Not Found"))</f>
        <v>4</v>
      </c>
      <c r="K532" t="str">
        <f t="shared" si="17"/>
        <v>Routing Compatible</v>
      </c>
    </row>
    <row r="533" spans="1:11">
      <c r="A533" t="s">
        <v>3332</v>
      </c>
      <c r="B533" t="s">
        <v>3333</v>
      </c>
      <c r="C533" t="s">
        <v>17</v>
      </c>
      <c r="D533" t="s">
        <v>212</v>
      </c>
      <c r="E533" t="s">
        <v>55</v>
      </c>
      <c r="F533" t="str">
        <f t="shared" si="16"/>
        <v>MM</v>
      </c>
      <c r="G533">
        <f>_xlfn.XLOOKUP(D533,tblStates[state_code],tblStates[territory_id],"Needs Review - Territory")</f>
        <v>3</v>
      </c>
      <c r="H533" t="str">
        <f>IF(E533="","",_xlfn.XLOOKUP(E533,tblUsers[user_id],tblUsers[job_title],"Owner Not Found"))</f>
        <v>Mid-Market Account Executive</v>
      </c>
      <c r="I533" t="str">
        <f>IF(E533="","",_xlfn.XLOOKUP(E533,tblUsers[user_id],tblUsers[segment],"Owner Not Found"))</f>
        <v>MM</v>
      </c>
      <c r="J533">
        <f>IF(E533="","",_xlfn.XLOOKUP(E533,tblUsers[user_id],tblUsers[territory_id],"Owner Not Found"))</f>
        <v>3</v>
      </c>
      <c r="K533" t="str">
        <f t="shared" si="17"/>
        <v>Routing Compatible</v>
      </c>
    </row>
    <row r="534" spans="1:11">
      <c r="A534" t="s">
        <v>3334</v>
      </c>
      <c r="B534" t="s">
        <v>3336</v>
      </c>
      <c r="C534" t="s">
        <v>24</v>
      </c>
      <c r="D534" t="s">
        <v>81</v>
      </c>
      <c r="E534" t="s">
        <v>25</v>
      </c>
      <c r="F534" t="str">
        <f t="shared" si="16"/>
        <v>SMB</v>
      </c>
      <c r="G534">
        <f>_xlfn.XLOOKUP(D534,tblStates[state_code],tblStates[territory_id],"Needs Review - Territory")</f>
        <v>2</v>
      </c>
      <c r="H534" t="str">
        <f>IF(E534="","",_xlfn.XLOOKUP(E534,tblUsers[user_id],tblUsers[job_title],"Owner Not Found"))</f>
        <v>SMB Account Executive</v>
      </c>
      <c r="I534" t="str">
        <f>IF(E534="","",_xlfn.XLOOKUP(E534,tblUsers[user_id],tblUsers[segment],"Owner Not Found"))</f>
        <v>SMB</v>
      </c>
      <c r="J534">
        <f>IF(E534="","",_xlfn.XLOOKUP(E534,tblUsers[user_id],tblUsers[territory_id],"Owner Not Found"))</f>
        <v>2</v>
      </c>
      <c r="K534" t="str">
        <f t="shared" si="17"/>
        <v>Routing Compatible</v>
      </c>
    </row>
    <row r="535" spans="1:11">
      <c r="A535" t="s">
        <v>3337</v>
      </c>
      <c r="B535" t="s">
        <v>3339</v>
      </c>
      <c r="C535" t="s">
        <v>24</v>
      </c>
      <c r="D535" t="s">
        <v>192</v>
      </c>
      <c r="E535" t="s">
        <v>91</v>
      </c>
      <c r="F535" t="str">
        <f t="shared" si="16"/>
        <v>SMB</v>
      </c>
      <c r="G535">
        <f>_xlfn.XLOOKUP(D535,tblStates[state_code],tblStates[territory_id],"Needs Review - Territory")</f>
        <v>1</v>
      </c>
      <c r="H535" t="str">
        <f>IF(E535="","",_xlfn.XLOOKUP(E535,tblUsers[user_id],tblUsers[job_title],"Owner Not Found"))</f>
        <v>SMB Account Executive</v>
      </c>
      <c r="I535" t="str">
        <f>IF(E535="","",_xlfn.XLOOKUP(E535,tblUsers[user_id],tblUsers[segment],"Owner Not Found"))</f>
        <v>SMB</v>
      </c>
      <c r="J535">
        <f>IF(E535="","",_xlfn.XLOOKUP(E535,tblUsers[user_id],tblUsers[territory_id],"Owner Not Found"))</f>
        <v>1</v>
      </c>
      <c r="K535" t="str">
        <f t="shared" si="17"/>
        <v>Routing Compatible</v>
      </c>
    </row>
    <row r="536" spans="1:11">
      <c r="A536" t="s">
        <v>3340</v>
      </c>
      <c r="B536" t="s">
        <v>3342</v>
      </c>
      <c r="C536" t="s">
        <v>24</v>
      </c>
      <c r="D536" t="s">
        <v>178</v>
      </c>
      <c r="E536" t="s">
        <v>59</v>
      </c>
      <c r="F536" t="str">
        <f t="shared" si="16"/>
        <v>SMB</v>
      </c>
      <c r="G536">
        <f>_xlfn.XLOOKUP(D536,tblStates[state_code],tblStates[territory_id],"Needs Review - Territory")</f>
        <v>4</v>
      </c>
      <c r="H536" t="str">
        <f>IF(E536="","",_xlfn.XLOOKUP(E536,tblUsers[user_id],tblUsers[job_title],"Owner Not Found"))</f>
        <v>SMB Account Executive</v>
      </c>
      <c r="I536" t="str">
        <f>IF(E536="","",_xlfn.XLOOKUP(E536,tblUsers[user_id],tblUsers[segment],"Owner Not Found"))</f>
        <v>SMB</v>
      </c>
      <c r="J536">
        <f>IF(E536="","",_xlfn.XLOOKUP(E536,tblUsers[user_id],tblUsers[territory_id],"Owner Not Found"))</f>
        <v>4</v>
      </c>
      <c r="K536" t="str">
        <f t="shared" si="17"/>
        <v>Routing Compatible</v>
      </c>
    </row>
    <row r="537" spans="1:11">
      <c r="A537" t="s">
        <v>3343</v>
      </c>
      <c r="B537" t="s">
        <v>3345</v>
      </c>
      <c r="C537" t="s">
        <v>30</v>
      </c>
      <c r="D537" t="s">
        <v>68</v>
      </c>
      <c r="E537" t="s">
        <v>55</v>
      </c>
      <c r="F537" t="str">
        <f t="shared" si="16"/>
        <v>MM</v>
      </c>
      <c r="G537">
        <f>_xlfn.XLOOKUP(D537,tblStates[state_code],tblStates[territory_id],"Needs Review - Territory")</f>
        <v>3</v>
      </c>
      <c r="H537" t="str">
        <f>IF(E537="","",_xlfn.XLOOKUP(E537,tblUsers[user_id],tblUsers[job_title],"Owner Not Found"))</f>
        <v>Mid-Market Account Executive</v>
      </c>
      <c r="I537" t="str">
        <f>IF(E537="","",_xlfn.XLOOKUP(E537,tblUsers[user_id],tblUsers[segment],"Owner Not Found"))</f>
        <v>MM</v>
      </c>
      <c r="J537">
        <f>IF(E537="","",_xlfn.XLOOKUP(E537,tblUsers[user_id],tblUsers[territory_id],"Owner Not Found"))</f>
        <v>3</v>
      </c>
      <c r="K537" t="str">
        <f t="shared" si="17"/>
        <v>Routing Compatible</v>
      </c>
    </row>
    <row r="538" spans="1:11">
      <c r="A538" t="s">
        <v>3346</v>
      </c>
      <c r="B538" t="s">
        <v>3348</v>
      </c>
      <c r="D538" t="s">
        <v>23</v>
      </c>
      <c r="F538" t="str">
        <f t="shared" si="16"/>
        <v>Needs Review - Segment</v>
      </c>
      <c r="G538">
        <f>_xlfn.XLOOKUP(D538,tblStates[state_code],tblStates[territory_id],"Needs Review - Territory")</f>
        <v>2</v>
      </c>
      <c r="H538" t="str">
        <f>IF(E538="","",_xlfn.XLOOKUP(E538,tblUsers[user_id],tblUsers[job_title],"Owner Not Found"))</f>
        <v/>
      </c>
      <c r="I538" t="str">
        <f>IF(E538="","",_xlfn.XLOOKUP(E538,tblUsers[user_id],tblUsers[segment],"Owner Not Found"))</f>
        <v/>
      </c>
      <c r="J538" t="str">
        <f>IF(E538="","",_xlfn.XLOOKUP(E538,tblUsers[user_id],tblUsers[territory_id],"Owner Not Found"))</f>
        <v/>
      </c>
      <c r="K538" t="str">
        <f t="shared" si="17"/>
        <v>Unassigned</v>
      </c>
    </row>
    <row r="539" spans="1:11">
      <c r="A539" t="s">
        <v>3349</v>
      </c>
      <c r="B539" t="s">
        <v>3351</v>
      </c>
      <c r="C539" t="s">
        <v>24</v>
      </c>
      <c r="D539" t="s">
        <v>50</v>
      </c>
      <c r="E539" t="s">
        <v>59</v>
      </c>
      <c r="F539" t="str">
        <f t="shared" si="16"/>
        <v>SMB</v>
      </c>
      <c r="G539">
        <f>_xlfn.XLOOKUP(D539,tblStates[state_code],tblStates[territory_id],"Needs Review - Territory")</f>
        <v>4</v>
      </c>
      <c r="H539" t="str">
        <f>IF(E539="","",_xlfn.XLOOKUP(E539,tblUsers[user_id],tblUsers[job_title],"Owner Not Found"))</f>
        <v>SMB Account Executive</v>
      </c>
      <c r="I539" t="str">
        <f>IF(E539="","",_xlfn.XLOOKUP(E539,tblUsers[user_id],tblUsers[segment],"Owner Not Found"))</f>
        <v>SMB</v>
      </c>
      <c r="J539">
        <f>IF(E539="","",_xlfn.XLOOKUP(E539,tblUsers[user_id],tblUsers[territory_id],"Owner Not Found"))</f>
        <v>4</v>
      </c>
      <c r="K539" t="str">
        <f t="shared" si="17"/>
        <v>Routing Compatible</v>
      </c>
    </row>
    <row r="540" spans="1:11">
      <c r="A540" t="s">
        <v>3352</v>
      </c>
      <c r="B540" t="s">
        <v>3354</v>
      </c>
      <c r="C540" t="s">
        <v>30</v>
      </c>
      <c r="D540" t="s">
        <v>408</v>
      </c>
      <c r="E540" t="s">
        <v>55</v>
      </c>
      <c r="F540" t="str">
        <f t="shared" si="16"/>
        <v>MM</v>
      </c>
      <c r="G540">
        <f>_xlfn.XLOOKUP(D540,tblStates[state_code],tblStates[territory_id],"Needs Review - Territory")</f>
        <v>3</v>
      </c>
      <c r="H540" t="str">
        <f>IF(E540="","",_xlfn.XLOOKUP(E540,tblUsers[user_id],tblUsers[job_title],"Owner Not Found"))</f>
        <v>Mid-Market Account Executive</v>
      </c>
      <c r="I540" t="str">
        <f>IF(E540="","",_xlfn.XLOOKUP(E540,tblUsers[user_id],tblUsers[segment],"Owner Not Found"))</f>
        <v>MM</v>
      </c>
      <c r="J540">
        <f>IF(E540="","",_xlfn.XLOOKUP(E540,tblUsers[user_id],tblUsers[territory_id],"Owner Not Found"))</f>
        <v>3</v>
      </c>
      <c r="K540" t="str">
        <f t="shared" si="17"/>
        <v>Routing Compatible</v>
      </c>
    </row>
    <row r="541" spans="1:11">
      <c r="A541" t="s">
        <v>3355</v>
      </c>
      <c r="B541" t="s">
        <v>3357</v>
      </c>
      <c r="C541" t="s">
        <v>30</v>
      </c>
      <c r="D541" t="s">
        <v>226</v>
      </c>
      <c r="E541" t="s">
        <v>55</v>
      </c>
      <c r="F541" t="str">
        <f t="shared" si="16"/>
        <v>MM</v>
      </c>
      <c r="G541">
        <f>_xlfn.XLOOKUP(D541,tblStates[state_code],tblStates[territory_id],"Needs Review - Territory")</f>
        <v>3</v>
      </c>
      <c r="H541" t="str">
        <f>IF(E541="","",_xlfn.XLOOKUP(E541,tblUsers[user_id],tblUsers[job_title],"Owner Not Found"))</f>
        <v>Mid-Market Account Executive</v>
      </c>
      <c r="I541" t="str">
        <f>IF(E541="","",_xlfn.XLOOKUP(E541,tblUsers[user_id],tblUsers[segment],"Owner Not Found"))</f>
        <v>MM</v>
      </c>
      <c r="J541">
        <f>IF(E541="","",_xlfn.XLOOKUP(E541,tblUsers[user_id],tblUsers[territory_id],"Owner Not Found"))</f>
        <v>3</v>
      </c>
      <c r="K541" t="str">
        <f t="shared" si="17"/>
        <v>Routing Compatible</v>
      </c>
    </row>
    <row r="542" spans="1:11">
      <c r="A542" t="s">
        <v>3358</v>
      </c>
      <c r="B542" t="s">
        <v>3360</v>
      </c>
      <c r="C542" t="s">
        <v>24</v>
      </c>
      <c r="D542" t="s">
        <v>64</v>
      </c>
      <c r="E542" t="s">
        <v>69</v>
      </c>
      <c r="F542" t="str">
        <f t="shared" si="16"/>
        <v>SMB</v>
      </c>
      <c r="G542">
        <f>_xlfn.XLOOKUP(D542,tblStates[state_code],tblStates[territory_id],"Needs Review - Territory")</f>
        <v>3</v>
      </c>
      <c r="H542" t="str">
        <f>IF(E542="","",_xlfn.XLOOKUP(E542,tblUsers[user_id],tblUsers[job_title],"Owner Not Found"))</f>
        <v>SMB Account Executive</v>
      </c>
      <c r="I542" t="str">
        <f>IF(E542="","",_xlfn.XLOOKUP(E542,tblUsers[user_id],tblUsers[segment],"Owner Not Found"))</f>
        <v>SMB</v>
      </c>
      <c r="J542">
        <f>IF(E542="","",_xlfn.XLOOKUP(E542,tblUsers[user_id],tblUsers[territory_id],"Owner Not Found"))</f>
        <v>3</v>
      </c>
      <c r="K542" t="str">
        <f t="shared" si="17"/>
        <v>Routing Compatible</v>
      </c>
    </row>
    <row r="543" spans="1:11">
      <c r="A543" t="s">
        <v>3361</v>
      </c>
      <c r="B543" t="s">
        <v>3363</v>
      </c>
      <c r="C543" t="s">
        <v>24</v>
      </c>
      <c r="D543" t="s">
        <v>249</v>
      </c>
      <c r="E543" t="s">
        <v>59</v>
      </c>
      <c r="F543" t="str">
        <f t="shared" si="16"/>
        <v>SMB</v>
      </c>
      <c r="G543">
        <f>_xlfn.XLOOKUP(D543,tblStates[state_code],tblStates[territory_id],"Needs Review - Territory")</f>
        <v>4</v>
      </c>
      <c r="H543" t="str">
        <f>IF(E543="","",_xlfn.XLOOKUP(E543,tblUsers[user_id],tblUsers[job_title],"Owner Not Found"))</f>
        <v>SMB Account Executive</v>
      </c>
      <c r="I543" t="str">
        <f>IF(E543="","",_xlfn.XLOOKUP(E543,tblUsers[user_id],tblUsers[segment],"Owner Not Found"))</f>
        <v>SMB</v>
      </c>
      <c r="J543">
        <f>IF(E543="","",_xlfn.XLOOKUP(E543,tblUsers[user_id],tblUsers[territory_id],"Owner Not Found"))</f>
        <v>4</v>
      </c>
      <c r="K543" t="str">
        <f t="shared" si="17"/>
        <v>Routing Compatible</v>
      </c>
    </row>
    <row r="544" spans="1:11">
      <c r="A544" t="s">
        <v>3364</v>
      </c>
      <c r="B544" t="s">
        <v>3366</v>
      </c>
      <c r="C544" t="s">
        <v>24</v>
      </c>
      <c r="D544" t="s">
        <v>366</v>
      </c>
      <c r="E544" t="s">
        <v>69</v>
      </c>
      <c r="F544" t="str">
        <f t="shared" si="16"/>
        <v>SMB</v>
      </c>
      <c r="G544">
        <f>_xlfn.XLOOKUP(D544,tblStates[state_code],tblStates[territory_id],"Needs Review - Territory")</f>
        <v>1</v>
      </c>
      <c r="H544" t="str">
        <f>IF(E544="","",_xlfn.XLOOKUP(E544,tblUsers[user_id],tblUsers[job_title],"Owner Not Found"))</f>
        <v>SMB Account Executive</v>
      </c>
      <c r="I544" t="str">
        <f>IF(E544="","",_xlfn.XLOOKUP(E544,tblUsers[user_id],tblUsers[segment],"Owner Not Found"))</f>
        <v>SMB</v>
      </c>
      <c r="J544">
        <f>IF(E544="","",_xlfn.XLOOKUP(E544,tblUsers[user_id],tblUsers[territory_id],"Owner Not Found"))</f>
        <v>3</v>
      </c>
      <c r="K544" t="str">
        <f t="shared" si="17"/>
        <v>Wrong AE Territory</v>
      </c>
    </row>
    <row r="545" spans="1:11">
      <c r="A545" t="s">
        <v>3367</v>
      </c>
      <c r="B545" t="s">
        <v>3369</v>
      </c>
      <c r="C545" t="s">
        <v>24</v>
      </c>
      <c r="D545" t="s">
        <v>236</v>
      </c>
      <c r="E545" t="s">
        <v>91</v>
      </c>
      <c r="F545" t="str">
        <f t="shared" si="16"/>
        <v>SMB</v>
      </c>
      <c r="G545">
        <f>_xlfn.XLOOKUP(D545,tblStates[state_code],tblStates[territory_id],"Needs Review - Territory")</f>
        <v>1</v>
      </c>
      <c r="H545" t="str">
        <f>IF(E545="","",_xlfn.XLOOKUP(E545,tblUsers[user_id],tblUsers[job_title],"Owner Not Found"))</f>
        <v>SMB Account Executive</v>
      </c>
      <c r="I545" t="str">
        <f>IF(E545="","",_xlfn.XLOOKUP(E545,tblUsers[user_id],tblUsers[segment],"Owner Not Found"))</f>
        <v>SMB</v>
      </c>
      <c r="J545">
        <f>IF(E545="","",_xlfn.XLOOKUP(E545,tblUsers[user_id],tblUsers[territory_id],"Owner Not Found"))</f>
        <v>1</v>
      </c>
      <c r="K545" t="str">
        <f t="shared" si="17"/>
        <v>Routing Compatible</v>
      </c>
    </row>
    <row r="546" spans="1:11">
      <c r="A546" t="s">
        <v>3370</v>
      </c>
      <c r="B546" t="s">
        <v>3372</v>
      </c>
      <c r="C546" t="s">
        <v>24</v>
      </c>
      <c r="D546" t="s">
        <v>1034</v>
      </c>
      <c r="E546" t="s">
        <v>59</v>
      </c>
      <c r="F546" t="str">
        <f t="shared" si="16"/>
        <v>SMB</v>
      </c>
      <c r="G546">
        <f>_xlfn.XLOOKUP(D546,tblStates[state_code],tblStates[territory_id],"Needs Review - Territory")</f>
        <v>4</v>
      </c>
      <c r="H546" t="str">
        <f>IF(E546="","",_xlfn.XLOOKUP(E546,tblUsers[user_id],tblUsers[job_title],"Owner Not Found"))</f>
        <v>SMB Account Executive</v>
      </c>
      <c r="I546" t="str">
        <f>IF(E546="","",_xlfn.XLOOKUP(E546,tblUsers[user_id],tblUsers[segment],"Owner Not Found"))</f>
        <v>SMB</v>
      </c>
      <c r="J546">
        <f>IF(E546="","",_xlfn.XLOOKUP(E546,tblUsers[user_id],tblUsers[territory_id],"Owner Not Found"))</f>
        <v>4</v>
      </c>
      <c r="K546" t="str">
        <f t="shared" si="17"/>
        <v>Routing Compatible</v>
      </c>
    </row>
    <row r="547" spans="1:11">
      <c r="A547" t="s">
        <v>3374</v>
      </c>
      <c r="B547" t="s">
        <v>3376</v>
      </c>
      <c r="C547" t="s">
        <v>17</v>
      </c>
      <c r="D547" t="s">
        <v>226</v>
      </c>
      <c r="E547" t="s">
        <v>69</v>
      </c>
      <c r="F547" t="str">
        <f t="shared" si="16"/>
        <v>MM</v>
      </c>
      <c r="G547">
        <f>_xlfn.XLOOKUP(D547,tblStates[state_code],tblStates[territory_id],"Needs Review - Territory")</f>
        <v>3</v>
      </c>
      <c r="H547" t="str">
        <f>IF(E547="","",_xlfn.XLOOKUP(E547,tblUsers[user_id],tblUsers[job_title],"Owner Not Found"))</f>
        <v>SMB Account Executive</v>
      </c>
      <c r="I547" t="str">
        <f>IF(E547="","",_xlfn.XLOOKUP(E547,tblUsers[user_id],tblUsers[segment],"Owner Not Found"))</f>
        <v>SMB</v>
      </c>
      <c r="J547">
        <f>IF(E547="","",_xlfn.XLOOKUP(E547,tblUsers[user_id],tblUsers[territory_id],"Owner Not Found"))</f>
        <v>3</v>
      </c>
      <c r="K547" t="str">
        <f t="shared" si="17"/>
        <v>Wrong Segment</v>
      </c>
    </row>
    <row r="548" spans="1:11">
      <c r="A548" t="s">
        <v>3377</v>
      </c>
      <c r="B548" t="s">
        <v>3379</v>
      </c>
      <c r="C548" t="s">
        <v>24</v>
      </c>
      <c r="D548" t="s">
        <v>50</v>
      </c>
      <c r="E548" t="s">
        <v>59</v>
      </c>
      <c r="F548" t="str">
        <f t="shared" si="16"/>
        <v>SMB</v>
      </c>
      <c r="G548">
        <f>_xlfn.XLOOKUP(D548,tblStates[state_code],tblStates[territory_id],"Needs Review - Territory")</f>
        <v>4</v>
      </c>
      <c r="H548" t="str">
        <f>IF(E548="","",_xlfn.XLOOKUP(E548,tblUsers[user_id],tblUsers[job_title],"Owner Not Found"))</f>
        <v>SMB Account Executive</v>
      </c>
      <c r="I548" t="str">
        <f>IF(E548="","",_xlfn.XLOOKUP(E548,tblUsers[user_id],tblUsers[segment],"Owner Not Found"))</f>
        <v>SMB</v>
      </c>
      <c r="J548">
        <f>IF(E548="","",_xlfn.XLOOKUP(E548,tblUsers[user_id],tblUsers[territory_id],"Owner Not Found"))</f>
        <v>4</v>
      </c>
      <c r="K548" t="str">
        <f t="shared" si="17"/>
        <v>Routing Compatible</v>
      </c>
    </row>
    <row r="549" spans="1:11">
      <c r="A549" t="s">
        <v>3380</v>
      </c>
      <c r="B549" t="s">
        <v>3382</v>
      </c>
      <c r="C549" t="s">
        <v>24</v>
      </c>
      <c r="D549" t="s">
        <v>404</v>
      </c>
      <c r="E549" t="s">
        <v>25</v>
      </c>
      <c r="F549" t="str">
        <f t="shared" si="16"/>
        <v>SMB</v>
      </c>
      <c r="G549">
        <f>_xlfn.XLOOKUP(D549,tblStates[state_code],tblStates[territory_id],"Needs Review - Territory")</f>
        <v>2</v>
      </c>
      <c r="H549" t="str">
        <f>IF(E549="","",_xlfn.XLOOKUP(E549,tblUsers[user_id],tblUsers[job_title],"Owner Not Found"))</f>
        <v>SMB Account Executive</v>
      </c>
      <c r="I549" t="str">
        <f>IF(E549="","",_xlfn.XLOOKUP(E549,tblUsers[user_id],tblUsers[segment],"Owner Not Found"))</f>
        <v>SMB</v>
      </c>
      <c r="J549">
        <f>IF(E549="","",_xlfn.XLOOKUP(E549,tblUsers[user_id],tblUsers[territory_id],"Owner Not Found"))</f>
        <v>2</v>
      </c>
      <c r="K549" t="str">
        <f t="shared" si="17"/>
        <v>Routing Compatible</v>
      </c>
    </row>
    <row r="550" spans="1:11">
      <c r="A550" t="s">
        <v>3383</v>
      </c>
      <c r="B550" t="s">
        <v>3385</v>
      </c>
      <c r="C550" t="s">
        <v>17</v>
      </c>
      <c r="D550" t="s">
        <v>216</v>
      </c>
      <c r="E550" t="s">
        <v>18</v>
      </c>
      <c r="F550" t="str">
        <f t="shared" si="16"/>
        <v>MM</v>
      </c>
      <c r="G550">
        <f>_xlfn.XLOOKUP(D550,tblStates[state_code],tblStates[territory_id],"Needs Review - Territory")</f>
        <v>1</v>
      </c>
      <c r="H550" t="str">
        <f>IF(E550="","",_xlfn.XLOOKUP(E550,tblUsers[user_id],tblUsers[job_title],"Owner Not Found"))</f>
        <v>Mid-Market Account Executive</v>
      </c>
      <c r="I550" t="str">
        <f>IF(E550="","",_xlfn.XLOOKUP(E550,tblUsers[user_id],tblUsers[segment],"Owner Not Found"))</f>
        <v>MM</v>
      </c>
      <c r="J550">
        <f>IF(E550="","",_xlfn.XLOOKUP(E550,tblUsers[user_id],tblUsers[territory_id],"Owner Not Found"))</f>
        <v>1</v>
      </c>
      <c r="K550" t="str">
        <f t="shared" si="17"/>
        <v>Routing Compatible</v>
      </c>
    </row>
    <row r="551" spans="1:11">
      <c r="A551" t="s">
        <v>3386</v>
      </c>
      <c r="B551" t="s">
        <v>3388</v>
      </c>
      <c r="C551" t="s">
        <v>24</v>
      </c>
      <c r="D551" t="s">
        <v>560</v>
      </c>
      <c r="E551" t="s">
        <v>25</v>
      </c>
      <c r="F551" t="str">
        <f t="shared" si="16"/>
        <v>SMB</v>
      </c>
      <c r="G551">
        <f>_xlfn.XLOOKUP(D551,tblStates[state_code],tblStates[territory_id],"Needs Review - Territory")</f>
        <v>2</v>
      </c>
      <c r="H551" t="str">
        <f>IF(E551="","",_xlfn.XLOOKUP(E551,tblUsers[user_id],tblUsers[job_title],"Owner Not Found"))</f>
        <v>SMB Account Executive</v>
      </c>
      <c r="I551" t="str">
        <f>IF(E551="","",_xlfn.XLOOKUP(E551,tblUsers[user_id],tblUsers[segment],"Owner Not Found"))</f>
        <v>SMB</v>
      </c>
      <c r="J551">
        <f>IF(E551="","",_xlfn.XLOOKUP(E551,tblUsers[user_id],tblUsers[territory_id],"Owner Not Found"))</f>
        <v>2</v>
      </c>
      <c r="K551" t="str">
        <f t="shared" si="17"/>
        <v>Routing Compatible</v>
      </c>
    </row>
    <row r="552" spans="1:11">
      <c r="A552" t="s">
        <v>3389</v>
      </c>
      <c r="B552" t="s">
        <v>3391</v>
      </c>
      <c r="C552" t="s">
        <v>30</v>
      </c>
      <c r="D552" t="s">
        <v>81</v>
      </c>
      <c r="E552" t="s">
        <v>82</v>
      </c>
      <c r="F552" t="str">
        <f t="shared" si="16"/>
        <v>MM</v>
      </c>
      <c r="G552">
        <f>_xlfn.XLOOKUP(D552,tblStates[state_code],tblStates[territory_id],"Needs Review - Territory")</f>
        <v>2</v>
      </c>
      <c r="H552" t="str">
        <f>IF(E552="","",_xlfn.XLOOKUP(E552,tblUsers[user_id],tblUsers[job_title],"Owner Not Found"))</f>
        <v>Mid-Market Account Executive</v>
      </c>
      <c r="I552" t="str">
        <f>IF(E552="","",_xlfn.XLOOKUP(E552,tblUsers[user_id],tblUsers[segment],"Owner Not Found"))</f>
        <v>MM</v>
      </c>
      <c r="J552">
        <f>IF(E552="","",_xlfn.XLOOKUP(E552,tblUsers[user_id],tblUsers[territory_id],"Owner Not Found"))</f>
        <v>2</v>
      </c>
      <c r="K552" t="str">
        <f t="shared" si="17"/>
        <v>Routing Compatible</v>
      </c>
    </row>
    <row r="553" spans="1:11">
      <c r="A553" t="s">
        <v>3392</v>
      </c>
      <c r="B553" t="s">
        <v>3394</v>
      </c>
      <c r="C553" t="s">
        <v>24</v>
      </c>
      <c r="D553" t="s">
        <v>1034</v>
      </c>
      <c r="E553" t="s">
        <v>59</v>
      </c>
      <c r="F553" t="str">
        <f t="shared" si="16"/>
        <v>SMB</v>
      </c>
      <c r="G553">
        <f>_xlfn.XLOOKUP(D553,tblStates[state_code],tblStates[territory_id],"Needs Review - Territory")</f>
        <v>4</v>
      </c>
      <c r="H553" t="str">
        <f>IF(E553="","",_xlfn.XLOOKUP(E553,tblUsers[user_id],tblUsers[job_title],"Owner Not Found"))</f>
        <v>SMB Account Executive</v>
      </c>
      <c r="I553" t="str">
        <f>IF(E553="","",_xlfn.XLOOKUP(E553,tblUsers[user_id],tblUsers[segment],"Owner Not Found"))</f>
        <v>SMB</v>
      </c>
      <c r="J553">
        <f>IF(E553="","",_xlfn.XLOOKUP(E553,tblUsers[user_id],tblUsers[territory_id],"Owner Not Found"))</f>
        <v>4</v>
      </c>
      <c r="K553" t="str">
        <f t="shared" si="17"/>
        <v>Routing Compatible</v>
      </c>
    </row>
    <row r="554" spans="1:11">
      <c r="A554" t="s">
        <v>3395</v>
      </c>
      <c r="B554" t="s">
        <v>3397</v>
      </c>
      <c r="C554" t="s">
        <v>24</v>
      </c>
      <c r="D554" t="s">
        <v>50</v>
      </c>
      <c r="E554" t="s">
        <v>59</v>
      </c>
      <c r="F554" t="str">
        <f t="shared" si="16"/>
        <v>SMB</v>
      </c>
      <c r="G554">
        <f>_xlfn.XLOOKUP(D554,tblStates[state_code],tblStates[territory_id],"Needs Review - Territory")</f>
        <v>4</v>
      </c>
      <c r="H554" t="str">
        <f>IF(E554="","",_xlfn.XLOOKUP(E554,tblUsers[user_id],tblUsers[job_title],"Owner Not Found"))</f>
        <v>SMB Account Executive</v>
      </c>
      <c r="I554" t="str">
        <f>IF(E554="","",_xlfn.XLOOKUP(E554,tblUsers[user_id],tblUsers[segment],"Owner Not Found"))</f>
        <v>SMB</v>
      </c>
      <c r="J554">
        <f>IF(E554="","",_xlfn.XLOOKUP(E554,tblUsers[user_id],tblUsers[territory_id],"Owner Not Found"))</f>
        <v>4</v>
      </c>
      <c r="K554" t="str">
        <f t="shared" si="17"/>
        <v>Routing Compatible</v>
      </c>
    </row>
    <row r="555" spans="1:11">
      <c r="A555" t="s">
        <v>3398</v>
      </c>
      <c r="B555" t="s">
        <v>3400</v>
      </c>
      <c r="C555" t="s">
        <v>24</v>
      </c>
      <c r="D555" t="s">
        <v>154</v>
      </c>
      <c r="E555" t="s">
        <v>25</v>
      </c>
      <c r="F555" t="str">
        <f t="shared" si="16"/>
        <v>SMB</v>
      </c>
      <c r="G555">
        <f>_xlfn.XLOOKUP(D555,tblStates[state_code],tblStates[territory_id],"Needs Review - Territory")</f>
        <v>2</v>
      </c>
      <c r="H555" t="str">
        <f>IF(E555="","",_xlfn.XLOOKUP(E555,tblUsers[user_id],tblUsers[job_title],"Owner Not Found"))</f>
        <v>SMB Account Executive</v>
      </c>
      <c r="I555" t="str">
        <f>IF(E555="","",_xlfn.XLOOKUP(E555,tblUsers[user_id],tblUsers[segment],"Owner Not Found"))</f>
        <v>SMB</v>
      </c>
      <c r="J555">
        <f>IF(E555="","",_xlfn.XLOOKUP(E555,tblUsers[user_id],tblUsers[territory_id],"Owner Not Found"))</f>
        <v>2</v>
      </c>
      <c r="K555" t="str">
        <f t="shared" si="17"/>
        <v>Routing Compatible</v>
      </c>
    </row>
    <row r="556" spans="1:11">
      <c r="A556" t="s">
        <v>3401</v>
      </c>
      <c r="B556" t="s">
        <v>3403</v>
      </c>
      <c r="C556" t="s">
        <v>17</v>
      </c>
      <c r="D556" t="s">
        <v>171</v>
      </c>
      <c r="E556" t="s">
        <v>18</v>
      </c>
      <c r="F556" t="str">
        <f t="shared" si="16"/>
        <v>MM</v>
      </c>
      <c r="G556">
        <f>_xlfn.XLOOKUP(D556,tblStates[state_code],tblStates[territory_id],"Needs Review - Territory")</f>
        <v>1</v>
      </c>
      <c r="H556" t="str">
        <f>IF(E556="","",_xlfn.XLOOKUP(E556,tblUsers[user_id],tblUsers[job_title],"Owner Not Found"))</f>
        <v>Mid-Market Account Executive</v>
      </c>
      <c r="I556" t="str">
        <f>IF(E556="","",_xlfn.XLOOKUP(E556,tblUsers[user_id],tblUsers[segment],"Owner Not Found"))</f>
        <v>MM</v>
      </c>
      <c r="J556">
        <f>IF(E556="","",_xlfn.XLOOKUP(E556,tblUsers[user_id],tblUsers[territory_id],"Owner Not Found"))</f>
        <v>1</v>
      </c>
      <c r="K556" t="str">
        <f t="shared" si="17"/>
        <v>Routing Compatible</v>
      </c>
    </row>
    <row r="557" spans="1:11">
      <c r="A557" t="s">
        <v>3404</v>
      </c>
      <c r="B557" t="s">
        <v>3406</v>
      </c>
      <c r="C557" t="s">
        <v>24</v>
      </c>
      <c r="D557" t="s">
        <v>81</v>
      </c>
      <c r="E557" t="s">
        <v>25</v>
      </c>
      <c r="F557" t="str">
        <f t="shared" si="16"/>
        <v>SMB</v>
      </c>
      <c r="G557">
        <f>_xlfn.XLOOKUP(D557,tblStates[state_code],tblStates[territory_id],"Needs Review - Territory")</f>
        <v>2</v>
      </c>
      <c r="H557" t="str">
        <f>IF(E557="","",_xlfn.XLOOKUP(E557,tblUsers[user_id],tblUsers[job_title],"Owner Not Found"))</f>
        <v>SMB Account Executive</v>
      </c>
      <c r="I557" t="str">
        <f>IF(E557="","",_xlfn.XLOOKUP(E557,tblUsers[user_id],tblUsers[segment],"Owner Not Found"))</f>
        <v>SMB</v>
      </c>
      <c r="J557">
        <f>IF(E557="","",_xlfn.XLOOKUP(E557,tblUsers[user_id],tblUsers[territory_id],"Owner Not Found"))</f>
        <v>2</v>
      </c>
      <c r="K557" t="str">
        <f t="shared" si="17"/>
        <v>Routing Compatible</v>
      </c>
    </row>
    <row r="558" spans="1:11">
      <c r="A558" t="s">
        <v>3407</v>
      </c>
      <c r="B558" t="s">
        <v>3409</v>
      </c>
      <c r="C558" t="s">
        <v>30</v>
      </c>
      <c r="D558" t="s">
        <v>178</v>
      </c>
      <c r="E558" t="s">
        <v>36</v>
      </c>
      <c r="F558" t="str">
        <f t="shared" si="16"/>
        <v>MM</v>
      </c>
      <c r="G558">
        <f>_xlfn.XLOOKUP(D558,tblStates[state_code],tblStates[territory_id],"Needs Review - Territory")</f>
        <v>4</v>
      </c>
      <c r="H558" t="str">
        <f>IF(E558="","",_xlfn.XLOOKUP(E558,tblUsers[user_id],tblUsers[job_title],"Owner Not Found"))</f>
        <v>Mid-Market Account Executive</v>
      </c>
      <c r="I558" t="str">
        <f>IF(E558="","",_xlfn.XLOOKUP(E558,tblUsers[user_id],tblUsers[segment],"Owner Not Found"))</f>
        <v>MM</v>
      </c>
      <c r="J558">
        <f>IF(E558="","",_xlfn.XLOOKUP(E558,tblUsers[user_id],tblUsers[territory_id],"Owner Not Found"))</f>
        <v>4</v>
      </c>
      <c r="K558" t="str">
        <f t="shared" si="17"/>
        <v>Routing Compatible</v>
      </c>
    </row>
    <row r="559" spans="1:11">
      <c r="A559" t="s">
        <v>3410</v>
      </c>
      <c r="B559" t="s">
        <v>3412</v>
      </c>
      <c r="D559" t="s">
        <v>140</v>
      </c>
      <c r="F559" t="str">
        <f t="shared" si="16"/>
        <v>Needs Review - Segment</v>
      </c>
      <c r="G559">
        <f>_xlfn.XLOOKUP(D559,tblStates[state_code],tblStates[territory_id],"Needs Review - Territory")</f>
        <v>2</v>
      </c>
      <c r="H559" t="str">
        <f>IF(E559="","",_xlfn.XLOOKUP(E559,tblUsers[user_id],tblUsers[job_title],"Owner Not Found"))</f>
        <v/>
      </c>
      <c r="I559" t="str">
        <f>IF(E559="","",_xlfn.XLOOKUP(E559,tblUsers[user_id],tblUsers[segment],"Owner Not Found"))</f>
        <v/>
      </c>
      <c r="J559" t="str">
        <f>IF(E559="","",_xlfn.XLOOKUP(E559,tblUsers[user_id],tblUsers[territory_id],"Owner Not Found"))</f>
        <v/>
      </c>
      <c r="K559" t="str">
        <f t="shared" si="17"/>
        <v>Unassigned</v>
      </c>
    </row>
    <row r="560" spans="1:11">
      <c r="A560" t="s">
        <v>3413</v>
      </c>
      <c r="B560" t="s">
        <v>3415</v>
      </c>
      <c r="C560" t="s">
        <v>30</v>
      </c>
      <c r="D560" t="s">
        <v>23</v>
      </c>
      <c r="E560" t="s">
        <v>82</v>
      </c>
      <c r="F560" t="str">
        <f t="shared" si="16"/>
        <v>MM</v>
      </c>
      <c r="G560">
        <f>_xlfn.XLOOKUP(D560,tblStates[state_code],tblStates[territory_id],"Needs Review - Territory")</f>
        <v>2</v>
      </c>
      <c r="H560" t="str">
        <f>IF(E560="","",_xlfn.XLOOKUP(E560,tblUsers[user_id],tblUsers[job_title],"Owner Not Found"))</f>
        <v>Mid-Market Account Executive</v>
      </c>
      <c r="I560" t="str">
        <f>IF(E560="","",_xlfn.XLOOKUP(E560,tblUsers[user_id],tblUsers[segment],"Owner Not Found"))</f>
        <v>MM</v>
      </c>
      <c r="J560">
        <f>IF(E560="","",_xlfn.XLOOKUP(E560,tblUsers[user_id],tblUsers[territory_id],"Owner Not Found"))</f>
        <v>2</v>
      </c>
      <c r="K560" t="str">
        <f t="shared" si="17"/>
        <v>Routing Compatible</v>
      </c>
    </row>
    <row r="561" spans="1:11">
      <c r="A561" t="s">
        <v>3416</v>
      </c>
      <c r="B561" t="s">
        <v>3418</v>
      </c>
      <c r="C561" t="s">
        <v>17</v>
      </c>
      <c r="D561" t="s">
        <v>76</v>
      </c>
      <c r="E561" t="s">
        <v>36</v>
      </c>
      <c r="F561" t="str">
        <f t="shared" si="16"/>
        <v>MM</v>
      </c>
      <c r="G561">
        <f>_xlfn.XLOOKUP(D561,tblStates[state_code],tblStates[territory_id],"Needs Review - Territory")</f>
        <v>4</v>
      </c>
      <c r="H561" t="str">
        <f>IF(E561="","",_xlfn.XLOOKUP(E561,tblUsers[user_id],tblUsers[job_title],"Owner Not Found"))</f>
        <v>Mid-Market Account Executive</v>
      </c>
      <c r="I561" t="str">
        <f>IF(E561="","",_xlfn.XLOOKUP(E561,tblUsers[user_id],tblUsers[segment],"Owner Not Found"))</f>
        <v>MM</v>
      </c>
      <c r="J561">
        <f>IF(E561="","",_xlfn.XLOOKUP(E561,tblUsers[user_id],tblUsers[territory_id],"Owner Not Found"))</f>
        <v>4</v>
      </c>
      <c r="K561" t="str">
        <f t="shared" si="17"/>
        <v>Routing Compatible</v>
      </c>
    </row>
    <row r="562" spans="1:11">
      <c r="A562" t="s">
        <v>3419</v>
      </c>
      <c r="B562" t="s">
        <v>3421</v>
      </c>
      <c r="C562" t="s">
        <v>24</v>
      </c>
      <c r="D562" t="s">
        <v>23</v>
      </c>
      <c r="E562" t="s">
        <v>25</v>
      </c>
      <c r="F562" t="str">
        <f t="shared" si="16"/>
        <v>SMB</v>
      </c>
      <c r="G562">
        <f>_xlfn.XLOOKUP(D562,tblStates[state_code],tblStates[territory_id],"Needs Review - Territory")</f>
        <v>2</v>
      </c>
      <c r="H562" t="str">
        <f>IF(E562="","",_xlfn.XLOOKUP(E562,tblUsers[user_id],tblUsers[job_title],"Owner Not Found"))</f>
        <v>SMB Account Executive</v>
      </c>
      <c r="I562" t="str">
        <f>IF(E562="","",_xlfn.XLOOKUP(E562,tblUsers[user_id],tblUsers[segment],"Owner Not Found"))</f>
        <v>SMB</v>
      </c>
      <c r="J562">
        <f>IF(E562="","",_xlfn.XLOOKUP(E562,tblUsers[user_id],tblUsers[territory_id],"Owner Not Found"))</f>
        <v>2</v>
      </c>
      <c r="K562" t="str">
        <f t="shared" si="17"/>
        <v>Routing Compatible</v>
      </c>
    </row>
    <row r="563" spans="1:11">
      <c r="A563" t="s">
        <v>3422</v>
      </c>
      <c r="B563" t="s">
        <v>3424</v>
      </c>
      <c r="C563" t="s">
        <v>24</v>
      </c>
      <c r="D563" t="s">
        <v>339</v>
      </c>
      <c r="E563" t="s">
        <v>69</v>
      </c>
      <c r="F563" t="str">
        <f t="shared" si="16"/>
        <v>SMB</v>
      </c>
      <c r="G563">
        <f>_xlfn.XLOOKUP(D563,tblStates[state_code],tblStates[territory_id],"Needs Review - Territory")</f>
        <v>3</v>
      </c>
      <c r="H563" t="str">
        <f>IF(E563="","",_xlfn.XLOOKUP(E563,tblUsers[user_id],tblUsers[job_title],"Owner Not Found"))</f>
        <v>SMB Account Executive</v>
      </c>
      <c r="I563" t="str">
        <f>IF(E563="","",_xlfn.XLOOKUP(E563,tblUsers[user_id],tblUsers[segment],"Owner Not Found"))</f>
        <v>SMB</v>
      </c>
      <c r="J563">
        <f>IF(E563="","",_xlfn.XLOOKUP(E563,tblUsers[user_id],tblUsers[territory_id],"Owner Not Found"))</f>
        <v>3</v>
      </c>
      <c r="K563" t="str">
        <f t="shared" si="17"/>
        <v>Routing Compatible</v>
      </c>
    </row>
    <row r="564" spans="1:11">
      <c r="A564" t="s">
        <v>3425</v>
      </c>
      <c r="B564" t="s">
        <v>3427</v>
      </c>
      <c r="C564" t="s">
        <v>17</v>
      </c>
      <c r="D564" t="s">
        <v>216</v>
      </c>
      <c r="E564" t="s">
        <v>18</v>
      </c>
      <c r="F564" t="str">
        <f t="shared" si="16"/>
        <v>MM</v>
      </c>
      <c r="G564">
        <f>_xlfn.XLOOKUP(D564,tblStates[state_code],tblStates[territory_id],"Needs Review - Territory")</f>
        <v>1</v>
      </c>
      <c r="H564" t="str">
        <f>IF(E564="","",_xlfn.XLOOKUP(E564,tblUsers[user_id],tblUsers[job_title],"Owner Not Found"))</f>
        <v>Mid-Market Account Executive</v>
      </c>
      <c r="I564" t="str">
        <f>IF(E564="","",_xlfn.XLOOKUP(E564,tblUsers[user_id],tblUsers[segment],"Owner Not Found"))</f>
        <v>MM</v>
      </c>
      <c r="J564">
        <f>IF(E564="","",_xlfn.XLOOKUP(E564,tblUsers[user_id],tblUsers[territory_id],"Owner Not Found"))</f>
        <v>1</v>
      </c>
      <c r="K564" t="str">
        <f t="shared" si="17"/>
        <v>Routing Compatible</v>
      </c>
    </row>
    <row r="565" spans="1:11">
      <c r="A565" t="s">
        <v>3428</v>
      </c>
      <c r="B565" t="s">
        <v>3430</v>
      </c>
      <c r="C565" t="s">
        <v>30</v>
      </c>
      <c r="D565" t="s">
        <v>16</v>
      </c>
      <c r="E565" t="s">
        <v>18</v>
      </c>
      <c r="F565" t="str">
        <f t="shared" si="16"/>
        <v>MM</v>
      </c>
      <c r="G565">
        <f>_xlfn.XLOOKUP(D565,tblStates[state_code],tblStates[territory_id],"Needs Review - Territory")</f>
        <v>1</v>
      </c>
      <c r="H565" t="str">
        <f>IF(E565="","",_xlfn.XLOOKUP(E565,tblUsers[user_id],tblUsers[job_title],"Owner Not Found"))</f>
        <v>Mid-Market Account Executive</v>
      </c>
      <c r="I565" t="str">
        <f>IF(E565="","",_xlfn.XLOOKUP(E565,tblUsers[user_id],tblUsers[segment],"Owner Not Found"))</f>
        <v>MM</v>
      </c>
      <c r="J565">
        <f>IF(E565="","",_xlfn.XLOOKUP(E565,tblUsers[user_id],tblUsers[territory_id],"Owner Not Found"))</f>
        <v>1</v>
      </c>
      <c r="K565" t="str">
        <f t="shared" si="17"/>
        <v>Routing Compatible</v>
      </c>
    </row>
    <row r="566" spans="1:11">
      <c r="A566" t="s">
        <v>3431</v>
      </c>
      <c r="B566" t="s">
        <v>3433</v>
      </c>
      <c r="C566" t="s">
        <v>24</v>
      </c>
      <c r="D566" t="s">
        <v>1034</v>
      </c>
      <c r="E566" t="s">
        <v>59</v>
      </c>
      <c r="F566" t="str">
        <f t="shared" si="16"/>
        <v>SMB</v>
      </c>
      <c r="G566">
        <f>_xlfn.XLOOKUP(D566,tblStates[state_code],tblStates[territory_id],"Needs Review - Territory")</f>
        <v>4</v>
      </c>
      <c r="H566" t="str">
        <f>IF(E566="","",_xlfn.XLOOKUP(E566,tblUsers[user_id],tblUsers[job_title],"Owner Not Found"))</f>
        <v>SMB Account Executive</v>
      </c>
      <c r="I566" t="str">
        <f>IF(E566="","",_xlfn.XLOOKUP(E566,tblUsers[user_id],tblUsers[segment],"Owner Not Found"))</f>
        <v>SMB</v>
      </c>
      <c r="J566">
        <f>IF(E566="","",_xlfn.XLOOKUP(E566,tblUsers[user_id],tblUsers[territory_id],"Owner Not Found"))</f>
        <v>4</v>
      </c>
      <c r="K566" t="str">
        <f t="shared" si="17"/>
        <v>Routing Compatible</v>
      </c>
    </row>
    <row r="567" spans="1:11">
      <c r="A567" t="s">
        <v>3434</v>
      </c>
      <c r="B567" t="s">
        <v>3436</v>
      </c>
      <c r="C567" t="s">
        <v>30</v>
      </c>
      <c r="D567" t="s">
        <v>140</v>
      </c>
      <c r="E567" t="s">
        <v>82</v>
      </c>
      <c r="F567" t="str">
        <f t="shared" si="16"/>
        <v>MM</v>
      </c>
      <c r="G567">
        <f>_xlfn.XLOOKUP(D567,tblStates[state_code],tblStates[territory_id],"Needs Review - Territory")</f>
        <v>2</v>
      </c>
      <c r="H567" t="str">
        <f>IF(E567="","",_xlfn.XLOOKUP(E567,tblUsers[user_id],tblUsers[job_title],"Owner Not Found"))</f>
        <v>Mid-Market Account Executive</v>
      </c>
      <c r="I567" t="str">
        <f>IF(E567="","",_xlfn.XLOOKUP(E567,tblUsers[user_id],tblUsers[segment],"Owner Not Found"))</f>
        <v>MM</v>
      </c>
      <c r="J567">
        <f>IF(E567="","",_xlfn.XLOOKUP(E567,tblUsers[user_id],tblUsers[territory_id],"Owner Not Found"))</f>
        <v>2</v>
      </c>
      <c r="K567" t="str">
        <f t="shared" si="17"/>
        <v>Routing Compatible</v>
      </c>
    </row>
    <row r="568" spans="1:11">
      <c r="A568" t="s">
        <v>3437</v>
      </c>
      <c r="B568" t="s">
        <v>3439</v>
      </c>
      <c r="C568" t="s">
        <v>30</v>
      </c>
      <c r="D568" t="s">
        <v>120</v>
      </c>
      <c r="E568" t="s">
        <v>82</v>
      </c>
      <c r="F568" t="str">
        <f t="shared" si="16"/>
        <v>MM</v>
      </c>
      <c r="G568">
        <f>_xlfn.XLOOKUP(D568,tblStates[state_code],tblStates[territory_id],"Needs Review - Territory")</f>
        <v>2</v>
      </c>
      <c r="H568" t="str">
        <f>IF(E568="","",_xlfn.XLOOKUP(E568,tblUsers[user_id],tblUsers[job_title],"Owner Not Found"))</f>
        <v>Mid-Market Account Executive</v>
      </c>
      <c r="I568" t="str">
        <f>IF(E568="","",_xlfn.XLOOKUP(E568,tblUsers[user_id],tblUsers[segment],"Owner Not Found"))</f>
        <v>MM</v>
      </c>
      <c r="J568">
        <f>IF(E568="","",_xlfn.XLOOKUP(E568,tblUsers[user_id],tblUsers[territory_id],"Owner Not Found"))</f>
        <v>2</v>
      </c>
      <c r="K568" t="str">
        <f t="shared" si="17"/>
        <v>Routing Compatible</v>
      </c>
    </row>
    <row r="569" spans="1:11">
      <c r="A569" t="s">
        <v>3440</v>
      </c>
      <c r="B569" t="s">
        <v>3442</v>
      </c>
      <c r="C569" t="s">
        <v>24</v>
      </c>
      <c r="D569" t="s">
        <v>366</v>
      </c>
      <c r="E569" t="s">
        <v>91</v>
      </c>
      <c r="F569" t="str">
        <f t="shared" si="16"/>
        <v>SMB</v>
      </c>
      <c r="G569">
        <f>_xlfn.XLOOKUP(D569,tblStates[state_code],tblStates[territory_id],"Needs Review - Territory")</f>
        <v>1</v>
      </c>
      <c r="H569" t="str">
        <f>IF(E569="","",_xlfn.XLOOKUP(E569,tblUsers[user_id],tblUsers[job_title],"Owner Not Found"))</f>
        <v>SMB Account Executive</v>
      </c>
      <c r="I569" t="str">
        <f>IF(E569="","",_xlfn.XLOOKUP(E569,tblUsers[user_id],tblUsers[segment],"Owner Not Found"))</f>
        <v>SMB</v>
      </c>
      <c r="J569">
        <f>IF(E569="","",_xlfn.XLOOKUP(E569,tblUsers[user_id],tblUsers[territory_id],"Owner Not Found"))</f>
        <v>1</v>
      </c>
      <c r="K569" t="str">
        <f t="shared" si="17"/>
        <v>Routing Compatible</v>
      </c>
    </row>
    <row r="570" spans="1:11">
      <c r="A570" t="s">
        <v>3443</v>
      </c>
      <c r="B570" t="s">
        <v>3445</v>
      </c>
      <c r="C570" t="s">
        <v>24</v>
      </c>
      <c r="D570" t="s">
        <v>366</v>
      </c>
      <c r="E570" t="s">
        <v>91</v>
      </c>
      <c r="F570" t="str">
        <f t="shared" si="16"/>
        <v>SMB</v>
      </c>
      <c r="G570">
        <f>_xlfn.XLOOKUP(D570,tblStates[state_code],tblStates[territory_id],"Needs Review - Territory")</f>
        <v>1</v>
      </c>
      <c r="H570" t="str">
        <f>IF(E570="","",_xlfn.XLOOKUP(E570,tblUsers[user_id],tblUsers[job_title],"Owner Not Found"))</f>
        <v>SMB Account Executive</v>
      </c>
      <c r="I570" t="str">
        <f>IF(E570="","",_xlfn.XLOOKUP(E570,tblUsers[user_id],tblUsers[segment],"Owner Not Found"))</f>
        <v>SMB</v>
      </c>
      <c r="J570">
        <f>IF(E570="","",_xlfn.XLOOKUP(E570,tblUsers[user_id],tblUsers[territory_id],"Owner Not Found"))</f>
        <v>1</v>
      </c>
      <c r="K570" t="str">
        <f t="shared" si="17"/>
        <v>Routing Compatible</v>
      </c>
    </row>
    <row r="571" spans="1:11">
      <c r="A571" t="s">
        <v>3446</v>
      </c>
      <c r="B571" t="s">
        <v>3448</v>
      </c>
      <c r="C571" t="s">
        <v>24</v>
      </c>
      <c r="D571" t="s">
        <v>50</v>
      </c>
      <c r="E571" t="s">
        <v>59</v>
      </c>
      <c r="F571" t="str">
        <f t="shared" si="16"/>
        <v>SMB</v>
      </c>
      <c r="G571">
        <f>_xlfn.XLOOKUP(D571,tblStates[state_code],tblStates[territory_id],"Needs Review - Territory")</f>
        <v>4</v>
      </c>
      <c r="H571" t="str">
        <f>IF(E571="","",_xlfn.XLOOKUP(E571,tblUsers[user_id],tblUsers[job_title],"Owner Not Found"))</f>
        <v>SMB Account Executive</v>
      </c>
      <c r="I571" t="str">
        <f>IF(E571="","",_xlfn.XLOOKUP(E571,tblUsers[user_id],tblUsers[segment],"Owner Not Found"))</f>
        <v>SMB</v>
      </c>
      <c r="J571">
        <f>IF(E571="","",_xlfn.XLOOKUP(E571,tblUsers[user_id],tblUsers[territory_id],"Owner Not Found"))</f>
        <v>4</v>
      </c>
      <c r="K571" t="str">
        <f t="shared" si="17"/>
        <v>Routing Compatible</v>
      </c>
    </row>
    <row r="572" spans="1:11">
      <c r="A572" t="s">
        <v>3449</v>
      </c>
      <c r="B572" t="s">
        <v>3451</v>
      </c>
      <c r="C572" t="s">
        <v>24</v>
      </c>
      <c r="D572" t="s">
        <v>81</v>
      </c>
      <c r="E572" t="s">
        <v>25</v>
      </c>
      <c r="F572" t="str">
        <f t="shared" si="16"/>
        <v>SMB</v>
      </c>
      <c r="G572">
        <f>_xlfn.XLOOKUP(D572,tblStates[state_code],tblStates[territory_id],"Needs Review - Territory")</f>
        <v>2</v>
      </c>
      <c r="H572" t="str">
        <f>IF(E572="","",_xlfn.XLOOKUP(E572,tblUsers[user_id],tblUsers[job_title],"Owner Not Found"))</f>
        <v>SMB Account Executive</v>
      </c>
      <c r="I572" t="str">
        <f>IF(E572="","",_xlfn.XLOOKUP(E572,tblUsers[user_id],tblUsers[segment],"Owner Not Found"))</f>
        <v>SMB</v>
      </c>
      <c r="J572">
        <f>IF(E572="","",_xlfn.XLOOKUP(E572,tblUsers[user_id],tblUsers[territory_id],"Owner Not Found"))</f>
        <v>2</v>
      </c>
      <c r="K572" t="str">
        <f t="shared" si="17"/>
        <v>Routing Compatible</v>
      </c>
    </row>
    <row r="573" spans="1:11">
      <c r="A573" t="s">
        <v>3452</v>
      </c>
      <c r="B573" t="s">
        <v>3454</v>
      </c>
      <c r="C573" t="s">
        <v>24</v>
      </c>
      <c r="D573" t="s">
        <v>140</v>
      </c>
      <c r="E573" t="s">
        <v>25</v>
      </c>
      <c r="F573" t="str">
        <f t="shared" si="16"/>
        <v>SMB</v>
      </c>
      <c r="G573">
        <f>_xlfn.XLOOKUP(D573,tblStates[state_code],tblStates[territory_id],"Needs Review - Territory")</f>
        <v>2</v>
      </c>
      <c r="H573" t="str">
        <f>IF(E573="","",_xlfn.XLOOKUP(E573,tblUsers[user_id],tblUsers[job_title],"Owner Not Found"))</f>
        <v>SMB Account Executive</v>
      </c>
      <c r="I573" t="str">
        <f>IF(E573="","",_xlfn.XLOOKUP(E573,tblUsers[user_id],tblUsers[segment],"Owner Not Found"))</f>
        <v>SMB</v>
      </c>
      <c r="J573">
        <f>IF(E573="","",_xlfn.XLOOKUP(E573,tblUsers[user_id],tblUsers[territory_id],"Owner Not Found"))</f>
        <v>2</v>
      </c>
      <c r="K573" t="str">
        <f t="shared" si="17"/>
        <v>Routing Compatible</v>
      </c>
    </row>
    <row r="574" spans="1:11">
      <c r="A574" t="s">
        <v>3455</v>
      </c>
      <c r="B574" t="s">
        <v>3457</v>
      </c>
      <c r="C574" t="s">
        <v>30</v>
      </c>
      <c r="D574" t="s">
        <v>440</v>
      </c>
      <c r="E574" t="s">
        <v>55</v>
      </c>
      <c r="F574" t="str">
        <f t="shared" si="16"/>
        <v>MM</v>
      </c>
      <c r="G574">
        <f>_xlfn.XLOOKUP(D574,tblStates[state_code],tblStates[territory_id],"Needs Review - Territory")</f>
        <v>3</v>
      </c>
      <c r="H574" t="str">
        <f>IF(E574="","",_xlfn.XLOOKUP(E574,tblUsers[user_id],tblUsers[job_title],"Owner Not Found"))</f>
        <v>Mid-Market Account Executive</v>
      </c>
      <c r="I574" t="str">
        <f>IF(E574="","",_xlfn.XLOOKUP(E574,tblUsers[user_id],tblUsers[segment],"Owner Not Found"))</f>
        <v>MM</v>
      </c>
      <c r="J574">
        <f>IF(E574="","",_xlfn.XLOOKUP(E574,tblUsers[user_id],tblUsers[territory_id],"Owner Not Found"))</f>
        <v>3</v>
      </c>
      <c r="K574" t="str">
        <f t="shared" si="17"/>
        <v>Routing Compatible</v>
      </c>
    </row>
    <row r="575" spans="1:11">
      <c r="A575" t="s">
        <v>3458</v>
      </c>
      <c r="B575" t="s">
        <v>3460</v>
      </c>
      <c r="C575" t="s">
        <v>24</v>
      </c>
      <c r="D575" t="s">
        <v>16</v>
      </c>
      <c r="E575" t="s">
        <v>91</v>
      </c>
      <c r="F575" t="str">
        <f t="shared" si="16"/>
        <v>SMB</v>
      </c>
      <c r="G575">
        <f>_xlfn.XLOOKUP(D575,tblStates[state_code],tblStates[territory_id],"Needs Review - Territory")</f>
        <v>1</v>
      </c>
      <c r="H575" t="str">
        <f>IF(E575="","",_xlfn.XLOOKUP(E575,tblUsers[user_id],tblUsers[job_title],"Owner Not Found"))</f>
        <v>SMB Account Executive</v>
      </c>
      <c r="I575" t="str">
        <f>IF(E575="","",_xlfn.XLOOKUP(E575,tblUsers[user_id],tblUsers[segment],"Owner Not Found"))</f>
        <v>SMB</v>
      </c>
      <c r="J575">
        <f>IF(E575="","",_xlfn.XLOOKUP(E575,tblUsers[user_id],tblUsers[territory_id],"Owner Not Found"))</f>
        <v>1</v>
      </c>
      <c r="K575" t="str">
        <f t="shared" si="17"/>
        <v>Routing Compatible</v>
      </c>
    </row>
    <row r="576" spans="1:11">
      <c r="A576" t="s">
        <v>3461</v>
      </c>
      <c r="B576" t="s">
        <v>3463</v>
      </c>
      <c r="D576" t="s">
        <v>638</v>
      </c>
      <c r="F576" t="str">
        <f t="shared" si="16"/>
        <v>Needs Review - Segment</v>
      </c>
      <c r="G576">
        <f>_xlfn.XLOOKUP(D576,tblStates[state_code],tblStates[territory_id],"Needs Review - Territory")</f>
        <v>3</v>
      </c>
      <c r="H576" t="str">
        <f>IF(E576="","",_xlfn.XLOOKUP(E576,tblUsers[user_id],tblUsers[job_title],"Owner Not Found"))</f>
        <v/>
      </c>
      <c r="I576" t="str">
        <f>IF(E576="","",_xlfn.XLOOKUP(E576,tblUsers[user_id],tblUsers[segment],"Owner Not Found"))</f>
        <v/>
      </c>
      <c r="J576" t="str">
        <f>IF(E576="","",_xlfn.XLOOKUP(E576,tblUsers[user_id],tblUsers[territory_id],"Owner Not Found"))</f>
        <v/>
      </c>
      <c r="K576" t="str">
        <f t="shared" si="17"/>
        <v>Unassigned</v>
      </c>
    </row>
    <row r="577" spans="1:11">
      <c r="A577" t="s">
        <v>3464</v>
      </c>
      <c r="B577" t="s">
        <v>3466</v>
      </c>
      <c r="C577" t="s">
        <v>24</v>
      </c>
      <c r="D577" t="s">
        <v>638</v>
      </c>
      <c r="E577" t="s">
        <v>69</v>
      </c>
      <c r="F577" t="str">
        <f t="shared" si="16"/>
        <v>SMB</v>
      </c>
      <c r="G577">
        <f>_xlfn.XLOOKUP(D577,tblStates[state_code],tblStates[territory_id],"Needs Review - Territory")</f>
        <v>3</v>
      </c>
      <c r="H577" t="str">
        <f>IF(E577="","",_xlfn.XLOOKUP(E577,tblUsers[user_id],tblUsers[job_title],"Owner Not Found"))</f>
        <v>SMB Account Executive</v>
      </c>
      <c r="I577" t="str">
        <f>IF(E577="","",_xlfn.XLOOKUP(E577,tblUsers[user_id],tblUsers[segment],"Owner Not Found"))</f>
        <v>SMB</v>
      </c>
      <c r="J577">
        <f>IF(E577="","",_xlfn.XLOOKUP(E577,tblUsers[user_id],tblUsers[territory_id],"Owner Not Found"))</f>
        <v>3</v>
      </c>
      <c r="K577" t="str">
        <f t="shared" si="17"/>
        <v>Routing Compatible</v>
      </c>
    </row>
    <row r="578" spans="1:11">
      <c r="A578" t="s">
        <v>3467</v>
      </c>
      <c r="B578" t="s">
        <v>3469</v>
      </c>
      <c r="C578" t="s">
        <v>30</v>
      </c>
      <c r="D578" t="s">
        <v>366</v>
      </c>
      <c r="E578" t="s">
        <v>18</v>
      </c>
      <c r="F578" t="str">
        <f t="shared" si="16"/>
        <v>MM</v>
      </c>
      <c r="G578">
        <f>_xlfn.XLOOKUP(D578,tblStates[state_code],tblStates[territory_id],"Needs Review - Territory")</f>
        <v>1</v>
      </c>
      <c r="H578" t="str">
        <f>IF(E578="","",_xlfn.XLOOKUP(E578,tblUsers[user_id],tblUsers[job_title],"Owner Not Found"))</f>
        <v>Mid-Market Account Executive</v>
      </c>
      <c r="I578" t="str">
        <f>IF(E578="","",_xlfn.XLOOKUP(E578,tblUsers[user_id],tblUsers[segment],"Owner Not Found"))</f>
        <v>MM</v>
      </c>
      <c r="J578">
        <f>IF(E578="","",_xlfn.XLOOKUP(E578,tblUsers[user_id],tblUsers[territory_id],"Owner Not Found"))</f>
        <v>1</v>
      </c>
      <c r="K578" t="str">
        <f t="shared" si="17"/>
        <v>Routing Compatible</v>
      </c>
    </row>
    <row r="579" spans="1:11">
      <c r="A579" t="s">
        <v>3470</v>
      </c>
      <c r="B579" t="s">
        <v>3472</v>
      </c>
      <c r="C579" t="s">
        <v>30</v>
      </c>
      <c r="D579" t="s">
        <v>68</v>
      </c>
      <c r="E579" t="s">
        <v>55</v>
      </c>
      <c r="F579" t="str">
        <f t="shared" ref="F579:F642" si="18">IF(C579="SMB","SMB",IF(OR(C579="Mid-Market",C579="Upper Mid-Market"),"MM","Needs Review - Segment"))</f>
        <v>MM</v>
      </c>
      <c r="G579">
        <f>_xlfn.XLOOKUP(D579,tblStates[state_code],tblStates[territory_id],"Needs Review - Territory")</f>
        <v>3</v>
      </c>
      <c r="H579" t="str">
        <f>IF(E579="","",_xlfn.XLOOKUP(E579,tblUsers[user_id],tblUsers[job_title],"Owner Not Found"))</f>
        <v>Mid-Market Account Executive</v>
      </c>
      <c r="I579" t="str">
        <f>IF(E579="","",_xlfn.XLOOKUP(E579,tblUsers[user_id],tblUsers[segment],"Owner Not Found"))</f>
        <v>MM</v>
      </c>
      <c r="J579">
        <f>IF(E579="","",_xlfn.XLOOKUP(E579,tblUsers[user_id],tblUsers[territory_id],"Owner Not Found"))</f>
        <v>3</v>
      </c>
      <c r="K579" t="str">
        <f t="shared" ref="K579:K642" si="19">IF(E579="","Unassigned",IF(F579="Needs Review - Segment","Needs Review - Segment",IF(G579="Needs Review - Territory","Needs Review - Territory",IF(I579&lt;&gt;F579,"Wrong Segment",IF(AND(ISNUMBER(SEARCH("Account Executive",H579)),J579&lt;&gt;G579),"Wrong AE Territory",IF(OR(ISNUMBER(SEARCH("Account Executive",H579)),H579="Sales Development Representative"),"Routing Compatible","Unexpected Owner Role"))))))</f>
        <v>Routing Compatible</v>
      </c>
    </row>
    <row r="580" spans="1:11">
      <c r="A580" t="s">
        <v>3473</v>
      </c>
      <c r="B580" t="s">
        <v>3475</v>
      </c>
      <c r="C580" t="s">
        <v>17</v>
      </c>
      <c r="D580" t="s">
        <v>95</v>
      </c>
      <c r="E580" t="s">
        <v>18</v>
      </c>
      <c r="F580" t="str">
        <f t="shared" si="18"/>
        <v>MM</v>
      </c>
      <c r="G580">
        <f>_xlfn.XLOOKUP(D580,tblStates[state_code],tblStates[territory_id],"Needs Review - Territory")</f>
        <v>1</v>
      </c>
      <c r="H580" t="str">
        <f>IF(E580="","",_xlfn.XLOOKUP(E580,tblUsers[user_id],tblUsers[job_title],"Owner Not Found"))</f>
        <v>Mid-Market Account Executive</v>
      </c>
      <c r="I580" t="str">
        <f>IF(E580="","",_xlfn.XLOOKUP(E580,tblUsers[user_id],tblUsers[segment],"Owner Not Found"))</f>
        <v>MM</v>
      </c>
      <c r="J580">
        <f>IF(E580="","",_xlfn.XLOOKUP(E580,tblUsers[user_id],tblUsers[territory_id],"Owner Not Found"))</f>
        <v>1</v>
      </c>
      <c r="K580" t="str">
        <f t="shared" si="19"/>
        <v>Routing Compatible</v>
      </c>
    </row>
    <row r="581" spans="1:11">
      <c r="A581" t="s">
        <v>3476</v>
      </c>
      <c r="B581" t="s">
        <v>3478</v>
      </c>
      <c r="C581" t="s">
        <v>24</v>
      </c>
      <c r="D581" t="s">
        <v>226</v>
      </c>
      <c r="E581" t="s">
        <v>69</v>
      </c>
      <c r="F581" t="str">
        <f t="shared" si="18"/>
        <v>SMB</v>
      </c>
      <c r="G581">
        <f>_xlfn.XLOOKUP(D581,tblStates[state_code],tblStates[territory_id],"Needs Review - Territory")</f>
        <v>3</v>
      </c>
      <c r="H581" t="str">
        <f>IF(E581="","",_xlfn.XLOOKUP(E581,tblUsers[user_id],tblUsers[job_title],"Owner Not Found"))</f>
        <v>SMB Account Executive</v>
      </c>
      <c r="I581" t="str">
        <f>IF(E581="","",_xlfn.XLOOKUP(E581,tblUsers[user_id],tblUsers[segment],"Owner Not Found"))</f>
        <v>SMB</v>
      </c>
      <c r="J581">
        <f>IF(E581="","",_xlfn.XLOOKUP(E581,tblUsers[user_id],tblUsers[territory_id],"Owner Not Found"))</f>
        <v>3</v>
      </c>
      <c r="K581" t="str">
        <f t="shared" si="19"/>
        <v>Routing Compatible</v>
      </c>
    </row>
    <row r="582" spans="1:11">
      <c r="A582" t="s">
        <v>3479</v>
      </c>
      <c r="B582" t="s">
        <v>3481</v>
      </c>
      <c r="C582" t="s">
        <v>24</v>
      </c>
      <c r="D582" t="s">
        <v>16</v>
      </c>
      <c r="E582" t="s">
        <v>91</v>
      </c>
      <c r="F582" t="str">
        <f t="shared" si="18"/>
        <v>SMB</v>
      </c>
      <c r="G582">
        <f>_xlfn.XLOOKUP(D582,tblStates[state_code],tblStates[territory_id],"Needs Review - Territory")</f>
        <v>1</v>
      </c>
      <c r="H582" t="str">
        <f>IF(E582="","",_xlfn.XLOOKUP(E582,tblUsers[user_id],tblUsers[job_title],"Owner Not Found"))</f>
        <v>SMB Account Executive</v>
      </c>
      <c r="I582" t="str">
        <f>IF(E582="","",_xlfn.XLOOKUP(E582,tblUsers[user_id],tblUsers[segment],"Owner Not Found"))</f>
        <v>SMB</v>
      </c>
      <c r="J582">
        <f>IF(E582="","",_xlfn.XLOOKUP(E582,tblUsers[user_id],tblUsers[territory_id],"Owner Not Found"))</f>
        <v>1</v>
      </c>
      <c r="K582" t="str">
        <f t="shared" si="19"/>
        <v>Routing Compatible</v>
      </c>
    </row>
    <row r="583" spans="1:11">
      <c r="A583" t="s">
        <v>3482</v>
      </c>
      <c r="B583" t="s">
        <v>3484</v>
      </c>
      <c r="C583" t="s">
        <v>24</v>
      </c>
      <c r="D583" t="s">
        <v>140</v>
      </c>
      <c r="E583" t="s">
        <v>25</v>
      </c>
      <c r="F583" t="str">
        <f t="shared" si="18"/>
        <v>SMB</v>
      </c>
      <c r="G583">
        <f>_xlfn.XLOOKUP(D583,tblStates[state_code],tblStates[territory_id],"Needs Review - Territory")</f>
        <v>2</v>
      </c>
      <c r="H583" t="str">
        <f>IF(E583="","",_xlfn.XLOOKUP(E583,tblUsers[user_id],tblUsers[job_title],"Owner Not Found"))</f>
        <v>SMB Account Executive</v>
      </c>
      <c r="I583" t="str">
        <f>IF(E583="","",_xlfn.XLOOKUP(E583,tblUsers[user_id],tblUsers[segment],"Owner Not Found"))</f>
        <v>SMB</v>
      </c>
      <c r="J583">
        <f>IF(E583="","",_xlfn.XLOOKUP(E583,tblUsers[user_id],tblUsers[territory_id],"Owner Not Found"))</f>
        <v>2</v>
      </c>
      <c r="K583" t="str">
        <f t="shared" si="19"/>
        <v>Routing Compatible</v>
      </c>
    </row>
    <row r="584" spans="1:11">
      <c r="A584" t="s">
        <v>3485</v>
      </c>
      <c r="B584" t="s">
        <v>3486</v>
      </c>
      <c r="C584" t="s">
        <v>24</v>
      </c>
      <c r="D584" t="s">
        <v>216</v>
      </c>
      <c r="E584" t="s">
        <v>91</v>
      </c>
      <c r="F584" t="str">
        <f t="shared" si="18"/>
        <v>SMB</v>
      </c>
      <c r="G584">
        <f>_xlfn.XLOOKUP(D584,tblStates[state_code],tblStates[territory_id],"Needs Review - Territory")</f>
        <v>1</v>
      </c>
      <c r="H584" t="str">
        <f>IF(E584="","",_xlfn.XLOOKUP(E584,tblUsers[user_id],tblUsers[job_title],"Owner Not Found"))</f>
        <v>SMB Account Executive</v>
      </c>
      <c r="I584" t="str">
        <f>IF(E584="","",_xlfn.XLOOKUP(E584,tblUsers[user_id],tblUsers[segment],"Owner Not Found"))</f>
        <v>SMB</v>
      </c>
      <c r="J584">
        <f>IF(E584="","",_xlfn.XLOOKUP(E584,tblUsers[user_id],tblUsers[territory_id],"Owner Not Found"))</f>
        <v>1</v>
      </c>
      <c r="K584" t="str">
        <f t="shared" si="19"/>
        <v>Routing Compatible</v>
      </c>
    </row>
    <row r="585" spans="1:11">
      <c r="A585" t="s">
        <v>3487</v>
      </c>
      <c r="B585" t="s">
        <v>3489</v>
      </c>
      <c r="C585" t="s">
        <v>24</v>
      </c>
      <c r="D585" t="s">
        <v>54</v>
      </c>
      <c r="E585" t="s">
        <v>69</v>
      </c>
      <c r="F585" t="str">
        <f t="shared" si="18"/>
        <v>SMB</v>
      </c>
      <c r="G585">
        <f>_xlfn.XLOOKUP(D585,tblStates[state_code],tblStates[territory_id],"Needs Review - Territory")</f>
        <v>3</v>
      </c>
      <c r="H585" t="str">
        <f>IF(E585="","",_xlfn.XLOOKUP(E585,tblUsers[user_id],tblUsers[job_title],"Owner Not Found"))</f>
        <v>SMB Account Executive</v>
      </c>
      <c r="I585" t="str">
        <f>IF(E585="","",_xlfn.XLOOKUP(E585,tblUsers[user_id],tblUsers[segment],"Owner Not Found"))</f>
        <v>SMB</v>
      </c>
      <c r="J585">
        <f>IF(E585="","",_xlfn.XLOOKUP(E585,tblUsers[user_id],tblUsers[territory_id],"Owner Not Found"))</f>
        <v>3</v>
      </c>
      <c r="K585" t="str">
        <f t="shared" si="19"/>
        <v>Routing Compatible</v>
      </c>
    </row>
    <row r="586" spans="1:11">
      <c r="A586" t="s">
        <v>3490</v>
      </c>
      <c r="B586" t="s">
        <v>3492</v>
      </c>
      <c r="C586" t="s">
        <v>24</v>
      </c>
      <c r="D586" t="s">
        <v>81</v>
      </c>
      <c r="E586" t="s">
        <v>25</v>
      </c>
      <c r="F586" t="str">
        <f t="shared" si="18"/>
        <v>SMB</v>
      </c>
      <c r="G586">
        <f>_xlfn.XLOOKUP(D586,tblStates[state_code],tblStates[territory_id],"Needs Review - Territory")</f>
        <v>2</v>
      </c>
      <c r="H586" t="str">
        <f>IF(E586="","",_xlfn.XLOOKUP(E586,tblUsers[user_id],tblUsers[job_title],"Owner Not Found"))</f>
        <v>SMB Account Executive</v>
      </c>
      <c r="I586" t="str">
        <f>IF(E586="","",_xlfn.XLOOKUP(E586,tblUsers[user_id],tblUsers[segment],"Owner Not Found"))</f>
        <v>SMB</v>
      </c>
      <c r="J586">
        <f>IF(E586="","",_xlfn.XLOOKUP(E586,tblUsers[user_id],tblUsers[territory_id],"Owner Not Found"))</f>
        <v>2</v>
      </c>
      <c r="K586" t="str">
        <f t="shared" si="19"/>
        <v>Routing Compatible</v>
      </c>
    </row>
    <row r="587" spans="1:11">
      <c r="A587" t="s">
        <v>3493</v>
      </c>
      <c r="B587" t="s">
        <v>3495</v>
      </c>
      <c r="C587" t="s">
        <v>24</v>
      </c>
      <c r="D587" t="s">
        <v>154</v>
      </c>
      <c r="E587" t="s">
        <v>25</v>
      </c>
      <c r="F587" t="str">
        <f t="shared" si="18"/>
        <v>SMB</v>
      </c>
      <c r="G587">
        <f>_xlfn.XLOOKUP(D587,tblStates[state_code],tblStates[territory_id],"Needs Review - Territory")</f>
        <v>2</v>
      </c>
      <c r="H587" t="str">
        <f>IF(E587="","",_xlfn.XLOOKUP(E587,tblUsers[user_id],tblUsers[job_title],"Owner Not Found"))</f>
        <v>SMB Account Executive</v>
      </c>
      <c r="I587" t="str">
        <f>IF(E587="","",_xlfn.XLOOKUP(E587,tblUsers[user_id],tblUsers[segment],"Owner Not Found"))</f>
        <v>SMB</v>
      </c>
      <c r="J587">
        <f>IF(E587="","",_xlfn.XLOOKUP(E587,tblUsers[user_id],tblUsers[territory_id],"Owner Not Found"))</f>
        <v>2</v>
      </c>
      <c r="K587" t="str">
        <f t="shared" si="19"/>
        <v>Routing Compatible</v>
      </c>
    </row>
    <row r="588" spans="1:11">
      <c r="A588" t="s">
        <v>3496</v>
      </c>
      <c r="B588" t="s">
        <v>3498</v>
      </c>
      <c r="C588" t="s">
        <v>24</v>
      </c>
      <c r="D588" t="s">
        <v>1079</v>
      </c>
      <c r="E588" t="s">
        <v>69</v>
      </c>
      <c r="F588" t="str">
        <f t="shared" si="18"/>
        <v>SMB</v>
      </c>
      <c r="G588">
        <f>_xlfn.XLOOKUP(D588,tblStates[state_code],tblStates[territory_id],"Needs Review - Territory")</f>
        <v>3</v>
      </c>
      <c r="H588" t="str">
        <f>IF(E588="","",_xlfn.XLOOKUP(E588,tblUsers[user_id],tblUsers[job_title],"Owner Not Found"))</f>
        <v>SMB Account Executive</v>
      </c>
      <c r="I588" t="str">
        <f>IF(E588="","",_xlfn.XLOOKUP(E588,tblUsers[user_id],tblUsers[segment],"Owner Not Found"))</f>
        <v>SMB</v>
      </c>
      <c r="J588">
        <f>IF(E588="","",_xlfn.XLOOKUP(E588,tblUsers[user_id],tblUsers[territory_id],"Owner Not Found"))</f>
        <v>3</v>
      </c>
      <c r="K588" t="str">
        <f t="shared" si="19"/>
        <v>Routing Compatible</v>
      </c>
    </row>
    <row r="589" spans="1:11">
      <c r="A589" t="s">
        <v>3499</v>
      </c>
      <c r="B589" t="s">
        <v>3501</v>
      </c>
      <c r="C589" t="s">
        <v>24</v>
      </c>
      <c r="D589" t="s">
        <v>154</v>
      </c>
      <c r="E589" t="s">
        <v>91</v>
      </c>
      <c r="F589" t="str">
        <f t="shared" si="18"/>
        <v>SMB</v>
      </c>
      <c r="G589">
        <f>_xlfn.XLOOKUP(D589,tblStates[state_code],tblStates[territory_id],"Needs Review - Territory")</f>
        <v>2</v>
      </c>
      <c r="H589" t="str">
        <f>IF(E589="","",_xlfn.XLOOKUP(E589,tblUsers[user_id],tblUsers[job_title],"Owner Not Found"))</f>
        <v>SMB Account Executive</v>
      </c>
      <c r="I589" t="str">
        <f>IF(E589="","",_xlfn.XLOOKUP(E589,tblUsers[user_id],tblUsers[segment],"Owner Not Found"))</f>
        <v>SMB</v>
      </c>
      <c r="J589">
        <f>IF(E589="","",_xlfn.XLOOKUP(E589,tblUsers[user_id],tblUsers[territory_id],"Owner Not Found"))</f>
        <v>1</v>
      </c>
      <c r="K589" t="str">
        <f t="shared" si="19"/>
        <v>Wrong AE Territory</v>
      </c>
    </row>
    <row r="590" spans="1:11">
      <c r="A590" t="s">
        <v>3502</v>
      </c>
      <c r="B590" t="s">
        <v>3504</v>
      </c>
      <c r="C590" t="s">
        <v>17</v>
      </c>
      <c r="D590" t="s">
        <v>1077</v>
      </c>
      <c r="E590" t="s">
        <v>55</v>
      </c>
      <c r="F590" t="str">
        <f t="shared" si="18"/>
        <v>MM</v>
      </c>
      <c r="G590">
        <f>_xlfn.XLOOKUP(D590,tblStates[state_code],tblStates[territory_id],"Needs Review - Territory")</f>
        <v>3</v>
      </c>
      <c r="H590" t="str">
        <f>IF(E590="","",_xlfn.XLOOKUP(E590,tblUsers[user_id],tblUsers[job_title],"Owner Not Found"))</f>
        <v>Mid-Market Account Executive</v>
      </c>
      <c r="I590" t="str">
        <f>IF(E590="","",_xlfn.XLOOKUP(E590,tblUsers[user_id],tblUsers[segment],"Owner Not Found"))</f>
        <v>MM</v>
      </c>
      <c r="J590">
        <f>IF(E590="","",_xlfn.XLOOKUP(E590,tblUsers[user_id],tblUsers[territory_id],"Owner Not Found"))</f>
        <v>3</v>
      </c>
      <c r="K590" t="str">
        <f t="shared" si="19"/>
        <v>Routing Compatible</v>
      </c>
    </row>
    <row r="591" spans="1:11">
      <c r="A591" t="s">
        <v>3505</v>
      </c>
      <c r="B591" t="s">
        <v>3507</v>
      </c>
      <c r="C591" t="s">
        <v>24</v>
      </c>
      <c r="D591" t="s">
        <v>120</v>
      </c>
      <c r="E591" t="s">
        <v>25</v>
      </c>
      <c r="F591" t="str">
        <f t="shared" si="18"/>
        <v>SMB</v>
      </c>
      <c r="G591">
        <f>_xlfn.XLOOKUP(D591,tblStates[state_code],tblStates[territory_id],"Needs Review - Territory")</f>
        <v>2</v>
      </c>
      <c r="H591" t="str">
        <f>IF(E591="","",_xlfn.XLOOKUP(E591,tblUsers[user_id],tblUsers[job_title],"Owner Not Found"))</f>
        <v>SMB Account Executive</v>
      </c>
      <c r="I591" t="str">
        <f>IF(E591="","",_xlfn.XLOOKUP(E591,tblUsers[user_id],tblUsers[segment],"Owner Not Found"))</f>
        <v>SMB</v>
      </c>
      <c r="J591">
        <f>IF(E591="","",_xlfn.XLOOKUP(E591,tblUsers[user_id],tblUsers[territory_id],"Owner Not Found"))</f>
        <v>2</v>
      </c>
      <c r="K591" t="str">
        <f t="shared" si="19"/>
        <v>Routing Compatible</v>
      </c>
    </row>
    <row r="592" spans="1:11">
      <c r="A592" t="s">
        <v>3508</v>
      </c>
      <c r="B592" t="s">
        <v>3510</v>
      </c>
      <c r="C592" t="s">
        <v>30</v>
      </c>
      <c r="D592" t="s">
        <v>68</v>
      </c>
      <c r="E592" t="s">
        <v>55</v>
      </c>
      <c r="F592" t="str">
        <f t="shared" si="18"/>
        <v>MM</v>
      </c>
      <c r="G592">
        <f>_xlfn.XLOOKUP(D592,tblStates[state_code],tblStates[territory_id],"Needs Review - Territory")</f>
        <v>3</v>
      </c>
      <c r="H592" t="str">
        <f>IF(E592="","",_xlfn.XLOOKUP(E592,tblUsers[user_id],tblUsers[job_title],"Owner Not Found"))</f>
        <v>Mid-Market Account Executive</v>
      </c>
      <c r="I592" t="str">
        <f>IF(E592="","",_xlfn.XLOOKUP(E592,tblUsers[user_id],tblUsers[segment],"Owner Not Found"))</f>
        <v>MM</v>
      </c>
      <c r="J592">
        <f>IF(E592="","",_xlfn.XLOOKUP(E592,tblUsers[user_id],tblUsers[territory_id],"Owner Not Found"))</f>
        <v>3</v>
      </c>
      <c r="K592" t="str">
        <f t="shared" si="19"/>
        <v>Routing Compatible</v>
      </c>
    </row>
    <row r="593" spans="1:11">
      <c r="A593" t="s">
        <v>3511</v>
      </c>
      <c r="B593" t="s">
        <v>3513</v>
      </c>
      <c r="C593" t="s">
        <v>24</v>
      </c>
      <c r="D593" t="s">
        <v>154</v>
      </c>
      <c r="E593" t="s">
        <v>25</v>
      </c>
      <c r="F593" t="str">
        <f t="shared" si="18"/>
        <v>SMB</v>
      </c>
      <c r="G593">
        <f>_xlfn.XLOOKUP(D593,tblStates[state_code],tblStates[territory_id],"Needs Review - Territory")</f>
        <v>2</v>
      </c>
      <c r="H593" t="str">
        <f>IF(E593="","",_xlfn.XLOOKUP(E593,tblUsers[user_id],tblUsers[job_title],"Owner Not Found"))</f>
        <v>SMB Account Executive</v>
      </c>
      <c r="I593" t="str">
        <f>IF(E593="","",_xlfn.XLOOKUP(E593,tblUsers[user_id],tblUsers[segment],"Owner Not Found"))</f>
        <v>SMB</v>
      </c>
      <c r="J593">
        <f>IF(E593="","",_xlfn.XLOOKUP(E593,tblUsers[user_id],tblUsers[territory_id],"Owner Not Found"))</f>
        <v>2</v>
      </c>
      <c r="K593" t="str">
        <f t="shared" si="19"/>
        <v>Routing Compatible</v>
      </c>
    </row>
    <row r="594" spans="1:11">
      <c r="A594" t="s">
        <v>3514</v>
      </c>
      <c r="B594" t="s">
        <v>3516</v>
      </c>
      <c r="C594" t="s">
        <v>30</v>
      </c>
      <c r="D594" t="s">
        <v>154</v>
      </c>
      <c r="E594" t="s">
        <v>82</v>
      </c>
      <c r="F594" t="str">
        <f t="shared" si="18"/>
        <v>MM</v>
      </c>
      <c r="G594">
        <f>_xlfn.XLOOKUP(D594,tblStates[state_code],tblStates[territory_id],"Needs Review - Territory")</f>
        <v>2</v>
      </c>
      <c r="H594" t="str">
        <f>IF(E594="","",_xlfn.XLOOKUP(E594,tblUsers[user_id],tblUsers[job_title],"Owner Not Found"))</f>
        <v>Mid-Market Account Executive</v>
      </c>
      <c r="I594" t="str">
        <f>IF(E594="","",_xlfn.XLOOKUP(E594,tblUsers[user_id],tblUsers[segment],"Owner Not Found"))</f>
        <v>MM</v>
      </c>
      <c r="J594">
        <f>IF(E594="","",_xlfn.XLOOKUP(E594,tblUsers[user_id],tblUsers[territory_id],"Owner Not Found"))</f>
        <v>2</v>
      </c>
      <c r="K594" t="str">
        <f t="shared" si="19"/>
        <v>Routing Compatible</v>
      </c>
    </row>
    <row r="595" spans="1:11">
      <c r="A595" t="s">
        <v>3517</v>
      </c>
      <c r="B595" t="s">
        <v>3519</v>
      </c>
      <c r="C595" t="s">
        <v>30</v>
      </c>
      <c r="D595" t="s">
        <v>81</v>
      </c>
      <c r="E595" t="s">
        <v>82</v>
      </c>
      <c r="F595" t="str">
        <f t="shared" si="18"/>
        <v>MM</v>
      </c>
      <c r="G595">
        <f>_xlfn.XLOOKUP(D595,tblStates[state_code],tblStates[territory_id],"Needs Review - Territory")</f>
        <v>2</v>
      </c>
      <c r="H595" t="str">
        <f>IF(E595="","",_xlfn.XLOOKUP(E595,tblUsers[user_id],tblUsers[job_title],"Owner Not Found"))</f>
        <v>Mid-Market Account Executive</v>
      </c>
      <c r="I595" t="str">
        <f>IF(E595="","",_xlfn.XLOOKUP(E595,tblUsers[user_id],tblUsers[segment],"Owner Not Found"))</f>
        <v>MM</v>
      </c>
      <c r="J595">
        <f>IF(E595="","",_xlfn.XLOOKUP(E595,tblUsers[user_id],tblUsers[territory_id],"Owner Not Found"))</f>
        <v>2</v>
      </c>
      <c r="K595" t="str">
        <f t="shared" si="19"/>
        <v>Routing Compatible</v>
      </c>
    </row>
    <row r="596" spans="1:11">
      <c r="A596" t="s">
        <v>3520</v>
      </c>
      <c r="B596" t="s">
        <v>3522</v>
      </c>
      <c r="C596" t="s">
        <v>30</v>
      </c>
      <c r="D596" t="s">
        <v>50</v>
      </c>
      <c r="E596" t="s">
        <v>36</v>
      </c>
      <c r="F596" t="str">
        <f t="shared" si="18"/>
        <v>MM</v>
      </c>
      <c r="G596">
        <f>_xlfn.XLOOKUP(D596,tblStates[state_code],tblStates[territory_id],"Needs Review - Territory")</f>
        <v>4</v>
      </c>
      <c r="H596" t="str">
        <f>IF(E596="","",_xlfn.XLOOKUP(E596,tblUsers[user_id],tblUsers[job_title],"Owner Not Found"))</f>
        <v>Mid-Market Account Executive</v>
      </c>
      <c r="I596" t="str">
        <f>IF(E596="","",_xlfn.XLOOKUP(E596,tblUsers[user_id],tblUsers[segment],"Owner Not Found"))</f>
        <v>MM</v>
      </c>
      <c r="J596">
        <f>IF(E596="","",_xlfn.XLOOKUP(E596,tblUsers[user_id],tblUsers[territory_id],"Owner Not Found"))</f>
        <v>4</v>
      </c>
      <c r="K596" t="str">
        <f t="shared" si="19"/>
        <v>Routing Compatible</v>
      </c>
    </row>
    <row r="597" spans="1:11">
      <c r="A597" t="s">
        <v>3523</v>
      </c>
      <c r="B597" t="s">
        <v>3525</v>
      </c>
      <c r="C597" t="s">
        <v>24</v>
      </c>
      <c r="D597" t="s">
        <v>50</v>
      </c>
      <c r="E597" t="s">
        <v>59</v>
      </c>
      <c r="F597" t="str">
        <f t="shared" si="18"/>
        <v>SMB</v>
      </c>
      <c r="G597">
        <f>_xlfn.XLOOKUP(D597,tblStates[state_code],tblStates[territory_id],"Needs Review - Territory")</f>
        <v>4</v>
      </c>
      <c r="H597" t="str">
        <f>IF(E597="","",_xlfn.XLOOKUP(E597,tblUsers[user_id],tblUsers[job_title],"Owner Not Found"))</f>
        <v>SMB Account Executive</v>
      </c>
      <c r="I597" t="str">
        <f>IF(E597="","",_xlfn.XLOOKUP(E597,tblUsers[user_id],tblUsers[segment],"Owner Not Found"))</f>
        <v>SMB</v>
      </c>
      <c r="J597">
        <f>IF(E597="","",_xlfn.XLOOKUP(E597,tblUsers[user_id],tblUsers[territory_id],"Owner Not Found"))</f>
        <v>4</v>
      </c>
      <c r="K597" t="str">
        <f t="shared" si="19"/>
        <v>Routing Compatible</v>
      </c>
    </row>
    <row r="598" spans="1:11">
      <c r="A598" t="s">
        <v>3526</v>
      </c>
      <c r="B598" t="s">
        <v>3528</v>
      </c>
      <c r="C598" t="s">
        <v>24</v>
      </c>
      <c r="D598" t="s">
        <v>23</v>
      </c>
      <c r="E598" t="s">
        <v>25</v>
      </c>
      <c r="F598" t="str">
        <f t="shared" si="18"/>
        <v>SMB</v>
      </c>
      <c r="G598">
        <f>_xlfn.XLOOKUP(D598,tblStates[state_code],tblStates[territory_id],"Needs Review - Territory")</f>
        <v>2</v>
      </c>
      <c r="H598" t="str">
        <f>IF(E598="","",_xlfn.XLOOKUP(E598,tblUsers[user_id],tblUsers[job_title],"Owner Not Found"))</f>
        <v>SMB Account Executive</v>
      </c>
      <c r="I598" t="str">
        <f>IF(E598="","",_xlfn.XLOOKUP(E598,tblUsers[user_id],tblUsers[segment],"Owner Not Found"))</f>
        <v>SMB</v>
      </c>
      <c r="J598">
        <f>IF(E598="","",_xlfn.XLOOKUP(E598,tblUsers[user_id],tblUsers[territory_id],"Owner Not Found"))</f>
        <v>2</v>
      </c>
      <c r="K598" t="str">
        <f t="shared" si="19"/>
        <v>Routing Compatible</v>
      </c>
    </row>
    <row r="599" spans="1:11">
      <c r="A599" t="s">
        <v>3529</v>
      </c>
      <c r="B599" t="s">
        <v>3531</v>
      </c>
      <c r="C599" t="s">
        <v>24</v>
      </c>
      <c r="D599" t="s">
        <v>16</v>
      </c>
      <c r="E599" t="s">
        <v>91</v>
      </c>
      <c r="F599" t="str">
        <f t="shared" si="18"/>
        <v>SMB</v>
      </c>
      <c r="G599">
        <f>_xlfn.XLOOKUP(D599,tblStates[state_code],tblStates[territory_id],"Needs Review - Territory")</f>
        <v>1</v>
      </c>
      <c r="H599" t="str">
        <f>IF(E599="","",_xlfn.XLOOKUP(E599,tblUsers[user_id],tblUsers[job_title],"Owner Not Found"))</f>
        <v>SMB Account Executive</v>
      </c>
      <c r="I599" t="str">
        <f>IF(E599="","",_xlfn.XLOOKUP(E599,tblUsers[user_id],tblUsers[segment],"Owner Not Found"))</f>
        <v>SMB</v>
      </c>
      <c r="J599">
        <f>IF(E599="","",_xlfn.XLOOKUP(E599,tblUsers[user_id],tblUsers[territory_id],"Owner Not Found"))</f>
        <v>1</v>
      </c>
      <c r="K599" t="str">
        <f t="shared" si="19"/>
        <v>Routing Compatible</v>
      </c>
    </row>
    <row r="600" spans="1:11">
      <c r="A600" t="s">
        <v>3532</v>
      </c>
      <c r="B600" t="s">
        <v>3534</v>
      </c>
      <c r="C600" t="s">
        <v>24</v>
      </c>
      <c r="D600" t="s">
        <v>41</v>
      </c>
      <c r="E600" t="s">
        <v>25</v>
      </c>
      <c r="F600" t="str">
        <f t="shared" si="18"/>
        <v>SMB</v>
      </c>
      <c r="G600">
        <f>_xlfn.XLOOKUP(D600,tblStates[state_code],tblStates[territory_id],"Needs Review - Territory")</f>
        <v>2</v>
      </c>
      <c r="H600" t="str">
        <f>IF(E600="","",_xlfn.XLOOKUP(E600,tblUsers[user_id],tblUsers[job_title],"Owner Not Found"))</f>
        <v>SMB Account Executive</v>
      </c>
      <c r="I600" t="str">
        <f>IF(E600="","",_xlfn.XLOOKUP(E600,tblUsers[user_id],tblUsers[segment],"Owner Not Found"))</f>
        <v>SMB</v>
      </c>
      <c r="J600">
        <f>IF(E600="","",_xlfn.XLOOKUP(E600,tblUsers[user_id],tblUsers[territory_id],"Owner Not Found"))</f>
        <v>2</v>
      </c>
      <c r="K600" t="str">
        <f t="shared" si="19"/>
        <v>Routing Compatible</v>
      </c>
    </row>
    <row r="601" spans="1:11">
      <c r="A601" t="s">
        <v>3535</v>
      </c>
      <c r="B601" t="s">
        <v>3537</v>
      </c>
      <c r="C601" t="s">
        <v>24</v>
      </c>
      <c r="D601" t="s">
        <v>95</v>
      </c>
      <c r="E601" t="s">
        <v>91</v>
      </c>
      <c r="F601" t="str">
        <f t="shared" si="18"/>
        <v>SMB</v>
      </c>
      <c r="G601">
        <f>_xlfn.XLOOKUP(D601,tblStates[state_code],tblStates[territory_id],"Needs Review - Territory")</f>
        <v>1</v>
      </c>
      <c r="H601" t="str">
        <f>IF(E601="","",_xlfn.XLOOKUP(E601,tblUsers[user_id],tblUsers[job_title],"Owner Not Found"))</f>
        <v>SMB Account Executive</v>
      </c>
      <c r="I601" t="str">
        <f>IF(E601="","",_xlfn.XLOOKUP(E601,tblUsers[user_id],tblUsers[segment],"Owner Not Found"))</f>
        <v>SMB</v>
      </c>
      <c r="J601">
        <f>IF(E601="","",_xlfn.XLOOKUP(E601,tblUsers[user_id],tblUsers[territory_id],"Owner Not Found"))</f>
        <v>1</v>
      </c>
      <c r="K601" t="str">
        <f t="shared" si="19"/>
        <v>Routing Compatible</v>
      </c>
    </row>
    <row r="602" spans="1:11">
      <c r="A602" t="s">
        <v>3538</v>
      </c>
      <c r="B602" t="s">
        <v>3540</v>
      </c>
      <c r="C602" t="s">
        <v>30</v>
      </c>
      <c r="D602" t="s">
        <v>35</v>
      </c>
      <c r="E602" t="s">
        <v>36</v>
      </c>
      <c r="F602" t="str">
        <f t="shared" si="18"/>
        <v>MM</v>
      </c>
      <c r="G602">
        <f>_xlfn.XLOOKUP(D602,tblStates[state_code],tblStates[territory_id],"Needs Review - Territory")</f>
        <v>4</v>
      </c>
      <c r="H602" t="str">
        <f>IF(E602="","",_xlfn.XLOOKUP(E602,tblUsers[user_id],tblUsers[job_title],"Owner Not Found"))</f>
        <v>Mid-Market Account Executive</v>
      </c>
      <c r="I602" t="str">
        <f>IF(E602="","",_xlfn.XLOOKUP(E602,tblUsers[user_id],tblUsers[segment],"Owner Not Found"))</f>
        <v>MM</v>
      </c>
      <c r="J602">
        <f>IF(E602="","",_xlfn.XLOOKUP(E602,tblUsers[user_id],tblUsers[territory_id],"Owner Not Found"))</f>
        <v>4</v>
      </c>
      <c r="K602" t="str">
        <f t="shared" si="19"/>
        <v>Routing Compatible</v>
      </c>
    </row>
    <row r="603" spans="1:11">
      <c r="A603" t="s">
        <v>3541</v>
      </c>
      <c r="B603" t="s">
        <v>3543</v>
      </c>
      <c r="C603" t="s">
        <v>24</v>
      </c>
      <c r="D603" t="s">
        <v>1093</v>
      </c>
      <c r="E603" t="s">
        <v>59</v>
      </c>
      <c r="F603" t="str">
        <f t="shared" si="18"/>
        <v>SMB</v>
      </c>
      <c r="G603">
        <f>_xlfn.XLOOKUP(D603,tblStates[state_code],tblStates[territory_id],"Needs Review - Territory")</f>
        <v>4</v>
      </c>
      <c r="H603" t="str">
        <f>IF(E603="","",_xlfn.XLOOKUP(E603,tblUsers[user_id],tblUsers[job_title],"Owner Not Found"))</f>
        <v>SMB Account Executive</v>
      </c>
      <c r="I603" t="str">
        <f>IF(E603="","",_xlfn.XLOOKUP(E603,tblUsers[user_id],tblUsers[segment],"Owner Not Found"))</f>
        <v>SMB</v>
      </c>
      <c r="J603">
        <f>IF(E603="","",_xlfn.XLOOKUP(E603,tblUsers[user_id],tblUsers[territory_id],"Owner Not Found"))</f>
        <v>4</v>
      </c>
      <c r="K603" t="str">
        <f t="shared" si="19"/>
        <v>Routing Compatible</v>
      </c>
    </row>
    <row r="604" spans="1:11">
      <c r="A604" t="s">
        <v>3544</v>
      </c>
      <c r="B604" t="s">
        <v>3546</v>
      </c>
      <c r="C604" t="s">
        <v>24</v>
      </c>
      <c r="D604" t="s">
        <v>140</v>
      </c>
      <c r="E604" t="s">
        <v>25</v>
      </c>
      <c r="F604" t="str">
        <f t="shared" si="18"/>
        <v>SMB</v>
      </c>
      <c r="G604">
        <f>_xlfn.XLOOKUP(D604,tblStates[state_code],tblStates[territory_id],"Needs Review - Territory")</f>
        <v>2</v>
      </c>
      <c r="H604" t="str">
        <f>IF(E604="","",_xlfn.XLOOKUP(E604,tblUsers[user_id],tblUsers[job_title],"Owner Not Found"))</f>
        <v>SMB Account Executive</v>
      </c>
      <c r="I604" t="str">
        <f>IF(E604="","",_xlfn.XLOOKUP(E604,tblUsers[user_id],tblUsers[segment],"Owner Not Found"))</f>
        <v>SMB</v>
      </c>
      <c r="J604">
        <f>IF(E604="","",_xlfn.XLOOKUP(E604,tblUsers[user_id],tblUsers[territory_id],"Owner Not Found"))</f>
        <v>2</v>
      </c>
      <c r="K604" t="str">
        <f t="shared" si="19"/>
        <v>Routing Compatible</v>
      </c>
    </row>
    <row r="605" spans="1:11">
      <c r="A605" t="s">
        <v>3547</v>
      </c>
      <c r="B605" t="s">
        <v>3549</v>
      </c>
      <c r="C605" t="s">
        <v>17</v>
      </c>
      <c r="D605" t="s">
        <v>81</v>
      </c>
      <c r="E605" t="s">
        <v>82</v>
      </c>
      <c r="F605" t="str">
        <f t="shared" si="18"/>
        <v>MM</v>
      </c>
      <c r="G605">
        <f>_xlfn.XLOOKUP(D605,tblStates[state_code],tblStates[territory_id],"Needs Review - Territory")</f>
        <v>2</v>
      </c>
      <c r="H605" t="str">
        <f>IF(E605="","",_xlfn.XLOOKUP(E605,tblUsers[user_id],tblUsers[job_title],"Owner Not Found"))</f>
        <v>Mid-Market Account Executive</v>
      </c>
      <c r="I605" t="str">
        <f>IF(E605="","",_xlfn.XLOOKUP(E605,tblUsers[user_id],tblUsers[segment],"Owner Not Found"))</f>
        <v>MM</v>
      </c>
      <c r="J605">
        <f>IF(E605="","",_xlfn.XLOOKUP(E605,tblUsers[user_id],tblUsers[territory_id],"Owner Not Found"))</f>
        <v>2</v>
      </c>
      <c r="K605" t="str">
        <f t="shared" si="19"/>
        <v>Routing Compatible</v>
      </c>
    </row>
    <row r="606" spans="1:11">
      <c r="A606" t="s">
        <v>3550</v>
      </c>
      <c r="B606" t="s">
        <v>3552</v>
      </c>
      <c r="C606" t="s">
        <v>24</v>
      </c>
      <c r="D606" t="s">
        <v>68</v>
      </c>
      <c r="E606" t="s">
        <v>69</v>
      </c>
      <c r="F606" t="str">
        <f t="shared" si="18"/>
        <v>SMB</v>
      </c>
      <c r="G606">
        <f>_xlfn.XLOOKUP(D606,tblStates[state_code],tblStates[territory_id],"Needs Review - Territory")</f>
        <v>3</v>
      </c>
      <c r="H606" t="str">
        <f>IF(E606="","",_xlfn.XLOOKUP(E606,tblUsers[user_id],tblUsers[job_title],"Owner Not Found"))</f>
        <v>SMB Account Executive</v>
      </c>
      <c r="I606" t="str">
        <f>IF(E606="","",_xlfn.XLOOKUP(E606,tblUsers[user_id],tblUsers[segment],"Owner Not Found"))</f>
        <v>SMB</v>
      </c>
      <c r="J606">
        <f>IF(E606="","",_xlfn.XLOOKUP(E606,tblUsers[user_id],tblUsers[territory_id],"Owner Not Found"))</f>
        <v>3</v>
      </c>
      <c r="K606" t="str">
        <f t="shared" si="19"/>
        <v>Routing Compatible</v>
      </c>
    </row>
    <row r="607" spans="1:11">
      <c r="A607" t="s">
        <v>3553</v>
      </c>
      <c r="B607" t="s">
        <v>3555</v>
      </c>
      <c r="C607" t="s">
        <v>17</v>
      </c>
      <c r="D607" t="s">
        <v>95</v>
      </c>
      <c r="E607" t="s">
        <v>18</v>
      </c>
      <c r="F607" t="str">
        <f t="shared" si="18"/>
        <v>MM</v>
      </c>
      <c r="G607">
        <f>_xlfn.XLOOKUP(D607,tblStates[state_code],tblStates[territory_id],"Needs Review - Territory")</f>
        <v>1</v>
      </c>
      <c r="H607" t="str">
        <f>IF(E607="","",_xlfn.XLOOKUP(E607,tblUsers[user_id],tblUsers[job_title],"Owner Not Found"))</f>
        <v>Mid-Market Account Executive</v>
      </c>
      <c r="I607" t="str">
        <f>IF(E607="","",_xlfn.XLOOKUP(E607,tblUsers[user_id],tblUsers[segment],"Owner Not Found"))</f>
        <v>MM</v>
      </c>
      <c r="J607">
        <f>IF(E607="","",_xlfn.XLOOKUP(E607,tblUsers[user_id],tblUsers[territory_id],"Owner Not Found"))</f>
        <v>1</v>
      </c>
      <c r="K607" t="str">
        <f t="shared" si="19"/>
        <v>Routing Compatible</v>
      </c>
    </row>
    <row r="608" spans="1:11">
      <c r="A608" t="s">
        <v>3556</v>
      </c>
      <c r="B608" t="s">
        <v>3558</v>
      </c>
      <c r="C608" t="s">
        <v>30</v>
      </c>
      <c r="D608" t="s">
        <v>404</v>
      </c>
      <c r="E608" t="s">
        <v>82</v>
      </c>
      <c r="F608" t="str">
        <f t="shared" si="18"/>
        <v>MM</v>
      </c>
      <c r="G608">
        <f>_xlfn.XLOOKUP(D608,tblStates[state_code],tblStates[territory_id],"Needs Review - Territory")</f>
        <v>2</v>
      </c>
      <c r="H608" t="str">
        <f>IF(E608="","",_xlfn.XLOOKUP(E608,tblUsers[user_id],tblUsers[job_title],"Owner Not Found"))</f>
        <v>Mid-Market Account Executive</v>
      </c>
      <c r="I608" t="str">
        <f>IF(E608="","",_xlfn.XLOOKUP(E608,tblUsers[user_id],tblUsers[segment],"Owner Not Found"))</f>
        <v>MM</v>
      </c>
      <c r="J608">
        <f>IF(E608="","",_xlfn.XLOOKUP(E608,tblUsers[user_id],tblUsers[territory_id],"Owner Not Found"))</f>
        <v>2</v>
      </c>
      <c r="K608" t="str">
        <f t="shared" si="19"/>
        <v>Routing Compatible</v>
      </c>
    </row>
    <row r="609" spans="1:11">
      <c r="A609" t="s">
        <v>3559</v>
      </c>
      <c r="B609" t="s">
        <v>3561</v>
      </c>
      <c r="C609" t="s">
        <v>24</v>
      </c>
      <c r="D609" t="s">
        <v>23</v>
      </c>
      <c r="E609" t="s">
        <v>25</v>
      </c>
      <c r="F609" t="str">
        <f t="shared" si="18"/>
        <v>SMB</v>
      </c>
      <c r="G609">
        <f>_xlfn.XLOOKUP(D609,tblStates[state_code],tblStates[territory_id],"Needs Review - Territory")</f>
        <v>2</v>
      </c>
      <c r="H609" t="str">
        <f>IF(E609="","",_xlfn.XLOOKUP(E609,tblUsers[user_id],tblUsers[job_title],"Owner Not Found"))</f>
        <v>SMB Account Executive</v>
      </c>
      <c r="I609" t="str">
        <f>IF(E609="","",_xlfn.XLOOKUP(E609,tblUsers[user_id],tblUsers[segment],"Owner Not Found"))</f>
        <v>SMB</v>
      </c>
      <c r="J609">
        <f>IF(E609="","",_xlfn.XLOOKUP(E609,tblUsers[user_id],tblUsers[territory_id],"Owner Not Found"))</f>
        <v>2</v>
      </c>
      <c r="K609" t="str">
        <f t="shared" si="19"/>
        <v>Routing Compatible</v>
      </c>
    </row>
    <row r="610" spans="1:11">
      <c r="A610" t="s">
        <v>3562</v>
      </c>
      <c r="B610" t="s">
        <v>3564</v>
      </c>
      <c r="C610" t="s">
        <v>24</v>
      </c>
      <c r="D610" t="s">
        <v>635</v>
      </c>
      <c r="E610" t="s">
        <v>59</v>
      </c>
      <c r="F610" t="str">
        <f t="shared" si="18"/>
        <v>SMB</v>
      </c>
      <c r="G610">
        <f>_xlfn.XLOOKUP(D610,tblStates[state_code],tblStates[territory_id],"Needs Review - Territory")</f>
        <v>4</v>
      </c>
      <c r="H610" t="str">
        <f>IF(E610="","",_xlfn.XLOOKUP(E610,tblUsers[user_id],tblUsers[job_title],"Owner Not Found"))</f>
        <v>SMB Account Executive</v>
      </c>
      <c r="I610" t="str">
        <f>IF(E610="","",_xlfn.XLOOKUP(E610,tblUsers[user_id],tblUsers[segment],"Owner Not Found"))</f>
        <v>SMB</v>
      </c>
      <c r="J610">
        <f>IF(E610="","",_xlfn.XLOOKUP(E610,tblUsers[user_id],tblUsers[territory_id],"Owner Not Found"))</f>
        <v>4</v>
      </c>
      <c r="K610" t="str">
        <f t="shared" si="19"/>
        <v>Routing Compatible</v>
      </c>
    </row>
    <row r="611" spans="1:11">
      <c r="A611" t="s">
        <v>3565</v>
      </c>
      <c r="B611" t="s">
        <v>3567</v>
      </c>
      <c r="C611" t="s">
        <v>24</v>
      </c>
      <c r="D611" t="s">
        <v>178</v>
      </c>
      <c r="E611" t="s">
        <v>59</v>
      </c>
      <c r="F611" t="str">
        <f t="shared" si="18"/>
        <v>SMB</v>
      </c>
      <c r="G611">
        <f>_xlfn.XLOOKUP(D611,tblStates[state_code],tblStates[territory_id],"Needs Review - Territory")</f>
        <v>4</v>
      </c>
      <c r="H611" t="str">
        <f>IF(E611="","",_xlfn.XLOOKUP(E611,tblUsers[user_id],tblUsers[job_title],"Owner Not Found"))</f>
        <v>SMB Account Executive</v>
      </c>
      <c r="I611" t="str">
        <f>IF(E611="","",_xlfn.XLOOKUP(E611,tblUsers[user_id],tblUsers[segment],"Owner Not Found"))</f>
        <v>SMB</v>
      </c>
      <c r="J611">
        <f>IF(E611="","",_xlfn.XLOOKUP(E611,tblUsers[user_id],tblUsers[territory_id],"Owner Not Found"))</f>
        <v>4</v>
      </c>
      <c r="K611" t="str">
        <f t="shared" si="19"/>
        <v>Routing Compatible</v>
      </c>
    </row>
    <row r="612" spans="1:11">
      <c r="A612" t="s">
        <v>3568</v>
      </c>
      <c r="B612" t="s">
        <v>3570</v>
      </c>
      <c r="C612" t="s">
        <v>24</v>
      </c>
      <c r="D612" t="s">
        <v>1039</v>
      </c>
      <c r="E612" t="s">
        <v>91</v>
      </c>
      <c r="F612" t="str">
        <f t="shared" si="18"/>
        <v>SMB</v>
      </c>
      <c r="G612">
        <f>_xlfn.XLOOKUP(D612,tblStates[state_code],tblStates[territory_id],"Needs Review - Territory")</f>
        <v>1</v>
      </c>
      <c r="H612" t="str">
        <f>IF(E612="","",_xlfn.XLOOKUP(E612,tblUsers[user_id],tblUsers[job_title],"Owner Not Found"))</f>
        <v>SMB Account Executive</v>
      </c>
      <c r="I612" t="str">
        <f>IF(E612="","",_xlfn.XLOOKUP(E612,tblUsers[user_id],tblUsers[segment],"Owner Not Found"))</f>
        <v>SMB</v>
      </c>
      <c r="J612">
        <f>IF(E612="","",_xlfn.XLOOKUP(E612,tblUsers[user_id],tblUsers[territory_id],"Owner Not Found"))</f>
        <v>1</v>
      </c>
      <c r="K612" t="str">
        <f t="shared" si="19"/>
        <v>Routing Compatible</v>
      </c>
    </row>
    <row r="613" spans="1:11">
      <c r="A613" t="s">
        <v>3571</v>
      </c>
      <c r="B613" t="s">
        <v>3573</v>
      </c>
      <c r="C613" t="s">
        <v>24</v>
      </c>
      <c r="D613" t="s">
        <v>560</v>
      </c>
      <c r="E613" t="s">
        <v>25</v>
      </c>
      <c r="F613" t="str">
        <f t="shared" si="18"/>
        <v>SMB</v>
      </c>
      <c r="G613">
        <f>_xlfn.XLOOKUP(D613,tblStates[state_code],tblStates[territory_id],"Needs Review - Territory")</f>
        <v>2</v>
      </c>
      <c r="H613" t="str">
        <f>IF(E613="","",_xlfn.XLOOKUP(E613,tblUsers[user_id],tblUsers[job_title],"Owner Not Found"))</f>
        <v>SMB Account Executive</v>
      </c>
      <c r="I613" t="str">
        <f>IF(E613="","",_xlfn.XLOOKUP(E613,tblUsers[user_id],tblUsers[segment],"Owner Not Found"))</f>
        <v>SMB</v>
      </c>
      <c r="J613">
        <f>IF(E613="","",_xlfn.XLOOKUP(E613,tblUsers[user_id],tblUsers[territory_id],"Owner Not Found"))</f>
        <v>2</v>
      </c>
      <c r="K613" t="str">
        <f t="shared" si="19"/>
        <v>Routing Compatible</v>
      </c>
    </row>
    <row r="614" spans="1:11">
      <c r="A614" t="s">
        <v>3574</v>
      </c>
      <c r="B614" t="s">
        <v>3576</v>
      </c>
      <c r="C614" t="s">
        <v>24</v>
      </c>
      <c r="D614" t="s">
        <v>68</v>
      </c>
      <c r="E614" t="s">
        <v>69</v>
      </c>
      <c r="F614" t="str">
        <f t="shared" si="18"/>
        <v>SMB</v>
      </c>
      <c r="G614">
        <f>_xlfn.XLOOKUP(D614,tblStates[state_code],tblStates[territory_id],"Needs Review - Territory")</f>
        <v>3</v>
      </c>
      <c r="H614" t="str">
        <f>IF(E614="","",_xlfn.XLOOKUP(E614,tblUsers[user_id],tblUsers[job_title],"Owner Not Found"))</f>
        <v>SMB Account Executive</v>
      </c>
      <c r="I614" t="str">
        <f>IF(E614="","",_xlfn.XLOOKUP(E614,tblUsers[user_id],tblUsers[segment],"Owner Not Found"))</f>
        <v>SMB</v>
      </c>
      <c r="J614">
        <f>IF(E614="","",_xlfn.XLOOKUP(E614,tblUsers[user_id],tblUsers[territory_id],"Owner Not Found"))</f>
        <v>3</v>
      </c>
      <c r="K614" t="str">
        <f t="shared" si="19"/>
        <v>Routing Compatible</v>
      </c>
    </row>
    <row r="615" spans="1:11">
      <c r="A615" t="s">
        <v>3577</v>
      </c>
      <c r="B615" t="s">
        <v>3579</v>
      </c>
      <c r="C615" t="s">
        <v>24</v>
      </c>
      <c r="D615" t="s">
        <v>50</v>
      </c>
      <c r="E615" t="s">
        <v>59</v>
      </c>
      <c r="F615" t="str">
        <f t="shared" si="18"/>
        <v>SMB</v>
      </c>
      <c r="G615">
        <f>_xlfn.XLOOKUP(D615,tblStates[state_code],tblStates[territory_id],"Needs Review - Territory")</f>
        <v>4</v>
      </c>
      <c r="H615" t="str">
        <f>IF(E615="","",_xlfn.XLOOKUP(E615,tblUsers[user_id],tblUsers[job_title],"Owner Not Found"))</f>
        <v>SMB Account Executive</v>
      </c>
      <c r="I615" t="str">
        <f>IF(E615="","",_xlfn.XLOOKUP(E615,tblUsers[user_id],tblUsers[segment],"Owner Not Found"))</f>
        <v>SMB</v>
      </c>
      <c r="J615">
        <f>IF(E615="","",_xlfn.XLOOKUP(E615,tblUsers[user_id],tblUsers[territory_id],"Owner Not Found"))</f>
        <v>4</v>
      </c>
      <c r="K615" t="str">
        <f t="shared" si="19"/>
        <v>Routing Compatible</v>
      </c>
    </row>
    <row r="616" spans="1:11">
      <c r="A616" t="s">
        <v>3580</v>
      </c>
      <c r="B616" t="s">
        <v>3582</v>
      </c>
      <c r="C616" t="s">
        <v>30</v>
      </c>
      <c r="D616" t="s">
        <v>16</v>
      </c>
      <c r="E616" t="s">
        <v>18</v>
      </c>
      <c r="F616" t="str">
        <f t="shared" si="18"/>
        <v>MM</v>
      </c>
      <c r="G616">
        <f>_xlfn.XLOOKUP(D616,tblStates[state_code],tblStates[territory_id],"Needs Review - Territory")</f>
        <v>1</v>
      </c>
      <c r="H616" t="str">
        <f>IF(E616="","",_xlfn.XLOOKUP(E616,tblUsers[user_id],tblUsers[job_title],"Owner Not Found"))</f>
        <v>Mid-Market Account Executive</v>
      </c>
      <c r="I616" t="str">
        <f>IF(E616="","",_xlfn.XLOOKUP(E616,tblUsers[user_id],tblUsers[segment],"Owner Not Found"))</f>
        <v>MM</v>
      </c>
      <c r="J616">
        <f>IF(E616="","",_xlfn.XLOOKUP(E616,tblUsers[user_id],tblUsers[territory_id],"Owner Not Found"))</f>
        <v>1</v>
      </c>
      <c r="K616" t="str">
        <f t="shared" si="19"/>
        <v>Routing Compatible</v>
      </c>
    </row>
    <row r="617" spans="1:11">
      <c r="A617" t="s">
        <v>3583</v>
      </c>
      <c r="B617" t="s">
        <v>3585</v>
      </c>
      <c r="C617" t="s">
        <v>24</v>
      </c>
      <c r="D617" t="s">
        <v>23</v>
      </c>
      <c r="E617" t="s">
        <v>25</v>
      </c>
      <c r="F617" t="str">
        <f t="shared" si="18"/>
        <v>SMB</v>
      </c>
      <c r="G617">
        <f>_xlfn.XLOOKUP(D617,tblStates[state_code],tblStates[territory_id],"Needs Review - Territory")</f>
        <v>2</v>
      </c>
      <c r="H617" t="str">
        <f>IF(E617="","",_xlfn.XLOOKUP(E617,tblUsers[user_id],tblUsers[job_title],"Owner Not Found"))</f>
        <v>SMB Account Executive</v>
      </c>
      <c r="I617" t="str">
        <f>IF(E617="","",_xlfn.XLOOKUP(E617,tblUsers[user_id],tblUsers[segment],"Owner Not Found"))</f>
        <v>SMB</v>
      </c>
      <c r="J617">
        <f>IF(E617="","",_xlfn.XLOOKUP(E617,tblUsers[user_id],tblUsers[territory_id],"Owner Not Found"))</f>
        <v>2</v>
      </c>
      <c r="K617" t="str">
        <f t="shared" si="19"/>
        <v>Routing Compatible</v>
      </c>
    </row>
    <row r="618" spans="1:11">
      <c r="A618" t="s">
        <v>3586</v>
      </c>
      <c r="B618" t="s">
        <v>3588</v>
      </c>
      <c r="C618" t="s">
        <v>24</v>
      </c>
      <c r="D618" t="s">
        <v>171</v>
      </c>
      <c r="E618" t="s">
        <v>91</v>
      </c>
      <c r="F618" t="str">
        <f t="shared" si="18"/>
        <v>SMB</v>
      </c>
      <c r="G618">
        <f>_xlfn.XLOOKUP(D618,tblStates[state_code],tblStates[territory_id],"Needs Review - Territory")</f>
        <v>1</v>
      </c>
      <c r="H618" t="str">
        <f>IF(E618="","",_xlfn.XLOOKUP(E618,tblUsers[user_id],tblUsers[job_title],"Owner Not Found"))</f>
        <v>SMB Account Executive</v>
      </c>
      <c r="I618" t="str">
        <f>IF(E618="","",_xlfn.XLOOKUP(E618,tblUsers[user_id],tblUsers[segment],"Owner Not Found"))</f>
        <v>SMB</v>
      </c>
      <c r="J618">
        <f>IF(E618="","",_xlfn.XLOOKUP(E618,tblUsers[user_id],tblUsers[territory_id],"Owner Not Found"))</f>
        <v>1</v>
      </c>
      <c r="K618" t="str">
        <f t="shared" si="19"/>
        <v>Routing Compatible</v>
      </c>
    </row>
    <row r="619" spans="1:11">
      <c r="A619" t="s">
        <v>3589</v>
      </c>
      <c r="B619" t="s">
        <v>3591</v>
      </c>
      <c r="C619" t="s">
        <v>30</v>
      </c>
      <c r="D619" t="s">
        <v>68</v>
      </c>
      <c r="E619" t="s">
        <v>69</v>
      </c>
      <c r="F619" t="str">
        <f t="shared" si="18"/>
        <v>MM</v>
      </c>
      <c r="G619">
        <f>_xlfn.XLOOKUP(D619,tblStates[state_code],tblStates[territory_id],"Needs Review - Territory")</f>
        <v>3</v>
      </c>
      <c r="H619" t="str">
        <f>IF(E619="","",_xlfn.XLOOKUP(E619,tblUsers[user_id],tblUsers[job_title],"Owner Not Found"))</f>
        <v>SMB Account Executive</v>
      </c>
      <c r="I619" t="str">
        <f>IF(E619="","",_xlfn.XLOOKUP(E619,tblUsers[user_id],tblUsers[segment],"Owner Not Found"))</f>
        <v>SMB</v>
      </c>
      <c r="J619">
        <f>IF(E619="","",_xlfn.XLOOKUP(E619,tblUsers[user_id],tblUsers[territory_id],"Owner Not Found"))</f>
        <v>3</v>
      </c>
      <c r="K619" t="str">
        <f t="shared" si="19"/>
        <v>Wrong Segment</v>
      </c>
    </row>
    <row r="620" spans="1:11">
      <c r="A620" t="s">
        <v>3592</v>
      </c>
      <c r="B620" t="s">
        <v>3594</v>
      </c>
      <c r="C620" t="s">
        <v>30</v>
      </c>
      <c r="D620" t="s">
        <v>81</v>
      </c>
      <c r="E620" t="s">
        <v>82</v>
      </c>
      <c r="F620" t="str">
        <f t="shared" si="18"/>
        <v>MM</v>
      </c>
      <c r="G620">
        <f>_xlfn.XLOOKUP(D620,tblStates[state_code],tblStates[territory_id],"Needs Review - Territory")</f>
        <v>2</v>
      </c>
      <c r="H620" t="str">
        <f>IF(E620="","",_xlfn.XLOOKUP(E620,tblUsers[user_id],tblUsers[job_title],"Owner Not Found"))</f>
        <v>Mid-Market Account Executive</v>
      </c>
      <c r="I620" t="str">
        <f>IF(E620="","",_xlfn.XLOOKUP(E620,tblUsers[user_id],tblUsers[segment],"Owner Not Found"))</f>
        <v>MM</v>
      </c>
      <c r="J620">
        <f>IF(E620="","",_xlfn.XLOOKUP(E620,tblUsers[user_id],tblUsers[territory_id],"Owner Not Found"))</f>
        <v>2</v>
      </c>
      <c r="K620" t="str">
        <f t="shared" si="19"/>
        <v>Routing Compatible</v>
      </c>
    </row>
    <row r="621" spans="1:11">
      <c r="A621" t="s">
        <v>3595</v>
      </c>
      <c r="B621" t="s">
        <v>3597</v>
      </c>
      <c r="C621" t="s">
        <v>30</v>
      </c>
      <c r="D621" t="s">
        <v>1079</v>
      </c>
      <c r="E621" t="s">
        <v>55</v>
      </c>
      <c r="F621" t="str">
        <f t="shared" si="18"/>
        <v>MM</v>
      </c>
      <c r="G621">
        <f>_xlfn.XLOOKUP(D621,tblStates[state_code],tblStates[territory_id],"Needs Review - Territory")</f>
        <v>3</v>
      </c>
      <c r="H621" t="str">
        <f>IF(E621="","",_xlfn.XLOOKUP(E621,tblUsers[user_id],tblUsers[job_title],"Owner Not Found"))</f>
        <v>Mid-Market Account Executive</v>
      </c>
      <c r="I621" t="str">
        <f>IF(E621="","",_xlfn.XLOOKUP(E621,tblUsers[user_id],tblUsers[segment],"Owner Not Found"))</f>
        <v>MM</v>
      </c>
      <c r="J621">
        <f>IF(E621="","",_xlfn.XLOOKUP(E621,tblUsers[user_id],tblUsers[territory_id],"Owner Not Found"))</f>
        <v>3</v>
      </c>
      <c r="K621" t="str">
        <f t="shared" si="19"/>
        <v>Routing Compatible</v>
      </c>
    </row>
    <row r="622" spans="1:11">
      <c r="A622" t="s">
        <v>3598</v>
      </c>
      <c r="B622" t="s">
        <v>3600</v>
      </c>
      <c r="C622" t="s">
        <v>24</v>
      </c>
      <c r="D622" t="s">
        <v>212</v>
      </c>
      <c r="E622" t="s">
        <v>69</v>
      </c>
      <c r="F622" t="str">
        <f t="shared" si="18"/>
        <v>SMB</v>
      </c>
      <c r="G622">
        <f>_xlfn.XLOOKUP(D622,tblStates[state_code],tblStates[territory_id],"Needs Review - Territory")</f>
        <v>3</v>
      </c>
      <c r="H622" t="str">
        <f>IF(E622="","",_xlfn.XLOOKUP(E622,tblUsers[user_id],tblUsers[job_title],"Owner Not Found"))</f>
        <v>SMB Account Executive</v>
      </c>
      <c r="I622" t="str">
        <f>IF(E622="","",_xlfn.XLOOKUP(E622,tblUsers[user_id],tblUsers[segment],"Owner Not Found"))</f>
        <v>SMB</v>
      </c>
      <c r="J622">
        <f>IF(E622="","",_xlfn.XLOOKUP(E622,tblUsers[user_id],tblUsers[territory_id],"Owner Not Found"))</f>
        <v>3</v>
      </c>
      <c r="K622" t="str">
        <f t="shared" si="19"/>
        <v>Routing Compatible</v>
      </c>
    </row>
    <row r="623" spans="1:11">
      <c r="A623" t="s">
        <v>3601</v>
      </c>
      <c r="B623" t="s">
        <v>3603</v>
      </c>
      <c r="C623" t="s">
        <v>24</v>
      </c>
      <c r="D623" t="s">
        <v>223</v>
      </c>
      <c r="E623" t="s">
        <v>91</v>
      </c>
      <c r="F623" t="str">
        <f t="shared" si="18"/>
        <v>SMB</v>
      </c>
      <c r="G623">
        <f>_xlfn.XLOOKUP(D623,tblStates[state_code],tblStates[territory_id],"Needs Review - Territory")</f>
        <v>1</v>
      </c>
      <c r="H623" t="str">
        <f>IF(E623="","",_xlfn.XLOOKUP(E623,tblUsers[user_id],tblUsers[job_title],"Owner Not Found"))</f>
        <v>SMB Account Executive</v>
      </c>
      <c r="I623" t="str">
        <f>IF(E623="","",_xlfn.XLOOKUP(E623,tblUsers[user_id],tblUsers[segment],"Owner Not Found"))</f>
        <v>SMB</v>
      </c>
      <c r="J623">
        <f>IF(E623="","",_xlfn.XLOOKUP(E623,tblUsers[user_id],tblUsers[territory_id],"Owner Not Found"))</f>
        <v>1</v>
      </c>
      <c r="K623" t="str">
        <f t="shared" si="19"/>
        <v>Routing Compatible</v>
      </c>
    </row>
    <row r="624" spans="1:11">
      <c r="A624" t="s">
        <v>3604</v>
      </c>
      <c r="B624" t="s">
        <v>3606</v>
      </c>
      <c r="C624" t="s">
        <v>30</v>
      </c>
      <c r="D624" t="s">
        <v>205</v>
      </c>
      <c r="E624" t="s">
        <v>36</v>
      </c>
      <c r="F624" t="str">
        <f t="shared" si="18"/>
        <v>MM</v>
      </c>
      <c r="G624">
        <f>_xlfn.XLOOKUP(D624,tblStates[state_code],tblStates[territory_id],"Needs Review - Territory")</f>
        <v>4</v>
      </c>
      <c r="H624" t="str">
        <f>IF(E624="","",_xlfn.XLOOKUP(E624,tblUsers[user_id],tblUsers[job_title],"Owner Not Found"))</f>
        <v>Mid-Market Account Executive</v>
      </c>
      <c r="I624" t="str">
        <f>IF(E624="","",_xlfn.XLOOKUP(E624,tblUsers[user_id],tblUsers[segment],"Owner Not Found"))</f>
        <v>MM</v>
      </c>
      <c r="J624">
        <f>IF(E624="","",_xlfn.XLOOKUP(E624,tblUsers[user_id],tblUsers[territory_id],"Owner Not Found"))</f>
        <v>4</v>
      </c>
      <c r="K624" t="str">
        <f t="shared" si="19"/>
        <v>Routing Compatible</v>
      </c>
    </row>
    <row r="625" spans="1:11">
      <c r="A625" t="s">
        <v>3607</v>
      </c>
      <c r="B625" t="s">
        <v>3609</v>
      </c>
      <c r="C625" t="s">
        <v>24</v>
      </c>
      <c r="D625" t="s">
        <v>50</v>
      </c>
      <c r="E625" t="s">
        <v>69</v>
      </c>
      <c r="F625" t="str">
        <f t="shared" si="18"/>
        <v>SMB</v>
      </c>
      <c r="G625">
        <f>_xlfn.XLOOKUP(D625,tblStates[state_code],tblStates[territory_id],"Needs Review - Territory")</f>
        <v>4</v>
      </c>
      <c r="H625" t="str">
        <f>IF(E625="","",_xlfn.XLOOKUP(E625,tblUsers[user_id],tblUsers[job_title],"Owner Not Found"))</f>
        <v>SMB Account Executive</v>
      </c>
      <c r="I625" t="str">
        <f>IF(E625="","",_xlfn.XLOOKUP(E625,tblUsers[user_id],tblUsers[segment],"Owner Not Found"))</f>
        <v>SMB</v>
      </c>
      <c r="J625">
        <f>IF(E625="","",_xlfn.XLOOKUP(E625,tblUsers[user_id],tblUsers[territory_id],"Owner Not Found"))</f>
        <v>3</v>
      </c>
      <c r="K625" t="str">
        <f t="shared" si="19"/>
        <v>Wrong AE Territory</v>
      </c>
    </row>
    <row r="626" spans="1:11">
      <c r="A626" t="s">
        <v>3610</v>
      </c>
      <c r="B626" t="s">
        <v>3612</v>
      </c>
      <c r="C626" t="s">
        <v>30</v>
      </c>
      <c r="D626" t="s">
        <v>408</v>
      </c>
      <c r="E626" t="s">
        <v>55</v>
      </c>
      <c r="F626" t="str">
        <f t="shared" si="18"/>
        <v>MM</v>
      </c>
      <c r="G626">
        <f>_xlfn.XLOOKUP(D626,tblStates[state_code],tblStates[territory_id],"Needs Review - Territory")</f>
        <v>3</v>
      </c>
      <c r="H626" t="str">
        <f>IF(E626="","",_xlfn.XLOOKUP(E626,tblUsers[user_id],tblUsers[job_title],"Owner Not Found"))</f>
        <v>Mid-Market Account Executive</v>
      </c>
      <c r="I626" t="str">
        <f>IF(E626="","",_xlfn.XLOOKUP(E626,tblUsers[user_id],tblUsers[segment],"Owner Not Found"))</f>
        <v>MM</v>
      </c>
      <c r="J626">
        <f>IF(E626="","",_xlfn.XLOOKUP(E626,tblUsers[user_id],tblUsers[territory_id],"Owner Not Found"))</f>
        <v>3</v>
      </c>
      <c r="K626" t="str">
        <f t="shared" si="19"/>
        <v>Routing Compatible</v>
      </c>
    </row>
    <row r="627" spans="1:11">
      <c r="A627" t="s">
        <v>3613</v>
      </c>
      <c r="B627" t="s">
        <v>3615</v>
      </c>
      <c r="C627" t="s">
        <v>30</v>
      </c>
      <c r="D627" t="s">
        <v>16</v>
      </c>
      <c r="E627" t="s">
        <v>18</v>
      </c>
      <c r="F627" t="str">
        <f t="shared" si="18"/>
        <v>MM</v>
      </c>
      <c r="G627">
        <f>_xlfn.XLOOKUP(D627,tblStates[state_code],tblStates[territory_id],"Needs Review - Territory")</f>
        <v>1</v>
      </c>
      <c r="H627" t="str">
        <f>IF(E627="","",_xlfn.XLOOKUP(E627,tblUsers[user_id],tblUsers[job_title],"Owner Not Found"))</f>
        <v>Mid-Market Account Executive</v>
      </c>
      <c r="I627" t="str">
        <f>IF(E627="","",_xlfn.XLOOKUP(E627,tblUsers[user_id],tblUsers[segment],"Owner Not Found"))</f>
        <v>MM</v>
      </c>
      <c r="J627">
        <f>IF(E627="","",_xlfn.XLOOKUP(E627,tblUsers[user_id],tblUsers[territory_id],"Owner Not Found"))</f>
        <v>1</v>
      </c>
      <c r="K627" t="str">
        <f t="shared" si="19"/>
        <v>Routing Compatible</v>
      </c>
    </row>
    <row r="628" spans="1:11">
      <c r="A628" t="s">
        <v>3616</v>
      </c>
      <c r="B628" t="s">
        <v>3618</v>
      </c>
      <c r="C628" t="s">
        <v>24</v>
      </c>
      <c r="D628" t="s">
        <v>178</v>
      </c>
      <c r="E628" t="s">
        <v>59</v>
      </c>
      <c r="F628" t="str">
        <f t="shared" si="18"/>
        <v>SMB</v>
      </c>
      <c r="G628">
        <f>_xlfn.XLOOKUP(D628,tblStates[state_code],tblStates[territory_id],"Needs Review - Territory")</f>
        <v>4</v>
      </c>
      <c r="H628" t="str">
        <f>IF(E628="","",_xlfn.XLOOKUP(E628,tblUsers[user_id],tblUsers[job_title],"Owner Not Found"))</f>
        <v>SMB Account Executive</v>
      </c>
      <c r="I628" t="str">
        <f>IF(E628="","",_xlfn.XLOOKUP(E628,tblUsers[user_id],tblUsers[segment],"Owner Not Found"))</f>
        <v>SMB</v>
      </c>
      <c r="J628">
        <f>IF(E628="","",_xlfn.XLOOKUP(E628,tblUsers[user_id],tblUsers[territory_id],"Owner Not Found"))</f>
        <v>4</v>
      </c>
      <c r="K628" t="str">
        <f t="shared" si="19"/>
        <v>Routing Compatible</v>
      </c>
    </row>
    <row r="629" spans="1:11">
      <c r="A629" t="s">
        <v>3619</v>
      </c>
      <c r="B629" t="s">
        <v>3621</v>
      </c>
      <c r="C629" t="s">
        <v>30</v>
      </c>
      <c r="D629" t="s">
        <v>205</v>
      </c>
      <c r="E629" t="s">
        <v>59</v>
      </c>
      <c r="F629" t="str">
        <f t="shared" si="18"/>
        <v>MM</v>
      </c>
      <c r="G629">
        <f>_xlfn.XLOOKUP(D629,tblStates[state_code],tblStates[territory_id],"Needs Review - Territory")</f>
        <v>4</v>
      </c>
      <c r="H629" t="str">
        <f>IF(E629="","",_xlfn.XLOOKUP(E629,tblUsers[user_id],tblUsers[job_title],"Owner Not Found"))</f>
        <v>SMB Account Executive</v>
      </c>
      <c r="I629" t="str">
        <f>IF(E629="","",_xlfn.XLOOKUP(E629,tblUsers[user_id],tblUsers[segment],"Owner Not Found"))</f>
        <v>SMB</v>
      </c>
      <c r="J629">
        <f>IF(E629="","",_xlfn.XLOOKUP(E629,tblUsers[user_id],tblUsers[territory_id],"Owner Not Found"))</f>
        <v>4</v>
      </c>
      <c r="K629" t="str">
        <f t="shared" si="19"/>
        <v>Wrong Segment</v>
      </c>
    </row>
    <row r="630" spans="1:11">
      <c r="A630" t="s">
        <v>3622</v>
      </c>
      <c r="B630" t="s">
        <v>3624</v>
      </c>
      <c r="C630" t="s">
        <v>24</v>
      </c>
      <c r="D630" t="s">
        <v>41</v>
      </c>
      <c r="E630" t="s">
        <v>25</v>
      </c>
      <c r="F630" t="str">
        <f t="shared" si="18"/>
        <v>SMB</v>
      </c>
      <c r="G630">
        <f>_xlfn.XLOOKUP(D630,tblStates[state_code],tblStates[territory_id],"Needs Review - Territory")</f>
        <v>2</v>
      </c>
      <c r="H630" t="str">
        <f>IF(E630="","",_xlfn.XLOOKUP(E630,tblUsers[user_id],tblUsers[job_title],"Owner Not Found"))</f>
        <v>SMB Account Executive</v>
      </c>
      <c r="I630" t="str">
        <f>IF(E630="","",_xlfn.XLOOKUP(E630,tblUsers[user_id],tblUsers[segment],"Owner Not Found"))</f>
        <v>SMB</v>
      </c>
      <c r="J630">
        <f>IF(E630="","",_xlfn.XLOOKUP(E630,tblUsers[user_id],tblUsers[territory_id],"Owner Not Found"))</f>
        <v>2</v>
      </c>
      <c r="K630" t="str">
        <f t="shared" si="19"/>
        <v>Routing Compatible</v>
      </c>
    </row>
    <row r="631" spans="1:11">
      <c r="A631" t="s">
        <v>3625</v>
      </c>
      <c r="B631" t="s">
        <v>3627</v>
      </c>
      <c r="C631" t="s">
        <v>24</v>
      </c>
      <c r="D631" t="s">
        <v>366</v>
      </c>
      <c r="E631" t="s">
        <v>91</v>
      </c>
      <c r="F631" t="str">
        <f t="shared" si="18"/>
        <v>SMB</v>
      </c>
      <c r="G631">
        <f>_xlfn.XLOOKUP(D631,tblStates[state_code],tblStates[territory_id],"Needs Review - Territory")</f>
        <v>1</v>
      </c>
      <c r="H631" t="str">
        <f>IF(E631="","",_xlfn.XLOOKUP(E631,tblUsers[user_id],tblUsers[job_title],"Owner Not Found"))</f>
        <v>SMB Account Executive</v>
      </c>
      <c r="I631" t="str">
        <f>IF(E631="","",_xlfn.XLOOKUP(E631,tblUsers[user_id],tblUsers[segment],"Owner Not Found"))</f>
        <v>SMB</v>
      </c>
      <c r="J631">
        <f>IF(E631="","",_xlfn.XLOOKUP(E631,tblUsers[user_id],tblUsers[territory_id],"Owner Not Found"))</f>
        <v>1</v>
      </c>
      <c r="K631" t="str">
        <f t="shared" si="19"/>
        <v>Routing Compatible</v>
      </c>
    </row>
    <row r="632" spans="1:11">
      <c r="A632" t="s">
        <v>3628</v>
      </c>
      <c r="B632" t="s">
        <v>3630</v>
      </c>
      <c r="C632" t="s">
        <v>17</v>
      </c>
      <c r="D632" t="s">
        <v>16</v>
      </c>
      <c r="E632" t="s">
        <v>18</v>
      </c>
      <c r="F632" t="str">
        <f t="shared" si="18"/>
        <v>MM</v>
      </c>
      <c r="G632">
        <f>_xlfn.XLOOKUP(D632,tblStates[state_code],tblStates[territory_id],"Needs Review - Territory")</f>
        <v>1</v>
      </c>
      <c r="H632" t="str">
        <f>IF(E632="","",_xlfn.XLOOKUP(E632,tblUsers[user_id],tblUsers[job_title],"Owner Not Found"))</f>
        <v>Mid-Market Account Executive</v>
      </c>
      <c r="I632" t="str">
        <f>IF(E632="","",_xlfn.XLOOKUP(E632,tblUsers[user_id],tblUsers[segment],"Owner Not Found"))</f>
        <v>MM</v>
      </c>
      <c r="J632">
        <f>IF(E632="","",_xlfn.XLOOKUP(E632,tblUsers[user_id],tblUsers[territory_id],"Owner Not Found"))</f>
        <v>1</v>
      </c>
      <c r="K632" t="str">
        <f t="shared" si="19"/>
        <v>Routing Compatible</v>
      </c>
    </row>
    <row r="633" spans="1:11">
      <c r="A633" t="s">
        <v>3631</v>
      </c>
      <c r="B633" t="s">
        <v>3633</v>
      </c>
      <c r="C633" t="s">
        <v>30</v>
      </c>
      <c r="D633" t="s">
        <v>140</v>
      </c>
      <c r="E633" t="s">
        <v>82</v>
      </c>
      <c r="F633" t="str">
        <f t="shared" si="18"/>
        <v>MM</v>
      </c>
      <c r="G633">
        <f>_xlfn.XLOOKUP(D633,tblStates[state_code],tblStates[territory_id],"Needs Review - Territory")</f>
        <v>2</v>
      </c>
      <c r="H633" t="str">
        <f>IF(E633="","",_xlfn.XLOOKUP(E633,tblUsers[user_id],tblUsers[job_title],"Owner Not Found"))</f>
        <v>Mid-Market Account Executive</v>
      </c>
      <c r="I633" t="str">
        <f>IF(E633="","",_xlfn.XLOOKUP(E633,tblUsers[user_id],tblUsers[segment],"Owner Not Found"))</f>
        <v>MM</v>
      </c>
      <c r="J633">
        <f>IF(E633="","",_xlfn.XLOOKUP(E633,tblUsers[user_id],tblUsers[territory_id],"Owner Not Found"))</f>
        <v>2</v>
      </c>
      <c r="K633" t="str">
        <f t="shared" si="19"/>
        <v>Routing Compatible</v>
      </c>
    </row>
    <row r="634" spans="1:11">
      <c r="A634" t="s">
        <v>3634</v>
      </c>
      <c r="B634" t="s">
        <v>3636</v>
      </c>
      <c r="C634" t="s">
        <v>17</v>
      </c>
      <c r="D634" t="s">
        <v>16</v>
      </c>
      <c r="E634" t="s">
        <v>18</v>
      </c>
      <c r="F634" t="str">
        <f t="shared" si="18"/>
        <v>MM</v>
      </c>
      <c r="G634">
        <f>_xlfn.XLOOKUP(D634,tblStates[state_code],tblStates[territory_id],"Needs Review - Territory")</f>
        <v>1</v>
      </c>
      <c r="H634" t="str">
        <f>IF(E634="","",_xlfn.XLOOKUP(E634,tblUsers[user_id],tblUsers[job_title],"Owner Not Found"))</f>
        <v>Mid-Market Account Executive</v>
      </c>
      <c r="I634" t="str">
        <f>IF(E634="","",_xlfn.XLOOKUP(E634,tblUsers[user_id],tblUsers[segment],"Owner Not Found"))</f>
        <v>MM</v>
      </c>
      <c r="J634">
        <f>IF(E634="","",_xlfn.XLOOKUP(E634,tblUsers[user_id],tblUsers[territory_id],"Owner Not Found"))</f>
        <v>1</v>
      </c>
      <c r="K634" t="str">
        <f t="shared" si="19"/>
        <v>Routing Compatible</v>
      </c>
    </row>
    <row r="635" spans="1:11">
      <c r="A635" t="s">
        <v>3637</v>
      </c>
      <c r="B635" t="s">
        <v>3639</v>
      </c>
      <c r="C635" t="s">
        <v>24</v>
      </c>
      <c r="D635" t="s">
        <v>161</v>
      </c>
      <c r="E635" t="s">
        <v>59</v>
      </c>
      <c r="F635" t="str">
        <f t="shared" si="18"/>
        <v>SMB</v>
      </c>
      <c r="G635">
        <f>_xlfn.XLOOKUP(D635,tblStates[state_code],tblStates[territory_id],"Needs Review - Territory")</f>
        <v>4</v>
      </c>
      <c r="H635" t="str">
        <f>IF(E635="","",_xlfn.XLOOKUP(E635,tblUsers[user_id],tblUsers[job_title],"Owner Not Found"))</f>
        <v>SMB Account Executive</v>
      </c>
      <c r="I635" t="str">
        <f>IF(E635="","",_xlfn.XLOOKUP(E635,tblUsers[user_id],tblUsers[segment],"Owner Not Found"))</f>
        <v>SMB</v>
      </c>
      <c r="J635">
        <f>IF(E635="","",_xlfn.XLOOKUP(E635,tblUsers[user_id],tblUsers[territory_id],"Owner Not Found"))</f>
        <v>4</v>
      </c>
      <c r="K635" t="str">
        <f t="shared" si="19"/>
        <v>Routing Compatible</v>
      </c>
    </row>
    <row r="636" spans="1:11">
      <c r="A636" t="s">
        <v>3640</v>
      </c>
      <c r="B636" t="s">
        <v>3642</v>
      </c>
      <c r="C636" t="s">
        <v>30</v>
      </c>
      <c r="D636" t="s">
        <v>205</v>
      </c>
      <c r="E636" t="s">
        <v>36</v>
      </c>
      <c r="F636" t="str">
        <f t="shared" si="18"/>
        <v>MM</v>
      </c>
      <c r="G636">
        <f>_xlfn.XLOOKUP(D636,tblStates[state_code],tblStates[territory_id],"Needs Review - Territory")</f>
        <v>4</v>
      </c>
      <c r="H636" t="str">
        <f>IF(E636="","",_xlfn.XLOOKUP(E636,tblUsers[user_id],tblUsers[job_title],"Owner Not Found"))</f>
        <v>Mid-Market Account Executive</v>
      </c>
      <c r="I636" t="str">
        <f>IF(E636="","",_xlfn.XLOOKUP(E636,tblUsers[user_id],tblUsers[segment],"Owner Not Found"))</f>
        <v>MM</v>
      </c>
      <c r="J636">
        <f>IF(E636="","",_xlfn.XLOOKUP(E636,tblUsers[user_id],tblUsers[territory_id],"Owner Not Found"))</f>
        <v>4</v>
      </c>
      <c r="K636" t="str">
        <f t="shared" si="19"/>
        <v>Routing Compatible</v>
      </c>
    </row>
    <row r="637" spans="1:11">
      <c r="A637" t="s">
        <v>3643</v>
      </c>
      <c r="B637" t="s">
        <v>3645</v>
      </c>
      <c r="C637" t="s">
        <v>30</v>
      </c>
      <c r="D637" t="s">
        <v>192</v>
      </c>
      <c r="E637" t="s">
        <v>18</v>
      </c>
      <c r="F637" t="str">
        <f t="shared" si="18"/>
        <v>MM</v>
      </c>
      <c r="G637">
        <f>_xlfn.XLOOKUP(D637,tblStates[state_code],tblStates[territory_id],"Needs Review - Territory")</f>
        <v>1</v>
      </c>
      <c r="H637" t="str">
        <f>IF(E637="","",_xlfn.XLOOKUP(E637,tblUsers[user_id],tblUsers[job_title],"Owner Not Found"))</f>
        <v>Mid-Market Account Executive</v>
      </c>
      <c r="I637" t="str">
        <f>IF(E637="","",_xlfn.XLOOKUP(E637,tblUsers[user_id],tblUsers[segment],"Owner Not Found"))</f>
        <v>MM</v>
      </c>
      <c r="J637">
        <f>IF(E637="","",_xlfn.XLOOKUP(E637,tblUsers[user_id],tblUsers[territory_id],"Owner Not Found"))</f>
        <v>1</v>
      </c>
      <c r="K637" t="str">
        <f t="shared" si="19"/>
        <v>Routing Compatible</v>
      </c>
    </row>
    <row r="638" spans="1:11">
      <c r="A638" t="s">
        <v>3646</v>
      </c>
      <c r="B638" t="s">
        <v>3648</v>
      </c>
      <c r="D638" t="s">
        <v>1034</v>
      </c>
      <c r="F638" t="str">
        <f t="shared" si="18"/>
        <v>Needs Review - Segment</v>
      </c>
      <c r="G638">
        <f>_xlfn.XLOOKUP(D638,tblStates[state_code],tblStates[territory_id],"Needs Review - Territory")</f>
        <v>4</v>
      </c>
      <c r="H638" t="str">
        <f>IF(E638="","",_xlfn.XLOOKUP(E638,tblUsers[user_id],tblUsers[job_title],"Owner Not Found"))</f>
        <v/>
      </c>
      <c r="I638" t="str">
        <f>IF(E638="","",_xlfn.XLOOKUP(E638,tblUsers[user_id],tblUsers[segment],"Owner Not Found"))</f>
        <v/>
      </c>
      <c r="J638" t="str">
        <f>IF(E638="","",_xlfn.XLOOKUP(E638,tblUsers[user_id],tblUsers[territory_id],"Owner Not Found"))</f>
        <v/>
      </c>
      <c r="K638" t="str">
        <f t="shared" si="19"/>
        <v>Unassigned</v>
      </c>
    </row>
    <row r="639" spans="1:11">
      <c r="A639" t="s">
        <v>3649</v>
      </c>
      <c r="B639" t="s">
        <v>3651</v>
      </c>
      <c r="C639" t="s">
        <v>24</v>
      </c>
      <c r="D639" t="s">
        <v>23</v>
      </c>
      <c r="E639" t="s">
        <v>25</v>
      </c>
      <c r="F639" t="str">
        <f t="shared" si="18"/>
        <v>SMB</v>
      </c>
      <c r="G639">
        <f>_xlfn.XLOOKUP(D639,tblStates[state_code],tblStates[territory_id],"Needs Review - Territory")</f>
        <v>2</v>
      </c>
      <c r="H639" t="str">
        <f>IF(E639="","",_xlfn.XLOOKUP(E639,tblUsers[user_id],tblUsers[job_title],"Owner Not Found"))</f>
        <v>SMB Account Executive</v>
      </c>
      <c r="I639" t="str">
        <f>IF(E639="","",_xlfn.XLOOKUP(E639,tblUsers[user_id],tblUsers[segment],"Owner Not Found"))</f>
        <v>SMB</v>
      </c>
      <c r="J639">
        <f>IF(E639="","",_xlfn.XLOOKUP(E639,tblUsers[user_id],tblUsers[territory_id],"Owner Not Found"))</f>
        <v>2</v>
      </c>
      <c r="K639" t="str">
        <f t="shared" si="19"/>
        <v>Routing Compatible</v>
      </c>
    </row>
    <row r="640" spans="1:11">
      <c r="A640" t="s">
        <v>3652</v>
      </c>
      <c r="B640" t="s">
        <v>3654</v>
      </c>
      <c r="C640" t="s">
        <v>30</v>
      </c>
      <c r="D640" t="s">
        <v>120</v>
      </c>
      <c r="E640" t="s">
        <v>82</v>
      </c>
      <c r="F640" t="str">
        <f t="shared" si="18"/>
        <v>MM</v>
      </c>
      <c r="G640">
        <f>_xlfn.XLOOKUP(D640,tblStates[state_code],tblStates[territory_id],"Needs Review - Territory")</f>
        <v>2</v>
      </c>
      <c r="H640" t="str">
        <f>IF(E640="","",_xlfn.XLOOKUP(E640,tblUsers[user_id],tblUsers[job_title],"Owner Not Found"))</f>
        <v>Mid-Market Account Executive</v>
      </c>
      <c r="I640" t="str">
        <f>IF(E640="","",_xlfn.XLOOKUP(E640,tblUsers[user_id],tblUsers[segment],"Owner Not Found"))</f>
        <v>MM</v>
      </c>
      <c r="J640">
        <f>IF(E640="","",_xlfn.XLOOKUP(E640,tblUsers[user_id],tblUsers[territory_id],"Owner Not Found"))</f>
        <v>2</v>
      </c>
      <c r="K640" t="str">
        <f t="shared" si="19"/>
        <v>Routing Compatible</v>
      </c>
    </row>
    <row r="641" spans="1:11">
      <c r="A641" t="s">
        <v>3655</v>
      </c>
      <c r="B641" t="s">
        <v>3657</v>
      </c>
      <c r="C641" t="s">
        <v>24</v>
      </c>
      <c r="D641" t="s">
        <v>68</v>
      </c>
      <c r="E641" t="s">
        <v>69</v>
      </c>
      <c r="F641" t="str">
        <f t="shared" si="18"/>
        <v>SMB</v>
      </c>
      <c r="G641">
        <f>_xlfn.XLOOKUP(D641,tblStates[state_code],tblStates[territory_id],"Needs Review - Territory")</f>
        <v>3</v>
      </c>
      <c r="H641" t="str">
        <f>IF(E641="","",_xlfn.XLOOKUP(E641,tblUsers[user_id],tblUsers[job_title],"Owner Not Found"))</f>
        <v>SMB Account Executive</v>
      </c>
      <c r="I641" t="str">
        <f>IF(E641="","",_xlfn.XLOOKUP(E641,tblUsers[user_id],tblUsers[segment],"Owner Not Found"))</f>
        <v>SMB</v>
      </c>
      <c r="J641">
        <f>IF(E641="","",_xlfn.XLOOKUP(E641,tblUsers[user_id],tblUsers[territory_id],"Owner Not Found"))</f>
        <v>3</v>
      </c>
      <c r="K641" t="str">
        <f t="shared" si="19"/>
        <v>Routing Compatible</v>
      </c>
    </row>
    <row r="642" spans="1:11">
      <c r="A642" t="s">
        <v>3658</v>
      </c>
      <c r="B642" t="s">
        <v>3660</v>
      </c>
      <c r="C642" t="s">
        <v>24</v>
      </c>
      <c r="D642" t="s">
        <v>212</v>
      </c>
      <c r="F642" t="str">
        <f t="shared" si="18"/>
        <v>SMB</v>
      </c>
      <c r="G642">
        <f>_xlfn.XLOOKUP(D642,tblStates[state_code],tblStates[territory_id],"Needs Review - Territory")</f>
        <v>3</v>
      </c>
      <c r="H642" t="str">
        <f>IF(E642="","",_xlfn.XLOOKUP(E642,tblUsers[user_id],tblUsers[job_title],"Owner Not Found"))</f>
        <v/>
      </c>
      <c r="I642" t="str">
        <f>IF(E642="","",_xlfn.XLOOKUP(E642,tblUsers[user_id],tblUsers[segment],"Owner Not Found"))</f>
        <v/>
      </c>
      <c r="J642" t="str">
        <f>IF(E642="","",_xlfn.XLOOKUP(E642,tblUsers[user_id],tblUsers[territory_id],"Owner Not Found"))</f>
        <v/>
      </c>
      <c r="K642" t="str">
        <f t="shared" si="19"/>
        <v>Unassigned</v>
      </c>
    </row>
    <row r="643" spans="1:11">
      <c r="A643" t="s">
        <v>3661</v>
      </c>
      <c r="B643" t="s">
        <v>3663</v>
      </c>
      <c r="C643" t="s">
        <v>30</v>
      </c>
      <c r="D643" t="s">
        <v>161</v>
      </c>
      <c r="E643" t="s">
        <v>36</v>
      </c>
      <c r="F643" t="str">
        <f t="shared" ref="F643:F706" si="20">IF(C643="SMB","SMB",IF(OR(C643="Mid-Market",C643="Upper Mid-Market"),"MM","Needs Review - Segment"))</f>
        <v>MM</v>
      </c>
      <c r="G643">
        <f>_xlfn.XLOOKUP(D643,tblStates[state_code],tblStates[territory_id],"Needs Review - Territory")</f>
        <v>4</v>
      </c>
      <c r="H643" t="str">
        <f>IF(E643="","",_xlfn.XLOOKUP(E643,tblUsers[user_id],tblUsers[job_title],"Owner Not Found"))</f>
        <v>Mid-Market Account Executive</v>
      </c>
      <c r="I643" t="str">
        <f>IF(E643="","",_xlfn.XLOOKUP(E643,tblUsers[user_id],tblUsers[segment],"Owner Not Found"))</f>
        <v>MM</v>
      </c>
      <c r="J643">
        <f>IF(E643="","",_xlfn.XLOOKUP(E643,tblUsers[user_id],tblUsers[territory_id],"Owner Not Found"))</f>
        <v>4</v>
      </c>
      <c r="K643" t="str">
        <f t="shared" ref="K643:K706" si="21">IF(E643="","Unassigned",IF(F643="Needs Review - Segment","Needs Review - Segment",IF(G643="Needs Review - Territory","Needs Review - Territory",IF(I643&lt;&gt;F643,"Wrong Segment",IF(AND(ISNUMBER(SEARCH("Account Executive",H643)),J643&lt;&gt;G643),"Wrong AE Territory",IF(OR(ISNUMBER(SEARCH("Account Executive",H643)),H643="Sales Development Representative"),"Routing Compatible","Unexpected Owner Role"))))))</f>
        <v>Routing Compatible</v>
      </c>
    </row>
    <row r="644" spans="1:11">
      <c r="A644" t="s">
        <v>3664</v>
      </c>
      <c r="B644" t="s">
        <v>3666</v>
      </c>
      <c r="C644" t="s">
        <v>24</v>
      </c>
      <c r="D644" t="s">
        <v>99</v>
      </c>
      <c r="E644" t="s">
        <v>59</v>
      </c>
      <c r="F644" t="str">
        <f t="shared" si="20"/>
        <v>SMB</v>
      </c>
      <c r="G644">
        <f>_xlfn.XLOOKUP(D644,tblStates[state_code],tblStates[territory_id],"Needs Review - Territory")</f>
        <v>4</v>
      </c>
      <c r="H644" t="str">
        <f>IF(E644="","",_xlfn.XLOOKUP(E644,tblUsers[user_id],tblUsers[job_title],"Owner Not Found"))</f>
        <v>SMB Account Executive</v>
      </c>
      <c r="I644" t="str">
        <f>IF(E644="","",_xlfn.XLOOKUP(E644,tblUsers[user_id],tblUsers[segment],"Owner Not Found"))</f>
        <v>SMB</v>
      </c>
      <c r="J644">
        <f>IF(E644="","",_xlfn.XLOOKUP(E644,tblUsers[user_id],tblUsers[territory_id],"Owner Not Found"))</f>
        <v>4</v>
      </c>
      <c r="K644" t="str">
        <f t="shared" si="21"/>
        <v>Routing Compatible</v>
      </c>
    </row>
    <row r="645" spans="1:11">
      <c r="A645" t="s">
        <v>3667</v>
      </c>
      <c r="B645" t="s">
        <v>3669</v>
      </c>
      <c r="D645" t="s">
        <v>50</v>
      </c>
      <c r="F645" t="str">
        <f t="shared" si="20"/>
        <v>Needs Review - Segment</v>
      </c>
      <c r="G645">
        <f>_xlfn.XLOOKUP(D645,tblStates[state_code],tblStates[territory_id],"Needs Review - Territory")</f>
        <v>4</v>
      </c>
      <c r="H645" t="str">
        <f>IF(E645="","",_xlfn.XLOOKUP(E645,tblUsers[user_id],tblUsers[job_title],"Owner Not Found"))</f>
        <v/>
      </c>
      <c r="I645" t="str">
        <f>IF(E645="","",_xlfn.XLOOKUP(E645,tblUsers[user_id],tblUsers[segment],"Owner Not Found"))</f>
        <v/>
      </c>
      <c r="J645" t="str">
        <f>IF(E645="","",_xlfn.XLOOKUP(E645,tblUsers[user_id],tblUsers[territory_id],"Owner Not Found"))</f>
        <v/>
      </c>
      <c r="K645" t="str">
        <f t="shared" si="21"/>
        <v>Unassigned</v>
      </c>
    </row>
    <row r="646" spans="1:11">
      <c r="A646" t="s">
        <v>3670</v>
      </c>
      <c r="B646" t="s">
        <v>3672</v>
      </c>
      <c r="C646" t="s">
        <v>17</v>
      </c>
      <c r="D646" t="s">
        <v>560</v>
      </c>
      <c r="E646" t="s">
        <v>82</v>
      </c>
      <c r="F646" t="str">
        <f t="shared" si="20"/>
        <v>MM</v>
      </c>
      <c r="G646">
        <f>_xlfn.XLOOKUP(D646,tblStates[state_code],tblStates[territory_id],"Needs Review - Territory")</f>
        <v>2</v>
      </c>
      <c r="H646" t="str">
        <f>IF(E646="","",_xlfn.XLOOKUP(E646,tblUsers[user_id],tblUsers[job_title],"Owner Not Found"))</f>
        <v>Mid-Market Account Executive</v>
      </c>
      <c r="I646" t="str">
        <f>IF(E646="","",_xlfn.XLOOKUP(E646,tblUsers[user_id],tblUsers[segment],"Owner Not Found"))</f>
        <v>MM</v>
      </c>
      <c r="J646">
        <f>IF(E646="","",_xlfn.XLOOKUP(E646,tblUsers[user_id],tblUsers[territory_id],"Owner Not Found"))</f>
        <v>2</v>
      </c>
      <c r="K646" t="str">
        <f t="shared" si="21"/>
        <v>Routing Compatible</v>
      </c>
    </row>
    <row r="647" spans="1:11">
      <c r="A647" t="s">
        <v>3673</v>
      </c>
      <c r="B647" t="s">
        <v>3675</v>
      </c>
      <c r="C647" t="s">
        <v>30</v>
      </c>
      <c r="D647" t="s">
        <v>35</v>
      </c>
      <c r="E647" t="s">
        <v>36</v>
      </c>
      <c r="F647" t="str">
        <f t="shared" si="20"/>
        <v>MM</v>
      </c>
      <c r="G647">
        <f>_xlfn.XLOOKUP(D647,tblStates[state_code],tblStates[territory_id],"Needs Review - Territory")</f>
        <v>4</v>
      </c>
      <c r="H647" t="str">
        <f>IF(E647="","",_xlfn.XLOOKUP(E647,tblUsers[user_id],tblUsers[job_title],"Owner Not Found"))</f>
        <v>Mid-Market Account Executive</v>
      </c>
      <c r="I647" t="str">
        <f>IF(E647="","",_xlfn.XLOOKUP(E647,tblUsers[user_id],tblUsers[segment],"Owner Not Found"))</f>
        <v>MM</v>
      </c>
      <c r="J647">
        <f>IF(E647="","",_xlfn.XLOOKUP(E647,tblUsers[user_id],tblUsers[territory_id],"Owner Not Found"))</f>
        <v>4</v>
      </c>
      <c r="K647" t="str">
        <f t="shared" si="21"/>
        <v>Routing Compatible</v>
      </c>
    </row>
    <row r="648" spans="1:11">
      <c r="A648" t="s">
        <v>3676</v>
      </c>
      <c r="B648" t="s">
        <v>3678</v>
      </c>
      <c r="C648" t="s">
        <v>17</v>
      </c>
      <c r="D648" t="s">
        <v>171</v>
      </c>
      <c r="E648" t="s">
        <v>91</v>
      </c>
      <c r="F648" t="str">
        <f t="shared" si="20"/>
        <v>MM</v>
      </c>
      <c r="G648">
        <f>_xlfn.XLOOKUP(D648,tblStates[state_code],tblStates[territory_id],"Needs Review - Territory")</f>
        <v>1</v>
      </c>
      <c r="H648" t="str">
        <f>IF(E648="","",_xlfn.XLOOKUP(E648,tblUsers[user_id],tblUsers[job_title],"Owner Not Found"))</f>
        <v>SMB Account Executive</v>
      </c>
      <c r="I648" t="str">
        <f>IF(E648="","",_xlfn.XLOOKUP(E648,tblUsers[user_id],tblUsers[segment],"Owner Not Found"))</f>
        <v>SMB</v>
      </c>
      <c r="J648">
        <f>IF(E648="","",_xlfn.XLOOKUP(E648,tblUsers[user_id],tblUsers[territory_id],"Owner Not Found"))</f>
        <v>1</v>
      </c>
      <c r="K648" t="str">
        <f t="shared" si="21"/>
        <v>Wrong Segment</v>
      </c>
    </row>
    <row r="649" spans="1:11">
      <c r="A649" t="s">
        <v>3679</v>
      </c>
      <c r="B649" t="s">
        <v>3681</v>
      </c>
      <c r="C649" t="s">
        <v>30</v>
      </c>
      <c r="D649" t="s">
        <v>212</v>
      </c>
      <c r="E649" t="s">
        <v>55</v>
      </c>
      <c r="F649" t="str">
        <f t="shared" si="20"/>
        <v>MM</v>
      </c>
      <c r="G649">
        <f>_xlfn.XLOOKUP(D649,tblStates[state_code],tblStates[territory_id],"Needs Review - Territory")</f>
        <v>3</v>
      </c>
      <c r="H649" t="str">
        <f>IF(E649="","",_xlfn.XLOOKUP(E649,tblUsers[user_id],tblUsers[job_title],"Owner Not Found"))</f>
        <v>Mid-Market Account Executive</v>
      </c>
      <c r="I649" t="str">
        <f>IF(E649="","",_xlfn.XLOOKUP(E649,tblUsers[user_id],tblUsers[segment],"Owner Not Found"))</f>
        <v>MM</v>
      </c>
      <c r="J649">
        <f>IF(E649="","",_xlfn.XLOOKUP(E649,tblUsers[user_id],tblUsers[territory_id],"Owner Not Found"))</f>
        <v>3</v>
      </c>
      <c r="K649" t="str">
        <f t="shared" si="21"/>
        <v>Routing Compatible</v>
      </c>
    </row>
    <row r="650" spans="1:11">
      <c r="A650" t="s">
        <v>3682</v>
      </c>
      <c r="B650" t="s">
        <v>3684</v>
      </c>
      <c r="C650" t="s">
        <v>24</v>
      </c>
      <c r="D650" t="s">
        <v>16</v>
      </c>
      <c r="E650" t="s">
        <v>91</v>
      </c>
      <c r="F650" t="str">
        <f t="shared" si="20"/>
        <v>SMB</v>
      </c>
      <c r="G650">
        <f>_xlfn.XLOOKUP(D650,tblStates[state_code],tblStates[territory_id],"Needs Review - Territory")</f>
        <v>1</v>
      </c>
      <c r="H650" t="str">
        <f>IF(E650="","",_xlfn.XLOOKUP(E650,tblUsers[user_id],tblUsers[job_title],"Owner Not Found"))</f>
        <v>SMB Account Executive</v>
      </c>
      <c r="I650" t="str">
        <f>IF(E650="","",_xlfn.XLOOKUP(E650,tblUsers[user_id],tblUsers[segment],"Owner Not Found"))</f>
        <v>SMB</v>
      </c>
      <c r="J650">
        <f>IF(E650="","",_xlfn.XLOOKUP(E650,tblUsers[user_id],tblUsers[territory_id],"Owner Not Found"))</f>
        <v>1</v>
      </c>
      <c r="K650" t="str">
        <f t="shared" si="21"/>
        <v>Routing Compatible</v>
      </c>
    </row>
    <row r="651" spans="1:11">
      <c r="A651" t="s">
        <v>3685</v>
      </c>
      <c r="B651" t="s">
        <v>3687</v>
      </c>
      <c r="C651" t="s">
        <v>24</v>
      </c>
      <c r="D651" t="s">
        <v>1042</v>
      </c>
      <c r="E651" t="s">
        <v>91</v>
      </c>
      <c r="F651" t="str">
        <f t="shared" si="20"/>
        <v>SMB</v>
      </c>
      <c r="G651">
        <f>_xlfn.XLOOKUP(D651,tblStates[state_code],tblStates[territory_id],"Needs Review - Territory")</f>
        <v>1</v>
      </c>
      <c r="H651" t="str">
        <f>IF(E651="","",_xlfn.XLOOKUP(E651,tblUsers[user_id],tblUsers[job_title],"Owner Not Found"))</f>
        <v>SMB Account Executive</v>
      </c>
      <c r="I651" t="str">
        <f>IF(E651="","",_xlfn.XLOOKUP(E651,tblUsers[user_id],tblUsers[segment],"Owner Not Found"))</f>
        <v>SMB</v>
      </c>
      <c r="J651">
        <f>IF(E651="","",_xlfn.XLOOKUP(E651,tblUsers[user_id],tblUsers[territory_id],"Owner Not Found"))</f>
        <v>1</v>
      </c>
      <c r="K651" t="str">
        <f t="shared" si="21"/>
        <v>Routing Compatible</v>
      </c>
    </row>
    <row r="652" spans="1:11">
      <c r="A652" t="s">
        <v>3688</v>
      </c>
      <c r="B652" t="s">
        <v>3690</v>
      </c>
      <c r="C652" t="s">
        <v>24</v>
      </c>
      <c r="D652" t="s">
        <v>154</v>
      </c>
      <c r="E652" t="s">
        <v>25</v>
      </c>
      <c r="F652" t="str">
        <f t="shared" si="20"/>
        <v>SMB</v>
      </c>
      <c r="G652">
        <f>_xlfn.XLOOKUP(D652,tblStates[state_code],tblStates[territory_id],"Needs Review - Territory")</f>
        <v>2</v>
      </c>
      <c r="H652" t="str">
        <f>IF(E652="","",_xlfn.XLOOKUP(E652,tblUsers[user_id],tblUsers[job_title],"Owner Not Found"))</f>
        <v>SMB Account Executive</v>
      </c>
      <c r="I652" t="str">
        <f>IF(E652="","",_xlfn.XLOOKUP(E652,tblUsers[user_id],tblUsers[segment],"Owner Not Found"))</f>
        <v>SMB</v>
      </c>
      <c r="J652">
        <f>IF(E652="","",_xlfn.XLOOKUP(E652,tblUsers[user_id],tblUsers[territory_id],"Owner Not Found"))</f>
        <v>2</v>
      </c>
      <c r="K652" t="str">
        <f t="shared" si="21"/>
        <v>Routing Compatible</v>
      </c>
    </row>
    <row r="653" spans="1:11">
      <c r="A653" t="s">
        <v>3691</v>
      </c>
      <c r="B653" t="s">
        <v>3693</v>
      </c>
      <c r="C653" t="s">
        <v>24</v>
      </c>
      <c r="D653" t="s">
        <v>216</v>
      </c>
      <c r="E653" t="s">
        <v>91</v>
      </c>
      <c r="F653" t="str">
        <f t="shared" si="20"/>
        <v>SMB</v>
      </c>
      <c r="G653">
        <f>_xlfn.XLOOKUP(D653,tblStates[state_code],tblStates[territory_id],"Needs Review - Territory")</f>
        <v>1</v>
      </c>
      <c r="H653" t="str">
        <f>IF(E653="","",_xlfn.XLOOKUP(E653,tblUsers[user_id],tblUsers[job_title],"Owner Not Found"))</f>
        <v>SMB Account Executive</v>
      </c>
      <c r="I653" t="str">
        <f>IF(E653="","",_xlfn.XLOOKUP(E653,tblUsers[user_id],tblUsers[segment],"Owner Not Found"))</f>
        <v>SMB</v>
      </c>
      <c r="J653">
        <f>IF(E653="","",_xlfn.XLOOKUP(E653,tblUsers[user_id],tblUsers[territory_id],"Owner Not Found"))</f>
        <v>1</v>
      </c>
      <c r="K653" t="str">
        <f t="shared" si="21"/>
        <v>Routing Compatible</v>
      </c>
    </row>
    <row r="654" spans="1:11">
      <c r="A654" t="s">
        <v>3694</v>
      </c>
      <c r="B654" t="s">
        <v>3696</v>
      </c>
      <c r="C654" t="s">
        <v>17</v>
      </c>
      <c r="D654" t="s">
        <v>116</v>
      </c>
      <c r="E654" t="s">
        <v>82</v>
      </c>
      <c r="F654" t="str">
        <f t="shared" si="20"/>
        <v>MM</v>
      </c>
      <c r="G654">
        <f>_xlfn.XLOOKUP(D654,tblStates[state_code],tblStates[territory_id],"Needs Review - Territory")</f>
        <v>2</v>
      </c>
      <c r="H654" t="str">
        <f>IF(E654="","",_xlfn.XLOOKUP(E654,tblUsers[user_id],tblUsers[job_title],"Owner Not Found"))</f>
        <v>Mid-Market Account Executive</v>
      </c>
      <c r="I654" t="str">
        <f>IF(E654="","",_xlfn.XLOOKUP(E654,tblUsers[user_id],tblUsers[segment],"Owner Not Found"))</f>
        <v>MM</v>
      </c>
      <c r="J654">
        <f>IF(E654="","",_xlfn.XLOOKUP(E654,tblUsers[user_id],tblUsers[territory_id],"Owner Not Found"))</f>
        <v>2</v>
      </c>
      <c r="K654" t="str">
        <f t="shared" si="21"/>
        <v>Routing Compatible</v>
      </c>
    </row>
    <row r="655" spans="1:11">
      <c r="A655" t="s">
        <v>3697</v>
      </c>
      <c r="B655" t="s">
        <v>3699</v>
      </c>
      <c r="C655" t="s">
        <v>17</v>
      </c>
      <c r="D655" t="s">
        <v>366</v>
      </c>
      <c r="E655" t="s">
        <v>18</v>
      </c>
      <c r="F655" t="str">
        <f t="shared" si="20"/>
        <v>MM</v>
      </c>
      <c r="G655">
        <f>_xlfn.XLOOKUP(D655,tblStates[state_code],tblStates[territory_id],"Needs Review - Territory")</f>
        <v>1</v>
      </c>
      <c r="H655" t="str">
        <f>IF(E655="","",_xlfn.XLOOKUP(E655,tblUsers[user_id],tblUsers[job_title],"Owner Not Found"))</f>
        <v>Mid-Market Account Executive</v>
      </c>
      <c r="I655" t="str">
        <f>IF(E655="","",_xlfn.XLOOKUP(E655,tblUsers[user_id],tblUsers[segment],"Owner Not Found"))</f>
        <v>MM</v>
      </c>
      <c r="J655">
        <f>IF(E655="","",_xlfn.XLOOKUP(E655,tblUsers[user_id],tblUsers[territory_id],"Owner Not Found"))</f>
        <v>1</v>
      </c>
      <c r="K655" t="str">
        <f t="shared" si="21"/>
        <v>Routing Compatible</v>
      </c>
    </row>
    <row r="656" spans="1:11">
      <c r="A656" t="s">
        <v>3700</v>
      </c>
      <c r="B656" t="s">
        <v>3702</v>
      </c>
      <c r="C656" t="s">
        <v>30</v>
      </c>
      <c r="D656" t="s">
        <v>205</v>
      </c>
      <c r="E656" t="s">
        <v>36</v>
      </c>
      <c r="F656" t="str">
        <f t="shared" si="20"/>
        <v>MM</v>
      </c>
      <c r="G656">
        <f>_xlfn.XLOOKUP(D656,tblStates[state_code],tblStates[territory_id],"Needs Review - Territory")</f>
        <v>4</v>
      </c>
      <c r="H656" t="str">
        <f>IF(E656="","",_xlfn.XLOOKUP(E656,tblUsers[user_id],tblUsers[job_title],"Owner Not Found"))</f>
        <v>Mid-Market Account Executive</v>
      </c>
      <c r="I656" t="str">
        <f>IF(E656="","",_xlfn.XLOOKUP(E656,tblUsers[user_id],tblUsers[segment],"Owner Not Found"))</f>
        <v>MM</v>
      </c>
      <c r="J656">
        <f>IF(E656="","",_xlfn.XLOOKUP(E656,tblUsers[user_id],tblUsers[territory_id],"Owner Not Found"))</f>
        <v>4</v>
      </c>
      <c r="K656" t="str">
        <f t="shared" si="21"/>
        <v>Routing Compatible</v>
      </c>
    </row>
    <row r="657" spans="1:11">
      <c r="A657" t="s">
        <v>3703</v>
      </c>
      <c r="B657" t="s">
        <v>3704</v>
      </c>
      <c r="C657" t="s">
        <v>24</v>
      </c>
      <c r="D657" t="s">
        <v>50</v>
      </c>
      <c r="E657" t="s">
        <v>59</v>
      </c>
      <c r="F657" t="str">
        <f t="shared" si="20"/>
        <v>SMB</v>
      </c>
      <c r="G657">
        <f>_xlfn.XLOOKUP(D657,tblStates[state_code],tblStates[territory_id],"Needs Review - Territory")</f>
        <v>4</v>
      </c>
      <c r="H657" t="str">
        <f>IF(E657="","",_xlfn.XLOOKUP(E657,tblUsers[user_id],tblUsers[job_title],"Owner Not Found"))</f>
        <v>SMB Account Executive</v>
      </c>
      <c r="I657" t="str">
        <f>IF(E657="","",_xlfn.XLOOKUP(E657,tblUsers[user_id],tblUsers[segment],"Owner Not Found"))</f>
        <v>SMB</v>
      </c>
      <c r="J657">
        <f>IF(E657="","",_xlfn.XLOOKUP(E657,tblUsers[user_id],tblUsers[territory_id],"Owner Not Found"))</f>
        <v>4</v>
      </c>
      <c r="K657" t="str">
        <f t="shared" si="21"/>
        <v>Routing Compatible</v>
      </c>
    </row>
    <row r="658" spans="1:11">
      <c r="A658" t="s">
        <v>3705</v>
      </c>
      <c r="B658" t="s">
        <v>3707</v>
      </c>
      <c r="C658" t="s">
        <v>30</v>
      </c>
      <c r="D658" t="s">
        <v>68</v>
      </c>
      <c r="E658" t="s">
        <v>55</v>
      </c>
      <c r="F658" t="str">
        <f t="shared" si="20"/>
        <v>MM</v>
      </c>
      <c r="G658">
        <f>_xlfn.XLOOKUP(D658,tblStates[state_code],tblStates[territory_id],"Needs Review - Territory")</f>
        <v>3</v>
      </c>
      <c r="H658" t="str">
        <f>IF(E658="","",_xlfn.XLOOKUP(E658,tblUsers[user_id],tblUsers[job_title],"Owner Not Found"))</f>
        <v>Mid-Market Account Executive</v>
      </c>
      <c r="I658" t="str">
        <f>IF(E658="","",_xlfn.XLOOKUP(E658,tblUsers[user_id],tblUsers[segment],"Owner Not Found"))</f>
        <v>MM</v>
      </c>
      <c r="J658">
        <f>IF(E658="","",_xlfn.XLOOKUP(E658,tblUsers[user_id],tblUsers[territory_id],"Owner Not Found"))</f>
        <v>3</v>
      </c>
      <c r="K658" t="str">
        <f t="shared" si="21"/>
        <v>Routing Compatible</v>
      </c>
    </row>
    <row r="659" spans="1:11">
      <c r="A659" t="s">
        <v>3708</v>
      </c>
      <c r="B659" t="s">
        <v>3710</v>
      </c>
      <c r="C659" t="s">
        <v>24</v>
      </c>
      <c r="D659" t="s">
        <v>1079</v>
      </c>
      <c r="E659" t="s">
        <v>69</v>
      </c>
      <c r="F659" t="str">
        <f t="shared" si="20"/>
        <v>SMB</v>
      </c>
      <c r="G659">
        <f>_xlfn.XLOOKUP(D659,tblStates[state_code],tblStates[territory_id],"Needs Review - Territory")</f>
        <v>3</v>
      </c>
      <c r="H659" t="str">
        <f>IF(E659="","",_xlfn.XLOOKUP(E659,tblUsers[user_id],tblUsers[job_title],"Owner Not Found"))</f>
        <v>SMB Account Executive</v>
      </c>
      <c r="I659" t="str">
        <f>IF(E659="","",_xlfn.XLOOKUP(E659,tblUsers[user_id],tblUsers[segment],"Owner Not Found"))</f>
        <v>SMB</v>
      </c>
      <c r="J659">
        <f>IF(E659="","",_xlfn.XLOOKUP(E659,tblUsers[user_id],tblUsers[territory_id],"Owner Not Found"))</f>
        <v>3</v>
      </c>
      <c r="K659" t="str">
        <f t="shared" si="21"/>
        <v>Routing Compatible</v>
      </c>
    </row>
    <row r="660" spans="1:11">
      <c r="A660" t="s">
        <v>3711</v>
      </c>
      <c r="B660" t="s">
        <v>3713</v>
      </c>
      <c r="C660" t="s">
        <v>24</v>
      </c>
      <c r="D660" t="s">
        <v>16</v>
      </c>
      <c r="E660" t="s">
        <v>91</v>
      </c>
      <c r="F660" t="str">
        <f t="shared" si="20"/>
        <v>SMB</v>
      </c>
      <c r="G660">
        <f>_xlfn.XLOOKUP(D660,tblStates[state_code],tblStates[territory_id],"Needs Review - Territory")</f>
        <v>1</v>
      </c>
      <c r="H660" t="str">
        <f>IF(E660="","",_xlfn.XLOOKUP(E660,tblUsers[user_id],tblUsers[job_title],"Owner Not Found"))</f>
        <v>SMB Account Executive</v>
      </c>
      <c r="I660" t="str">
        <f>IF(E660="","",_xlfn.XLOOKUP(E660,tblUsers[user_id],tblUsers[segment],"Owner Not Found"))</f>
        <v>SMB</v>
      </c>
      <c r="J660">
        <f>IF(E660="","",_xlfn.XLOOKUP(E660,tblUsers[user_id],tblUsers[territory_id],"Owner Not Found"))</f>
        <v>1</v>
      </c>
      <c r="K660" t="str">
        <f t="shared" si="21"/>
        <v>Routing Compatible</v>
      </c>
    </row>
    <row r="661" spans="1:11">
      <c r="A661" t="s">
        <v>3714</v>
      </c>
      <c r="B661" t="s">
        <v>3716</v>
      </c>
      <c r="C661" t="s">
        <v>30</v>
      </c>
      <c r="D661" t="s">
        <v>68</v>
      </c>
      <c r="E661" t="s">
        <v>55</v>
      </c>
      <c r="F661" t="str">
        <f t="shared" si="20"/>
        <v>MM</v>
      </c>
      <c r="G661">
        <f>_xlfn.XLOOKUP(D661,tblStates[state_code],tblStates[territory_id],"Needs Review - Territory")</f>
        <v>3</v>
      </c>
      <c r="H661" t="str">
        <f>IF(E661="","",_xlfn.XLOOKUP(E661,tblUsers[user_id],tblUsers[job_title],"Owner Not Found"))</f>
        <v>Mid-Market Account Executive</v>
      </c>
      <c r="I661" t="str">
        <f>IF(E661="","",_xlfn.XLOOKUP(E661,tblUsers[user_id],tblUsers[segment],"Owner Not Found"))</f>
        <v>MM</v>
      </c>
      <c r="J661">
        <f>IF(E661="","",_xlfn.XLOOKUP(E661,tblUsers[user_id],tblUsers[territory_id],"Owner Not Found"))</f>
        <v>3</v>
      </c>
      <c r="K661" t="str">
        <f t="shared" si="21"/>
        <v>Routing Compatible</v>
      </c>
    </row>
    <row r="662" spans="1:11">
      <c r="A662" t="s">
        <v>3717</v>
      </c>
      <c r="B662" t="s">
        <v>3719</v>
      </c>
      <c r="C662" t="s">
        <v>24</v>
      </c>
      <c r="D662" t="s">
        <v>50</v>
      </c>
      <c r="E662" t="s">
        <v>59</v>
      </c>
      <c r="F662" t="str">
        <f t="shared" si="20"/>
        <v>SMB</v>
      </c>
      <c r="G662">
        <f>_xlfn.XLOOKUP(D662,tblStates[state_code],tblStates[territory_id],"Needs Review - Territory")</f>
        <v>4</v>
      </c>
      <c r="H662" t="str">
        <f>IF(E662="","",_xlfn.XLOOKUP(E662,tblUsers[user_id],tblUsers[job_title],"Owner Not Found"))</f>
        <v>SMB Account Executive</v>
      </c>
      <c r="I662" t="str">
        <f>IF(E662="","",_xlfn.XLOOKUP(E662,tblUsers[user_id],tblUsers[segment],"Owner Not Found"))</f>
        <v>SMB</v>
      </c>
      <c r="J662">
        <f>IF(E662="","",_xlfn.XLOOKUP(E662,tblUsers[user_id],tblUsers[territory_id],"Owner Not Found"))</f>
        <v>4</v>
      </c>
      <c r="K662" t="str">
        <f t="shared" si="21"/>
        <v>Routing Compatible</v>
      </c>
    </row>
    <row r="663" spans="1:11">
      <c r="A663" t="s">
        <v>3720</v>
      </c>
      <c r="B663" t="s">
        <v>3722</v>
      </c>
      <c r="C663" t="s">
        <v>24</v>
      </c>
      <c r="D663" t="s">
        <v>408</v>
      </c>
      <c r="E663" t="s">
        <v>69</v>
      </c>
      <c r="F663" t="str">
        <f t="shared" si="20"/>
        <v>SMB</v>
      </c>
      <c r="G663">
        <f>_xlfn.XLOOKUP(D663,tblStates[state_code],tblStates[territory_id],"Needs Review - Territory")</f>
        <v>3</v>
      </c>
      <c r="H663" t="str">
        <f>IF(E663="","",_xlfn.XLOOKUP(E663,tblUsers[user_id],tblUsers[job_title],"Owner Not Found"))</f>
        <v>SMB Account Executive</v>
      </c>
      <c r="I663" t="str">
        <f>IF(E663="","",_xlfn.XLOOKUP(E663,tblUsers[user_id],tblUsers[segment],"Owner Not Found"))</f>
        <v>SMB</v>
      </c>
      <c r="J663">
        <f>IF(E663="","",_xlfn.XLOOKUP(E663,tblUsers[user_id],tblUsers[territory_id],"Owner Not Found"))</f>
        <v>3</v>
      </c>
      <c r="K663" t="str">
        <f t="shared" si="21"/>
        <v>Routing Compatible</v>
      </c>
    </row>
    <row r="664" spans="1:11">
      <c r="A664" t="s">
        <v>3723</v>
      </c>
      <c r="B664" t="s">
        <v>3725</v>
      </c>
      <c r="C664" t="s">
        <v>30</v>
      </c>
      <c r="D664" t="s">
        <v>140</v>
      </c>
      <c r="E664" t="s">
        <v>82</v>
      </c>
      <c r="F664" t="str">
        <f t="shared" si="20"/>
        <v>MM</v>
      </c>
      <c r="G664">
        <f>_xlfn.XLOOKUP(D664,tblStates[state_code],tblStates[territory_id],"Needs Review - Territory")</f>
        <v>2</v>
      </c>
      <c r="H664" t="str">
        <f>IF(E664="","",_xlfn.XLOOKUP(E664,tblUsers[user_id],tblUsers[job_title],"Owner Not Found"))</f>
        <v>Mid-Market Account Executive</v>
      </c>
      <c r="I664" t="str">
        <f>IF(E664="","",_xlfn.XLOOKUP(E664,tblUsers[user_id],tblUsers[segment],"Owner Not Found"))</f>
        <v>MM</v>
      </c>
      <c r="J664">
        <f>IF(E664="","",_xlfn.XLOOKUP(E664,tblUsers[user_id],tblUsers[territory_id],"Owner Not Found"))</f>
        <v>2</v>
      </c>
      <c r="K664" t="str">
        <f t="shared" si="21"/>
        <v>Routing Compatible</v>
      </c>
    </row>
    <row r="665" spans="1:11">
      <c r="A665" t="s">
        <v>3726</v>
      </c>
      <c r="B665" t="s">
        <v>3728</v>
      </c>
      <c r="C665" t="s">
        <v>24</v>
      </c>
      <c r="D665" t="s">
        <v>64</v>
      </c>
      <c r="E665" t="s">
        <v>69</v>
      </c>
      <c r="F665" t="str">
        <f t="shared" si="20"/>
        <v>SMB</v>
      </c>
      <c r="G665">
        <f>_xlfn.XLOOKUP(D665,tblStates[state_code],tblStates[territory_id],"Needs Review - Territory")</f>
        <v>3</v>
      </c>
      <c r="H665" t="str">
        <f>IF(E665="","",_xlfn.XLOOKUP(E665,tblUsers[user_id],tblUsers[job_title],"Owner Not Found"))</f>
        <v>SMB Account Executive</v>
      </c>
      <c r="I665" t="str">
        <f>IF(E665="","",_xlfn.XLOOKUP(E665,tblUsers[user_id],tblUsers[segment],"Owner Not Found"))</f>
        <v>SMB</v>
      </c>
      <c r="J665">
        <f>IF(E665="","",_xlfn.XLOOKUP(E665,tblUsers[user_id],tblUsers[territory_id],"Owner Not Found"))</f>
        <v>3</v>
      </c>
      <c r="K665" t="str">
        <f t="shared" si="21"/>
        <v>Routing Compatible</v>
      </c>
    </row>
    <row r="666" spans="1:11">
      <c r="A666" t="s">
        <v>3729</v>
      </c>
      <c r="B666" t="s">
        <v>3731</v>
      </c>
      <c r="C666" t="s">
        <v>30</v>
      </c>
      <c r="D666" t="s">
        <v>127</v>
      </c>
      <c r="E666" t="s">
        <v>82</v>
      </c>
      <c r="F666" t="str">
        <f t="shared" si="20"/>
        <v>MM</v>
      </c>
      <c r="G666">
        <f>_xlfn.XLOOKUP(D666,tblStates[state_code],tblStates[territory_id],"Needs Review - Territory")</f>
        <v>2</v>
      </c>
      <c r="H666" t="str">
        <f>IF(E666="","",_xlfn.XLOOKUP(E666,tblUsers[user_id],tblUsers[job_title],"Owner Not Found"))</f>
        <v>Mid-Market Account Executive</v>
      </c>
      <c r="I666" t="str">
        <f>IF(E666="","",_xlfn.XLOOKUP(E666,tblUsers[user_id],tblUsers[segment],"Owner Not Found"))</f>
        <v>MM</v>
      </c>
      <c r="J666">
        <f>IF(E666="","",_xlfn.XLOOKUP(E666,tblUsers[user_id],tblUsers[territory_id],"Owner Not Found"))</f>
        <v>2</v>
      </c>
      <c r="K666" t="str">
        <f t="shared" si="21"/>
        <v>Routing Compatible</v>
      </c>
    </row>
    <row r="667" spans="1:11">
      <c r="A667" t="s">
        <v>3732</v>
      </c>
      <c r="B667" t="s">
        <v>3733</v>
      </c>
      <c r="C667" t="s">
        <v>30</v>
      </c>
      <c r="D667" t="s">
        <v>50</v>
      </c>
      <c r="E667" t="s">
        <v>36</v>
      </c>
      <c r="F667" t="str">
        <f t="shared" si="20"/>
        <v>MM</v>
      </c>
      <c r="G667">
        <f>_xlfn.XLOOKUP(D667,tblStates[state_code],tblStates[territory_id],"Needs Review - Territory")</f>
        <v>4</v>
      </c>
      <c r="H667" t="str">
        <f>IF(E667="","",_xlfn.XLOOKUP(E667,tblUsers[user_id],tblUsers[job_title],"Owner Not Found"))</f>
        <v>Mid-Market Account Executive</v>
      </c>
      <c r="I667" t="str">
        <f>IF(E667="","",_xlfn.XLOOKUP(E667,tblUsers[user_id],tblUsers[segment],"Owner Not Found"))</f>
        <v>MM</v>
      </c>
      <c r="J667">
        <f>IF(E667="","",_xlfn.XLOOKUP(E667,tblUsers[user_id],tblUsers[territory_id],"Owner Not Found"))</f>
        <v>4</v>
      </c>
      <c r="K667" t="str">
        <f t="shared" si="21"/>
        <v>Routing Compatible</v>
      </c>
    </row>
    <row r="668" spans="1:11">
      <c r="A668" t="s">
        <v>3734</v>
      </c>
      <c r="B668" t="s">
        <v>3736</v>
      </c>
      <c r="C668" t="s">
        <v>30</v>
      </c>
      <c r="D668" t="s">
        <v>154</v>
      </c>
      <c r="E668" t="s">
        <v>82</v>
      </c>
      <c r="F668" t="str">
        <f t="shared" si="20"/>
        <v>MM</v>
      </c>
      <c r="G668">
        <f>_xlfn.XLOOKUP(D668,tblStates[state_code],tblStates[territory_id],"Needs Review - Territory")</f>
        <v>2</v>
      </c>
      <c r="H668" t="str">
        <f>IF(E668="","",_xlfn.XLOOKUP(E668,tblUsers[user_id],tblUsers[job_title],"Owner Not Found"))</f>
        <v>Mid-Market Account Executive</v>
      </c>
      <c r="I668" t="str">
        <f>IF(E668="","",_xlfn.XLOOKUP(E668,tblUsers[user_id],tblUsers[segment],"Owner Not Found"))</f>
        <v>MM</v>
      </c>
      <c r="J668">
        <f>IF(E668="","",_xlfn.XLOOKUP(E668,tblUsers[user_id],tblUsers[territory_id],"Owner Not Found"))</f>
        <v>2</v>
      </c>
      <c r="K668" t="str">
        <f t="shared" si="21"/>
        <v>Routing Compatible</v>
      </c>
    </row>
    <row r="669" spans="1:11">
      <c r="A669" t="s">
        <v>3737</v>
      </c>
      <c r="B669" t="s">
        <v>3739</v>
      </c>
      <c r="C669" t="s">
        <v>24</v>
      </c>
      <c r="D669" t="s">
        <v>16</v>
      </c>
      <c r="E669" t="s">
        <v>91</v>
      </c>
      <c r="F669" t="str">
        <f t="shared" si="20"/>
        <v>SMB</v>
      </c>
      <c r="G669">
        <f>_xlfn.XLOOKUP(D669,tblStates[state_code],tblStates[territory_id],"Needs Review - Territory")</f>
        <v>1</v>
      </c>
      <c r="H669" t="str">
        <f>IF(E669="","",_xlfn.XLOOKUP(E669,tblUsers[user_id],tblUsers[job_title],"Owner Not Found"))</f>
        <v>SMB Account Executive</v>
      </c>
      <c r="I669" t="str">
        <f>IF(E669="","",_xlfn.XLOOKUP(E669,tblUsers[user_id],tblUsers[segment],"Owner Not Found"))</f>
        <v>SMB</v>
      </c>
      <c r="J669">
        <f>IF(E669="","",_xlfn.XLOOKUP(E669,tblUsers[user_id],tblUsers[territory_id],"Owner Not Found"))</f>
        <v>1</v>
      </c>
      <c r="K669" t="str">
        <f t="shared" si="21"/>
        <v>Routing Compatible</v>
      </c>
    </row>
    <row r="670" spans="1:11">
      <c r="A670" t="s">
        <v>3740</v>
      </c>
      <c r="B670" t="s">
        <v>3742</v>
      </c>
      <c r="C670" t="s">
        <v>24</v>
      </c>
      <c r="D670" t="s">
        <v>120</v>
      </c>
      <c r="E670" t="s">
        <v>25</v>
      </c>
      <c r="F670" t="str">
        <f t="shared" si="20"/>
        <v>SMB</v>
      </c>
      <c r="G670">
        <f>_xlfn.XLOOKUP(D670,tblStates[state_code],tblStates[territory_id],"Needs Review - Territory")</f>
        <v>2</v>
      </c>
      <c r="H670" t="str">
        <f>IF(E670="","",_xlfn.XLOOKUP(E670,tblUsers[user_id],tblUsers[job_title],"Owner Not Found"))</f>
        <v>SMB Account Executive</v>
      </c>
      <c r="I670" t="str">
        <f>IF(E670="","",_xlfn.XLOOKUP(E670,tblUsers[user_id],tblUsers[segment],"Owner Not Found"))</f>
        <v>SMB</v>
      </c>
      <c r="J670">
        <f>IF(E670="","",_xlfn.XLOOKUP(E670,tblUsers[user_id],tblUsers[territory_id],"Owner Not Found"))</f>
        <v>2</v>
      </c>
      <c r="K670" t="str">
        <f t="shared" si="21"/>
        <v>Routing Compatible</v>
      </c>
    </row>
    <row r="671" spans="1:11">
      <c r="A671" t="s">
        <v>3743</v>
      </c>
      <c r="B671" t="s">
        <v>3745</v>
      </c>
      <c r="C671" t="s">
        <v>17</v>
      </c>
      <c r="D671" t="s">
        <v>1079</v>
      </c>
      <c r="E671" t="s">
        <v>55</v>
      </c>
      <c r="F671" t="str">
        <f t="shared" si="20"/>
        <v>MM</v>
      </c>
      <c r="G671">
        <f>_xlfn.XLOOKUP(D671,tblStates[state_code],tblStates[territory_id],"Needs Review - Territory")</f>
        <v>3</v>
      </c>
      <c r="H671" t="str">
        <f>IF(E671="","",_xlfn.XLOOKUP(E671,tblUsers[user_id],tblUsers[job_title],"Owner Not Found"))</f>
        <v>Mid-Market Account Executive</v>
      </c>
      <c r="I671" t="str">
        <f>IF(E671="","",_xlfn.XLOOKUP(E671,tblUsers[user_id],tblUsers[segment],"Owner Not Found"))</f>
        <v>MM</v>
      </c>
      <c r="J671">
        <f>IF(E671="","",_xlfn.XLOOKUP(E671,tblUsers[user_id],tblUsers[territory_id],"Owner Not Found"))</f>
        <v>3</v>
      </c>
      <c r="K671" t="str">
        <f t="shared" si="21"/>
        <v>Routing Compatible</v>
      </c>
    </row>
    <row r="672" spans="1:11">
      <c r="A672" t="s">
        <v>3746</v>
      </c>
      <c r="B672" t="s">
        <v>3748</v>
      </c>
      <c r="C672" t="s">
        <v>30</v>
      </c>
      <c r="D672" t="s">
        <v>23</v>
      </c>
      <c r="E672" t="s">
        <v>82</v>
      </c>
      <c r="F672" t="str">
        <f t="shared" si="20"/>
        <v>MM</v>
      </c>
      <c r="G672">
        <f>_xlfn.XLOOKUP(D672,tblStates[state_code],tblStates[territory_id],"Needs Review - Territory")</f>
        <v>2</v>
      </c>
      <c r="H672" t="str">
        <f>IF(E672="","",_xlfn.XLOOKUP(E672,tblUsers[user_id],tblUsers[job_title],"Owner Not Found"))</f>
        <v>Mid-Market Account Executive</v>
      </c>
      <c r="I672" t="str">
        <f>IF(E672="","",_xlfn.XLOOKUP(E672,tblUsers[user_id],tblUsers[segment],"Owner Not Found"))</f>
        <v>MM</v>
      </c>
      <c r="J672">
        <f>IF(E672="","",_xlfn.XLOOKUP(E672,tblUsers[user_id],tblUsers[territory_id],"Owner Not Found"))</f>
        <v>2</v>
      </c>
      <c r="K672" t="str">
        <f t="shared" si="21"/>
        <v>Routing Compatible</v>
      </c>
    </row>
    <row r="673" spans="1:11">
      <c r="A673" t="s">
        <v>3749</v>
      </c>
      <c r="B673" t="s">
        <v>3751</v>
      </c>
      <c r="C673" t="s">
        <v>24</v>
      </c>
      <c r="D673" t="s">
        <v>50</v>
      </c>
      <c r="E673" t="s">
        <v>59</v>
      </c>
      <c r="F673" t="str">
        <f t="shared" si="20"/>
        <v>SMB</v>
      </c>
      <c r="G673">
        <f>_xlfn.XLOOKUP(D673,tblStates[state_code],tblStates[territory_id],"Needs Review - Territory")</f>
        <v>4</v>
      </c>
      <c r="H673" t="str">
        <f>IF(E673="","",_xlfn.XLOOKUP(E673,tblUsers[user_id],tblUsers[job_title],"Owner Not Found"))</f>
        <v>SMB Account Executive</v>
      </c>
      <c r="I673" t="str">
        <f>IF(E673="","",_xlfn.XLOOKUP(E673,tblUsers[user_id],tblUsers[segment],"Owner Not Found"))</f>
        <v>SMB</v>
      </c>
      <c r="J673">
        <f>IF(E673="","",_xlfn.XLOOKUP(E673,tblUsers[user_id],tblUsers[territory_id],"Owner Not Found"))</f>
        <v>4</v>
      </c>
      <c r="K673" t="str">
        <f t="shared" si="21"/>
        <v>Routing Compatible</v>
      </c>
    </row>
    <row r="674" spans="1:11">
      <c r="A674" t="s">
        <v>3752</v>
      </c>
      <c r="B674" t="s">
        <v>3754</v>
      </c>
      <c r="D674" t="s">
        <v>216</v>
      </c>
      <c r="F674" t="str">
        <f t="shared" si="20"/>
        <v>Needs Review - Segment</v>
      </c>
      <c r="G674">
        <f>_xlfn.XLOOKUP(D674,tblStates[state_code],tblStates[territory_id],"Needs Review - Territory")</f>
        <v>1</v>
      </c>
      <c r="H674" t="str">
        <f>IF(E674="","",_xlfn.XLOOKUP(E674,tblUsers[user_id],tblUsers[job_title],"Owner Not Found"))</f>
        <v/>
      </c>
      <c r="I674" t="str">
        <f>IF(E674="","",_xlfn.XLOOKUP(E674,tblUsers[user_id],tblUsers[segment],"Owner Not Found"))</f>
        <v/>
      </c>
      <c r="J674" t="str">
        <f>IF(E674="","",_xlfn.XLOOKUP(E674,tblUsers[user_id],tblUsers[territory_id],"Owner Not Found"))</f>
        <v/>
      </c>
      <c r="K674" t="str">
        <f t="shared" si="21"/>
        <v>Unassigned</v>
      </c>
    </row>
    <row r="675" spans="1:11">
      <c r="A675" t="s">
        <v>3755</v>
      </c>
      <c r="B675" t="s">
        <v>3757</v>
      </c>
      <c r="C675" t="s">
        <v>24</v>
      </c>
      <c r="D675" t="s">
        <v>50</v>
      </c>
      <c r="E675" t="s">
        <v>59</v>
      </c>
      <c r="F675" t="str">
        <f t="shared" si="20"/>
        <v>SMB</v>
      </c>
      <c r="G675">
        <f>_xlfn.XLOOKUP(D675,tblStates[state_code],tblStates[territory_id],"Needs Review - Territory")</f>
        <v>4</v>
      </c>
      <c r="H675" t="str">
        <f>IF(E675="","",_xlfn.XLOOKUP(E675,tblUsers[user_id],tblUsers[job_title],"Owner Not Found"))</f>
        <v>SMB Account Executive</v>
      </c>
      <c r="I675" t="str">
        <f>IF(E675="","",_xlfn.XLOOKUP(E675,tblUsers[user_id],tblUsers[segment],"Owner Not Found"))</f>
        <v>SMB</v>
      </c>
      <c r="J675">
        <f>IF(E675="","",_xlfn.XLOOKUP(E675,tblUsers[user_id],tblUsers[territory_id],"Owner Not Found"))</f>
        <v>4</v>
      </c>
      <c r="K675" t="str">
        <f t="shared" si="21"/>
        <v>Routing Compatible</v>
      </c>
    </row>
    <row r="676" spans="1:11">
      <c r="A676" t="s">
        <v>3758</v>
      </c>
      <c r="B676" t="s">
        <v>3760</v>
      </c>
      <c r="C676" t="s">
        <v>30</v>
      </c>
      <c r="D676" t="s">
        <v>366</v>
      </c>
      <c r="E676" t="s">
        <v>18</v>
      </c>
      <c r="F676" t="str">
        <f t="shared" si="20"/>
        <v>MM</v>
      </c>
      <c r="G676">
        <f>_xlfn.XLOOKUP(D676,tblStates[state_code],tblStates[territory_id],"Needs Review - Territory")</f>
        <v>1</v>
      </c>
      <c r="H676" t="str">
        <f>IF(E676="","",_xlfn.XLOOKUP(E676,tblUsers[user_id],tblUsers[job_title],"Owner Not Found"))</f>
        <v>Mid-Market Account Executive</v>
      </c>
      <c r="I676" t="str">
        <f>IF(E676="","",_xlfn.XLOOKUP(E676,tblUsers[user_id],tblUsers[segment],"Owner Not Found"))</f>
        <v>MM</v>
      </c>
      <c r="J676">
        <f>IF(E676="","",_xlfn.XLOOKUP(E676,tblUsers[user_id],tblUsers[territory_id],"Owner Not Found"))</f>
        <v>1</v>
      </c>
      <c r="K676" t="str">
        <f t="shared" si="21"/>
        <v>Routing Compatible</v>
      </c>
    </row>
    <row r="677" spans="1:11">
      <c r="A677" t="s">
        <v>3761</v>
      </c>
      <c r="B677" t="s">
        <v>3763</v>
      </c>
      <c r="C677" t="s">
        <v>24</v>
      </c>
      <c r="D677" t="s">
        <v>154</v>
      </c>
      <c r="E677" t="s">
        <v>25</v>
      </c>
      <c r="F677" t="str">
        <f t="shared" si="20"/>
        <v>SMB</v>
      </c>
      <c r="G677">
        <f>_xlfn.XLOOKUP(D677,tblStates[state_code],tblStates[territory_id],"Needs Review - Territory")</f>
        <v>2</v>
      </c>
      <c r="H677" t="str">
        <f>IF(E677="","",_xlfn.XLOOKUP(E677,tblUsers[user_id],tblUsers[job_title],"Owner Not Found"))</f>
        <v>SMB Account Executive</v>
      </c>
      <c r="I677" t="str">
        <f>IF(E677="","",_xlfn.XLOOKUP(E677,tblUsers[user_id],tblUsers[segment],"Owner Not Found"))</f>
        <v>SMB</v>
      </c>
      <c r="J677">
        <f>IF(E677="","",_xlfn.XLOOKUP(E677,tblUsers[user_id],tblUsers[territory_id],"Owner Not Found"))</f>
        <v>2</v>
      </c>
      <c r="K677" t="str">
        <f t="shared" si="21"/>
        <v>Routing Compatible</v>
      </c>
    </row>
    <row r="678" spans="1:11">
      <c r="A678" t="s">
        <v>3764</v>
      </c>
      <c r="B678" t="s">
        <v>3766</v>
      </c>
      <c r="C678" t="s">
        <v>24</v>
      </c>
      <c r="D678" t="s">
        <v>68</v>
      </c>
      <c r="E678" t="s">
        <v>69</v>
      </c>
      <c r="F678" t="str">
        <f t="shared" si="20"/>
        <v>SMB</v>
      </c>
      <c r="G678">
        <f>_xlfn.XLOOKUP(D678,tblStates[state_code],tblStates[territory_id],"Needs Review - Territory")</f>
        <v>3</v>
      </c>
      <c r="H678" t="str">
        <f>IF(E678="","",_xlfn.XLOOKUP(E678,tblUsers[user_id],tblUsers[job_title],"Owner Not Found"))</f>
        <v>SMB Account Executive</v>
      </c>
      <c r="I678" t="str">
        <f>IF(E678="","",_xlfn.XLOOKUP(E678,tblUsers[user_id],tblUsers[segment],"Owner Not Found"))</f>
        <v>SMB</v>
      </c>
      <c r="J678">
        <f>IF(E678="","",_xlfn.XLOOKUP(E678,tblUsers[user_id],tblUsers[territory_id],"Owner Not Found"))</f>
        <v>3</v>
      </c>
      <c r="K678" t="str">
        <f t="shared" si="21"/>
        <v>Routing Compatible</v>
      </c>
    </row>
    <row r="679" spans="1:11">
      <c r="A679" t="s">
        <v>3767</v>
      </c>
      <c r="B679" t="s">
        <v>3769</v>
      </c>
      <c r="C679" t="s">
        <v>30</v>
      </c>
      <c r="D679" t="s">
        <v>323</v>
      </c>
      <c r="E679" t="s">
        <v>82</v>
      </c>
      <c r="F679" t="str">
        <f t="shared" si="20"/>
        <v>MM</v>
      </c>
      <c r="G679">
        <f>_xlfn.XLOOKUP(D679,tblStates[state_code],tblStates[territory_id],"Needs Review - Territory")</f>
        <v>2</v>
      </c>
      <c r="H679" t="str">
        <f>IF(E679="","",_xlfn.XLOOKUP(E679,tblUsers[user_id],tblUsers[job_title],"Owner Not Found"))</f>
        <v>Mid-Market Account Executive</v>
      </c>
      <c r="I679" t="str">
        <f>IF(E679="","",_xlfn.XLOOKUP(E679,tblUsers[user_id],tblUsers[segment],"Owner Not Found"))</f>
        <v>MM</v>
      </c>
      <c r="J679">
        <f>IF(E679="","",_xlfn.XLOOKUP(E679,tblUsers[user_id],tblUsers[territory_id],"Owner Not Found"))</f>
        <v>2</v>
      </c>
      <c r="K679" t="str">
        <f t="shared" si="21"/>
        <v>Routing Compatible</v>
      </c>
    </row>
    <row r="680" spans="1:11">
      <c r="A680" t="s">
        <v>3770</v>
      </c>
      <c r="B680" t="s">
        <v>3772</v>
      </c>
      <c r="C680" t="s">
        <v>24</v>
      </c>
      <c r="D680" t="s">
        <v>366</v>
      </c>
      <c r="E680" t="s">
        <v>91</v>
      </c>
      <c r="F680" t="str">
        <f t="shared" si="20"/>
        <v>SMB</v>
      </c>
      <c r="G680">
        <f>_xlfn.XLOOKUP(D680,tblStates[state_code],tblStates[territory_id],"Needs Review - Territory")</f>
        <v>1</v>
      </c>
      <c r="H680" t="str">
        <f>IF(E680="","",_xlfn.XLOOKUP(E680,tblUsers[user_id],tblUsers[job_title],"Owner Not Found"))</f>
        <v>SMB Account Executive</v>
      </c>
      <c r="I680" t="str">
        <f>IF(E680="","",_xlfn.XLOOKUP(E680,tblUsers[user_id],tblUsers[segment],"Owner Not Found"))</f>
        <v>SMB</v>
      </c>
      <c r="J680">
        <f>IF(E680="","",_xlfn.XLOOKUP(E680,tblUsers[user_id],tblUsers[territory_id],"Owner Not Found"))</f>
        <v>1</v>
      </c>
      <c r="K680" t="str">
        <f t="shared" si="21"/>
        <v>Routing Compatible</v>
      </c>
    </row>
    <row r="681" spans="1:11">
      <c r="A681" t="s">
        <v>3773</v>
      </c>
      <c r="B681" t="s">
        <v>3775</v>
      </c>
      <c r="C681" t="s">
        <v>17</v>
      </c>
      <c r="D681" t="s">
        <v>366</v>
      </c>
      <c r="E681" t="s">
        <v>18</v>
      </c>
      <c r="F681" t="str">
        <f t="shared" si="20"/>
        <v>MM</v>
      </c>
      <c r="G681">
        <f>_xlfn.XLOOKUP(D681,tblStates[state_code],tblStates[territory_id],"Needs Review - Territory")</f>
        <v>1</v>
      </c>
      <c r="H681" t="str">
        <f>IF(E681="","",_xlfn.XLOOKUP(E681,tblUsers[user_id],tblUsers[job_title],"Owner Not Found"))</f>
        <v>Mid-Market Account Executive</v>
      </c>
      <c r="I681" t="str">
        <f>IF(E681="","",_xlfn.XLOOKUP(E681,tblUsers[user_id],tblUsers[segment],"Owner Not Found"))</f>
        <v>MM</v>
      </c>
      <c r="J681">
        <f>IF(E681="","",_xlfn.XLOOKUP(E681,tblUsers[user_id],tblUsers[territory_id],"Owner Not Found"))</f>
        <v>1</v>
      </c>
      <c r="K681" t="str">
        <f t="shared" si="21"/>
        <v>Routing Compatible</v>
      </c>
    </row>
    <row r="682" spans="1:11">
      <c r="A682" t="s">
        <v>3776</v>
      </c>
      <c r="B682" t="s">
        <v>3778</v>
      </c>
      <c r="C682" t="s">
        <v>24</v>
      </c>
      <c r="D682" t="s">
        <v>140</v>
      </c>
      <c r="E682" t="s">
        <v>25</v>
      </c>
      <c r="F682" t="str">
        <f t="shared" si="20"/>
        <v>SMB</v>
      </c>
      <c r="G682">
        <f>_xlfn.XLOOKUP(D682,tblStates[state_code],tblStates[territory_id],"Needs Review - Territory")</f>
        <v>2</v>
      </c>
      <c r="H682" t="str">
        <f>IF(E682="","",_xlfn.XLOOKUP(E682,tblUsers[user_id],tblUsers[job_title],"Owner Not Found"))</f>
        <v>SMB Account Executive</v>
      </c>
      <c r="I682" t="str">
        <f>IF(E682="","",_xlfn.XLOOKUP(E682,tblUsers[user_id],tblUsers[segment],"Owner Not Found"))</f>
        <v>SMB</v>
      </c>
      <c r="J682">
        <f>IF(E682="","",_xlfn.XLOOKUP(E682,tblUsers[user_id],tblUsers[territory_id],"Owner Not Found"))</f>
        <v>2</v>
      </c>
      <c r="K682" t="str">
        <f t="shared" si="21"/>
        <v>Routing Compatible</v>
      </c>
    </row>
    <row r="683" spans="1:11">
      <c r="A683" t="s">
        <v>3779</v>
      </c>
      <c r="B683" t="s">
        <v>3781</v>
      </c>
      <c r="C683" t="s">
        <v>30</v>
      </c>
      <c r="D683" t="s">
        <v>212</v>
      </c>
      <c r="E683" t="s">
        <v>55</v>
      </c>
      <c r="F683" t="str">
        <f t="shared" si="20"/>
        <v>MM</v>
      </c>
      <c r="G683">
        <f>_xlfn.XLOOKUP(D683,tblStates[state_code],tblStates[territory_id],"Needs Review - Territory")</f>
        <v>3</v>
      </c>
      <c r="H683" t="str">
        <f>IF(E683="","",_xlfn.XLOOKUP(E683,tblUsers[user_id],tblUsers[job_title],"Owner Not Found"))</f>
        <v>Mid-Market Account Executive</v>
      </c>
      <c r="I683" t="str">
        <f>IF(E683="","",_xlfn.XLOOKUP(E683,tblUsers[user_id],tblUsers[segment],"Owner Not Found"))</f>
        <v>MM</v>
      </c>
      <c r="J683">
        <f>IF(E683="","",_xlfn.XLOOKUP(E683,tblUsers[user_id],tblUsers[territory_id],"Owner Not Found"))</f>
        <v>3</v>
      </c>
      <c r="K683" t="str">
        <f t="shared" si="21"/>
        <v>Routing Compatible</v>
      </c>
    </row>
    <row r="684" spans="1:11">
      <c r="A684" t="s">
        <v>3782</v>
      </c>
      <c r="B684" t="s">
        <v>3784</v>
      </c>
      <c r="C684" t="s">
        <v>24</v>
      </c>
      <c r="D684" t="s">
        <v>635</v>
      </c>
      <c r="E684" t="s">
        <v>59</v>
      </c>
      <c r="F684" t="str">
        <f t="shared" si="20"/>
        <v>SMB</v>
      </c>
      <c r="G684">
        <f>_xlfn.XLOOKUP(D684,tblStates[state_code],tblStates[territory_id],"Needs Review - Territory")</f>
        <v>4</v>
      </c>
      <c r="H684" t="str">
        <f>IF(E684="","",_xlfn.XLOOKUP(E684,tblUsers[user_id],tblUsers[job_title],"Owner Not Found"))</f>
        <v>SMB Account Executive</v>
      </c>
      <c r="I684" t="str">
        <f>IF(E684="","",_xlfn.XLOOKUP(E684,tblUsers[user_id],tblUsers[segment],"Owner Not Found"))</f>
        <v>SMB</v>
      </c>
      <c r="J684">
        <f>IF(E684="","",_xlfn.XLOOKUP(E684,tblUsers[user_id],tblUsers[territory_id],"Owner Not Found"))</f>
        <v>4</v>
      </c>
      <c r="K684" t="str">
        <f t="shared" si="21"/>
        <v>Routing Compatible</v>
      </c>
    </row>
    <row r="685" spans="1:11">
      <c r="A685" t="s">
        <v>3785</v>
      </c>
      <c r="B685" t="s">
        <v>3787</v>
      </c>
      <c r="C685" t="s">
        <v>24</v>
      </c>
      <c r="D685" t="s">
        <v>95</v>
      </c>
      <c r="E685" t="s">
        <v>91</v>
      </c>
      <c r="F685" t="str">
        <f t="shared" si="20"/>
        <v>SMB</v>
      </c>
      <c r="G685">
        <f>_xlfn.XLOOKUP(D685,tblStates[state_code],tblStates[territory_id],"Needs Review - Territory")</f>
        <v>1</v>
      </c>
      <c r="H685" t="str">
        <f>IF(E685="","",_xlfn.XLOOKUP(E685,tblUsers[user_id],tblUsers[job_title],"Owner Not Found"))</f>
        <v>SMB Account Executive</v>
      </c>
      <c r="I685" t="str">
        <f>IF(E685="","",_xlfn.XLOOKUP(E685,tblUsers[user_id],tblUsers[segment],"Owner Not Found"))</f>
        <v>SMB</v>
      </c>
      <c r="J685">
        <f>IF(E685="","",_xlfn.XLOOKUP(E685,tblUsers[user_id],tblUsers[territory_id],"Owner Not Found"))</f>
        <v>1</v>
      </c>
      <c r="K685" t="str">
        <f t="shared" si="21"/>
        <v>Routing Compatible</v>
      </c>
    </row>
    <row r="686" spans="1:11">
      <c r="A686" t="s">
        <v>3788</v>
      </c>
      <c r="B686" t="s">
        <v>3790</v>
      </c>
      <c r="C686" t="s">
        <v>30</v>
      </c>
      <c r="D686" t="s">
        <v>50</v>
      </c>
      <c r="E686" t="s">
        <v>36</v>
      </c>
      <c r="F686" t="str">
        <f t="shared" si="20"/>
        <v>MM</v>
      </c>
      <c r="G686">
        <f>_xlfn.XLOOKUP(D686,tblStates[state_code],tblStates[territory_id],"Needs Review - Territory")</f>
        <v>4</v>
      </c>
      <c r="H686" t="str">
        <f>IF(E686="","",_xlfn.XLOOKUP(E686,tblUsers[user_id],tblUsers[job_title],"Owner Not Found"))</f>
        <v>Mid-Market Account Executive</v>
      </c>
      <c r="I686" t="str">
        <f>IF(E686="","",_xlfn.XLOOKUP(E686,tblUsers[user_id],tblUsers[segment],"Owner Not Found"))</f>
        <v>MM</v>
      </c>
      <c r="J686">
        <f>IF(E686="","",_xlfn.XLOOKUP(E686,tblUsers[user_id],tblUsers[territory_id],"Owner Not Found"))</f>
        <v>4</v>
      </c>
      <c r="K686" t="str">
        <f t="shared" si="21"/>
        <v>Routing Compatible</v>
      </c>
    </row>
    <row r="687" spans="1:11">
      <c r="A687" t="s">
        <v>3791</v>
      </c>
      <c r="B687" t="s">
        <v>3793</v>
      </c>
      <c r="C687" t="s">
        <v>30</v>
      </c>
      <c r="D687" t="s">
        <v>16</v>
      </c>
      <c r="E687" t="s">
        <v>18</v>
      </c>
      <c r="F687" t="str">
        <f t="shared" si="20"/>
        <v>MM</v>
      </c>
      <c r="G687">
        <f>_xlfn.XLOOKUP(D687,tblStates[state_code],tblStates[territory_id],"Needs Review - Territory")</f>
        <v>1</v>
      </c>
      <c r="H687" t="str">
        <f>IF(E687="","",_xlfn.XLOOKUP(E687,tblUsers[user_id],tblUsers[job_title],"Owner Not Found"))</f>
        <v>Mid-Market Account Executive</v>
      </c>
      <c r="I687" t="str">
        <f>IF(E687="","",_xlfn.XLOOKUP(E687,tblUsers[user_id],tblUsers[segment],"Owner Not Found"))</f>
        <v>MM</v>
      </c>
      <c r="J687">
        <f>IF(E687="","",_xlfn.XLOOKUP(E687,tblUsers[user_id],tblUsers[territory_id],"Owner Not Found"))</f>
        <v>1</v>
      </c>
      <c r="K687" t="str">
        <f t="shared" si="21"/>
        <v>Routing Compatible</v>
      </c>
    </row>
    <row r="688" spans="1:11">
      <c r="A688" t="s">
        <v>3794</v>
      </c>
      <c r="B688" t="s">
        <v>3796</v>
      </c>
      <c r="C688" t="s">
        <v>24</v>
      </c>
      <c r="D688" t="s">
        <v>216</v>
      </c>
      <c r="E688" t="s">
        <v>91</v>
      </c>
      <c r="F688" t="str">
        <f t="shared" si="20"/>
        <v>SMB</v>
      </c>
      <c r="G688">
        <f>_xlfn.XLOOKUP(D688,tblStates[state_code],tblStates[territory_id],"Needs Review - Territory")</f>
        <v>1</v>
      </c>
      <c r="H688" t="str">
        <f>IF(E688="","",_xlfn.XLOOKUP(E688,tblUsers[user_id],tblUsers[job_title],"Owner Not Found"))</f>
        <v>SMB Account Executive</v>
      </c>
      <c r="I688" t="str">
        <f>IF(E688="","",_xlfn.XLOOKUP(E688,tblUsers[user_id],tblUsers[segment],"Owner Not Found"))</f>
        <v>SMB</v>
      </c>
      <c r="J688">
        <f>IF(E688="","",_xlfn.XLOOKUP(E688,tblUsers[user_id],tblUsers[territory_id],"Owner Not Found"))</f>
        <v>1</v>
      </c>
      <c r="K688" t="str">
        <f t="shared" si="21"/>
        <v>Routing Compatible</v>
      </c>
    </row>
    <row r="689" spans="1:11">
      <c r="A689" t="s">
        <v>3797</v>
      </c>
      <c r="B689" t="s">
        <v>3799</v>
      </c>
      <c r="C689" t="s">
        <v>24</v>
      </c>
      <c r="D689" t="s">
        <v>81</v>
      </c>
      <c r="E689" t="s">
        <v>25</v>
      </c>
      <c r="F689" t="str">
        <f t="shared" si="20"/>
        <v>SMB</v>
      </c>
      <c r="G689">
        <f>_xlfn.XLOOKUP(D689,tblStates[state_code],tblStates[territory_id],"Needs Review - Territory")</f>
        <v>2</v>
      </c>
      <c r="H689" t="str">
        <f>IF(E689="","",_xlfn.XLOOKUP(E689,tblUsers[user_id],tblUsers[job_title],"Owner Not Found"))</f>
        <v>SMB Account Executive</v>
      </c>
      <c r="I689" t="str">
        <f>IF(E689="","",_xlfn.XLOOKUP(E689,tblUsers[user_id],tblUsers[segment],"Owner Not Found"))</f>
        <v>SMB</v>
      </c>
      <c r="J689">
        <f>IF(E689="","",_xlfn.XLOOKUP(E689,tblUsers[user_id],tblUsers[territory_id],"Owner Not Found"))</f>
        <v>2</v>
      </c>
      <c r="K689" t="str">
        <f t="shared" si="21"/>
        <v>Routing Compatible</v>
      </c>
    </row>
    <row r="690" spans="1:11">
      <c r="A690" t="s">
        <v>3800</v>
      </c>
      <c r="B690" t="s">
        <v>3802</v>
      </c>
      <c r="C690" t="s">
        <v>30</v>
      </c>
      <c r="D690" t="s">
        <v>576</v>
      </c>
      <c r="E690" t="s">
        <v>82</v>
      </c>
      <c r="F690" t="str">
        <f t="shared" si="20"/>
        <v>MM</v>
      </c>
      <c r="G690">
        <f>_xlfn.XLOOKUP(D690,tblStates[state_code],tblStates[territory_id],"Needs Review - Territory")</f>
        <v>2</v>
      </c>
      <c r="H690" t="str">
        <f>IF(E690="","",_xlfn.XLOOKUP(E690,tblUsers[user_id],tblUsers[job_title],"Owner Not Found"))</f>
        <v>Mid-Market Account Executive</v>
      </c>
      <c r="I690" t="str">
        <f>IF(E690="","",_xlfn.XLOOKUP(E690,tblUsers[user_id],tblUsers[segment],"Owner Not Found"))</f>
        <v>MM</v>
      </c>
      <c r="J690">
        <f>IF(E690="","",_xlfn.XLOOKUP(E690,tblUsers[user_id],tblUsers[territory_id],"Owner Not Found"))</f>
        <v>2</v>
      </c>
      <c r="K690" t="str">
        <f t="shared" si="21"/>
        <v>Routing Compatible</v>
      </c>
    </row>
    <row r="691" spans="1:11">
      <c r="A691" t="s">
        <v>3803</v>
      </c>
      <c r="B691" t="s">
        <v>3805</v>
      </c>
      <c r="C691" t="s">
        <v>24</v>
      </c>
      <c r="D691" t="s">
        <v>120</v>
      </c>
      <c r="E691" t="s">
        <v>25</v>
      </c>
      <c r="F691" t="str">
        <f t="shared" si="20"/>
        <v>SMB</v>
      </c>
      <c r="G691">
        <f>_xlfn.XLOOKUP(D691,tblStates[state_code],tblStates[territory_id],"Needs Review - Territory")</f>
        <v>2</v>
      </c>
      <c r="H691" t="str">
        <f>IF(E691="","",_xlfn.XLOOKUP(E691,tblUsers[user_id],tblUsers[job_title],"Owner Not Found"))</f>
        <v>SMB Account Executive</v>
      </c>
      <c r="I691" t="str">
        <f>IF(E691="","",_xlfn.XLOOKUP(E691,tblUsers[user_id],tblUsers[segment],"Owner Not Found"))</f>
        <v>SMB</v>
      </c>
      <c r="J691">
        <f>IF(E691="","",_xlfn.XLOOKUP(E691,tblUsers[user_id],tblUsers[territory_id],"Owner Not Found"))</f>
        <v>2</v>
      </c>
      <c r="K691" t="str">
        <f t="shared" si="21"/>
        <v>Routing Compatible</v>
      </c>
    </row>
    <row r="692" spans="1:11">
      <c r="A692" t="s">
        <v>3806</v>
      </c>
      <c r="B692" t="s">
        <v>3808</v>
      </c>
      <c r="C692" t="s">
        <v>30</v>
      </c>
      <c r="D692" t="s">
        <v>23</v>
      </c>
      <c r="E692" t="s">
        <v>82</v>
      </c>
      <c r="F692" t="str">
        <f t="shared" si="20"/>
        <v>MM</v>
      </c>
      <c r="G692">
        <f>_xlfn.XLOOKUP(D692,tblStates[state_code],tblStates[territory_id],"Needs Review - Territory")</f>
        <v>2</v>
      </c>
      <c r="H692" t="str">
        <f>IF(E692="","",_xlfn.XLOOKUP(E692,tblUsers[user_id],tblUsers[job_title],"Owner Not Found"))</f>
        <v>Mid-Market Account Executive</v>
      </c>
      <c r="I692" t="str">
        <f>IF(E692="","",_xlfn.XLOOKUP(E692,tblUsers[user_id],tblUsers[segment],"Owner Not Found"))</f>
        <v>MM</v>
      </c>
      <c r="J692">
        <f>IF(E692="","",_xlfn.XLOOKUP(E692,tblUsers[user_id],tblUsers[territory_id],"Owner Not Found"))</f>
        <v>2</v>
      </c>
      <c r="K692" t="str">
        <f t="shared" si="21"/>
        <v>Routing Compatible</v>
      </c>
    </row>
    <row r="693" spans="1:11">
      <c r="A693" t="s">
        <v>3809</v>
      </c>
      <c r="B693" t="s">
        <v>3811</v>
      </c>
      <c r="C693" t="s">
        <v>24</v>
      </c>
      <c r="D693" t="s">
        <v>50</v>
      </c>
      <c r="E693" t="s">
        <v>59</v>
      </c>
      <c r="F693" t="str">
        <f t="shared" si="20"/>
        <v>SMB</v>
      </c>
      <c r="G693">
        <f>_xlfn.XLOOKUP(D693,tblStates[state_code],tblStates[territory_id],"Needs Review - Territory")</f>
        <v>4</v>
      </c>
      <c r="H693" t="str">
        <f>IF(E693="","",_xlfn.XLOOKUP(E693,tblUsers[user_id],tblUsers[job_title],"Owner Not Found"))</f>
        <v>SMB Account Executive</v>
      </c>
      <c r="I693" t="str">
        <f>IF(E693="","",_xlfn.XLOOKUP(E693,tblUsers[user_id],tblUsers[segment],"Owner Not Found"))</f>
        <v>SMB</v>
      </c>
      <c r="J693">
        <f>IF(E693="","",_xlfn.XLOOKUP(E693,tblUsers[user_id],tblUsers[territory_id],"Owner Not Found"))</f>
        <v>4</v>
      </c>
      <c r="K693" t="str">
        <f t="shared" si="21"/>
        <v>Routing Compatible</v>
      </c>
    </row>
    <row r="694" spans="1:11">
      <c r="A694" t="s">
        <v>3812</v>
      </c>
      <c r="B694" t="s">
        <v>3814</v>
      </c>
      <c r="C694" t="s">
        <v>30</v>
      </c>
      <c r="D694" t="s">
        <v>81</v>
      </c>
      <c r="E694" t="s">
        <v>82</v>
      </c>
      <c r="F694" t="str">
        <f t="shared" si="20"/>
        <v>MM</v>
      </c>
      <c r="G694">
        <f>_xlfn.XLOOKUP(D694,tblStates[state_code],tblStates[territory_id],"Needs Review - Territory")</f>
        <v>2</v>
      </c>
      <c r="H694" t="str">
        <f>IF(E694="","",_xlfn.XLOOKUP(E694,tblUsers[user_id],tblUsers[job_title],"Owner Not Found"))</f>
        <v>Mid-Market Account Executive</v>
      </c>
      <c r="I694" t="str">
        <f>IF(E694="","",_xlfn.XLOOKUP(E694,tblUsers[user_id],tblUsers[segment],"Owner Not Found"))</f>
        <v>MM</v>
      </c>
      <c r="J694">
        <f>IF(E694="","",_xlfn.XLOOKUP(E694,tblUsers[user_id],tblUsers[territory_id],"Owner Not Found"))</f>
        <v>2</v>
      </c>
      <c r="K694" t="str">
        <f t="shared" si="21"/>
        <v>Routing Compatible</v>
      </c>
    </row>
    <row r="695" spans="1:11">
      <c r="A695" t="s">
        <v>3815</v>
      </c>
      <c r="B695" t="s">
        <v>3817</v>
      </c>
      <c r="C695" t="s">
        <v>24</v>
      </c>
      <c r="D695" t="s">
        <v>81</v>
      </c>
      <c r="E695" t="s">
        <v>25</v>
      </c>
      <c r="F695" t="str">
        <f t="shared" si="20"/>
        <v>SMB</v>
      </c>
      <c r="G695">
        <f>_xlfn.XLOOKUP(D695,tblStates[state_code],tblStates[territory_id],"Needs Review - Territory")</f>
        <v>2</v>
      </c>
      <c r="H695" t="str">
        <f>IF(E695="","",_xlfn.XLOOKUP(E695,tblUsers[user_id],tblUsers[job_title],"Owner Not Found"))</f>
        <v>SMB Account Executive</v>
      </c>
      <c r="I695" t="str">
        <f>IF(E695="","",_xlfn.XLOOKUP(E695,tblUsers[user_id],tblUsers[segment],"Owner Not Found"))</f>
        <v>SMB</v>
      </c>
      <c r="J695">
        <f>IF(E695="","",_xlfn.XLOOKUP(E695,tblUsers[user_id],tblUsers[territory_id],"Owner Not Found"))</f>
        <v>2</v>
      </c>
      <c r="K695" t="str">
        <f t="shared" si="21"/>
        <v>Routing Compatible</v>
      </c>
    </row>
    <row r="696" spans="1:11">
      <c r="A696" t="s">
        <v>3818</v>
      </c>
      <c r="B696" t="s">
        <v>3819</v>
      </c>
      <c r="C696" t="s">
        <v>24</v>
      </c>
      <c r="D696" t="s">
        <v>226</v>
      </c>
      <c r="E696" t="s">
        <v>69</v>
      </c>
      <c r="F696" t="str">
        <f t="shared" si="20"/>
        <v>SMB</v>
      </c>
      <c r="G696">
        <f>_xlfn.XLOOKUP(D696,tblStates[state_code],tblStates[territory_id],"Needs Review - Territory")</f>
        <v>3</v>
      </c>
      <c r="H696" t="str">
        <f>IF(E696="","",_xlfn.XLOOKUP(E696,tblUsers[user_id],tblUsers[job_title],"Owner Not Found"))</f>
        <v>SMB Account Executive</v>
      </c>
      <c r="I696" t="str">
        <f>IF(E696="","",_xlfn.XLOOKUP(E696,tblUsers[user_id],tblUsers[segment],"Owner Not Found"))</f>
        <v>SMB</v>
      </c>
      <c r="J696">
        <f>IF(E696="","",_xlfn.XLOOKUP(E696,tblUsers[user_id],tblUsers[territory_id],"Owner Not Found"))</f>
        <v>3</v>
      </c>
      <c r="K696" t="str">
        <f t="shared" si="21"/>
        <v>Routing Compatible</v>
      </c>
    </row>
    <row r="697" spans="1:11">
      <c r="A697" t="s">
        <v>3820</v>
      </c>
      <c r="B697" t="s">
        <v>3822</v>
      </c>
      <c r="C697" t="s">
        <v>24</v>
      </c>
      <c r="D697" t="s">
        <v>140</v>
      </c>
      <c r="E697" t="s">
        <v>25</v>
      </c>
      <c r="F697" t="str">
        <f t="shared" si="20"/>
        <v>SMB</v>
      </c>
      <c r="G697">
        <f>_xlfn.XLOOKUP(D697,tblStates[state_code],tblStates[territory_id],"Needs Review - Territory")</f>
        <v>2</v>
      </c>
      <c r="H697" t="str">
        <f>IF(E697="","",_xlfn.XLOOKUP(E697,tblUsers[user_id],tblUsers[job_title],"Owner Not Found"))</f>
        <v>SMB Account Executive</v>
      </c>
      <c r="I697" t="str">
        <f>IF(E697="","",_xlfn.XLOOKUP(E697,tblUsers[user_id],tblUsers[segment],"Owner Not Found"))</f>
        <v>SMB</v>
      </c>
      <c r="J697">
        <f>IF(E697="","",_xlfn.XLOOKUP(E697,tblUsers[user_id],tblUsers[territory_id],"Owner Not Found"))</f>
        <v>2</v>
      </c>
      <c r="K697" t="str">
        <f t="shared" si="21"/>
        <v>Routing Compatible</v>
      </c>
    </row>
    <row r="698" spans="1:11">
      <c r="A698" t="s">
        <v>3823</v>
      </c>
      <c r="B698" t="s">
        <v>3825</v>
      </c>
      <c r="C698" t="s">
        <v>30</v>
      </c>
      <c r="D698" t="s">
        <v>68</v>
      </c>
      <c r="E698" t="s">
        <v>69</v>
      </c>
      <c r="F698" t="str">
        <f t="shared" si="20"/>
        <v>MM</v>
      </c>
      <c r="G698">
        <f>_xlfn.XLOOKUP(D698,tblStates[state_code],tblStates[territory_id],"Needs Review - Territory")</f>
        <v>3</v>
      </c>
      <c r="H698" t="str">
        <f>IF(E698="","",_xlfn.XLOOKUP(E698,tblUsers[user_id],tblUsers[job_title],"Owner Not Found"))</f>
        <v>SMB Account Executive</v>
      </c>
      <c r="I698" t="str">
        <f>IF(E698="","",_xlfn.XLOOKUP(E698,tblUsers[user_id],tblUsers[segment],"Owner Not Found"))</f>
        <v>SMB</v>
      </c>
      <c r="J698">
        <f>IF(E698="","",_xlfn.XLOOKUP(E698,tblUsers[user_id],tblUsers[territory_id],"Owner Not Found"))</f>
        <v>3</v>
      </c>
      <c r="K698" t="str">
        <f t="shared" si="21"/>
        <v>Wrong Segment</v>
      </c>
    </row>
    <row r="699" spans="1:11">
      <c r="A699" t="s">
        <v>3826</v>
      </c>
      <c r="B699" t="s">
        <v>3828</v>
      </c>
      <c r="C699" t="s">
        <v>30</v>
      </c>
      <c r="D699" t="s">
        <v>226</v>
      </c>
      <c r="E699" t="s">
        <v>55</v>
      </c>
      <c r="F699" t="str">
        <f t="shared" si="20"/>
        <v>MM</v>
      </c>
      <c r="G699">
        <f>_xlfn.XLOOKUP(D699,tblStates[state_code],tblStates[territory_id],"Needs Review - Territory")</f>
        <v>3</v>
      </c>
      <c r="H699" t="str">
        <f>IF(E699="","",_xlfn.XLOOKUP(E699,tblUsers[user_id],tblUsers[job_title],"Owner Not Found"))</f>
        <v>Mid-Market Account Executive</v>
      </c>
      <c r="I699" t="str">
        <f>IF(E699="","",_xlfn.XLOOKUP(E699,tblUsers[user_id],tblUsers[segment],"Owner Not Found"))</f>
        <v>MM</v>
      </c>
      <c r="J699">
        <f>IF(E699="","",_xlfn.XLOOKUP(E699,tblUsers[user_id],tblUsers[territory_id],"Owner Not Found"))</f>
        <v>3</v>
      </c>
      <c r="K699" t="str">
        <f t="shared" si="21"/>
        <v>Routing Compatible</v>
      </c>
    </row>
    <row r="700" spans="1:11">
      <c r="A700" t="s">
        <v>3829</v>
      </c>
      <c r="B700" t="s">
        <v>3831</v>
      </c>
      <c r="C700" t="s">
        <v>24</v>
      </c>
      <c r="D700" t="s">
        <v>226</v>
      </c>
      <c r="E700" t="s">
        <v>69</v>
      </c>
      <c r="F700" t="str">
        <f t="shared" si="20"/>
        <v>SMB</v>
      </c>
      <c r="G700">
        <f>_xlfn.XLOOKUP(D700,tblStates[state_code],tblStates[territory_id],"Needs Review - Territory")</f>
        <v>3</v>
      </c>
      <c r="H700" t="str">
        <f>IF(E700="","",_xlfn.XLOOKUP(E700,tblUsers[user_id],tblUsers[job_title],"Owner Not Found"))</f>
        <v>SMB Account Executive</v>
      </c>
      <c r="I700" t="str">
        <f>IF(E700="","",_xlfn.XLOOKUP(E700,tblUsers[user_id],tblUsers[segment],"Owner Not Found"))</f>
        <v>SMB</v>
      </c>
      <c r="J700">
        <f>IF(E700="","",_xlfn.XLOOKUP(E700,tblUsers[user_id],tblUsers[territory_id],"Owner Not Found"))</f>
        <v>3</v>
      </c>
      <c r="K700" t="str">
        <f t="shared" si="21"/>
        <v>Routing Compatible</v>
      </c>
    </row>
    <row r="701" spans="1:11">
      <c r="A701" t="s">
        <v>3832</v>
      </c>
      <c r="B701" t="s">
        <v>3834</v>
      </c>
      <c r="C701" t="s">
        <v>24</v>
      </c>
      <c r="D701" t="s">
        <v>16</v>
      </c>
      <c r="E701" t="s">
        <v>91</v>
      </c>
      <c r="F701" t="str">
        <f t="shared" si="20"/>
        <v>SMB</v>
      </c>
      <c r="G701">
        <f>_xlfn.XLOOKUP(D701,tblStates[state_code],tblStates[territory_id],"Needs Review - Territory")</f>
        <v>1</v>
      </c>
      <c r="H701" t="str">
        <f>IF(E701="","",_xlfn.XLOOKUP(E701,tblUsers[user_id],tblUsers[job_title],"Owner Not Found"))</f>
        <v>SMB Account Executive</v>
      </c>
      <c r="I701" t="str">
        <f>IF(E701="","",_xlfn.XLOOKUP(E701,tblUsers[user_id],tblUsers[segment],"Owner Not Found"))</f>
        <v>SMB</v>
      </c>
      <c r="J701">
        <f>IF(E701="","",_xlfn.XLOOKUP(E701,tblUsers[user_id],tblUsers[territory_id],"Owner Not Found"))</f>
        <v>1</v>
      </c>
      <c r="K701" t="str">
        <f t="shared" si="21"/>
        <v>Routing Compatible</v>
      </c>
    </row>
    <row r="702" spans="1:11">
      <c r="A702" t="s">
        <v>3835</v>
      </c>
      <c r="B702" t="s">
        <v>3837</v>
      </c>
      <c r="C702" t="s">
        <v>30</v>
      </c>
      <c r="D702" t="s">
        <v>1039</v>
      </c>
      <c r="E702" t="s">
        <v>18</v>
      </c>
      <c r="F702" t="str">
        <f t="shared" si="20"/>
        <v>MM</v>
      </c>
      <c r="G702">
        <f>_xlfn.XLOOKUP(D702,tblStates[state_code],tblStates[territory_id],"Needs Review - Territory")</f>
        <v>1</v>
      </c>
      <c r="H702" t="str">
        <f>IF(E702="","",_xlfn.XLOOKUP(E702,tblUsers[user_id],tblUsers[job_title],"Owner Not Found"))</f>
        <v>Mid-Market Account Executive</v>
      </c>
      <c r="I702" t="str">
        <f>IF(E702="","",_xlfn.XLOOKUP(E702,tblUsers[user_id],tblUsers[segment],"Owner Not Found"))</f>
        <v>MM</v>
      </c>
      <c r="J702">
        <f>IF(E702="","",_xlfn.XLOOKUP(E702,tblUsers[user_id],tblUsers[territory_id],"Owner Not Found"))</f>
        <v>1</v>
      </c>
      <c r="K702" t="str">
        <f t="shared" si="21"/>
        <v>Routing Compatible</v>
      </c>
    </row>
    <row r="703" spans="1:11">
      <c r="A703" t="s">
        <v>3838</v>
      </c>
      <c r="B703" t="s">
        <v>3840</v>
      </c>
      <c r="C703" t="s">
        <v>24</v>
      </c>
      <c r="D703" t="s">
        <v>226</v>
      </c>
      <c r="E703" t="s">
        <v>69</v>
      </c>
      <c r="F703" t="str">
        <f t="shared" si="20"/>
        <v>SMB</v>
      </c>
      <c r="G703">
        <f>_xlfn.XLOOKUP(D703,tblStates[state_code],tblStates[territory_id],"Needs Review - Territory")</f>
        <v>3</v>
      </c>
      <c r="H703" t="str">
        <f>IF(E703="","",_xlfn.XLOOKUP(E703,tblUsers[user_id],tblUsers[job_title],"Owner Not Found"))</f>
        <v>SMB Account Executive</v>
      </c>
      <c r="I703" t="str">
        <f>IF(E703="","",_xlfn.XLOOKUP(E703,tblUsers[user_id],tblUsers[segment],"Owner Not Found"))</f>
        <v>SMB</v>
      </c>
      <c r="J703">
        <f>IF(E703="","",_xlfn.XLOOKUP(E703,tblUsers[user_id],tblUsers[territory_id],"Owner Not Found"))</f>
        <v>3</v>
      </c>
      <c r="K703" t="str">
        <f t="shared" si="21"/>
        <v>Routing Compatible</v>
      </c>
    </row>
    <row r="704" spans="1:11">
      <c r="A704" t="s">
        <v>3841</v>
      </c>
      <c r="B704" t="s">
        <v>3843</v>
      </c>
      <c r="C704" t="s">
        <v>24</v>
      </c>
      <c r="D704" t="s">
        <v>16</v>
      </c>
      <c r="E704" t="s">
        <v>91</v>
      </c>
      <c r="F704" t="str">
        <f t="shared" si="20"/>
        <v>SMB</v>
      </c>
      <c r="G704">
        <f>_xlfn.XLOOKUP(D704,tblStates[state_code],tblStates[territory_id],"Needs Review - Territory")</f>
        <v>1</v>
      </c>
      <c r="H704" t="str">
        <f>IF(E704="","",_xlfn.XLOOKUP(E704,tblUsers[user_id],tblUsers[job_title],"Owner Not Found"))</f>
        <v>SMB Account Executive</v>
      </c>
      <c r="I704" t="str">
        <f>IF(E704="","",_xlfn.XLOOKUP(E704,tblUsers[user_id],tblUsers[segment],"Owner Not Found"))</f>
        <v>SMB</v>
      </c>
      <c r="J704">
        <f>IF(E704="","",_xlfn.XLOOKUP(E704,tblUsers[user_id],tblUsers[territory_id],"Owner Not Found"))</f>
        <v>1</v>
      </c>
      <c r="K704" t="str">
        <f t="shared" si="21"/>
        <v>Routing Compatible</v>
      </c>
    </row>
    <row r="705" spans="1:11">
      <c r="A705" t="s">
        <v>3844</v>
      </c>
      <c r="B705" t="s">
        <v>3846</v>
      </c>
      <c r="C705" t="s">
        <v>24</v>
      </c>
      <c r="D705" t="s">
        <v>1093</v>
      </c>
      <c r="E705" t="s">
        <v>59</v>
      </c>
      <c r="F705" t="str">
        <f t="shared" si="20"/>
        <v>SMB</v>
      </c>
      <c r="G705">
        <f>_xlfn.XLOOKUP(D705,tblStates[state_code],tblStates[territory_id],"Needs Review - Territory")</f>
        <v>4</v>
      </c>
      <c r="H705" t="str">
        <f>IF(E705="","",_xlfn.XLOOKUP(E705,tblUsers[user_id],tblUsers[job_title],"Owner Not Found"))</f>
        <v>SMB Account Executive</v>
      </c>
      <c r="I705" t="str">
        <f>IF(E705="","",_xlfn.XLOOKUP(E705,tblUsers[user_id],tblUsers[segment],"Owner Not Found"))</f>
        <v>SMB</v>
      </c>
      <c r="J705">
        <f>IF(E705="","",_xlfn.XLOOKUP(E705,tblUsers[user_id],tblUsers[territory_id],"Owner Not Found"))</f>
        <v>4</v>
      </c>
      <c r="K705" t="str">
        <f t="shared" si="21"/>
        <v>Routing Compatible</v>
      </c>
    </row>
    <row r="706" spans="1:11">
      <c r="A706" t="s">
        <v>3847</v>
      </c>
      <c r="B706" t="s">
        <v>3849</v>
      </c>
      <c r="C706" t="s">
        <v>24</v>
      </c>
      <c r="D706" t="s">
        <v>638</v>
      </c>
      <c r="E706" t="s">
        <v>69</v>
      </c>
      <c r="F706" t="str">
        <f t="shared" si="20"/>
        <v>SMB</v>
      </c>
      <c r="G706">
        <f>_xlfn.XLOOKUP(D706,tblStates[state_code],tblStates[territory_id],"Needs Review - Territory")</f>
        <v>3</v>
      </c>
      <c r="H706" t="str">
        <f>IF(E706="","",_xlfn.XLOOKUP(E706,tblUsers[user_id],tblUsers[job_title],"Owner Not Found"))</f>
        <v>SMB Account Executive</v>
      </c>
      <c r="I706" t="str">
        <f>IF(E706="","",_xlfn.XLOOKUP(E706,tblUsers[user_id],tblUsers[segment],"Owner Not Found"))</f>
        <v>SMB</v>
      </c>
      <c r="J706">
        <f>IF(E706="","",_xlfn.XLOOKUP(E706,tblUsers[user_id],tblUsers[territory_id],"Owner Not Found"))</f>
        <v>3</v>
      </c>
      <c r="K706" t="str">
        <f t="shared" si="21"/>
        <v>Routing Compatible</v>
      </c>
    </row>
    <row r="707" spans="1:11">
      <c r="A707" t="s">
        <v>3850</v>
      </c>
      <c r="B707" t="s">
        <v>3852</v>
      </c>
      <c r="C707" t="s">
        <v>30</v>
      </c>
      <c r="D707" t="s">
        <v>226</v>
      </c>
      <c r="E707" t="s">
        <v>55</v>
      </c>
      <c r="F707" t="str">
        <f t="shared" ref="F707:F770" si="22">IF(C707="SMB","SMB",IF(OR(C707="Mid-Market",C707="Upper Mid-Market"),"MM","Needs Review - Segment"))</f>
        <v>MM</v>
      </c>
      <c r="G707">
        <f>_xlfn.XLOOKUP(D707,tblStates[state_code],tblStates[territory_id],"Needs Review - Territory")</f>
        <v>3</v>
      </c>
      <c r="H707" t="str">
        <f>IF(E707="","",_xlfn.XLOOKUP(E707,tblUsers[user_id],tblUsers[job_title],"Owner Not Found"))</f>
        <v>Mid-Market Account Executive</v>
      </c>
      <c r="I707" t="str">
        <f>IF(E707="","",_xlfn.XLOOKUP(E707,tblUsers[user_id],tblUsers[segment],"Owner Not Found"))</f>
        <v>MM</v>
      </c>
      <c r="J707">
        <f>IF(E707="","",_xlfn.XLOOKUP(E707,tblUsers[user_id],tblUsers[territory_id],"Owner Not Found"))</f>
        <v>3</v>
      </c>
      <c r="K707" t="str">
        <f t="shared" ref="K707:K770" si="23">IF(E707="","Unassigned",IF(F707="Needs Review - Segment","Needs Review - Segment",IF(G707="Needs Review - Territory","Needs Review - Territory",IF(I707&lt;&gt;F707,"Wrong Segment",IF(AND(ISNUMBER(SEARCH("Account Executive",H707)),J707&lt;&gt;G707),"Wrong AE Territory",IF(OR(ISNUMBER(SEARCH("Account Executive",H707)),H707="Sales Development Representative"),"Routing Compatible","Unexpected Owner Role"))))))</f>
        <v>Routing Compatible</v>
      </c>
    </row>
    <row r="708" spans="1:11">
      <c r="A708" t="s">
        <v>3853</v>
      </c>
      <c r="B708" t="s">
        <v>3855</v>
      </c>
      <c r="C708" t="s">
        <v>24</v>
      </c>
      <c r="D708" t="s">
        <v>81</v>
      </c>
      <c r="E708" t="s">
        <v>25</v>
      </c>
      <c r="F708" t="str">
        <f t="shared" si="22"/>
        <v>SMB</v>
      </c>
      <c r="G708">
        <f>_xlfn.XLOOKUP(D708,tblStates[state_code],tblStates[territory_id],"Needs Review - Territory")</f>
        <v>2</v>
      </c>
      <c r="H708" t="str">
        <f>IF(E708="","",_xlfn.XLOOKUP(E708,tblUsers[user_id],tblUsers[job_title],"Owner Not Found"))</f>
        <v>SMB Account Executive</v>
      </c>
      <c r="I708" t="str">
        <f>IF(E708="","",_xlfn.XLOOKUP(E708,tblUsers[user_id],tblUsers[segment],"Owner Not Found"))</f>
        <v>SMB</v>
      </c>
      <c r="J708">
        <f>IF(E708="","",_xlfn.XLOOKUP(E708,tblUsers[user_id],tblUsers[territory_id],"Owner Not Found"))</f>
        <v>2</v>
      </c>
      <c r="K708" t="str">
        <f t="shared" si="23"/>
        <v>Routing Compatible</v>
      </c>
    </row>
    <row r="709" spans="1:11">
      <c r="A709" t="s">
        <v>3856</v>
      </c>
      <c r="B709" t="s">
        <v>3858</v>
      </c>
      <c r="C709" t="s">
        <v>24</v>
      </c>
      <c r="D709" t="s">
        <v>205</v>
      </c>
      <c r="E709" t="s">
        <v>59</v>
      </c>
      <c r="F709" t="str">
        <f t="shared" si="22"/>
        <v>SMB</v>
      </c>
      <c r="G709">
        <f>_xlfn.XLOOKUP(D709,tblStates[state_code],tblStates[territory_id],"Needs Review - Territory")</f>
        <v>4</v>
      </c>
      <c r="H709" t="str">
        <f>IF(E709="","",_xlfn.XLOOKUP(E709,tblUsers[user_id],tblUsers[job_title],"Owner Not Found"))</f>
        <v>SMB Account Executive</v>
      </c>
      <c r="I709" t="str">
        <f>IF(E709="","",_xlfn.XLOOKUP(E709,tblUsers[user_id],tblUsers[segment],"Owner Not Found"))</f>
        <v>SMB</v>
      </c>
      <c r="J709">
        <f>IF(E709="","",_xlfn.XLOOKUP(E709,tblUsers[user_id],tblUsers[territory_id],"Owner Not Found"))</f>
        <v>4</v>
      </c>
      <c r="K709" t="str">
        <f t="shared" si="23"/>
        <v>Routing Compatible</v>
      </c>
    </row>
    <row r="710" spans="1:11">
      <c r="A710" t="s">
        <v>3859</v>
      </c>
      <c r="B710" t="s">
        <v>3861</v>
      </c>
      <c r="C710" t="s">
        <v>30</v>
      </c>
      <c r="D710" t="s">
        <v>285</v>
      </c>
      <c r="E710" t="s">
        <v>36</v>
      </c>
      <c r="F710" t="str">
        <f t="shared" si="22"/>
        <v>MM</v>
      </c>
      <c r="G710">
        <f>_xlfn.XLOOKUP(D710,tblStates[state_code],tblStates[territory_id],"Needs Review - Territory")</f>
        <v>4</v>
      </c>
      <c r="H710" t="str">
        <f>IF(E710="","",_xlfn.XLOOKUP(E710,tblUsers[user_id],tblUsers[job_title],"Owner Not Found"))</f>
        <v>Mid-Market Account Executive</v>
      </c>
      <c r="I710" t="str">
        <f>IF(E710="","",_xlfn.XLOOKUP(E710,tblUsers[user_id],tblUsers[segment],"Owner Not Found"))</f>
        <v>MM</v>
      </c>
      <c r="J710">
        <f>IF(E710="","",_xlfn.XLOOKUP(E710,tblUsers[user_id],tblUsers[territory_id],"Owner Not Found"))</f>
        <v>4</v>
      </c>
      <c r="K710" t="str">
        <f t="shared" si="23"/>
        <v>Routing Compatible</v>
      </c>
    </row>
    <row r="711" spans="1:11">
      <c r="A711" t="s">
        <v>3862</v>
      </c>
      <c r="B711" t="s">
        <v>3864</v>
      </c>
      <c r="C711" t="s">
        <v>30</v>
      </c>
      <c r="D711" t="s">
        <v>41</v>
      </c>
      <c r="E711" t="s">
        <v>82</v>
      </c>
      <c r="F711" t="str">
        <f t="shared" si="22"/>
        <v>MM</v>
      </c>
      <c r="G711">
        <f>_xlfn.XLOOKUP(D711,tblStates[state_code],tblStates[territory_id],"Needs Review - Territory")</f>
        <v>2</v>
      </c>
      <c r="H711" t="str">
        <f>IF(E711="","",_xlfn.XLOOKUP(E711,tblUsers[user_id],tblUsers[job_title],"Owner Not Found"))</f>
        <v>Mid-Market Account Executive</v>
      </c>
      <c r="I711" t="str">
        <f>IF(E711="","",_xlfn.XLOOKUP(E711,tblUsers[user_id],tblUsers[segment],"Owner Not Found"))</f>
        <v>MM</v>
      </c>
      <c r="J711">
        <f>IF(E711="","",_xlfn.XLOOKUP(E711,tblUsers[user_id],tblUsers[territory_id],"Owner Not Found"))</f>
        <v>2</v>
      </c>
      <c r="K711" t="str">
        <f t="shared" si="23"/>
        <v>Routing Compatible</v>
      </c>
    </row>
    <row r="712" spans="1:11">
      <c r="A712" t="s">
        <v>3865</v>
      </c>
      <c r="B712" t="s">
        <v>3867</v>
      </c>
      <c r="C712" t="s">
        <v>17</v>
      </c>
      <c r="D712" t="s">
        <v>226</v>
      </c>
      <c r="E712" t="s">
        <v>55</v>
      </c>
      <c r="F712" t="str">
        <f t="shared" si="22"/>
        <v>MM</v>
      </c>
      <c r="G712">
        <f>_xlfn.XLOOKUP(D712,tblStates[state_code],tblStates[territory_id],"Needs Review - Territory")</f>
        <v>3</v>
      </c>
      <c r="H712" t="str">
        <f>IF(E712="","",_xlfn.XLOOKUP(E712,tblUsers[user_id],tblUsers[job_title],"Owner Not Found"))</f>
        <v>Mid-Market Account Executive</v>
      </c>
      <c r="I712" t="str">
        <f>IF(E712="","",_xlfn.XLOOKUP(E712,tblUsers[user_id],tblUsers[segment],"Owner Not Found"))</f>
        <v>MM</v>
      </c>
      <c r="J712">
        <f>IF(E712="","",_xlfn.XLOOKUP(E712,tblUsers[user_id],tblUsers[territory_id],"Owner Not Found"))</f>
        <v>3</v>
      </c>
      <c r="K712" t="str">
        <f t="shared" si="23"/>
        <v>Routing Compatible</v>
      </c>
    </row>
    <row r="713" spans="1:11">
      <c r="A713" t="s">
        <v>3868</v>
      </c>
      <c r="B713" t="s">
        <v>3870</v>
      </c>
      <c r="C713" t="s">
        <v>30</v>
      </c>
      <c r="D713" t="s">
        <v>16</v>
      </c>
      <c r="E713" t="s">
        <v>18</v>
      </c>
      <c r="F713" t="str">
        <f t="shared" si="22"/>
        <v>MM</v>
      </c>
      <c r="G713">
        <f>_xlfn.XLOOKUP(D713,tblStates[state_code],tblStates[territory_id],"Needs Review - Territory")</f>
        <v>1</v>
      </c>
      <c r="H713" t="str">
        <f>IF(E713="","",_xlfn.XLOOKUP(E713,tblUsers[user_id],tblUsers[job_title],"Owner Not Found"))</f>
        <v>Mid-Market Account Executive</v>
      </c>
      <c r="I713" t="str">
        <f>IF(E713="","",_xlfn.XLOOKUP(E713,tblUsers[user_id],tblUsers[segment],"Owner Not Found"))</f>
        <v>MM</v>
      </c>
      <c r="J713">
        <f>IF(E713="","",_xlfn.XLOOKUP(E713,tblUsers[user_id],tblUsers[territory_id],"Owner Not Found"))</f>
        <v>1</v>
      </c>
      <c r="K713" t="str">
        <f t="shared" si="23"/>
        <v>Routing Compatible</v>
      </c>
    </row>
    <row r="714" spans="1:11">
      <c r="A714" t="s">
        <v>3871</v>
      </c>
      <c r="B714" t="s">
        <v>3873</v>
      </c>
      <c r="C714" t="s">
        <v>24</v>
      </c>
      <c r="D714" t="s">
        <v>226</v>
      </c>
      <c r="E714" t="s">
        <v>69</v>
      </c>
      <c r="F714" t="str">
        <f t="shared" si="22"/>
        <v>SMB</v>
      </c>
      <c r="G714">
        <f>_xlfn.XLOOKUP(D714,tblStates[state_code],tblStates[territory_id],"Needs Review - Territory")</f>
        <v>3</v>
      </c>
      <c r="H714" t="str">
        <f>IF(E714="","",_xlfn.XLOOKUP(E714,tblUsers[user_id],tblUsers[job_title],"Owner Not Found"))</f>
        <v>SMB Account Executive</v>
      </c>
      <c r="I714" t="str">
        <f>IF(E714="","",_xlfn.XLOOKUP(E714,tblUsers[user_id],tblUsers[segment],"Owner Not Found"))</f>
        <v>SMB</v>
      </c>
      <c r="J714">
        <f>IF(E714="","",_xlfn.XLOOKUP(E714,tblUsers[user_id],tblUsers[territory_id],"Owner Not Found"))</f>
        <v>3</v>
      </c>
      <c r="K714" t="str">
        <f t="shared" si="23"/>
        <v>Routing Compatible</v>
      </c>
    </row>
    <row r="715" spans="1:11">
      <c r="A715" t="s">
        <v>3874</v>
      </c>
      <c r="B715" t="s">
        <v>3876</v>
      </c>
      <c r="C715" t="s">
        <v>24</v>
      </c>
      <c r="D715" t="s">
        <v>50</v>
      </c>
      <c r="E715" t="s">
        <v>59</v>
      </c>
      <c r="F715" t="str">
        <f t="shared" si="22"/>
        <v>SMB</v>
      </c>
      <c r="G715">
        <f>_xlfn.XLOOKUP(D715,tblStates[state_code],tblStates[territory_id],"Needs Review - Territory")</f>
        <v>4</v>
      </c>
      <c r="H715" t="str">
        <f>IF(E715="","",_xlfn.XLOOKUP(E715,tblUsers[user_id],tblUsers[job_title],"Owner Not Found"))</f>
        <v>SMB Account Executive</v>
      </c>
      <c r="I715" t="str">
        <f>IF(E715="","",_xlfn.XLOOKUP(E715,tblUsers[user_id],tblUsers[segment],"Owner Not Found"))</f>
        <v>SMB</v>
      </c>
      <c r="J715">
        <f>IF(E715="","",_xlfn.XLOOKUP(E715,tblUsers[user_id],tblUsers[territory_id],"Owner Not Found"))</f>
        <v>4</v>
      </c>
      <c r="K715" t="str">
        <f t="shared" si="23"/>
        <v>Routing Compatible</v>
      </c>
    </row>
    <row r="716" spans="1:11">
      <c r="A716" t="s">
        <v>3877</v>
      </c>
      <c r="B716" t="s">
        <v>3879</v>
      </c>
      <c r="C716" t="s">
        <v>24</v>
      </c>
      <c r="D716" t="s">
        <v>178</v>
      </c>
      <c r="E716" t="s">
        <v>59</v>
      </c>
      <c r="F716" t="str">
        <f t="shared" si="22"/>
        <v>SMB</v>
      </c>
      <c r="G716">
        <f>_xlfn.XLOOKUP(D716,tblStates[state_code],tblStates[territory_id],"Needs Review - Territory")</f>
        <v>4</v>
      </c>
      <c r="H716" t="str">
        <f>IF(E716="","",_xlfn.XLOOKUP(E716,tblUsers[user_id],tblUsers[job_title],"Owner Not Found"))</f>
        <v>SMB Account Executive</v>
      </c>
      <c r="I716" t="str">
        <f>IF(E716="","",_xlfn.XLOOKUP(E716,tblUsers[user_id],tblUsers[segment],"Owner Not Found"))</f>
        <v>SMB</v>
      </c>
      <c r="J716">
        <f>IF(E716="","",_xlfn.XLOOKUP(E716,tblUsers[user_id],tblUsers[territory_id],"Owner Not Found"))</f>
        <v>4</v>
      </c>
      <c r="K716" t="str">
        <f t="shared" si="23"/>
        <v>Routing Compatible</v>
      </c>
    </row>
    <row r="717" spans="1:11">
      <c r="A717" t="s">
        <v>3880</v>
      </c>
      <c r="B717" t="s">
        <v>3882</v>
      </c>
      <c r="C717" t="s">
        <v>24</v>
      </c>
      <c r="D717" t="s">
        <v>54</v>
      </c>
      <c r="E717" t="s">
        <v>69</v>
      </c>
      <c r="F717" t="str">
        <f t="shared" si="22"/>
        <v>SMB</v>
      </c>
      <c r="G717">
        <f>_xlfn.XLOOKUP(D717,tblStates[state_code],tblStates[territory_id],"Needs Review - Territory")</f>
        <v>3</v>
      </c>
      <c r="H717" t="str">
        <f>IF(E717="","",_xlfn.XLOOKUP(E717,tblUsers[user_id],tblUsers[job_title],"Owner Not Found"))</f>
        <v>SMB Account Executive</v>
      </c>
      <c r="I717" t="str">
        <f>IF(E717="","",_xlfn.XLOOKUP(E717,tblUsers[user_id],tblUsers[segment],"Owner Not Found"))</f>
        <v>SMB</v>
      </c>
      <c r="J717">
        <f>IF(E717="","",_xlfn.XLOOKUP(E717,tblUsers[user_id],tblUsers[territory_id],"Owner Not Found"))</f>
        <v>3</v>
      </c>
      <c r="K717" t="str">
        <f t="shared" si="23"/>
        <v>Routing Compatible</v>
      </c>
    </row>
    <row r="718" spans="1:11">
      <c r="A718" t="s">
        <v>3883</v>
      </c>
      <c r="B718" t="s">
        <v>3885</v>
      </c>
      <c r="D718" t="s">
        <v>16</v>
      </c>
      <c r="F718" t="str">
        <f t="shared" si="22"/>
        <v>Needs Review - Segment</v>
      </c>
      <c r="G718">
        <f>_xlfn.XLOOKUP(D718,tblStates[state_code],tblStates[territory_id],"Needs Review - Territory")</f>
        <v>1</v>
      </c>
      <c r="H718" t="str">
        <f>IF(E718="","",_xlfn.XLOOKUP(E718,tblUsers[user_id],tblUsers[job_title],"Owner Not Found"))</f>
        <v/>
      </c>
      <c r="I718" t="str">
        <f>IF(E718="","",_xlfn.XLOOKUP(E718,tblUsers[user_id],tblUsers[segment],"Owner Not Found"))</f>
        <v/>
      </c>
      <c r="J718" t="str">
        <f>IF(E718="","",_xlfn.XLOOKUP(E718,tblUsers[user_id],tblUsers[territory_id],"Owner Not Found"))</f>
        <v/>
      </c>
      <c r="K718" t="str">
        <f t="shared" si="23"/>
        <v>Unassigned</v>
      </c>
    </row>
    <row r="719" spans="1:11">
      <c r="A719" t="s">
        <v>3886</v>
      </c>
      <c r="B719" t="s">
        <v>3888</v>
      </c>
      <c r="C719" t="s">
        <v>30</v>
      </c>
      <c r="D719" t="s">
        <v>116</v>
      </c>
      <c r="F719" t="str">
        <f t="shared" si="22"/>
        <v>MM</v>
      </c>
      <c r="G719">
        <f>_xlfn.XLOOKUP(D719,tblStates[state_code],tblStates[territory_id],"Needs Review - Territory")</f>
        <v>2</v>
      </c>
      <c r="H719" t="str">
        <f>IF(E719="","",_xlfn.XLOOKUP(E719,tblUsers[user_id],tblUsers[job_title],"Owner Not Found"))</f>
        <v/>
      </c>
      <c r="I719" t="str">
        <f>IF(E719="","",_xlfn.XLOOKUP(E719,tblUsers[user_id],tblUsers[segment],"Owner Not Found"))</f>
        <v/>
      </c>
      <c r="J719" t="str">
        <f>IF(E719="","",_xlfn.XLOOKUP(E719,tblUsers[user_id],tblUsers[territory_id],"Owner Not Found"))</f>
        <v/>
      </c>
      <c r="K719" t="str">
        <f t="shared" si="23"/>
        <v>Unassigned</v>
      </c>
    </row>
    <row r="720" spans="1:11">
      <c r="A720" t="s">
        <v>3889</v>
      </c>
      <c r="B720" t="s">
        <v>3891</v>
      </c>
      <c r="C720" t="s">
        <v>30</v>
      </c>
      <c r="D720" t="s">
        <v>178</v>
      </c>
      <c r="E720" t="s">
        <v>36</v>
      </c>
      <c r="F720" t="str">
        <f t="shared" si="22"/>
        <v>MM</v>
      </c>
      <c r="G720">
        <f>_xlfn.XLOOKUP(D720,tblStates[state_code],tblStates[territory_id],"Needs Review - Territory")</f>
        <v>4</v>
      </c>
      <c r="H720" t="str">
        <f>IF(E720="","",_xlfn.XLOOKUP(E720,tblUsers[user_id],tblUsers[job_title],"Owner Not Found"))</f>
        <v>Mid-Market Account Executive</v>
      </c>
      <c r="I720" t="str">
        <f>IF(E720="","",_xlfn.XLOOKUP(E720,tblUsers[user_id],tblUsers[segment],"Owner Not Found"))</f>
        <v>MM</v>
      </c>
      <c r="J720">
        <f>IF(E720="","",_xlfn.XLOOKUP(E720,tblUsers[user_id],tblUsers[territory_id],"Owner Not Found"))</f>
        <v>4</v>
      </c>
      <c r="K720" t="str">
        <f t="shared" si="23"/>
        <v>Routing Compatible</v>
      </c>
    </row>
    <row r="721" spans="1:11">
      <c r="A721" t="s">
        <v>3892</v>
      </c>
      <c r="B721" t="s">
        <v>3894</v>
      </c>
      <c r="D721" t="s">
        <v>16</v>
      </c>
      <c r="F721" t="str">
        <f t="shared" si="22"/>
        <v>Needs Review - Segment</v>
      </c>
      <c r="G721">
        <f>_xlfn.XLOOKUP(D721,tblStates[state_code],tblStates[territory_id],"Needs Review - Territory")</f>
        <v>1</v>
      </c>
      <c r="H721" t="str">
        <f>IF(E721="","",_xlfn.XLOOKUP(E721,tblUsers[user_id],tblUsers[job_title],"Owner Not Found"))</f>
        <v/>
      </c>
      <c r="I721" t="str">
        <f>IF(E721="","",_xlfn.XLOOKUP(E721,tblUsers[user_id],tblUsers[segment],"Owner Not Found"))</f>
        <v/>
      </c>
      <c r="J721" t="str">
        <f>IF(E721="","",_xlfn.XLOOKUP(E721,tblUsers[user_id],tblUsers[territory_id],"Owner Not Found"))</f>
        <v/>
      </c>
      <c r="K721" t="str">
        <f t="shared" si="23"/>
        <v>Unassigned</v>
      </c>
    </row>
    <row r="722" spans="1:11">
      <c r="A722" t="s">
        <v>3895</v>
      </c>
      <c r="B722" t="s">
        <v>3897</v>
      </c>
      <c r="C722" t="s">
        <v>30</v>
      </c>
      <c r="D722" t="s">
        <v>440</v>
      </c>
      <c r="E722" t="s">
        <v>55</v>
      </c>
      <c r="F722" t="str">
        <f t="shared" si="22"/>
        <v>MM</v>
      </c>
      <c r="G722">
        <f>_xlfn.XLOOKUP(D722,tblStates[state_code],tblStates[territory_id],"Needs Review - Territory")</f>
        <v>3</v>
      </c>
      <c r="H722" t="str">
        <f>IF(E722="","",_xlfn.XLOOKUP(E722,tblUsers[user_id],tblUsers[job_title],"Owner Not Found"))</f>
        <v>Mid-Market Account Executive</v>
      </c>
      <c r="I722" t="str">
        <f>IF(E722="","",_xlfn.XLOOKUP(E722,tblUsers[user_id],tblUsers[segment],"Owner Not Found"))</f>
        <v>MM</v>
      </c>
      <c r="J722">
        <f>IF(E722="","",_xlfn.XLOOKUP(E722,tblUsers[user_id],tblUsers[territory_id],"Owner Not Found"))</f>
        <v>3</v>
      </c>
      <c r="K722" t="str">
        <f t="shared" si="23"/>
        <v>Routing Compatible</v>
      </c>
    </row>
    <row r="723" spans="1:11">
      <c r="A723" t="s">
        <v>3898</v>
      </c>
      <c r="B723" t="s">
        <v>3900</v>
      </c>
      <c r="C723" t="s">
        <v>24</v>
      </c>
      <c r="D723" t="s">
        <v>366</v>
      </c>
      <c r="E723" t="s">
        <v>91</v>
      </c>
      <c r="F723" t="str">
        <f t="shared" si="22"/>
        <v>SMB</v>
      </c>
      <c r="G723">
        <f>_xlfn.XLOOKUP(D723,tblStates[state_code],tblStates[territory_id],"Needs Review - Territory")</f>
        <v>1</v>
      </c>
      <c r="H723" t="str">
        <f>IF(E723="","",_xlfn.XLOOKUP(E723,tblUsers[user_id],tblUsers[job_title],"Owner Not Found"))</f>
        <v>SMB Account Executive</v>
      </c>
      <c r="I723" t="str">
        <f>IF(E723="","",_xlfn.XLOOKUP(E723,tblUsers[user_id],tblUsers[segment],"Owner Not Found"))</f>
        <v>SMB</v>
      </c>
      <c r="J723">
        <f>IF(E723="","",_xlfn.XLOOKUP(E723,tblUsers[user_id],tblUsers[territory_id],"Owner Not Found"))</f>
        <v>1</v>
      </c>
      <c r="K723" t="str">
        <f t="shared" si="23"/>
        <v>Routing Compatible</v>
      </c>
    </row>
    <row r="724" spans="1:11">
      <c r="A724" t="s">
        <v>3901</v>
      </c>
      <c r="B724" t="s">
        <v>3903</v>
      </c>
      <c r="C724" t="s">
        <v>30</v>
      </c>
      <c r="D724" t="s">
        <v>23</v>
      </c>
      <c r="E724" t="s">
        <v>36</v>
      </c>
      <c r="F724" t="str">
        <f t="shared" si="22"/>
        <v>MM</v>
      </c>
      <c r="G724">
        <f>_xlfn.XLOOKUP(D724,tblStates[state_code],tblStates[territory_id],"Needs Review - Territory")</f>
        <v>2</v>
      </c>
      <c r="H724" t="str">
        <f>IF(E724="","",_xlfn.XLOOKUP(E724,tblUsers[user_id],tblUsers[job_title],"Owner Not Found"))</f>
        <v>Mid-Market Account Executive</v>
      </c>
      <c r="I724" t="str">
        <f>IF(E724="","",_xlfn.XLOOKUP(E724,tblUsers[user_id],tblUsers[segment],"Owner Not Found"))</f>
        <v>MM</v>
      </c>
      <c r="J724">
        <f>IF(E724="","",_xlfn.XLOOKUP(E724,tblUsers[user_id],tblUsers[territory_id],"Owner Not Found"))</f>
        <v>4</v>
      </c>
      <c r="K724" t="str">
        <f t="shared" si="23"/>
        <v>Wrong AE Territory</v>
      </c>
    </row>
    <row r="725" spans="1:11">
      <c r="A725" t="s">
        <v>3904</v>
      </c>
      <c r="B725" t="s">
        <v>3906</v>
      </c>
      <c r="C725" t="s">
        <v>17</v>
      </c>
      <c r="D725" t="s">
        <v>140</v>
      </c>
      <c r="E725" t="s">
        <v>82</v>
      </c>
      <c r="F725" t="str">
        <f t="shared" si="22"/>
        <v>MM</v>
      </c>
      <c r="G725">
        <f>_xlfn.XLOOKUP(D725,tblStates[state_code],tblStates[territory_id],"Needs Review - Territory")</f>
        <v>2</v>
      </c>
      <c r="H725" t="str">
        <f>IF(E725="","",_xlfn.XLOOKUP(E725,tblUsers[user_id],tblUsers[job_title],"Owner Not Found"))</f>
        <v>Mid-Market Account Executive</v>
      </c>
      <c r="I725" t="str">
        <f>IF(E725="","",_xlfn.XLOOKUP(E725,tblUsers[user_id],tblUsers[segment],"Owner Not Found"))</f>
        <v>MM</v>
      </c>
      <c r="J725">
        <f>IF(E725="","",_xlfn.XLOOKUP(E725,tblUsers[user_id],tblUsers[territory_id],"Owner Not Found"))</f>
        <v>2</v>
      </c>
      <c r="K725" t="str">
        <f t="shared" si="23"/>
        <v>Routing Compatible</v>
      </c>
    </row>
    <row r="726" spans="1:11">
      <c r="A726" t="s">
        <v>3907</v>
      </c>
      <c r="B726" t="s">
        <v>3908</v>
      </c>
      <c r="C726" t="s">
        <v>24</v>
      </c>
      <c r="D726" t="s">
        <v>140</v>
      </c>
      <c r="E726" t="s">
        <v>25</v>
      </c>
      <c r="F726" t="str">
        <f t="shared" si="22"/>
        <v>SMB</v>
      </c>
      <c r="G726">
        <f>_xlfn.XLOOKUP(D726,tblStates[state_code],tblStates[territory_id],"Needs Review - Territory")</f>
        <v>2</v>
      </c>
      <c r="H726" t="str">
        <f>IF(E726="","",_xlfn.XLOOKUP(E726,tblUsers[user_id],tblUsers[job_title],"Owner Not Found"))</f>
        <v>SMB Account Executive</v>
      </c>
      <c r="I726" t="str">
        <f>IF(E726="","",_xlfn.XLOOKUP(E726,tblUsers[user_id],tblUsers[segment],"Owner Not Found"))</f>
        <v>SMB</v>
      </c>
      <c r="J726">
        <f>IF(E726="","",_xlfn.XLOOKUP(E726,tblUsers[user_id],tblUsers[territory_id],"Owner Not Found"))</f>
        <v>2</v>
      </c>
      <c r="K726" t="str">
        <f t="shared" si="23"/>
        <v>Routing Compatible</v>
      </c>
    </row>
    <row r="727" spans="1:11">
      <c r="A727" t="s">
        <v>3909</v>
      </c>
      <c r="B727" t="s">
        <v>3911</v>
      </c>
      <c r="C727" t="s">
        <v>30</v>
      </c>
      <c r="D727" t="s">
        <v>249</v>
      </c>
      <c r="E727" t="s">
        <v>36</v>
      </c>
      <c r="F727" t="str">
        <f t="shared" si="22"/>
        <v>MM</v>
      </c>
      <c r="G727">
        <f>_xlfn.XLOOKUP(D727,tblStates[state_code],tblStates[territory_id],"Needs Review - Territory")</f>
        <v>4</v>
      </c>
      <c r="H727" t="str">
        <f>IF(E727="","",_xlfn.XLOOKUP(E727,tblUsers[user_id],tblUsers[job_title],"Owner Not Found"))</f>
        <v>Mid-Market Account Executive</v>
      </c>
      <c r="I727" t="str">
        <f>IF(E727="","",_xlfn.XLOOKUP(E727,tblUsers[user_id],tblUsers[segment],"Owner Not Found"))</f>
        <v>MM</v>
      </c>
      <c r="J727">
        <f>IF(E727="","",_xlfn.XLOOKUP(E727,tblUsers[user_id],tblUsers[territory_id],"Owner Not Found"))</f>
        <v>4</v>
      </c>
      <c r="K727" t="str">
        <f t="shared" si="23"/>
        <v>Routing Compatible</v>
      </c>
    </row>
    <row r="728" spans="1:11">
      <c r="A728" t="s">
        <v>3912</v>
      </c>
      <c r="B728" t="s">
        <v>3914</v>
      </c>
      <c r="C728" t="s">
        <v>17</v>
      </c>
      <c r="D728" t="s">
        <v>226</v>
      </c>
      <c r="E728" t="s">
        <v>55</v>
      </c>
      <c r="F728" t="str">
        <f t="shared" si="22"/>
        <v>MM</v>
      </c>
      <c r="G728">
        <f>_xlfn.XLOOKUP(D728,tblStates[state_code],tblStates[territory_id],"Needs Review - Territory")</f>
        <v>3</v>
      </c>
      <c r="H728" t="str">
        <f>IF(E728="","",_xlfn.XLOOKUP(E728,tblUsers[user_id],tblUsers[job_title],"Owner Not Found"))</f>
        <v>Mid-Market Account Executive</v>
      </c>
      <c r="I728" t="str">
        <f>IF(E728="","",_xlfn.XLOOKUP(E728,tblUsers[user_id],tblUsers[segment],"Owner Not Found"))</f>
        <v>MM</v>
      </c>
      <c r="J728">
        <f>IF(E728="","",_xlfn.XLOOKUP(E728,tblUsers[user_id],tblUsers[territory_id],"Owner Not Found"))</f>
        <v>3</v>
      </c>
      <c r="K728" t="str">
        <f t="shared" si="23"/>
        <v>Routing Compatible</v>
      </c>
    </row>
    <row r="729" spans="1:11">
      <c r="A729" t="s">
        <v>3915</v>
      </c>
      <c r="B729" t="s">
        <v>3917</v>
      </c>
      <c r="C729" t="s">
        <v>17</v>
      </c>
      <c r="D729" t="s">
        <v>226</v>
      </c>
      <c r="E729" t="s">
        <v>55</v>
      </c>
      <c r="F729" t="str">
        <f t="shared" si="22"/>
        <v>MM</v>
      </c>
      <c r="G729">
        <f>_xlfn.XLOOKUP(D729,tblStates[state_code],tblStates[territory_id],"Needs Review - Territory")</f>
        <v>3</v>
      </c>
      <c r="H729" t="str">
        <f>IF(E729="","",_xlfn.XLOOKUP(E729,tblUsers[user_id],tblUsers[job_title],"Owner Not Found"))</f>
        <v>Mid-Market Account Executive</v>
      </c>
      <c r="I729" t="str">
        <f>IF(E729="","",_xlfn.XLOOKUP(E729,tblUsers[user_id],tblUsers[segment],"Owner Not Found"))</f>
        <v>MM</v>
      </c>
      <c r="J729">
        <f>IF(E729="","",_xlfn.XLOOKUP(E729,tblUsers[user_id],tblUsers[territory_id],"Owner Not Found"))</f>
        <v>3</v>
      </c>
      <c r="K729" t="str">
        <f t="shared" si="23"/>
        <v>Routing Compatible</v>
      </c>
    </row>
    <row r="730" spans="1:11">
      <c r="A730" t="s">
        <v>3918</v>
      </c>
      <c r="B730" t="s">
        <v>3920</v>
      </c>
      <c r="C730" t="s">
        <v>30</v>
      </c>
      <c r="D730" t="s">
        <v>140</v>
      </c>
      <c r="E730" t="s">
        <v>82</v>
      </c>
      <c r="F730" t="str">
        <f t="shared" si="22"/>
        <v>MM</v>
      </c>
      <c r="G730">
        <f>_xlfn.XLOOKUP(D730,tblStates[state_code],tblStates[territory_id],"Needs Review - Territory")</f>
        <v>2</v>
      </c>
      <c r="H730" t="str">
        <f>IF(E730="","",_xlfn.XLOOKUP(E730,tblUsers[user_id],tblUsers[job_title],"Owner Not Found"))</f>
        <v>Mid-Market Account Executive</v>
      </c>
      <c r="I730" t="str">
        <f>IF(E730="","",_xlfn.XLOOKUP(E730,tblUsers[user_id],tblUsers[segment],"Owner Not Found"))</f>
        <v>MM</v>
      </c>
      <c r="J730">
        <f>IF(E730="","",_xlfn.XLOOKUP(E730,tblUsers[user_id],tblUsers[territory_id],"Owner Not Found"))</f>
        <v>2</v>
      </c>
      <c r="K730" t="str">
        <f t="shared" si="23"/>
        <v>Routing Compatible</v>
      </c>
    </row>
    <row r="731" spans="1:11">
      <c r="A731" t="s">
        <v>3921</v>
      </c>
      <c r="B731" t="s">
        <v>3923</v>
      </c>
      <c r="C731" t="s">
        <v>24</v>
      </c>
      <c r="D731" t="s">
        <v>223</v>
      </c>
      <c r="E731" t="s">
        <v>91</v>
      </c>
      <c r="F731" t="str">
        <f t="shared" si="22"/>
        <v>SMB</v>
      </c>
      <c r="G731">
        <f>_xlfn.XLOOKUP(D731,tblStates[state_code],tblStates[territory_id],"Needs Review - Territory")</f>
        <v>1</v>
      </c>
      <c r="H731" t="str">
        <f>IF(E731="","",_xlfn.XLOOKUP(E731,tblUsers[user_id],tblUsers[job_title],"Owner Not Found"))</f>
        <v>SMB Account Executive</v>
      </c>
      <c r="I731" t="str">
        <f>IF(E731="","",_xlfn.XLOOKUP(E731,tblUsers[user_id],tblUsers[segment],"Owner Not Found"))</f>
        <v>SMB</v>
      </c>
      <c r="J731">
        <f>IF(E731="","",_xlfn.XLOOKUP(E731,tblUsers[user_id],tblUsers[territory_id],"Owner Not Found"))</f>
        <v>1</v>
      </c>
      <c r="K731" t="str">
        <f t="shared" si="23"/>
        <v>Routing Compatible</v>
      </c>
    </row>
    <row r="732" spans="1:11">
      <c r="A732" t="s">
        <v>3924</v>
      </c>
      <c r="B732" t="s">
        <v>3926</v>
      </c>
      <c r="C732" t="s">
        <v>24</v>
      </c>
      <c r="D732" t="s">
        <v>140</v>
      </c>
      <c r="E732" t="s">
        <v>25</v>
      </c>
      <c r="F732" t="str">
        <f t="shared" si="22"/>
        <v>SMB</v>
      </c>
      <c r="G732">
        <f>_xlfn.XLOOKUP(D732,tblStates[state_code],tblStates[territory_id],"Needs Review - Territory")</f>
        <v>2</v>
      </c>
      <c r="H732" t="str">
        <f>IF(E732="","",_xlfn.XLOOKUP(E732,tblUsers[user_id],tblUsers[job_title],"Owner Not Found"))</f>
        <v>SMB Account Executive</v>
      </c>
      <c r="I732" t="str">
        <f>IF(E732="","",_xlfn.XLOOKUP(E732,tblUsers[user_id],tblUsers[segment],"Owner Not Found"))</f>
        <v>SMB</v>
      </c>
      <c r="J732">
        <f>IF(E732="","",_xlfn.XLOOKUP(E732,tblUsers[user_id],tblUsers[territory_id],"Owner Not Found"))</f>
        <v>2</v>
      </c>
      <c r="K732" t="str">
        <f t="shared" si="23"/>
        <v>Routing Compatible</v>
      </c>
    </row>
    <row r="733" spans="1:11">
      <c r="A733" t="s">
        <v>3927</v>
      </c>
      <c r="B733" t="s">
        <v>3929</v>
      </c>
      <c r="C733" t="s">
        <v>17</v>
      </c>
      <c r="D733" t="s">
        <v>81</v>
      </c>
      <c r="E733" t="s">
        <v>82</v>
      </c>
      <c r="F733" t="str">
        <f t="shared" si="22"/>
        <v>MM</v>
      </c>
      <c r="G733">
        <f>_xlfn.XLOOKUP(D733,tblStates[state_code],tblStates[territory_id],"Needs Review - Territory")</f>
        <v>2</v>
      </c>
      <c r="H733" t="str">
        <f>IF(E733="","",_xlfn.XLOOKUP(E733,tblUsers[user_id],tblUsers[job_title],"Owner Not Found"))</f>
        <v>Mid-Market Account Executive</v>
      </c>
      <c r="I733" t="str">
        <f>IF(E733="","",_xlfn.XLOOKUP(E733,tblUsers[user_id],tblUsers[segment],"Owner Not Found"))</f>
        <v>MM</v>
      </c>
      <c r="J733">
        <f>IF(E733="","",_xlfn.XLOOKUP(E733,tblUsers[user_id],tblUsers[territory_id],"Owner Not Found"))</f>
        <v>2</v>
      </c>
      <c r="K733" t="str">
        <f t="shared" si="23"/>
        <v>Routing Compatible</v>
      </c>
    </row>
    <row r="734" spans="1:11">
      <c r="A734" t="s">
        <v>3930</v>
      </c>
      <c r="B734" t="s">
        <v>3932</v>
      </c>
      <c r="C734" t="s">
        <v>30</v>
      </c>
      <c r="D734" t="s">
        <v>1093</v>
      </c>
      <c r="E734" t="s">
        <v>36</v>
      </c>
      <c r="F734" t="str">
        <f t="shared" si="22"/>
        <v>MM</v>
      </c>
      <c r="G734">
        <f>_xlfn.XLOOKUP(D734,tblStates[state_code],tblStates[territory_id],"Needs Review - Territory")</f>
        <v>4</v>
      </c>
      <c r="H734" t="str">
        <f>IF(E734="","",_xlfn.XLOOKUP(E734,tblUsers[user_id],tblUsers[job_title],"Owner Not Found"))</f>
        <v>Mid-Market Account Executive</v>
      </c>
      <c r="I734" t="str">
        <f>IF(E734="","",_xlfn.XLOOKUP(E734,tblUsers[user_id],tblUsers[segment],"Owner Not Found"))</f>
        <v>MM</v>
      </c>
      <c r="J734">
        <f>IF(E734="","",_xlfn.XLOOKUP(E734,tblUsers[user_id],tblUsers[territory_id],"Owner Not Found"))</f>
        <v>4</v>
      </c>
      <c r="K734" t="str">
        <f t="shared" si="23"/>
        <v>Routing Compatible</v>
      </c>
    </row>
    <row r="735" spans="1:11">
      <c r="A735" t="s">
        <v>3933</v>
      </c>
      <c r="B735" t="s">
        <v>3935</v>
      </c>
      <c r="C735" t="s">
        <v>30</v>
      </c>
      <c r="D735" t="s">
        <v>50</v>
      </c>
      <c r="E735" t="s">
        <v>36</v>
      </c>
      <c r="F735" t="str">
        <f t="shared" si="22"/>
        <v>MM</v>
      </c>
      <c r="G735">
        <f>_xlfn.XLOOKUP(D735,tblStates[state_code],tblStates[territory_id],"Needs Review - Territory")</f>
        <v>4</v>
      </c>
      <c r="H735" t="str">
        <f>IF(E735="","",_xlfn.XLOOKUP(E735,tblUsers[user_id],tblUsers[job_title],"Owner Not Found"))</f>
        <v>Mid-Market Account Executive</v>
      </c>
      <c r="I735" t="str">
        <f>IF(E735="","",_xlfn.XLOOKUP(E735,tblUsers[user_id],tblUsers[segment],"Owner Not Found"))</f>
        <v>MM</v>
      </c>
      <c r="J735">
        <f>IF(E735="","",_xlfn.XLOOKUP(E735,tblUsers[user_id],tblUsers[territory_id],"Owner Not Found"))</f>
        <v>4</v>
      </c>
      <c r="K735" t="str">
        <f t="shared" si="23"/>
        <v>Routing Compatible</v>
      </c>
    </row>
    <row r="736" spans="1:11">
      <c r="A736" t="s">
        <v>3936</v>
      </c>
      <c r="B736" t="s">
        <v>3938</v>
      </c>
      <c r="C736" t="s">
        <v>24</v>
      </c>
      <c r="D736" t="s">
        <v>81</v>
      </c>
      <c r="E736" t="s">
        <v>82</v>
      </c>
      <c r="F736" t="str">
        <f t="shared" si="22"/>
        <v>SMB</v>
      </c>
      <c r="G736">
        <f>_xlfn.XLOOKUP(D736,tblStates[state_code],tblStates[territory_id],"Needs Review - Territory")</f>
        <v>2</v>
      </c>
      <c r="H736" t="str">
        <f>IF(E736="","",_xlfn.XLOOKUP(E736,tblUsers[user_id],tblUsers[job_title],"Owner Not Found"))</f>
        <v>Mid-Market Account Executive</v>
      </c>
      <c r="I736" t="str">
        <f>IF(E736="","",_xlfn.XLOOKUP(E736,tblUsers[user_id],tblUsers[segment],"Owner Not Found"))</f>
        <v>MM</v>
      </c>
      <c r="J736">
        <f>IF(E736="","",_xlfn.XLOOKUP(E736,tblUsers[user_id],tblUsers[territory_id],"Owner Not Found"))</f>
        <v>2</v>
      </c>
      <c r="K736" t="str">
        <f t="shared" si="23"/>
        <v>Wrong Segment</v>
      </c>
    </row>
    <row r="737" spans="1:11">
      <c r="A737" t="s">
        <v>3939</v>
      </c>
      <c r="B737" t="s">
        <v>3941</v>
      </c>
      <c r="C737" t="s">
        <v>24</v>
      </c>
      <c r="D737" t="s">
        <v>81</v>
      </c>
      <c r="E737" t="s">
        <v>25</v>
      </c>
      <c r="F737" t="str">
        <f t="shared" si="22"/>
        <v>SMB</v>
      </c>
      <c r="G737">
        <f>_xlfn.XLOOKUP(D737,tblStates[state_code],tblStates[territory_id],"Needs Review - Territory")</f>
        <v>2</v>
      </c>
      <c r="H737" t="str">
        <f>IF(E737="","",_xlfn.XLOOKUP(E737,tblUsers[user_id],tblUsers[job_title],"Owner Not Found"))</f>
        <v>SMB Account Executive</v>
      </c>
      <c r="I737" t="str">
        <f>IF(E737="","",_xlfn.XLOOKUP(E737,tblUsers[user_id],tblUsers[segment],"Owner Not Found"))</f>
        <v>SMB</v>
      </c>
      <c r="J737">
        <f>IF(E737="","",_xlfn.XLOOKUP(E737,tblUsers[user_id],tblUsers[territory_id],"Owner Not Found"))</f>
        <v>2</v>
      </c>
      <c r="K737" t="str">
        <f t="shared" si="23"/>
        <v>Routing Compatible</v>
      </c>
    </row>
    <row r="738" spans="1:11">
      <c r="A738" t="s">
        <v>3942</v>
      </c>
      <c r="B738" t="s">
        <v>3944</v>
      </c>
      <c r="C738" t="s">
        <v>24</v>
      </c>
      <c r="D738" t="s">
        <v>120</v>
      </c>
      <c r="E738" t="s">
        <v>25</v>
      </c>
      <c r="F738" t="str">
        <f t="shared" si="22"/>
        <v>SMB</v>
      </c>
      <c r="G738">
        <f>_xlfn.XLOOKUP(D738,tblStates[state_code],tblStates[territory_id],"Needs Review - Territory")</f>
        <v>2</v>
      </c>
      <c r="H738" t="str">
        <f>IF(E738="","",_xlfn.XLOOKUP(E738,tblUsers[user_id],tblUsers[job_title],"Owner Not Found"))</f>
        <v>SMB Account Executive</v>
      </c>
      <c r="I738" t="str">
        <f>IF(E738="","",_xlfn.XLOOKUP(E738,tblUsers[user_id],tblUsers[segment],"Owner Not Found"))</f>
        <v>SMB</v>
      </c>
      <c r="J738">
        <f>IF(E738="","",_xlfn.XLOOKUP(E738,tblUsers[user_id],tblUsers[territory_id],"Owner Not Found"))</f>
        <v>2</v>
      </c>
      <c r="K738" t="str">
        <f t="shared" si="23"/>
        <v>Routing Compatible</v>
      </c>
    </row>
    <row r="739" spans="1:11">
      <c r="A739" t="s">
        <v>3945</v>
      </c>
      <c r="B739" t="s">
        <v>3947</v>
      </c>
      <c r="C739" t="s">
        <v>24</v>
      </c>
      <c r="D739" t="s">
        <v>192</v>
      </c>
      <c r="E739" t="s">
        <v>91</v>
      </c>
      <c r="F739" t="str">
        <f t="shared" si="22"/>
        <v>SMB</v>
      </c>
      <c r="G739">
        <f>_xlfn.XLOOKUP(D739,tblStates[state_code],tblStates[territory_id],"Needs Review - Territory")</f>
        <v>1</v>
      </c>
      <c r="H739" t="str">
        <f>IF(E739="","",_xlfn.XLOOKUP(E739,tblUsers[user_id],tblUsers[job_title],"Owner Not Found"))</f>
        <v>SMB Account Executive</v>
      </c>
      <c r="I739" t="str">
        <f>IF(E739="","",_xlfn.XLOOKUP(E739,tblUsers[user_id],tblUsers[segment],"Owner Not Found"))</f>
        <v>SMB</v>
      </c>
      <c r="J739">
        <f>IF(E739="","",_xlfn.XLOOKUP(E739,tblUsers[user_id],tblUsers[territory_id],"Owner Not Found"))</f>
        <v>1</v>
      </c>
      <c r="K739" t="str">
        <f t="shared" si="23"/>
        <v>Routing Compatible</v>
      </c>
    </row>
    <row r="740" spans="1:11">
      <c r="A740" t="s">
        <v>3948</v>
      </c>
      <c r="B740" t="s">
        <v>3950</v>
      </c>
      <c r="C740" t="s">
        <v>30</v>
      </c>
      <c r="D740" t="s">
        <v>635</v>
      </c>
      <c r="E740" t="s">
        <v>36</v>
      </c>
      <c r="F740" t="str">
        <f t="shared" si="22"/>
        <v>MM</v>
      </c>
      <c r="G740">
        <f>_xlfn.XLOOKUP(D740,tblStates[state_code],tblStates[territory_id],"Needs Review - Territory")</f>
        <v>4</v>
      </c>
      <c r="H740" t="str">
        <f>IF(E740="","",_xlfn.XLOOKUP(E740,tblUsers[user_id],tblUsers[job_title],"Owner Not Found"))</f>
        <v>Mid-Market Account Executive</v>
      </c>
      <c r="I740" t="str">
        <f>IF(E740="","",_xlfn.XLOOKUP(E740,tblUsers[user_id],tblUsers[segment],"Owner Not Found"))</f>
        <v>MM</v>
      </c>
      <c r="J740">
        <f>IF(E740="","",_xlfn.XLOOKUP(E740,tblUsers[user_id],tblUsers[territory_id],"Owner Not Found"))</f>
        <v>4</v>
      </c>
      <c r="K740" t="str">
        <f t="shared" si="23"/>
        <v>Routing Compatible</v>
      </c>
    </row>
    <row r="741" spans="1:11">
      <c r="A741" t="s">
        <v>3951</v>
      </c>
      <c r="B741" t="s">
        <v>3953</v>
      </c>
      <c r="C741" t="s">
        <v>24</v>
      </c>
      <c r="D741" t="s">
        <v>54</v>
      </c>
      <c r="E741" t="s">
        <v>69</v>
      </c>
      <c r="F741" t="str">
        <f t="shared" si="22"/>
        <v>SMB</v>
      </c>
      <c r="G741">
        <f>_xlfn.XLOOKUP(D741,tblStates[state_code],tblStates[territory_id],"Needs Review - Territory")</f>
        <v>3</v>
      </c>
      <c r="H741" t="str">
        <f>IF(E741="","",_xlfn.XLOOKUP(E741,tblUsers[user_id],tblUsers[job_title],"Owner Not Found"))</f>
        <v>SMB Account Executive</v>
      </c>
      <c r="I741" t="str">
        <f>IF(E741="","",_xlfn.XLOOKUP(E741,tblUsers[user_id],tblUsers[segment],"Owner Not Found"))</f>
        <v>SMB</v>
      </c>
      <c r="J741">
        <f>IF(E741="","",_xlfn.XLOOKUP(E741,tblUsers[user_id],tblUsers[territory_id],"Owner Not Found"))</f>
        <v>3</v>
      </c>
      <c r="K741" t="str">
        <f t="shared" si="23"/>
        <v>Routing Compatible</v>
      </c>
    </row>
    <row r="742" spans="1:11">
      <c r="A742" t="s">
        <v>3954</v>
      </c>
      <c r="B742" t="s">
        <v>3956</v>
      </c>
      <c r="C742" t="s">
        <v>30</v>
      </c>
      <c r="D742" t="s">
        <v>54</v>
      </c>
      <c r="E742" t="s">
        <v>55</v>
      </c>
      <c r="F742" t="str">
        <f t="shared" si="22"/>
        <v>MM</v>
      </c>
      <c r="G742">
        <f>_xlfn.XLOOKUP(D742,tblStates[state_code],tblStates[territory_id],"Needs Review - Territory")</f>
        <v>3</v>
      </c>
      <c r="H742" t="str">
        <f>IF(E742="","",_xlfn.XLOOKUP(E742,tblUsers[user_id],tblUsers[job_title],"Owner Not Found"))</f>
        <v>Mid-Market Account Executive</v>
      </c>
      <c r="I742" t="str">
        <f>IF(E742="","",_xlfn.XLOOKUP(E742,tblUsers[user_id],tblUsers[segment],"Owner Not Found"))</f>
        <v>MM</v>
      </c>
      <c r="J742">
        <f>IF(E742="","",_xlfn.XLOOKUP(E742,tblUsers[user_id],tblUsers[territory_id],"Owner Not Found"))</f>
        <v>3</v>
      </c>
      <c r="K742" t="str">
        <f t="shared" si="23"/>
        <v>Routing Compatible</v>
      </c>
    </row>
    <row r="743" spans="1:11">
      <c r="A743" t="s">
        <v>3957</v>
      </c>
      <c r="B743" t="s">
        <v>3959</v>
      </c>
      <c r="C743" t="s">
        <v>24</v>
      </c>
      <c r="D743" t="s">
        <v>81</v>
      </c>
      <c r="F743" t="str">
        <f t="shared" si="22"/>
        <v>SMB</v>
      </c>
      <c r="G743">
        <f>_xlfn.XLOOKUP(D743,tblStates[state_code],tblStates[territory_id],"Needs Review - Territory")</f>
        <v>2</v>
      </c>
      <c r="H743" t="str">
        <f>IF(E743="","",_xlfn.XLOOKUP(E743,tblUsers[user_id],tblUsers[job_title],"Owner Not Found"))</f>
        <v/>
      </c>
      <c r="I743" t="str">
        <f>IF(E743="","",_xlfn.XLOOKUP(E743,tblUsers[user_id],tblUsers[segment],"Owner Not Found"))</f>
        <v/>
      </c>
      <c r="J743" t="str">
        <f>IF(E743="","",_xlfn.XLOOKUP(E743,tblUsers[user_id],tblUsers[territory_id],"Owner Not Found"))</f>
        <v/>
      </c>
      <c r="K743" t="str">
        <f t="shared" si="23"/>
        <v>Unassigned</v>
      </c>
    </row>
    <row r="744" spans="1:11">
      <c r="A744" t="s">
        <v>3960</v>
      </c>
      <c r="B744" t="s">
        <v>3962</v>
      </c>
      <c r="C744" t="s">
        <v>30</v>
      </c>
      <c r="D744" t="s">
        <v>50</v>
      </c>
      <c r="E744" t="s">
        <v>36</v>
      </c>
      <c r="F744" t="str">
        <f t="shared" si="22"/>
        <v>MM</v>
      </c>
      <c r="G744">
        <f>_xlfn.XLOOKUP(D744,tblStates[state_code],tblStates[territory_id],"Needs Review - Territory")</f>
        <v>4</v>
      </c>
      <c r="H744" t="str">
        <f>IF(E744="","",_xlfn.XLOOKUP(E744,tblUsers[user_id],tblUsers[job_title],"Owner Not Found"))</f>
        <v>Mid-Market Account Executive</v>
      </c>
      <c r="I744" t="str">
        <f>IF(E744="","",_xlfn.XLOOKUP(E744,tblUsers[user_id],tblUsers[segment],"Owner Not Found"))</f>
        <v>MM</v>
      </c>
      <c r="J744">
        <f>IF(E744="","",_xlfn.XLOOKUP(E744,tblUsers[user_id],tblUsers[territory_id],"Owner Not Found"))</f>
        <v>4</v>
      </c>
      <c r="K744" t="str">
        <f t="shared" si="23"/>
        <v>Routing Compatible</v>
      </c>
    </row>
    <row r="745" spans="1:11">
      <c r="A745" t="s">
        <v>3963</v>
      </c>
      <c r="B745" t="s">
        <v>3965</v>
      </c>
      <c r="C745" t="s">
        <v>30</v>
      </c>
      <c r="D745" t="s">
        <v>560</v>
      </c>
      <c r="E745" t="s">
        <v>82</v>
      </c>
      <c r="F745" t="str">
        <f t="shared" si="22"/>
        <v>MM</v>
      </c>
      <c r="G745">
        <f>_xlfn.XLOOKUP(D745,tblStates[state_code],tblStates[territory_id],"Needs Review - Territory")</f>
        <v>2</v>
      </c>
      <c r="H745" t="str">
        <f>IF(E745="","",_xlfn.XLOOKUP(E745,tblUsers[user_id],tblUsers[job_title],"Owner Not Found"))</f>
        <v>Mid-Market Account Executive</v>
      </c>
      <c r="I745" t="str">
        <f>IF(E745="","",_xlfn.XLOOKUP(E745,tblUsers[user_id],tblUsers[segment],"Owner Not Found"))</f>
        <v>MM</v>
      </c>
      <c r="J745">
        <f>IF(E745="","",_xlfn.XLOOKUP(E745,tblUsers[user_id],tblUsers[territory_id],"Owner Not Found"))</f>
        <v>2</v>
      </c>
      <c r="K745" t="str">
        <f t="shared" si="23"/>
        <v>Routing Compatible</v>
      </c>
    </row>
    <row r="746" spans="1:11">
      <c r="A746" t="s">
        <v>3966</v>
      </c>
      <c r="B746" t="s">
        <v>3968</v>
      </c>
      <c r="C746" t="s">
        <v>30</v>
      </c>
      <c r="D746" t="s">
        <v>205</v>
      </c>
      <c r="E746" t="s">
        <v>36</v>
      </c>
      <c r="F746" t="str">
        <f t="shared" si="22"/>
        <v>MM</v>
      </c>
      <c r="G746">
        <f>_xlfn.XLOOKUP(D746,tblStates[state_code],tblStates[territory_id],"Needs Review - Territory")</f>
        <v>4</v>
      </c>
      <c r="H746" t="str">
        <f>IF(E746="","",_xlfn.XLOOKUP(E746,tblUsers[user_id],tblUsers[job_title],"Owner Not Found"))</f>
        <v>Mid-Market Account Executive</v>
      </c>
      <c r="I746" t="str">
        <f>IF(E746="","",_xlfn.XLOOKUP(E746,tblUsers[user_id],tblUsers[segment],"Owner Not Found"))</f>
        <v>MM</v>
      </c>
      <c r="J746">
        <f>IF(E746="","",_xlfn.XLOOKUP(E746,tblUsers[user_id],tblUsers[territory_id],"Owner Not Found"))</f>
        <v>4</v>
      </c>
      <c r="K746" t="str">
        <f t="shared" si="23"/>
        <v>Routing Compatible</v>
      </c>
    </row>
    <row r="747" spans="1:11">
      <c r="A747" t="s">
        <v>3969</v>
      </c>
      <c r="B747" t="s">
        <v>3971</v>
      </c>
      <c r="C747" t="s">
        <v>30</v>
      </c>
      <c r="D747" t="s">
        <v>41</v>
      </c>
      <c r="E747" t="s">
        <v>82</v>
      </c>
      <c r="F747" t="str">
        <f t="shared" si="22"/>
        <v>MM</v>
      </c>
      <c r="G747">
        <f>_xlfn.XLOOKUP(D747,tblStates[state_code],tblStates[territory_id],"Needs Review - Territory")</f>
        <v>2</v>
      </c>
      <c r="H747" t="str">
        <f>IF(E747="","",_xlfn.XLOOKUP(E747,tblUsers[user_id],tblUsers[job_title],"Owner Not Found"))</f>
        <v>Mid-Market Account Executive</v>
      </c>
      <c r="I747" t="str">
        <f>IF(E747="","",_xlfn.XLOOKUP(E747,tblUsers[user_id],tblUsers[segment],"Owner Not Found"))</f>
        <v>MM</v>
      </c>
      <c r="J747">
        <f>IF(E747="","",_xlfn.XLOOKUP(E747,tblUsers[user_id],tblUsers[territory_id],"Owner Not Found"))</f>
        <v>2</v>
      </c>
      <c r="K747" t="str">
        <f t="shared" si="23"/>
        <v>Routing Compatible</v>
      </c>
    </row>
    <row r="748" spans="1:11">
      <c r="A748" t="s">
        <v>3972</v>
      </c>
      <c r="B748" t="s">
        <v>3974</v>
      </c>
      <c r="C748" t="s">
        <v>30</v>
      </c>
      <c r="D748" t="s">
        <v>81</v>
      </c>
      <c r="E748" t="s">
        <v>82</v>
      </c>
      <c r="F748" t="str">
        <f t="shared" si="22"/>
        <v>MM</v>
      </c>
      <c r="G748">
        <f>_xlfn.XLOOKUP(D748,tblStates[state_code],tblStates[territory_id],"Needs Review - Territory")</f>
        <v>2</v>
      </c>
      <c r="H748" t="str">
        <f>IF(E748="","",_xlfn.XLOOKUP(E748,tblUsers[user_id],tblUsers[job_title],"Owner Not Found"))</f>
        <v>Mid-Market Account Executive</v>
      </c>
      <c r="I748" t="str">
        <f>IF(E748="","",_xlfn.XLOOKUP(E748,tblUsers[user_id],tblUsers[segment],"Owner Not Found"))</f>
        <v>MM</v>
      </c>
      <c r="J748">
        <f>IF(E748="","",_xlfn.XLOOKUP(E748,tblUsers[user_id],tblUsers[territory_id],"Owner Not Found"))</f>
        <v>2</v>
      </c>
      <c r="K748" t="str">
        <f t="shared" si="23"/>
        <v>Routing Compatible</v>
      </c>
    </row>
    <row r="749" spans="1:11">
      <c r="A749" t="s">
        <v>3975</v>
      </c>
      <c r="B749" t="s">
        <v>3977</v>
      </c>
      <c r="C749" t="s">
        <v>24</v>
      </c>
      <c r="D749" t="s">
        <v>50</v>
      </c>
      <c r="E749" t="s">
        <v>59</v>
      </c>
      <c r="F749" t="str">
        <f t="shared" si="22"/>
        <v>SMB</v>
      </c>
      <c r="G749">
        <f>_xlfn.XLOOKUP(D749,tblStates[state_code],tblStates[territory_id],"Needs Review - Territory")</f>
        <v>4</v>
      </c>
      <c r="H749" t="str">
        <f>IF(E749="","",_xlfn.XLOOKUP(E749,tblUsers[user_id],tblUsers[job_title],"Owner Not Found"))</f>
        <v>SMB Account Executive</v>
      </c>
      <c r="I749" t="str">
        <f>IF(E749="","",_xlfn.XLOOKUP(E749,tblUsers[user_id],tblUsers[segment],"Owner Not Found"))</f>
        <v>SMB</v>
      </c>
      <c r="J749">
        <f>IF(E749="","",_xlfn.XLOOKUP(E749,tblUsers[user_id],tblUsers[territory_id],"Owner Not Found"))</f>
        <v>4</v>
      </c>
      <c r="K749" t="str">
        <f t="shared" si="23"/>
        <v>Routing Compatible</v>
      </c>
    </row>
    <row r="750" spans="1:11">
      <c r="A750" t="s">
        <v>3978</v>
      </c>
      <c r="B750" t="s">
        <v>3980</v>
      </c>
      <c r="C750" t="s">
        <v>30</v>
      </c>
      <c r="D750" t="s">
        <v>95</v>
      </c>
      <c r="F750" t="str">
        <f t="shared" si="22"/>
        <v>MM</v>
      </c>
      <c r="G750">
        <f>_xlfn.XLOOKUP(D750,tblStates[state_code],tblStates[territory_id],"Needs Review - Territory")</f>
        <v>1</v>
      </c>
      <c r="H750" t="str">
        <f>IF(E750="","",_xlfn.XLOOKUP(E750,tblUsers[user_id],tblUsers[job_title],"Owner Not Found"))</f>
        <v/>
      </c>
      <c r="I750" t="str">
        <f>IF(E750="","",_xlfn.XLOOKUP(E750,tblUsers[user_id],tblUsers[segment],"Owner Not Found"))</f>
        <v/>
      </c>
      <c r="J750" t="str">
        <f>IF(E750="","",_xlfn.XLOOKUP(E750,tblUsers[user_id],tblUsers[territory_id],"Owner Not Found"))</f>
        <v/>
      </c>
      <c r="K750" t="str">
        <f t="shared" si="23"/>
        <v>Unassigned</v>
      </c>
    </row>
    <row r="751" spans="1:11">
      <c r="A751" t="s">
        <v>3981</v>
      </c>
      <c r="B751" t="s">
        <v>3983</v>
      </c>
      <c r="C751" t="s">
        <v>17</v>
      </c>
      <c r="D751" t="s">
        <v>16</v>
      </c>
      <c r="E751" t="s">
        <v>18</v>
      </c>
      <c r="F751" t="str">
        <f t="shared" si="22"/>
        <v>MM</v>
      </c>
      <c r="G751">
        <f>_xlfn.XLOOKUP(D751,tblStates[state_code],tblStates[territory_id],"Needs Review - Territory")</f>
        <v>1</v>
      </c>
      <c r="H751" t="str">
        <f>IF(E751="","",_xlfn.XLOOKUP(E751,tblUsers[user_id],tblUsers[job_title],"Owner Not Found"))</f>
        <v>Mid-Market Account Executive</v>
      </c>
      <c r="I751" t="str">
        <f>IF(E751="","",_xlfn.XLOOKUP(E751,tblUsers[user_id],tblUsers[segment],"Owner Not Found"))</f>
        <v>MM</v>
      </c>
      <c r="J751">
        <f>IF(E751="","",_xlfn.XLOOKUP(E751,tblUsers[user_id],tblUsers[territory_id],"Owner Not Found"))</f>
        <v>1</v>
      </c>
      <c r="K751" t="str">
        <f t="shared" si="23"/>
        <v>Routing Compatible</v>
      </c>
    </row>
    <row r="752" spans="1:11">
      <c r="A752" t="s">
        <v>3984</v>
      </c>
      <c r="B752" t="s">
        <v>3986</v>
      </c>
      <c r="C752" t="s">
        <v>30</v>
      </c>
      <c r="D752" t="s">
        <v>64</v>
      </c>
      <c r="E752" t="s">
        <v>55</v>
      </c>
      <c r="F752" t="str">
        <f t="shared" si="22"/>
        <v>MM</v>
      </c>
      <c r="G752">
        <f>_xlfn.XLOOKUP(D752,tblStates[state_code],tblStates[territory_id],"Needs Review - Territory")</f>
        <v>3</v>
      </c>
      <c r="H752" t="str">
        <f>IF(E752="","",_xlfn.XLOOKUP(E752,tblUsers[user_id],tblUsers[job_title],"Owner Not Found"))</f>
        <v>Mid-Market Account Executive</v>
      </c>
      <c r="I752" t="str">
        <f>IF(E752="","",_xlfn.XLOOKUP(E752,tblUsers[user_id],tblUsers[segment],"Owner Not Found"))</f>
        <v>MM</v>
      </c>
      <c r="J752">
        <f>IF(E752="","",_xlfn.XLOOKUP(E752,tblUsers[user_id],tblUsers[territory_id],"Owner Not Found"))</f>
        <v>3</v>
      </c>
      <c r="K752" t="str">
        <f t="shared" si="23"/>
        <v>Routing Compatible</v>
      </c>
    </row>
    <row r="753" spans="1:11">
      <c r="A753" t="s">
        <v>3987</v>
      </c>
      <c r="B753" t="s">
        <v>3989</v>
      </c>
      <c r="C753" t="s">
        <v>24</v>
      </c>
      <c r="D753" t="s">
        <v>68</v>
      </c>
      <c r="E753" t="s">
        <v>69</v>
      </c>
      <c r="F753" t="str">
        <f t="shared" si="22"/>
        <v>SMB</v>
      </c>
      <c r="G753">
        <f>_xlfn.XLOOKUP(D753,tblStates[state_code],tblStates[territory_id],"Needs Review - Territory")</f>
        <v>3</v>
      </c>
      <c r="H753" t="str">
        <f>IF(E753="","",_xlfn.XLOOKUP(E753,tblUsers[user_id],tblUsers[job_title],"Owner Not Found"))</f>
        <v>SMB Account Executive</v>
      </c>
      <c r="I753" t="str">
        <f>IF(E753="","",_xlfn.XLOOKUP(E753,tblUsers[user_id],tblUsers[segment],"Owner Not Found"))</f>
        <v>SMB</v>
      </c>
      <c r="J753">
        <f>IF(E753="","",_xlfn.XLOOKUP(E753,tblUsers[user_id],tblUsers[territory_id],"Owner Not Found"))</f>
        <v>3</v>
      </c>
      <c r="K753" t="str">
        <f t="shared" si="23"/>
        <v>Routing Compatible</v>
      </c>
    </row>
    <row r="754" spans="1:11">
      <c r="A754" t="s">
        <v>3990</v>
      </c>
      <c r="B754" t="s">
        <v>3992</v>
      </c>
      <c r="C754" t="s">
        <v>30</v>
      </c>
      <c r="D754" t="s">
        <v>1034</v>
      </c>
      <c r="E754" t="s">
        <v>36</v>
      </c>
      <c r="F754" t="str">
        <f t="shared" si="22"/>
        <v>MM</v>
      </c>
      <c r="G754">
        <f>_xlfn.XLOOKUP(D754,tblStates[state_code],tblStates[territory_id],"Needs Review - Territory")</f>
        <v>4</v>
      </c>
      <c r="H754" t="str">
        <f>IF(E754="","",_xlfn.XLOOKUP(E754,tblUsers[user_id],tblUsers[job_title],"Owner Not Found"))</f>
        <v>Mid-Market Account Executive</v>
      </c>
      <c r="I754" t="str">
        <f>IF(E754="","",_xlfn.XLOOKUP(E754,tblUsers[user_id],tblUsers[segment],"Owner Not Found"))</f>
        <v>MM</v>
      </c>
      <c r="J754">
        <f>IF(E754="","",_xlfn.XLOOKUP(E754,tblUsers[user_id],tblUsers[territory_id],"Owner Not Found"))</f>
        <v>4</v>
      </c>
      <c r="K754" t="str">
        <f t="shared" si="23"/>
        <v>Routing Compatible</v>
      </c>
    </row>
    <row r="755" spans="1:11">
      <c r="A755" t="s">
        <v>3993</v>
      </c>
      <c r="B755" t="s">
        <v>3995</v>
      </c>
      <c r="C755" t="s">
        <v>30</v>
      </c>
      <c r="D755" t="s">
        <v>366</v>
      </c>
      <c r="E755" t="s">
        <v>18</v>
      </c>
      <c r="F755" t="str">
        <f t="shared" si="22"/>
        <v>MM</v>
      </c>
      <c r="G755">
        <f>_xlfn.XLOOKUP(D755,tblStates[state_code],tblStates[territory_id],"Needs Review - Territory")</f>
        <v>1</v>
      </c>
      <c r="H755" t="str">
        <f>IF(E755="","",_xlfn.XLOOKUP(E755,tblUsers[user_id],tblUsers[job_title],"Owner Not Found"))</f>
        <v>Mid-Market Account Executive</v>
      </c>
      <c r="I755" t="str">
        <f>IF(E755="","",_xlfn.XLOOKUP(E755,tblUsers[user_id],tblUsers[segment],"Owner Not Found"))</f>
        <v>MM</v>
      </c>
      <c r="J755">
        <f>IF(E755="","",_xlfn.XLOOKUP(E755,tblUsers[user_id],tblUsers[territory_id],"Owner Not Found"))</f>
        <v>1</v>
      </c>
      <c r="K755" t="str">
        <f t="shared" si="23"/>
        <v>Routing Compatible</v>
      </c>
    </row>
    <row r="756" spans="1:11">
      <c r="A756" t="s">
        <v>3996</v>
      </c>
      <c r="B756" t="s">
        <v>3998</v>
      </c>
      <c r="C756" t="s">
        <v>24</v>
      </c>
      <c r="D756" t="s">
        <v>41</v>
      </c>
      <c r="E756" t="s">
        <v>25</v>
      </c>
      <c r="F756" t="str">
        <f t="shared" si="22"/>
        <v>SMB</v>
      </c>
      <c r="G756">
        <f>_xlfn.XLOOKUP(D756,tblStates[state_code],tblStates[territory_id],"Needs Review - Territory")</f>
        <v>2</v>
      </c>
      <c r="H756" t="str">
        <f>IF(E756="","",_xlfn.XLOOKUP(E756,tblUsers[user_id],tblUsers[job_title],"Owner Not Found"))</f>
        <v>SMB Account Executive</v>
      </c>
      <c r="I756" t="str">
        <f>IF(E756="","",_xlfn.XLOOKUP(E756,tblUsers[user_id],tblUsers[segment],"Owner Not Found"))</f>
        <v>SMB</v>
      </c>
      <c r="J756">
        <f>IF(E756="","",_xlfn.XLOOKUP(E756,tblUsers[user_id],tblUsers[territory_id],"Owner Not Found"))</f>
        <v>2</v>
      </c>
      <c r="K756" t="str">
        <f t="shared" si="23"/>
        <v>Routing Compatible</v>
      </c>
    </row>
    <row r="757" spans="1:11">
      <c r="A757" t="s">
        <v>3999</v>
      </c>
      <c r="B757" t="s">
        <v>4001</v>
      </c>
      <c r="D757" t="s">
        <v>415</v>
      </c>
      <c r="F757" t="str">
        <f t="shared" si="22"/>
        <v>Needs Review - Segment</v>
      </c>
      <c r="G757">
        <f>_xlfn.XLOOKUP(D757,tblStates[state_code],tblStates[territory_id],"Needs Review - Territory")</f>
        <v>3</v>
      </c>
      <c r="H757" t="str">
        <f>IF(E757="","",_xlfn.XLOOKUP(E757,tblUsers[user_id],tblUsers[job_title],"Owner Not Found"))</f>
        <v/>
      </c>
      <c r="I757" t="str">
        <f>IF(E757="","",_xlfn.XLOOKUP(E757,tblUsers[user_id],tblUsers[segment],"Owner Not Found"))</f>
        <v/>
      </c>
      <c r="J757" t="str">
        <f>IF(E757="","",_xlfn.XLOOKUP(E757,tblUsers[user_id],tblUsers[territory_id],"Owner Not Found"))</f>
        <v/>
      </c>
      <c r="K757" t="str">
        <f t="shared" si="23"/>
        <v>Unassigned</v>
      </c>
    </row>
    <row r="758" spans="1:11">
      <c r="A758" t="s">
        <v>4002</v>
      </c>
      <c r="B758" t="s">
        <v>4004</v>
      </c>
      <c r="C758" t="s">
        <v>30</v>
      </c>
      <c r="D758" t="s">
        <v>295</v>
      </c>
      <c r="E758" t="s">
        <v>82</v>
      </c>
      <c r="F758" t="str">
        <f t="shared" si="22"/>
        <v>MM</v>
      </c>
      <c r="G758">
        <f>_xlfn.XLOOKUP(D758,tblStates[state_code],tblStates[territory_id],"Needs Review - Territory")</f>
        <v>2</v>
      </c>
      <c r="H758" t="str">
        <f>IF(E758="","",_xlfn.XLOOKUP(E758,tblUsers[user_id],tblUsers[job_title],"Owner Not Found"))</f>
        <v>Mid-Market Account Executive</v>
      </c>
      <c r="I758" t="str">
        <f>IF(E758="","",_xlfn.XLOOKUP(E758,tblUsers[user_id],tblUsers[segment],"Owner Not Found"))</f>
        <v>MM</v>
      </c>
      <c r="J758">
        <f>IF(E758="","",_xlfn.XLOOKUP(E758,tblUsers[user_id],tblUsers[territory_id],"Owner Not Found"))</f>
        <v>2</v>
      </c>
      <c r="K758" t="str">
        <f t="shared" si="23"/>
        <v>Routing Compatible</v>
      </c>
    </row>
    <row r="759" spans="1:11">
      <c r="A759" t="s">
        <v>4005</v>
      </c>
      <c r="B759" t="s">
        <v>4007</v>
      </c>
      <c r="C759" t="s">
        <v>24</v>
      </c>
      <c r="D759" t="s">
        <v>81</v>
      </c>
      <c r="E759" t="s">
        <v>25</v>
      </c>
      <c r="F759" t="str">
        <f t="shared" si="22"/>
        <v>SMB</v>
      </c>
      <c r="G759">
        <f>_xlfn.XLOOKUP(D759,tblStates[state_code],tblStates[territory_id],"Needs Review - Territory")</f>
        <v>2</v>
      </c>
      <c r="H759" t="str">
        <f>IF(E759="","",_xlfn.XLOOKUP(E759,tblUsers[user_id],tblUsers[job_title],"Owner Not Found"))</f>
        <v>SMB Account Executive</v>
      </c>
      <c r="I759" t="str">
        <f>IF(E759="","",_xlfn.XLOOKUP(E759,tblUsers[user_id],tblUsers[segment],"Owner Not Found"))</f>
        <v>SMB</v>
      </c>
      <c r="J759">
        <f>IF(E759="","",_xlfn.XLOOKUP(E759,tblUsers[user_id],tblUsers[territory_id],"Owner Not Found"))</f>
        <v>2</v>
      </c>
      <c r="K759" t="str">
        <f t="shared" si="23"/>
        <v>Routing Compatible</v>
      </c>
    </row>
    <row r="760" spans="1:11">
      <c r="A760" t="s">
        <v>4008</v>
      </c>
      <c r="B760" t="s">
        <v>4010</v>
      </c>
      <c r="C760" t="s">
        <v>24</v>
      </c>
      <c r="D760" t="s">
        <v>54</v>
      </c>
      <c r="E760" t="s">
        <v>69</v>
      </c>
      <c r="F760" t="str">
        <f t="shared" si="22"/>
        <v>SMB</v>
      </c>
      <c r="G760">
        <f>_xlfn.XLOOKUP(D760,tblStates[state_code],tblStates[territory_id],"Needs Review - Territory")</f>
        <v>3</v>
      </c>
      <c r="H760" t="str">
        <f>IF(E760="","",_xlfn.XLOOKUP(E760,tblUsers[user_id],tblUsers[job_title],"Owner Not Found"))</f>
        <v>SMB Account Executive</v>
      </c>
      <c r="I760" t="str">
        <f>IF(E760="","",_xlfn.XLOOKUP(E760,tblUsers[user_id],tblUsers[segment],"Owner Not Found"))</f>
        <v>SMB</v>
      </c>
      <c r="J760">
        <f>IF(E760="","",_xlfn.XLOOKUP(E760,tblUsers[user_id],tblUsers[territory_id],"Owner Not Found"))</f>
        <v>3</v>
      </c>
      <c r="K760" t="str">
        <f t="shared" si="23"/>
        <v>Routing Compatible</v>
      </c>
    </row>
    <row r="761" spans="1:11">
      <c r="A761" t="s">
        <v>4011</v>
      </c>
      <c r="B761" t="s">
        <v>4013</v>
      </c>
      <c r="C761" t="s">
        <v>17</v>
      </c>
      <c r="D761" t="s">
        <v>226</v>
      </c>
      <c r="E761" t="s">
        <v>55</v>
      </c>
      <c r="F761" t="str">
        <f t="shared" si="22"/>
        <v>MM</v>
      </c>
      <c r="G761">
        <f>_xlfn.XLOOKUP(D761,tblStates[state_code],tblStates[territory_id],"Needs Review - Territory")</f>
        <v>3</v>
      </c>
      <c r="H761" t="str">
        <f>IF(E761="","",_xlfn.XLOOKUP(E761,tblUsers[user_id],tblUsers[job_title],"Owner Not Found"))</f>
        <v>Mid-Market Account Executive</v>
      </c>
      <c r="I761" t="str">
        <f>IF(E761="","",_xlfn.XLOOKUP(E761,tblUsers[user_id],tblUsers[segment],"Owner Not Found"))</f>
        <v>MM</v>
      </c>
      <c r="J761">
        <f>IF(E761="","",_xlfn.XLOOKUP(E761,tblUsers[user_id],tblUsers[territory_id],"Owner Not Found"))</f>
        <v>3</v>
      </c>
      <c r="K761" t="str">
        <f t="shared" si="23"/>
        <v>Routing Compatible</v>
      </c>
    </row>
    <row r="762" spans="1:11">
      <c r="A762" t="s">
        <v>4014</v>
      </c>
      <c r="B762" t="s">
        <v>4016</v>
      </c>
      <c r="C762" t="s">
        <v>24</v>
      </c>
      <c r="D762" t="s">
        <v>50</v>
      </c>
      <c r="E762" t="s">
        <v>59</v>
      </c>
      <c r="F762" t="str">
        <f t="shared" si="22"/>
        <v>SMB</v>
      </c>
      <c r="G762">
        <f>_xlfn.XLOOKUP(D762,tblStates[state_code],tblStates[territory_id],"Needs Review - Territory")</f>
        <v>4</v>
      </c>
      <c r="H762" t="str">
        <f>IF(E762="","",_xlfn.XLOOKUP(E762,tblUsers[user_id],tblUsers[job_title],"Owner Not Found"))</f>
        <v>SMB Account Executive</v>
      </c>
      <c r="I762" t="str">
        <f>IF(E762="","",_xlfn.XLOOKUP(E762,tblUsers[user_id],tblUsers[segment],"Owner Not Found"))</f>
        <v>SMB</v>
      </c>
      <c r="J762">
        <f>IF(E762="","",_xlfn.XLOOKUP(E762,tblUsers[user_id],tblUsers[territory_id],"Owner Not Found"))</f>
        <v>4</v>
      </c>
      <c r="K762" t="str">
        <f t="shared" si="23"/>
        <v>Routing Compatible</v>
      </c>
    </row>
    <row r="763" spans="1:11">
      <c r="A763" t="s">
        <v>4017</v>
      </c>
      <c r="B763" t="s">
        <v>4019</v>
      </c>
      <c r="D763" t="s">
        <v>576</v>
      </c>
      <c r="F763" t="str">
        <f t="shared" si="22"/>
        <v>Needs Review - Segment</v>
      </c>
      <c r="G763">
        <f>_xlfn.XLOOKUP(D763,tblStates[state_code],tblStates[territory_id],"Needs Review - Territory")</f>
        <v>2</v>
      </c>
      <c r="H763" t="str">
        <f>IF(E763="","",_xlfn.XLOOKUP(E763,tblUsers[user_id],tblUsers[job_title],"Owner Not Found"))</f>
        <v/>
      </c>
      <c r="I763" t="str">
        <f>IF(E763="","",_xlfn.XLOOKUP(E763,tblUsers[user_id],tblUsers[segment],"Owner Not Found"))</f>
        <v/>
      </c>
      <c r="J763" t="str">
        <f>IF(E763="","",_xlfn.XLOOKUP(E763,tblUsers[user_id],tblUsers[territory_id],"Owner Not Found"))</f>
        <v/>
      </c>
      <c r="K763" t="str">
        <f t="shared" si="23"/>
        <v>Unassigned</v>
      </c>
    </row>
    <row r="764" spans="1:11">
      <c r="A764" t="s">
        <v>4020</v>
      </c>
      <c r="B764" t="s">
        <v>4022</v>
      </c>
      <c r="C764" t="s">
        <v>30</v>
      </c>
      <c r="D764" t="s">
        <v>154</v>
      </c>
      <c r="E764" t="s">
        <v>82</v>
      </c>
      <c r="F764" t="str">
        <f t="shared" si="22"/>
        <v>MM</v>
      </c>
      <c r="G764">
        <f>_xlfn.XLOOKUP(D764,tblStates[state_code],tblStates[territory_id],"Needs Review - Territory")</f>
        <v>2</v>
      </c>
      <c r="H764" t="str">
        <f>IF(E764="","",_xlfn.XLOOKUP(E764,tblUsers[user_id],tblUsers[job_title],"Owner Not Found"))</f>
        <v>Mid-Market Account Executive</v>
      </c>
      <c r="I764" t="str">
        <f>IF(E764="","",_xlfn.XLOOKUP(E764,tblUsers[user_id],tblUsers[segment],"Owner Not Found"))</f>
        <v>MM</v>
      </c>
      <c r="J764">
        <f>IF(E764="","",_xlfn.XLOOKUP(E764,tblUsers[user_id],tblUsers[territory_id],"Owner Not Found"))</f>
        <v>2</v>
      </c>
      <c r="K764" t="str">
        <f t="shared" si="23"/>
        <v>Routing Compatible</v>
      </c>
    </row>
    <row r="765" spans="1:11">
      <c r="A765" t="s">
        <v>4023</v>
      </c>
      <c r="B765" t="s">
        <v>4025</v>
      </c>
      <c r="C765" t="s">
        <v>24</v>
      </c>
      <c r="D765" t="s">
        <v>140</v>
      </c>
      <c r="E765" t="s">
        <v>25</v>
      </c>
      <c r="F765" t="str">
        <f t="shared" si="22"/>
        <v>SMB</v>
      </c>
      <c r="G765">
        <f>_xlfn.XLOOKUP(D765,tblStates[state_code],tblStates[territory_id],"Needs Review - Territory")</f>
        <v>2</v>
      </c>
      <c r="H765" t="str">
        <f>IF(E765="","",_xlfn.XLOOKUP(E765,tblUsers[user_id],tblUsers[job_title],"Owner Not Found"))</f>
        <v>SMB Account Executive</v>
      </c>
      <c r="I765" t="str">
        <f>IF(E765="","",_xlfn.XLOOKUP(E765,tblUsers[user_id],tblUsers[segment],"Owner Not Found"))</f>
        <v>SMB</v>
      </c>
      <c r="J765">
        <f>IF(E765="","",_xlfn.XLOOKUP(E765,tblUsers[user_id],tblUsers[territory_id],"Owner Not Found"))</f>
        <v>2</v>
      </c>
      <c r="K765" t="str">
        <f t="shared" si="23"/>
        <v>Routing Compatible</v>
      </c>
    </row>
    <row r="766" spans="1:11">
      <c r="A766" t="s">
        <v>4026</v>
      </c>
      <c r="B766" t="s">
        <v>4028</v>
      </c>
      <c r="C766" t="s">
        <v>24</v>
      </c>
      <c r="E766" t="s">
        <v>91</v>
      </c>
      <c r="F766" t="str">
        <f t="shared" si="22"/>
        <v>SMB</v>
      </c>
      <c r="G766" t="str">
        <f>_xlfn.XLOOKUP(D766,tblStates[state_code],tblStates[territory_id],"Needs Review - Territory")</f>
        <v>Needs Review - Territory</v>
      </c>
      <c r="H766" t="str">
        <f>IF(E766="","",_xlfn.XLOOKUP(E766,tblUsers[user_id],tblUsers[job_title],"Owner Not Found"))</f>
        <v>SMB Account Executive</v>
      </c>
      <c r="I766" t="str">
        <f>IF(E766="","",_xlfn.XLOOKUP(E766,tblUsers[user_id],tblUsers[segment],"Owner Not Found"))</f>
        <v>SMB</v>
      </c>
      <c r="J766">
        <f>IF(E766="","",_xlfn.XLOOKUP(E766,tblUsers[user_id],tblUsers[territory_id],"Owner Not Found"))</f>
        <v>1</v>
      </c>
      <c r="K766" t="str">
        <f t="shared" si="23"/>
        <v>Needs Review - Territory</v>
      </c>
    </row>
    <row r="767" spans="1:11">
      <c r="A767" t="s">
        <v>4029</v>
      </c>
      <c r="B767" t="s">
        <v>4031</v>
      </c>
      <c r="C767" t="s">
        <v>30</v>
      </c>
      <c r="D767" t="s">
        <v>95</v>
      </c>
      <c r="F767" t="str">
        <f t="shared" si="22"/>
        <v>MM</v>
      </c>
      <c r="G767">
        <f>_xlfn.XLOOKUP(D767,tblStates[state_code],tblStates[territory_id],"Needs Review - Territory")</f>
        <v>1</v>
      </c>
      <c r="H767" t="str">
        <f>IF(E767="","",_xlfn.XLOOKUP(E767,tblUsers[user_id],tblUsers[job_title],"Owner Not Found"))</f>
        <v/>
      </c>
      <c r="I767" t="str">
        <f>IF(E767="","",_xlfn.XLOOKUP(E767,tblUsers[user_id],tblUsers[segment],"Owner Not Found"))</f>
        <v/>
      </c>
      <c r="J767" t="str">
        <f>IF(E767="","",_xlfn.XLOOKUP(E767,tblUsers[user_id],tblUsers[territory_id],"Owner Not Found"))</f>
        <v/>
      </c>
      <c r="K767" t="str">
        <f t="shared" si="23"/>
        <v>Unassigned</v>
      </c>
    </row>
    <row r="768" spans="1:11">
      <c r="A768" t="s">
        <v>4032</v>
      </c>
      <c r="B768" t="s">
        <v>4034</v>
      </c>
      <c r="D768" t="s">
        <v>339</v>
      </c>
      <c r="F768" t="str">
        <f t="shared" si="22"/>
        <v>Needs Review - Segment</v>
      </c>
      <c r="G768">
        <f>_xlfn.XLOOKUP(D768,tblStates[state_code],tblStates[territory_id],"Needs Review - Territory")</f>
        <v>3</v>
      </c>
      <c r="H768" t="str">
        <f>IF(E768="","",_xlfn.XLOOKUP(E768,tblUsers[user_id],tblUsers[job_title],"Owner Not Found"))</f>
        <v/>
      </c>
      <c r="I768" t="str">
        <f>IF(E768="","",_xlfn.XLOOKUP(E768,tblUsers[user_id],tblUsers[segment],"Owner Not Found"))</f>
        <v/>
      </c>
      <c r="J768" t="str">
        <f>IF(E768="","",_xlfn.XLOOKUP(E768,tblUsers[user_id],tblUsers[territory_id],"Owner Not Found"))</f>
        <v/>
      </c>
      <c r="K768" t="str">
        <f t="shared" si="23"/>
        <v>Unassigned</v>
      </c>
    </row>
    <row r="769" spans="1:11">
      <c r="A769" t="s">
        <v>4035</v>
      </c>
      <c r="B769" t="s">
        <v>4037</v>
      </c>
      <c r="C769" t="s">
        <v>24</v>
      </c>
      <c r="D769" t="s">
        <v>16</v>
      </c>
      <c r="E769" t="s">
        <v>91</v>
      </c>
      <c r="F769" t="str">
        <f t="shared" si="22"/>
        <v>SMB</v>
      </c>
      <c r="G769">
        <f>_xlfn.XLOOKUP(D769,tblStates[state_code],tblStates[territory_id],"Needs Review - Territory")</f>
        <v>1</v>
      </c>
      <c r="H769" t="str">
        <f>IF(E769="","",_xlfn.XLOOKUP(E769,tblUsers[user_id],tblUsers[job_title],"Owner Not Found"))</f>
        <v>SMB Account Executive</v>
      </c>
      <c r="I769" t="str">
        <f>IF(E769="","",_xlfn.XLOOKUP(E769,tblUsers[user_id],tblUsers[segment],"Owner Not Found"))</f>
        <v>SMB</v>
      </c>
      <c r="J769">
        <f>IF(E769="","",_xlfn.XLOOKUP(E769,tblUsers[user_id],tblUsers[territory_id],"Owner Not Found"))</f>
        <v>1</v>
      </c>
      <c r="K769" t="str">
        <f t="shared" si="23"/>
        <v>Routing Compatible</v>
      </c>
    </row>
    <row r="770" spans="1:11">
      <c r="A770" t="s">
        <v>4038</v>
      </c>
      <c r="B770" t="s">
        <v>4040</v>
      </c>
      <c r="C770" t="s">
        <v>24</v>
      </c>
      <c r="D770" t="s">
        <v>1093</v>
      </c>
      <c r="E770" t="s">
        <v>59</v>
      </c>
      <c r="F770" t="str">
        <f t="shared" si="22"/>
        <v>SMB</v>
      </c>
      <c r="G770">
        <f>_xlfn.XLOOKUP(D770,tblStates[state_code],tblStates[territory_id],"Needs Review - Territory")</f>
        <v>4</v>
      </c>
      <c r="H770" t="str">
        <f>IF(E770="","",_xlfn.XLOOKUP(E770,tblUsers[user_id],tblUsers[job_title],"Owner Not Found"))</f>
        <v>SMB Account Executive</v>
      </c>
      <c r="I770" t="str">
        <f>IF(E770="","",_xlfn.XLOOKUP(E770,tblUsers[user_id],tblUsers[segment],"Owner Not Found"))</f>
        <v>SMB</v>
      </c>
      <c r="J770">
        <f>IF(E770="","",_xlfn.XLOOKUP(E770,tblUsers[user_id],tblUsers[territory_id],"Owner Not Found"))</f>
        <v>4</v>
      </c>
      <c r="K770" t="str">
        <f t="shared" si="23"/>
        <v>Routing Compatible</v>
      </c>
    </row>
    <row r="771" spans="1:11">
      <c r="A771" t="s">
        <v>4041</v>
      </c>
      <c r="B771" t="s">
        <v>4043</v>
      </c>
      <c r="C771" t="s">
        <v>24</v>
      </c>
      <c r="D771" t="s">
        <v>249</v>
      </c>
      <c r="E771" t="s">
        <v>59</v>
      </c>
      <c r="F771" t="str">
        <f t="shared" ref="F771:F834" si="24">IF(C771="SMB","SMB",IF(OR(C771="Mid-Market",C771="Upper Mid-Market"),"MM","Needs Review - Segment"))</f>
        <v>SMB</v>
      </c>
      <c r="G771">
        <f>_xlfn.XLOOKUP(D771,tblStates[state_code],tblStates[territory_id],"Needs Review - Territory")</f>
        <v>4</v>
      </c>
      <c r="H771" t="str">
        <f>IF(E771="","",_xlfn.XLOOKUP(E771,tblUsers[user_id],tblUsers[job_title],"Owner Not Found"))</f>
        <v>SMB Account Executive</v>
      </c>
      <c r="I771" t="str">
        <f>IF(E771="","",_xlfn.XLOOKUP(E771,tblUsers[user_id],tblUsers[segment],"Owner Not Found"))</f>
        <v>SMB</v>
      </c>
      <c r="J771">
        <f>IF(E771="","",_xlfn.XLOOKUP(E771,tblUsers[user_id],tblUsers[territory_id],"Owner Not Found"))</f>
        <v>4</v>
      </c>
      <c r="K771" t="str">
        <f t="shared" ref="K771:K834" si="25">IF(E771="","Unassigned",IF(F771="Needs Review - Segment","Needs Review - Segment",IF(G771="Needs Review - Territory","Needs Review - Territory",IF(I771&lt;&gt;F771,"Wrong Segment",IF(AND(ISNUMBER(SEARCH("Account Executive",H771)),J771&lt;&gt;G771),"Wrong AE Territory",IF(OR(ISNUMBER(SEARCH("Account Executive",H771)),H771="Sales Development Representative"),"Routing Compatible","Unexpected Owner Role"))))))</f>
        <v>Routing Compatible</v>
      </c>
    </row>
    <row r="772" spans="1:11">
      <c r="A772" t="s">
        <v>4044</v>
      </c>
      <c r="B772" t="s">
        <v>4046</v>
      </c>
      <c r="C772" t="s">
        <v>30</v>
      </c>
      <c r="D772" t="s">
        <v>205</v>
      </c>
      <c r="E772" t="s">
        <v>36</v>
      </c>
      <c r="F772" t="str">
        <f t="shared" si="24"/>
        <v>MM</v>
      </c>
      <c r="G772">
        <f>_xlfn.XLOOKUP(D772,tblStates[state_code],tblStates[territory_id],"Needs Review - Territory")</f>
        <v>4</v>
      </c>
      <c r="H772" t="str">
        <f>IF(E772="","",_xlfn.XLOOKUP(E772,tblUsers[user_id],tblUsers[job_title],"Owner Not Found"))</f>
        <v>Mid-Market Account Executive</v>
      </c>
      <c r="I772" t="str">
        <f>IF(E772="","",_xlfn.XLOOKUP(E772,tblUsers[user_id],tblUsers[segment],"Owner Not Found"))</f>
        <v>MM</v>
      </c>
      <c r="J772">
        <f>IF(E772="","",_xlfn.XLOOKUP(E772,tblUsers[user_id],tblUsers[territory_id],"Owner Not Found"))</f>
        <v>4</v>
      </c>
      <c r="K772" t="str">
        <f t="shared" si="25"/>
        <v>Routing Compatible</v>
      </c>
    </row>
    <row r="773" spans="1:11">
      <c r="A773" t="s">
        <v>4047</v>
      </c>
      <c r="B773" t="s">
        <v>4049</v>
      </c>
      <c r="C773" t="s">
        <v>24</v>
      </c>
      <c r="D773" t="s">
        <v>140</v>
      </c>
      <c r="E773" t="s">
        <v>25</v>
      </c>
      <c r="F773" t="str">
        <f t="shared" si="24"/>
        <v>SMB</v>
      </c>
      <c r="G773">
        <f>_xlfn.XLOOKUP(D773,tblStates[state_code],tblStates[territory_id],"Needs Review - Territory")</f>
        <v>2</v>
      </c>
      <c r="H773" t="str">
        <f>IF(E773="","",_xlfn.XLOOKUP(E773,tblUsers[user_id],tblUsers[job_title],"Owner Not Found"))</f>
        <v>SMB Account Executive</v>
      </c>
      <c r="I773" t="str">
        <f>IF(E773="","",_xlfn.XLOOKUP(E773,tblUsers[user_id],tblUsers[segment],"Owner Not Found"))</f>
        <v>SMB</v>
      </c>
      <c r="J773">
        <f>IF(E773="","",_xlfn.XLOOKUP(E773,tblUsers[user_id],tblUsers[territory_id],"Owner Not Found"))</f>
        <v>2</v>
      </c>
      <c r="K773" t="str">
        <f t="shared" si="25"/>
        <v>Routing Compatible</v>
      </c>
    </row>
    <row r="774" spans="1:11">
      <c r="A774" t="s">
        <v>4050</v>
      </c>
      <c r="B774" t="s">
        <v>4052</v>
      </c>
      <c r="C774" t="s">
        <v>24</v>
      </c>
      <c r="D774" t="s">
        <v>140</v>
      </c>
      <c r="E774" t="s">
        <v>25</v>
      </c>
      <c r="F774" t="str">
        <f t="shared" si="24"/>
        <v>SMB</v>
      </c>
      <c r="G774">
        <f>_xlfn.XLOOKUP(D774,tblStates[state_code],tblStates[territory_id],"Needs Review - Territory")</f>
        <v>2</v>
      </c>
      <c r="H774" t="str">
        <f>IF(E774="","",_xlfn.XLOOKUP(E774,tblUsers[user_id],tblUsers[job_title],"Owner Not Found"))</f>
        <v>SMB Account Executive</v>
      </c>
      <c r="I774" t="str">
        <f>IF(E774="","",_xlfn.XLOOKUP(E774,tblUsers[user_id],tblUsers[segment],"Owner Not Found"))</f>
        <v>SMB</v>
      </c>
      <c r="J774">
        <f>IF(E774="","",_xlfn.XLOOKUP(E774,tblUsers[user_id],tblUsers[territory_id],"Owner Not Found"))</f>
        <v>2</v>
      </c>
      <c r="K774" t="str">
        <f t="shared" si="25"/>
        <v>Routing Compatible</v>
      </c>
    </row>
    <row r="775" spans="1:11">
      <c r="A775" t="s">
        <v>4053</v>
      </c>
      <c r="B775" t="s">
        <v>4055</v>
      </c>
      <c r="C775" t="s">
        <v>30</v>
      </c>
      <c r="D775" t="s">
        <v>81</v>
      </c>
      <c r="E775" t="s">
        <v>82</v>
      </c>
      <c r="F775" t="str">
        <f t="shared" si="24"/>
        <v>MM</v>
      </c>
      <c r="G775">
        <f>_xlfn.XLOOKUP(D775,tblStates[state_code],tblStates[territory_id],"Needs Review - Territory")</f>
        <v>2</v>
      </c>
      <c r="H775" t="str">
        <f>IF(E775="","",_xlfn.XLOOKUP(E775,tblUsers[user_id],tblUsers[job_title],"Owner Not Found"))</f>
        <v>Mid-Market Account Executive</v>
      </c>
      <c r="I775" t="str">
        <f>IF(E775="","",_xlfn.XLOOKUP(E775,tblUsers[user_id],tblUsers[segment],"Owner Not Found"))</f>
        <v>MM</v>
      </c>
      <c r="J775">
        <f>IF(E775="","",_xlfn.XLOOKUP(E775,tblUsers[user_id],tblUsers[territory_id],"Owner Not Found"))</f>
        <v>2</v>
      </c>
      <c r="K775" t="str">
        <f t="shared" si="25"/>
        <v>Routing Compatible</v>
      </c>
    </row>
    <row r="776" spans="1:11">
      <c r="A776" t="s">
        <v>4056</v>
      </c>
      <c r="B776" t="s">
        <v>4058</v>
      </c>
      <c r="C776" t="s">
        <v>24</v>
      </c>
      <c r="D776" t="s">
        <v>16</v>
      </c>
      <c r="E776" t="s">
        <v>91</v>
      </c>
      <c r="F776" t="str">
        <f t="shared" si="24"/>
        <v>SMB</v>
      </c>
      <c r="G776">
        <f>_xlfn.XLOOKUP(D776,tblStates[state_code],tblStates[territory_id],"Needs Review - Territory")</f>
        <v>1</v>
      </c>
      <c r="H776" t="str">
        <f>IF(E776="","",_xlfn.XLOOKUP(E776,tblUsers[user_id],tblUsers[job_title],"Owner Not Found"))</f>
        <v>SMB Account Executive</v>
      </c>
      <c r="I776" t="str">
        <f>IF(E776="","",_xlfn.XLOOKUP(E776,tblUsers[user_id],tblUsers[segment],"Owner Not Found"))</f>
        <v>SMB</v>
      </c>
      <c r="J776">
        <f>IF(E776="","",_xlfn.XLOOKUP(E776,tblUsers[user_id],tblUsers[territory_id],"Owner Not Found"))</f>
        <v>1</v>
      </c>
      <c r="K776" t="str">
        <f t="shared" si="25"/>
        <v>Routing Compatible</v>
      </c>
    </row>
    <row r="777" spans="1:11">
      <c r="A777" t="s">
        <v>4059</v>
      </c>
      <c r="B777" t="s">
        <v>4061</v>
      </c>
      <c r="C777" t="s">
        <v>24</v>
      </c>
      <c r="D777" t="s">
        <v>339</v>
      </c>
      <c r="E777" t="s">
        <v>69</v>
      </c>
      <c r="F777" t="str">
        <f t="shared" si="24"/>
        <v>SMB</v>
      </c>
      <c r="G777">
        <f>_xlfn.XLOOKUP(D777,tblStates[state_code],tblStates[territory_id],"Needs Review - Territory")</f>
        <v>3</v>
      </c>
      <c r="H777" t="str">
        <f>IF(E777="","",_xlfn.XLOOKUP(E777,tblUsers[user_id],tblUsers[job_title],"Owner Not Found"))</f>
        <v>SMB Account Executive</v>
      </c>
      <c r="I777" t="str">
        <f>IF(E777="","",_xlfn.XLOOKUP(E777,tblUsers[user_id],tblUsers[segment],"Owner Not Found"))</f>
        <v>SMB</v>
      </c>
      <c r="J777">
        <f>IF(E777="","",_xlfn.XLOOKUP(E777,tblUsers[user_id],tblUsers[territory_id],"Owner Not Found"))</f>
        <v>3</v>
      </c>
      <c r="K777" t="str">
        <f t="shared" si="25"/>
        <v>Routing Compatible</v>
      </c>
    </row>
    <row r="778" spans="1:11">
      <c r="A778" t="s">
        <v>4062</v>
      </c>
      <c r="B778" t="s">
        <v>4064</v>
      </c>
      <c r="C778" t="s">
        <v>17</v>
      </c>
      <c r="D778" t="s">
        <v>404</v>
      </c>
      <c r="F778" t="str">
        <f t="shared" si="24"/>
        <v>MM</v>
      </c>
      <c r="G778">
        <f>_xlfn.XLOOKUP(D778,tblStates[state_code],tblStates[territory_id],"Needs Review - Territory")</f>
        <v>2</v>
      </c>
      <c r="H778" t="str">
        <f>IF(E778="","",_xlfn.XLOOKUP(E778,tblUsers[user_id],tblUsers[job_title],"Owner Not Found"))</f>
        <v/>
      </c>
      <c r="I778" t="str">
        <f>IF(E778="","",_xlfn.XLOOKUP(E778,tblUsers[user_id],tblUsers[segment],"Owner Not Found"))</f>
        <v/>
      </c>
      <c r="J778" t="str">
        <f>IF(E778="","",_xlfn.XLOOKUP(E778,tblUsers[user_id],tblUsers[territory_id],"Owner Not Found"))</f>
        <v/>
      </c>
      <c r="K778" t="str">
        <f t="shared" si="25"/>
        <v>Unassigned</v>
      </c>
    </row>
    <row r="779" spans="1:11">
      <c r="A779" t="s">
        <v>4065</v>
      </c>
      <c r="B779" t="s">
        <v>4067</v>
      </c>
      <c r="C779" t="s">
        <v>24</v>
      </c>
      <c r="D779" t="s">
        <v>120</v>
      </c>
      <c r="E779" t="s">
        <v>25</v>
      </c>
      <c r="F779" t="str">
        <f t="shared" si="24"/>
        <v>SMB</v>
      </c>
      <c r="G779">
        <f>_xlfn.XLOOKUP(D779,tblStates[state_code],tblStates[territory_id],"Needs Review - Territory")</f>
        <v>2</v>
      </c>
      <c r="H779" t="str">
        <f>IF(E779="","",_xlfn.XLOOKUP(E779,tblUsers[user_id],tblUsers[job_title],"Owner Not Found"))</f>
        <v>SMB Account Executive</v>
      </c>
      <c r="I779" t="str">
        <f>IF(E779="","",_xlfn.XLOOKUP(E779,tblUsers[user_id],tblUsers[segment],"Owner Not Found"))</f>
        <v>SMB</v>
      </c>
      <c r="J779">
        <f>IF(E779="","",_xlfn.XLOOKUP(E779,tblUsers[user_id],tblUsers[territory_id],"Owner Not Found"))</f>
        <v>2</v>
      </c>
      <c r="K779" t="str">
        <f t="shared" si="25"/>
        <v>Routing Compatible</v>
      </c>
    </row>
    <row r="780" spans="1:11">
      <c r="A780" t="s">
        <v>4068</v>
      </c>
      <c r="B780" t="s">
        <v>4070</v>
      </c>
      <c r="C780" t="s">
        <v>24</v>
      </c>
      <c r="D780" t="s">
        <v>50</v>
      </c>
      <c r="E780" t="s">
        <v>59</v>
      </c>
      <c r="F780" t="str">
        <f t="shared" si="24"/>
        <v>SMB</v>
      </c>
      <c r="G780">
        <f>_xlfn.XLOOKUP(D780,tblStates[state_code],tblStates[territory_id],"Needs Review - Territory")</f>
        <v>4</v>
      </c>
      <c r="H780" t="str">
        <f>IF(E780="","",_xlfn.XLOOKUP(E780,tblUsers[user_id],tblUsers[job_title],"Owner Not Found"))</f>
        <v>SMB Account Executive</v>
      </c>
      <c r="I780" t="str">
        <f>IF(E780="","",_xlfn.XLOOKUP(E780,tblUsers[user_id],tblUsers[segment],"Owner Not Found"))</f>
        <v>SMB</v>
      </c>
      <c r="J780">
        <f>IF(E780="","",_xlfn.XLOOKUP(E780,tblUsers[user_id],tblUsers[territory_id],"Owner Not Found"))</f>
        <v>4</v>
      </c>
      <c r="K780" t="str">
        <f t="shared" si="25"/>
        <v>Routing Compatible</v>
      </c>
    </row>
    <row r="781" spans="1:11">
      <c r="A781" t="s">
        <v>4071</v>
      </c>
      <c r="B781" t="s">
        <v>4073</v>
      </c>
      <c r="C781" t="s">
        <v>17</v>
      </c>
      <c r="D781" t="s">
        <v>415</v>
      </c>
      <c r="E781" t="s">
        <v>55</v>
      </c>
      <c r="F781" t="str">
        <f t="shared" si="24"/>
        <v>MM</v>
      </c>
      <c r="G781">
        <f>_xlfn.XLOOKUP(D781,tblStates[state_code],tblStates[territory_id],"Needs Review - Territory")</f>
        <v>3</v>
      </c>
      <c r="H781" t="str">
        <f>IF(E781="","",_xlfn.XLOOKUP(E781,tblUsers[user_id],tblUsers[job_title],"Owner Not Found"))</f>
        <v>Mid-Market Account Executive</v>
      </c>
      <c r="I781" t="str">
        <f>IF(E781="","",_xlfn.XLOOKUP(E781,tblUsers[user_id],tblUsers[segment],"Owner Not Found"))</f>
        <v>MM</v>
      </c>
      <c r="J781">
        <f>IF(E781="","",_xlfn.XLOOKUP(E781,tblUsers[user_id],tblUsers[territory_id],"Owner Not Found"))</f>
        <v>3</v>
      </c>
      <c r="K781" t="str">
        <f t="shared" si="25"/>
        <v>Routing Compatible</v>
      </c>
    </row>
    <row r="782" spans="1:11">
      <c r="A782" t="s">
        <v>4074</v>
      </c>
      <c r="B782" t="s">
        <v>4076</v>
      </c>
      <c r="C782" t="s">
        <v>24</v>
      </c>
      <c r="D782" t="s">
        <v>205</v>
      </c>
      <c r="E782" t="s">
        <v>59</v>
      </c>
      <c r="F782" t="str">
        <f t="shared" si="24"/>
        <v>SMB</v>
      </c>
      <c r="G782">
        <f>_xlfn.XLOOKUP(D782,tblStates[state_code],tblStates[territory_id],"Needs Review - Territory")</f>
        <v>4</v>
      </c>
      <c r="H782" t="str">
        <f>IF(E782="","",_xlfn.XLOOKUP(E782,tblUsers[user_id],tblUsers[job_title],"Owner Not Found"))</f>
        <v>SMB Account Executive</v>
      </c>
      <c r="I782" t="str">
        <f>IF(E782="","",_xlfn.XLOOKUP(E782,tblUsers[user_id],tblUsers[segment],"Owner Not Found"))</f>
        <v>SMB</v>
      </c>
      <c r="J782">
        <f>IF(E782="","",_xlfn.XLOOKUP(E782,tblUsers[user_id],tblUsers[territory_id],"Owner Not Found"))</f>
        <v>4</v>
      </c>
      <c r="K782" t="str">
        <f t="shared" si="25"/>
        <v>Routing Compatible</v>
      </c>
    </row>
    <row r="783" spans="1:11">
      <c r="A783" t="s">
        <v>4077</v>
      </c>
      <c r="B783" t="s">
        <v>4079</v>
      </c>
      <c r="C783" t="s">
        <v>30</v>
      </c>
      <c r="D783" t="s">
        <v>140</v>
      </c>
      <c r="E783" t="s">
        <v>82</v>
      </c>
      <c r="F783" t="str">
        <f t="shared" si="24"/>
        <v>MM</v>
      </c>
      <c r="G783">
        <f>_xlfn.XLOOKUP(D783,tblStates[state_code],tblStates[territory_id],"Needs Review - Territory")</f>
        <v>2</v>
      </c>
      <c r="H783" t="str">
        <f>IF(E783="","",_xlfn.XLOOKUP(E783,tblUsers[user_id],tblUsers[job_title],"Owner Not Found"))</f>
        <v>Mid-Market Account Executive</v>
      </c>
      <c r="I783" t="str">
        <f>IF(E783="","",_xlfn.XLOOKUP(E783,tblUsers[user_id],tblUsers[segment],"Owner Not Found"))</f>
        <v>MM</v>
      </c>
      <c r="J783">
        <f>IF(E783="","",_xlfn.XLOOKUP(E783,tblUsers[user_id],tblUsers[territory_id],"Owner Not Found"))</f>
        <v>2</v>
      </c>
      <c r="K783" t="str">
        <f t="shared" si="25"/>
        <v>Routing Compatible</v>
      </c>
    </row>
    <row r="784" spans="1:11">
      <c r="A784" t="s">
        <v>4080</v>
      </c>
      <c r="B784" t="s">
        <v>4082</v>
      </c>
      <c r="C784" t="s">
        <v>17</v>
      </c>
      <c r="D784" t="s">
        <v>68</v>
      </c>
      <c r="E784" t="s">
        <v>55</v>
      </c>
      <c r="F784" t="str">
        <f t="shared" si="24"/>
        <v>MM</v>
      </c>
      <c r="G784">
        <f>_xlfn.XLOOKUP(D784,tblStates[state_code],tblStates[territory_id],"Needs Review - Territory")</f>
        <v>3</v>
      </c>
      <c r="H784" t="str">
        <f>IF(E784="","",_xlfn.XLOOKUP(E784,tblUsers[user_id],tblUsers[job_title],"Owner Not Found"))</f>
        <v>Mid-Market Account Executive</v>
      </c>
      <c r="I784" t="str">
        <f>IF(E784="","",_xlfn.XLOOKUP(E784,tblUsers[user_id],tblUsers[segment],"Owner Not Found"))</f>
        <v>MM</v>
      </c>
      <c r="J784">
        <f>IF(E784="","",_xlfn.XLOOKUP(E784,tblUsers[user_id],tblUsers[territory_id],"Owner Not Found"))</f>
        <v>3</v>
      </c>
      <c r="K784" t="str">
        <f t="shared" si="25"/>
        <v>Routing Compatible</v>
      </c>
    </row>
    <row r="785" spans="1:11">
      <c r="A785" t="s">
        <v>4083</v>
      </c>
      <c r="B785" t="s">
        <v>4085</v>
      </c>
      <c r="C785" t="s">
        <v>24</v>
      </c>
      <c r="D785" t="s">
        <v>95</v>
      </c>
      <c r="E785" t="s">
        <v>91</v>
      </c>
      <c r="F785" t="str">
        <f t="shared" si="24"/>
        <v>SMB</v>
      </c>
      <c r="G785">
        <f>_xlfn.XLOOKUP(D785,tblStates[state_code],tblStates[territory_id],"Needs Review - Territory")</f>
        <v>1</v>
      </c>
      <c r="H785" t="str">
        <f>IF(E785="","",_xlfn.XLOOKUP(E785,tblUsers[user_id],tblUsers[job_title],"Owner Not Found"))</f>
        <v>SMB Account Executive</v>
      </c>
      <c r="I785" t="str">
        <f>IF(E785="","",_xlfn.XLOOKUP(E785,tblUsers[user_id],tblUsers[segment],"Owner Not Found"))</f>
        <v>SMB</v>
      </c>
      <c r="J785">
        <f>IF(E785="","",_xlfn.XLOOKUP(E785,tblUsers[user_id],tblUsers[territory_id],"Owner Not Found"))</f>
        <v>1</v>
      </c>
      <c r="K785" t="str">
        <f t="shared" si="25"/>
        <v>Routing Compatible</v>
      </c>
    </row>
    <row r="786" spans="1:11">
      <c r="A786" t="s">
        <v>4086</v>
      </c>
      <c r="B786" t="s">
        <v>4088</v>
      </c>
      <c r="C786" t="s">
        <v>24</v>
      </c>
      <c r="D786" t="s">
        <v>154</v>
      </c>
      <c r="E786" t="s">
        <v>25</v>
      </c>
      <c r="F786" t="str">
        <f t="shared" si="24"/>
        <v>SMB</v>
      </c>
      <c r="G786">
        <f>_xlfn.XLOOKUP(D786,tblStates[state_code],tblStates[territory_id],"Needs Review - Territory")</f>
        <v>2</v>
      </c>
      <c r="H786" t="str">
        <f>IF(E786="","",_xlfn.XLOOKUP(E786,tblUsers[user_id],tblUsers[job_title],"Owner Not Found"))</f>
        <v>SMB Account Executive</v>
      </c>
      <c r="I786" t="str">
        <f>IF(E786="","",_xlfn.XLOOKUP(E786,tblUsers[user_id],tblUsers[segment],"Owner Not Found"))</f>
        <v>SMB</v>
      </c>
      <c r="J786">
        <f>IF(E786="","",_xlfn.XLOOKUP(E786,tblUsers[user_id],tblUsers[territory_id],"Owner Not Found"))</f>
        <v>2</v>
      </c>
      <c r="K786" t="str">
        <f t="shared" si="25"/>
        <v>Routing Compatible</v>
      </c>
    </row>
    <row r="787" spans="1:11">
      <c r="A787" t="s">
        <v>4089</v>
      </c>
      <c r="B787" t="s">
        <v>4091</v>
      </c>
      <c r="D787" t="s">
        <v>216</v>
      </c>
      <c r="F787" t="str">
        <f t="shared" si="24"/>
        <v>Needs Review - Segment</v>
      </c>
      <c r="G787">
        <f>_xlfn.XLOOKUP(D787,tblStates[state_code],tblStates[territory_id],"Needs Review - Territory")</f>
        <v>1</v>
      </c>
      <c r="H787" t="str">
        <f>IF(E787="","",_xlfn.XLOOKUP(E787,tblUsers[user_id],tblUsers[job_title],"Owner Not Found"))</f>
        <v/>
      </c>
      <c r="I787" t="str">
        <f>IF(E787="","",_xlfn.XLOOKUP(E787,tblUsers[user_id],tblUsers[segment],"Owner Not Found"))</f>
        <v/>
      </c>
      <c r="J787" t="str">
        <f>IF(E787="","",_xlfn.XLOOKUP(E787,tblUsers[user_id],tblUsers[territory_id],"Owner Not Found"))</f>
        <v/>
      </c>
      <c r="K787" t="str">
        <f t="shared" si="25"/>
        <v>Unassigned</v>
      </c>
    </row>
    <row r="788" spans="1:11">
      <c r="A788" t="s">
        <v>4092</v>
      </c>
      <c r="B788" t="s">
        <v>4094</v>
      </c>
      <c r="C788" t="s">
        <v>30</v>
      </c>
      <c r="D788" t="s">
        <v>23</v>
      </c>
      <c r="E788" t="s">
        <v>82</v>
      </c>
      <c r="F788" t="str">
        <f t="shared" si="24"/>
        <v>MM</v>
      </c>
      <c r="G788">
        <f>_xlfn.XLOOKUP(D788,tblStates[state_code],tblStates[territory_id],"Needs Review - Territory")</f>
        <v>2</v>
      </c>
      <c r="H788" t="str">
        <f>IF(E788="","",_xlfn.XLOOKUP(E788,tblUsers[user_id],tblUsers[job_title],"Owner Not Found"))</f>
        <v>Mid-Market Account Executive</v>
      </c>
      <c r="I788" t="str">
        <f>IF(E788="","",_xlfn.XLOOKUP(E788,tblUsers[user_id],tblUsers[segment],"Owner Not Found"))</f>
        <v>MM</v>
      </c>
      <c r="J788">
        <f>IF(E788="","",_xlfn.XLOOKUP(E788,tblUsers[user_id],tblUsers[territory_id],"Owner Not Found"))</f>
        <v>2</v>
      </c>
      <c r="K788" t="str">
        <f t="shared" si="25"/>
        <v>Routing Compatible</v>
      </c>
    </row>
    <row r="789" spans="1:11">
      <c r="A789" t="s">
        <v>4095</v>
      </c>
      <c r="B789" t="s">
        <v>4097</v>
      </c>
      <c r="C789" t="s">
        <v>24</v>
      </c>
      <c r="D789" t="s">
        <v>178</v>
      </c>
      <c r="E789" t="s">
        <v>59</v>
      </c>
      <c r="F789" t="str">
        <f t="shared" si="24"/>
        <v>SMB</v>
      </c>
      <c r="G789">
        <f>_xlfn.XLOOKUP(D789,tblStates[state_code],tblStates[territory_id],"Needs Review - Territory")</f>
        <v>4</v>
      </c>
      <c r="H789" t="str">
        <f>IF(E789="","",_xlfn.XLOOKUP(E789,tblUsers[user_id],tblUsers[job_title],"Owner Not Found"))</f>
        <v>SMB Account Executive</v>
      </c>
      <c r="I789" t="str">
        <f>IF(E789="","",_xlfn.XLOOKUP(E789,tblUsers[user_id],tblUsers[segment],"Owner Not Found"))</f>
        <v>SMB</v>
      </c>
      <c r="J789">
        <f>IF(E789="","",_xlfn.XLOOKUP(E789,tblUsers[user_id],tblUsers[territory_id],"Owner Not Found"))</f>
        <v>4</v>
      </c>
      <c r="K789" t="str">
        <f t="shared" si="25"/>
        <v>Routing Compatible</v>
      </c>
    </row>
    <row r="790" spans="1:11">
      <c r="A790" t="s">
        <v>4098</v>
      </c>
      <c r="B790" t="s">
        <v>4100</v>
      </c>
      <c r="C790" t="s">
        <v>30</v>
      </c>
      <c r="D790" t="s">
        <v>236</v>
      </c>
      <c r="E790" t="s">
        <v>18</v>
      </c>
      <c r="F790" t="str">
        <f t="shared" si="24"/>
        <v>MM</v>
      </c>
      <c r="G790">
        <f>_xlfn.XLOOKUP(D790,tblStates[state_code],tblStates[territory_id],"Needs Review - Territory")</f>
        <v>1</v>
      </c>
      <c r="H790" t="str">
        <f>IF(E790="","",_xlfn.XLOOKUP(E790,tblUsers[user_id],tblUsers[job_title],"Owner Not Found"))</f>
        <v>Mid-Market Account Executive</v>
      </c>
      <c r="I790" t="str">
        <f>IF(E790="","",_xlfn.XLOOKUP(E790,tblUsers[user_id],tblUsers[segment],"Owner Not Found"))</f>
        <v>MM</v>
      </c>
      <c r="J790">
        <f>IF(E790="","",_xlfn.XLOOKUP(E790,tblUsers[user_id],tblUsers[territory_id],"Owner Not Found"))</f>
        <v>1</v>
      </c>
      <c r="K790" t="str">
        <f t="shared" si="25"/>
        <v>Routing Compatible</v>
      </c>
    </row>
    <row r="791" spans="1:11">
      <c r="A791" t="s">
        <v>4101</v>
      </c>
      <c r="B791" t="s">
        <v>4103</v>
      </c>
      <c r="C791" t="s">
        <v>30</v>
      </c>
      <c r="D791" t="s">
        <v>16</v>
      </c>
      <c r="E791" t="s">
        <v>18</v>
      </c>
      <c r="F791" t="str">
        <f t="shared" si="24"/>
        <v>MM</v>
      </c>
      <c r="G791">
        <f>_xlfn.XLOOKUP(D791,tblStates[state_code],tblStates[territory_id],"Needs Review - Territory")</f>
        <v>1</v>
      </c>
      <c r="H791" t="str">
        <f>IF(E791="","",_xlfn.XLOOKUP(E791,tblUsers[user_id],tblUsers[job_title],"Owner Not Found"))</f>
        <v>Mid-Market Account Executive</v>
      </c>
      <c r="I791" t="str">
        <f>IF(E791="","",_xlfn.XLOOKUP(E791,tblUsers[user_id],tblUsers[segment],"Owner Not Found"))</f>
        <v>MM</v>
      </c>
      <c r="J791">
        <f>IF(E791="","",_xlfn.XLOOKUP(E791,tblUsers[user_id],tblUsers[territory_id],"Owner Not Found"))</f>
        <v>1</v>
      </c>
      <c r="K791" t="str">
        <f t="shared" si="25"/>
        <v>Routing Compatible</v>
      </c>
    </row>
    <row r="792" spans="1:11">
      <c r="A792" t="s">
        <v>4104</v>
      </c>
      <c r="B792" t="s">
        <v>4106</v>
      </c>
      <c r="C792" t="s">
        <v>24</v>
      </c>
      <c r="D792" t="s">
        <v>50</v>
      </c>
      <c r="E792" t="s">
        <v>59</v>
      </c>
      <c r="F792" t="str">
        <f t="shared" si="24"/>
        <v>SMB</v>
      </c>
      <c r="G792">
        <f>_xlfn.XLOOKUP(D792,tblStates[state_code],tblStates[territory_id],"Needs Review - Territory")</f>
        <v>4</v>
      </c>
      <c r="H792" t="str">
        <f>IF(E792="","",_xlfn.XLOOKUP(E792,tblUsers[user_id],tblUsers[job_title],"Owner Not Found"))</f>
        <v>SMB Account Executive</v>
      </c>
      <c r="I792" t="str">
        <f>IF(E792="","",_xlfn.XLOOKUP(E792,tblUsers[user_id],tblUsers[segment],"Owner Not Found"))</f>
        <v>SMB</v>
      </c>
      <c r="J792">
        <f>IF(E792="","",_xlfn.XLOOKUP(E792,tblUsers[user_id],tblUsers[territory_id],"Owner Not Found"))</f>
        <v>4</v>
      </c>
      <c r="K792" t="str">
        <f t="shared" si="25"/>
        <v>Routing Compatible</v>
      </c>
    </row>
    <row r="793" spans="1:11">
      <c r="A793" t="s">
        <v>4107</v>
      </c>
      <c r="B793" t="s">
        <v>4109</v>
      </c>
      <c r="C793" t="s">
        <v>24</v>
      </c>
      <c r="D793" t="s">
        <v>50</v>
      </c>
      <c r="E793" t="s">
        <v>59</v>
      </c>
      <c r="F793" t="str">
        <f t="shared" si="24"/>
        <v>SMB</v>
      </c>
      <c r="G793">
        <f>_xlfn.XLOOKUP(D793,tblStates[state_code],tblStates[territory_id],"Needs Review - Territory")</f>
        <v>4</v>
      </c>
      <c r="H793" t="str">
        <f>IF(E793="","",_xlfn.XLOOKUP(E793,tblUsers[user_id],tblUsers[job_title],"Owner Not Found"))</f>
        <v>SMB Account Executive</v>
      </c>
      <c r="I793" t="str">
        <f>IF(E793="","",_xlfn.XLOOKUP(E793,tblUsers[user_id],tblUsers[segment],"Owner Not Found"))</f>
        <v>SMB</v>
      </c>
      <c r="J793">
        <f>IF(E793="","",_xlfn.XLOOKUP(E793,tblUsers[user_id],tblUsers[territory_id],"Owner Not Found"))</f>
        <v>4</v>
      </c>
      <c r="K793" t="str">
        <f t="shared" si="25"/>
        <v>Routing Compatible</v>
      </c>
    </row>
    <row r="794" spans="1:11">
      <c r="A794" t="s">
        <v>4110</v>
      </c>
      <c r="B794" t="s">
        <v>4112</v>
      </c>
      <c r="C794" t="s">
        <v>24</v>
      </c>
      <c r="D794" t="s">
        <v>323</v>
      </c>
      <c r="E794" t="s">
        <v>25</v>
      </c>
      <c r="F794" t="str">
        <f t="shared" si="24"/>
        <v>SMB</v>
      </c>
      <c r="G794">
        <f>_xlfn.XLOOKUP(D794,tblStates[state_code],tblStates[territory_id],"Needs Review - Territory")</f>
        <v>2</v>
      </c>
      <c r="H794" t="str">
        <f>IF(E794="","",_xlfn.XLOOKUP(E794,tblUsers[user_id],tblUsers[job_title],"Owner Not Found"))</f>
        <v>SMB Account Executive</v>
      </c>
      <c r="I794" t="str">
        <f>IF(E794="","",_xlfn.XLOOKUP(E794,tblUsers[user_id],tblUsers[segment],"Owner Not Found"))</f>
        <v>SMB</v>
      </c>
      <c r="J794">
        <f>IF(E794="","",_xlfn.XLOOKUP(E794,tblUsers[user_id],tblUsers[territory_id],"Owner Not Found"))</f>
        <v>2</v>
      </c>
      <c r="K794" t="str">
        <f t="shared" si="25"/>
        <v>Routing Compatible</v>
      </c>
    </row>
    <row r="795" spans="1:11">
      <c r="A795" t="s">
        <v>4113</v>
      </c>
      <c r="B795" t="s">
        <v>4115</v>
      </c>
      <c r="C795" t="s">
        <v>24</v>
      </c>
      <c r="D795" t="s">
        <v>154</v>
      </c>
      <c r="E795" t="s">
        <v>25</v>
      </c>
      <c r="F795" t="str">
        <f t="shared" si="24"/>
        <v>SMB</v>
      </c>
      <c r="G795">
        <f>_xlfn.XLOOKUP(D795,tblStates[state_code],tblStates[territory_id],"Needs Review - Territory")</f>
        <v>2</v>
      </c>
      <c r="H795" t="str">
        <f>IF(E795="","",_xlfn.XLOOKUP(E795,tblUsers[user_id],tblUsers[job_title],"Owner Not Found"))</f>
        <v>SMB Account Executive</v>
      </c>
      <c r="I795" t="str">
        <f>IF(E795="","",_xlfn.XLOOKUP(E795,tblUsers[user_id],tblUsers[segment],"Owner Not Found"))</f>
        <v>SMB</v>
      </c>
      <c r="J795">
        <f>IF(E795="","",_xlfn.XLOOKUP(E795,tblUsers[user_id],tblUsers[territory_id],"Owner Not Found"))</f>
        <v>2</v>
      </c>
      <c r="K795" t="str">
        <f t="shared" si="25"/>
        <v>Routing Compatible</v>
      </c>
    </row>
    <row r="796" spans="1:11">
      <c r="A796" t="s">
        <v>4116</v>
      </c>
      <c r="B796" t="s">
        <v>4118</v>
      </c>
      <c r="C796" t="s">
        <v>17</v>
      </c>
      <c r="D796" t="s">
        <v>81</v>
      </c>
      <c r="E796" t="s">
        <v>82</v>
      </c>
      <c r="F796" t="str">
        <f t="shared" si="24"/>
        <v>MM</v>
      </c>
      <c r="G796">
        <f>_xlfn.XLOOKUP(D796,tblStates[state_code],tblStates[territory_id],"Needs Review - Territory")</f>
        <v>2</v>
      </c>
      <c r="H796" t="str">
        <f>IF(E796="","",_xlfn.XLOOKUP(E796,tblUsers[user_id],tblUsers[job_title],"Owner Not Found"))</f>
        <v>Mid-Market Account Executive</v>
      </c>
      <c r="I796" t="str">
        <f>IF(E796="","",_xlfn.XLOOKUP(E796,tblUsers[user_id],tblUsers[segment],"Owner Not Found"))</f>
        <v>MM</v>
      </c>
      <c r="J796">
        <f>IF(E796="","",_xlfn.XLOOKUP(E796,tblUsers[user_id],tblUsers[territory_id],"Owner Not Found"))</f>
        <v>2</v>
      </c>
      <c r="K796" t="str">
        <f t="shared" si="25"/>
        <v>Routing Compatible</v>
      </c>
    </row>
    <row r="797" spans="1:11">
      <c r="A797" t="s">
        <v>4119</v>
      </c>
      <c r="B797" t="s">
        <v>4121</v>
      </c>
      <c r="C797" t="s">
        <v>30</v>
      </c>
      <c r="D797" t="s">
        <v>216</v>
      </c>
      <c r="E797" t="s">
        <v>18</v>
      </c>
      <c r="F797" t="str">
        <f t="shared" si="24"/>
        <v>MM</v>
      </c>
      <c r="G797">
        <f>_xlfn.XLOOKUP(D797,tblStates[state_code],tblStates[territory_id],"Needs Review - Territory")</f>
        <v>1</v>
      </c>
      <c r="H797" t="str">
        <f>IF(E797="","",_xlfn.XLOOKUP(E797,tblUsers[user_id],tblUsers[job_title],"Owner Not Found"))</f>
        <v>Mid-Market Account Executive</v>
      </c>
      <c r="I797" t="str">
        <f>IF(E797="","",_xlfn.XLOOKUP(E797,tblUsers[user_id],tblUsers[segment],"Owner Not Found"))</f>
        <v>MM</v>
      </c>
      <c r="J797">
        <f>IF(E797="","",_xlfn.XLOOKUP(E797,tblUsers[user_id],tblUsers[territory_id],"Owner Not Found"))</f>
        <v>1</v>
      </c>
      <c r="K797" t="str">
        <f t="shared" si="25"/>
        <v>Routing Compatible</v>
      </c>
    </row>
    <row r="798" spans="1:11">
      <c r="A798" t="s">
        <v>4122</v>
      </c>
      <c r="B798" t="s">
        <v>4124</v>
      </c>
      <c r="C798" t="s">
        <v>30</v>
      </c>
      <c r="D798" t="s">
        <v>285</v>
      </c>
      <c r="E798" t="s">
        <v>36</v>
      </c>
      <c r="F798" t="str">
        <f t="shared" si="24"/>
        <v>MM</v>
      </c>
      <c r="G798">
        <f>_xlfn.XLOOKUP(D798,tblStates[state_code],tblStates[territory_id],"Needs Review - Territory")</f>
        <v>4</v>
      </c>
      <c r="H798" t="str">
        <f>IF(E798="","",_xlfn.XLOOKUP(E798,tblUsers[user_id],tblUsers[job_title],"Owner Not Found"))</f>
        <v>Mid-Market Account Executive</v>
      </c>
      <c r="I798" t="str">
        <f>IF(E798="","",_xlfn.XLOOKUP(E798,tblUsers[user_id],tblUsers[segment],"Owner Not Found"))</f>
        <v>MM</v>
      </c>
      <c r="J798">
        <f>IF(E798="","",_xlfn.XLOOKUP(E798,tblUsers[user_id],tblUsers[territory_id],"Owner Not Found"))</f>
        <v>4</v>
      </c>
      <c r="K798" t="str">
        <f t="shared" si="25"/>
        <v>Routing Compatible</v>
      </c>
    </row>
    <row r="799" spans="1:11">
      <c r="A799" t="s">
        <v>4125</v>
      </c>
      <c r="B799" t="s">
        <v>4127</v>
      </c>
      <c r="C799" t="s">
        <v>24</v>
      </c>
      <c r="D799" t="s">
        <v>1077</v>
      </c>
      <c r="E799" t="s">
        <v>69</v>
      </c>
      <c r="F799" t="str">
        <f t="shared" si="24"/>
        <v>SMB</v>
      </c>
      <c r="G799">
        <f>_xlfn.XLOOKUP(D799,tblStates[state_code],tblStates[territory_id],"Needs Review - Territory")</f>
        <v>3</v>
      </c>
      <c r="H799" t="str">
        <f>IF(E799="","",_xlfn.XLOOKUP(E799,tblUsers[user_id],tblUsers[job_title],"Owner Not Found"))</f>
        <v>SMB Account Executive</v>
      </c>
      <c r="I799" t="str">
        <f>IF(E799="","",_xlfn.XLOOKUP(E799,tblUsers[user_id],tblUsers[segment],"Owner Not Found"))</f>
        <v>SMB</v>
      </c>
      <c r="J799">
        <f>IF(E799="","",_xlfn.XLOOKUP(E799,tblUsers[user_id],tblUsers[territory_id],"Owner Not Found"))</f>
        <v>3</v>
      </c>
      <c r="K799" t="str">
        <f t="shared" si="25"/>
        <v>Routing Compatible</v>
      </c>
    </row>
    <row r="800" spans="1:11">
      <c r="A800" t="s">
        <v>4128</v>
      </c>
      <c r="B800" t="s">
        <v>4130</v>
      </c>
      <c r="C800" t="s">
        <v>30</v>
      </c>
      <c r="D800" t="s">
        <v>226</v>
      </c>
      <c r="E800" t="s">
        <v>55</v>
      </c>
      <c r="F800" t="str">
        <f t="shared" si="24"/>
        <v>MM</v>
      </c>
      <c r="G800">
        <f>_xlfn.XLOOKUP(D800,tblStates[state_code],tblStates[territory_id],"Needs Review - Territory")</f>
        <v>3</v>
      </c>
      <c r="H800" t="str">
        <f>IF(E800="","",_xlfn.XLOOKUP(E800,tblUsers[user_id],tblUsers[job_title],"Owner Not Found"))</f>
        <v>Mid-Market Account Executive</v>
      </c>
      <c r="I800" t="str">
        <f>IF(E800="","",_xlfn.XLOOKUP(E800,tblUsers[user_id],tblUsers[segment],"Owner Not Found"))</f>
        <v>MM</v>
      </c>
      <c r="J800">
        <f>IF(E800="","",_xlfn.XLOOKUP(E800,tblUsers[user_id],tblUsers[territory_id],"Owner Not Found"))</f>
        <v>3</v>
      </c>
      <c r="K800" t="str">
        <f t="shared" si="25"/>
        <v>Routing Compatible</v>
      </c>
    </row>
    <row r="801" spans="1:11">
      <c r="A801" t="s">
        <v>4131</v>
      </c>
      <c r="B801" t="s">
        <v>4133</v>
      </c>
      <c r="C801" t="s">
        <v>24</v>
      </c>
      <c r="D801" t="s">
        <v>16</v>
      </c>
      <c r="E801" t="s">
        <v>91</v>
      </c>
      <c r="F801" t="str">
        <f t="shared" si="24"/>
        <v>SMB</v>
      </c>
      <c r="G801">
        <f>_xlfn.XLOOKUP(D801,tblStates[state_code],tblStates[territory_id],"Needs Review - Territory")</f>
        <v>1</v>
      </c>
      <c r="H801" t="str">
        <f>IF(E801="","",_xlfn.XLOOKUP(E801,tblUsers[user_id],tblUsers[job_title],"Owner Not Found"))</f>
        <v>SMB Account Executive</v>
      </c>
      <c r="I801" t="str">
        <f>IF(E801="","",_xlfn.XLOOKUP(E801,tblUsers[user_id],tblUsers[segment],"Owner Not Found"))</f>
        <v>SMB</v>
      </c>
      <c r="J801">
        <f>IF(E801="","",_xlfn.XLOOKUP(E801,tblUsers[user_id],tblUsers[territory_id],"Owner Not Found"))</f>
        <v>1</v>
      </c>
      <c r="K801" t="str">
        <f t="shared" si="25"/>
        <v>Routing Compatible</v>
      </c>
    </row>
    <row r="802" spans="1:11">
      <c r="A802" t="s">
        <v>4134</v>
      </c>
      <c r="B802" t="s">
        <v>4136</v>
      </c>
      <c r="C802" t="s">
        <v>24</v>
      </c>
      <c r="D802" t="s">
        <v>226</v>
      </c>
      <c r="E802" t="s">
        <v>69</v>
      </c>
      <c r="F802" t="str">
        <f t="shared" si="24"/>
        <v>SMB</v>
      </c>
      <c r="G802">
        <f>_xlfn.XLOOKUP(D802,tblStates[state_code],tblStates[territory_id],"Needs Review - Territory")</f>
        <v>3</v>
      </c>
      <c r="H802" t="str">
        <f>IF(E802="","",_xlfn.XLOOKUP(E802,tblUsers[user_id],tblUsers[job_title],"Owner Not Found"))</f>
        <v>SMB Account Executive</v>
      </c>
      <c r="I802" t="str">
        <f>IF(E802="","",_xlfn.XLOOKUP(E802,tblUsers[user_id],tblUsers[segment],"Owner Not Found"))</f>
        <v>SMB</v>
      </c>
      <c r="J802">
        <f>IF(E802="","",_xlfn.XLOOKUP(E802,tblUsers[user_id],tblUsers[territory_id],"Owner Not Found"))</f>
        <v>3</v>
      </c>
      <c r="K802" t="str">
        <f t="shared" si="25"/>
        <v>Routing Compatible</v>
      </c>
    </row>
    <row r="803" spans="1:11">
      <c r="A803" t="s">
        <v>4137</v>
      </c>
      <c r="B803" t="s">
        <v>4139</v>
      </c>
      <c r="C803" t="s">
        <v>24</v>
      </c>
      <c r="D803" t="s">
        <v>50</v>
      </c>
      <c r="E803" t="s">
        <v>59</v>
      </c>
      <c r="F803" t="str">
        <f t="shared" si="24"/>
        <v>SMB</v>
      </c>
      <c r="G803">
        <f>_xlfn.XLOOKUP(D803,tblStates[state_code],tblStates[territory_id],"Needs Review - Territory")</f>
        <v>4</v>
      </c>
      <c r="H803" t="str">
        <f>IF(E803="","",_xlfn.XLOOKUP(E803,tblUsers[user_id],tblUsers[job_title],"Owner Not Found"))</f>
        <v>SMB Account Executive</v>
      </c>
      <c r="I803" t="str">
        <f>IF(E803="","",_xlfn.XLOOKUP(E803,tblUsers[user_id],tblUsers[segment],"Owner Not Found"))</f>
        <v>SMB</v>
      </c>
      <c r="J803">
        <f>IF(E803="","",_xlfn.XLOOKUP(E803,tblUsers[user_id],tblUsers[territory_id],"Owner Not Found"))</f>
        <v>4</v>
      </c>
      <c r="K803" t="str">
        <f t="shared" si="25"/>
        <v>Routing Compatible</v>
      </c>
    </row>
    <row r="804" spans="1:11">
      <c r="A804" t="s">
        <v>4140</v>
      </c>
      <c r="B804" t="s">
        <v>4142</v>
      </c>
      <c r="C804" t="s">
        <v>24</v>
      </c>
      <c r="D804" t="s">
        <v>638</v>
      </c>
      <c r="E804" t="s">
        <v>69</v>
      </c>
      <c r="F804" t="str">
        <f t="shared" si="24"/>
        <v>SMB</v>
      </c>
      <c r="G804">
        <f>_xlfn.XLOOKUP(D804,tblStates[state_code],tblStates[territory_id],"Needs Review - Territory")</f>
        <v>3</v>
      </c>
      <c r="H804" t="str">
        <f>IF(E804="","",_xlfn.XLOOKUP(E804,tblUsers[user_id],tblUsers[job_title],"Owner Not Found"))</f>
        <v>SMB Account Executive</v>
      </c>
      <c r="I804" t="str">
        <f>IF(E804="","",_xlfn.XLOOKUP(E804,tblUsers[user_id],tblUsers[segment],"Owner Not Found"))</f>
        <v>SMB</v>
      </c>
      <c r="J804">
        <f>IF(E804="","",_xlfn.XLOOKUP(E804,tblUsers[user_id],tblUsers[territory_id],"Owner Not Found"))</f>
        <v>3</v>
      </c>
      <c r="K804" t="str">
        <f t="shared" si="25"/>
        <v>Routing Compatible</v>
      </c>
    </row>
    <row r="805" spans="1:11">
      <c r="A805" t="s">
        <v>4143</v>
      </c>
      <c r="B805" t="s">
        <v>4145</v>
      </c>
      <c r="C805" t="s">
        <v>30</v>
      </c>
      <c r="D805" t="s">
        <v>68</v>
      </c>
      <c r="E805" t="s">
        <v>55</v>
      </c>
      <c r="F805" t="str">
        <f t="shared" si="24"/>
        <v>MM</v>
      </c>
      <c r="G805">
        <f>_xlfn.XLOOKUP(D805,tblStates[state_code],tblStates[territory_id],"Needs Review - Territory")</f>
        <v>3</v>
      </c>
      <c r="H805" t="str">
        <f>IF(E805="","",_xlfn.XLOOKUP(E805,tblUsers[user_id],tblUsers[job_title],"Owner Not Found"))</f>
        <v>Mid-Market Account Executive</v>
      </c>
      <c r="I805" t="str">
        <f>IF(E805="","",_xlfn.XLOOKUP(E805,tblUsers[user_id],tblUsers[segment],"Owner Not Found"))</f>
        <v>MM</v>
      </c>
      <c r="J805">
        <f>IF(E805="","",_xlfn.XLOOKUP(E805,tblUsers[user_id],tblUsers[territory_id],"Owner Not Found"))</f>
        <v>3</v>
      </c>
      <c r="K805" t="str">
        <f t="shared" si="25"/>
        <v>Routing Compatible</v>
      </c>
    </row>
    <row r="806" spans="1:11">
      <c r="A806" t="s">
        <v>4146</v>
      </c>
      <c r="B806" t="s">
        <v>4148</v>
      </c>
      <c r="C806" t="s">
        <v>24</v>
      </c>
      <c r="D806" t="s">
        <v>295</v>
      </c>
      <c r="E806" t="s">
        <v>25</v>
      </c>
      <c r="F806" t="str">
        <f t="shared" si="24"/>
        <v>SMB</v>
      </c>
      <c r="G806">
        <f>_xlfn.XLOOKUP(D806,tblStates[state_code],tblStates[territory_id],"Needs Review - Territory")</f>
        <v>2</v>
      </c>
      <c r="H806" t="str">
        <f>IF(E806="","",_xlfn.XLOOKUP(E806,tblUsers[user_id],tblUsers[job_title],"Owner Not Found"))</f>
        <v>SMB Account Executive</v>
      </c>
      <c r="I806" t="str">
        <f>IF(E806="","",_xlfn.XLOOKUP(E806,tblUsers[user_id],tblUsers[segment],"Owner Not Found"))</f>
        <v>SMB</v>
      </c>
      <c r="J806">
        <f>IF(E806="","",_xlfn.XLOOKUP(E806,tblUsers[user_id],tblUsers[territory_id],"Owner Not Found"))</f>
        <v>2</v>
      </c>
      <c r="K806" t="str">
        <f t="shared" si="25"/>
        <v>Routing Compatible</v>
      </c>
    </row>
    <row r="807" spans="1:11">
      <c r="A807" t="s">
        <v>4149</v>
      </c>
      <c r="B807" t="s">
        <v>4151</v>
      </c>
      <c r="C807" t="s">
        <v>24</v>
      </c>
      <c r="D807" t="s">
        <v>205</v>
      </c>
      <c r="E807" t="s">
        <v>59</v>
      </c>
      <c r="F807" t="str">
        <f t="shared" si="24"/>
        <v>SMB</v>
      </c>
      <c r="G807">
        <f>_xlfn.XLOOKUP(D807,tblStates[state_code],tblStates[territory_id],"Needs Review - Territory")</f>
        <v>4</v>
      </c>
      <c r="H807" t="str">
        <f>IF(E807="","",_xlfn.XLOOKUP(E807,tblUsers[user_id],tblUsers[job_title],"Owner Not Found"))</f>
        <v>SMB Account Executive</v>
      </c>
      <c r="I807" t="str">
        <f>IF(E807="","",_xlfn.XLOOKUP(E807,tblUsers[user_id],tblUsers[segment],"Owner Not Found"))</f>
        <v>SMB</v>
      </c>
      <c r="J807">
        <f>IF(E807="","",_xlfn.XLOOKUP(E807,tblUsers[user_id],tblUsers[territory_id],"Owner Not Found"))</f>
        <v>4</v>
      </c>
      <c r="K807" t="str">
        <f t="shared" si="25"/>
        <v>Routing Compatible</v>
      </c>
    </row>
    <row r="808" spans="1:11">
      <c r="A808" t="s">
        <v>4152</v>
      </c>
      <c r="B808" t="s">
        <v>4154</v>
      </c>
      <c r="C808" t="s">
        <v>24</v>
      </c>
      <c r="D808" t="s">
        <v>1034</v>
      </c>
      <c r="E808" t="s">
        <v>69</v>
      </c>
      <c r="F808" t="str">
        <f t="shared" si="24"/>
        <v>SMB</v>
      </c>
      <c r="G808">
        <f>_xlfn.XLOOKUP(D808,tblStates[state_code],tblStates[territory_id],"Needs Review - Territory")</f>
        <v>4</v>
      </c>
      <c r="H808" t="str">
        <f>IF(E808="","",_xlfn.XLOOKUP(E808,tblUsers[user_id],tblUsers[job_title],"Owner Not Found"))</f>
        <v>SMB Account Executive</v>
      </c>
      <c r="I808" t="str">
        <f>IF(E808="","",_xlfn.XLOOKUP(E808,tblUsers[user_id],tblUsers[segment],"Owner Not Found"))</f>
        <v>SMB</v>
      </c>
      <c r="J808">
        <f>IF(E808="","",_xlfn.XLOOKUP(E808,tblUsers[user_id],tblUsers[territory_id],"Owner Not Found"))</f>
        <v>3</v>
      </c>
      <c r="K808" t="str">
        <f t="shared" si="25"/>
        <v>Wrong AE Territory</v>
      </c>
    </row>
    <row r="809" spans="1:11">
      <c r="A809" t="s">
        <v>4155</v>
      </c>
      <c r="B809" t="s">
        <v>4157</v>
      </c>
      <c r="C809" t="s">
        <v>30</v>
      </c>
      <c r="D809" t="s">
        <v>23</v>
      </c>
      <c r="E809" t="s">
        <v>82</v>
      </c>
      <c r="F809" t="str">
        <f t="shared" si="24"/>
        <v>MM</v>
      </c>
      <c r="G809">
        <f>_xlfn.XLOOKUP(D809,tblStates[state_code],tblStates[territory_id],"Needs Review - Territory")</f>
        <v>2</v>
      </c>
      <c r="H809" t="str">
        <f>IF(E809="","",_xlfn.XLOOKUP(E809,tblUsers[user_id],tblUsers[job_title],"Owner Not Found"))</f>
        <v>Mid-Market Account Executive</v>
      </c>
      <c r="I809" t="str">
        <f>IF(E809="","",_xlfn.XLOOKUP(E809,tblUsers[user_id],tblUsers[segment],"Owner Not Found"))</f>
        <v>MM</v>
      </c>
      <c r="J809">
        <f>IF(E809="","",_xlfn.XLOOKUP(E809,tblUsers[user_id],tblUsers[territory_id],"Owner Not Found"))</f>
        <v>2</v>
      </c>
      <c r="K809" t="str">
        <f t="shared" si="25"/>
        <v>Routing Compatible</v>
      </c>
    </row>
    <row r="810" spans="1:11">
      <c r="A810" t="s">
        <v>4158</v>
      </c>
      <c r="B810" t="s">
        <v>4160</v>
      </c>
      <c r="C810" t="s">
        <v>24</v>
      </c>
      <c r="D810" t="s">
        <v>323</v>
      </c>
      <c r="E810" t="s">
        <v>25</v>
      </c>
      <c r="F810" t="str">
        <f t="shared" si="24"/>
        <v>SMB</v>
      </c>
      <c r="G810">
        <f>_xlfn.XLOOKUP(D810,tblStates[state_code],tblStates[territory_id],"Needs Review - Territory")</f>
        <v>2</v>
      </c>
      <c r="H810" t="str">
        <f>IF(E810="","",_xlfn.XLOOKUP(E810,tblUsers[user_id],tblUsers[job_title],"Owner Not Found"))</f>
        <v>SMB Account Executive</v>
      </c>
      <c r="I810" t="str">
        <f>IF(E810="","",_xlfn.XLOOKUP(E810,tblUsers[user_id],tblUsers[segment],"Owner Not Found"))</f>
        <v>SMB</v>
      </c>
      <c r="J810">
        <f>IF(E810="","",_xlfn.XLOOKUP(E810,tblUsers[user_id],tblUsers[territory_id],"Owner Not Found"))</f>
        <v>2</v>
      </c>
      <c r="K810" t="str">
        <f t="shared" si="25"/>
        <v>Routing Compatible</v>
      </c>
    </row>
    <row r="811" spans="1:11">
      <c r="A811" t="s">
        <v>4161</v>
      </c>
      <c r="B811" t="s">
        <v>4163</v>
      </c>
      <c r="C811" t="s">
        <v>24</v>
      </c>
      <c r="D811" t="s">
        <v>226</v>
      </c>
      <c r="E811" t="s">
        <v>69</v>
      </c>
      <c r="F811" t="str">
        <f t="shared" si="24"/>
        <v>SMB</v>
      </c>
      <c r="G811">
        <f>_xlfn.XLOOKUP(D811,tblStates[state_code],tblStates[territory_id],"Needs Review - Territory")</f>
        <v>3</v>
      </c>
      <c r="H811" t="str">
        <f>IF(E811="","",_xlfn.XLOOKUP(E811,tblUsers[user_id],tblUsers[job_title],"Owner Not Found"))</f>
        <v>SMB Account Executive</v>
      </c>
      <c r="I811" t="str">
        <f>IF(E811="","",_xlfn.XLOOKUP(E811,tblUsers[user_id],tblUsers[segment],"Owner Not Found"))</f>
        <v>SMB</v>
      </c>
      <c r="J811">
        <f>IF(E811="","",_xlfn.XLOOKUP(E811,tblUsers[user_id],tblUsers[territory_id],"Owner Not Found"))</f>
        <v>3</v>
      </c>
      <c r="K811" t="str">
        <f t="shared" si="25"/>
        <v>Routing Compatible</v>
      </c>
    </row>
    <row r="812" spans="1:11">
      <c r="A812" t="s">
        <v>4164</v>
      </c>
      <c r="B812" t="s">
        <v>4166</v>
      </c>
      <c r="C812" t="s">
        <v>24</v>
      </c>
      <c r="D812" t="s">
        <v>54</v>
      </c>
      <c r="E812" t="s">
        <v>69</v>
      </c>
      <c r="F812" t="str">
        <f t="shared" si="24"/>
        <v>SMB</v>
      </c>
      <c r="G812">
        <f>_xlfn.XLOOKUP(D812,tblStates[state_code],tblStates[territory_id],"Needs Review - Territory")</f>
        <v>3</v>
      </c>
      <c r="H812" t="str">
        <f>IF(E812="","",_xlfn.XLOOKUP(E812,tblUsers[user_id],tblUsers[job_title],"Owner Not Found"))</f>
        <v>SMB Account Executive</v>
      </c>
      <c r="I812" t="str">
        <f>IF(E812="","",_xlfn.XLOOKUP(E812,tblUsers[user_id],tblUsers[segment],"Owner Not Found"))</f>
        <v>SMB</v>
      </c>
      <c r="J812">
        <f>IF(E812="","",_xlfn.XLOOKUP(E812,tblUsers[user_id],tblUsers[territory_id],"Owner Not Found"))</f>
        <v>3</v>
      </c>
      <c r="K812" t="str">
        <f t="shared" si="25"/>
        <v>Routing Compatible</v>
      </c>
    </row>
    <row r="813" spans="1:11">
      <c r="A813" t="s">
        <v>4167</v>
      </c>
      <c r="B813" t="s">
        <v>4169</v>
      </c>
      <c r="C813" t="s">
        <v>30</v>
      </c>
      <c r="D813" t="s">
        <v>16</v>
      </c>
      <c r="E813" t="s">
        <v>18</v>
      </c>
      <c r="F813" t="str">
        <f t="shared" si="24"/>
        <v>MM</v>
      </c>
      <c r="G813">
        <f>_xlfn.XLOOKUP(D813,tblStates[state_code],tblStates[territory_id],"Needs Review - Territory")</f>
        <v>1</v>
      </c>
      <c r="H813" t="str">
        <f>IF(E813="","",_xlfn.XLOOKUP(E813,tblUsers[user_id],tblUsers[job_title],"Owner Not Found"))</f>
        <v>Mid-Market Account Executive</v>
      </c>
      <c r="I813" t="str">
        <f>IF(E813="","",_xlfn.XLOOKUP(E813,tblUsers[user_id],tblUsers[segment],"Owner Not Found"))</f>
        <v>MM</v>
      </c>
      <c r="J813">
        <f>IF(E813="","",_xlfn.XLOOKUP(E813,tblUsers[user_id],tblUsers[territory_id],"Owner Not Found"))</f>
        <v>1</v>
      </c>
      <c r="K813" t="str">
        <f t="shared" si="25"/>
        <v>Routing Compatible</v>
      </c>
    </row>
    <row r="814" spans="1:11">
      <c r="A814" t="s">
        <v>4170</v>
      </c>
      <c r="B814" t="s">
        <v>4172</v>
      </c>
      <c r="C814" t="s">
        <v>24</v>
      </c>
      <c r="D814" t="s">
        <v>140</v>
      </c>
      <c r="E814" t="s">
        <v>25</v>
      </c>
      <c r="F814" t="str">
        <f t="shared" si="24"/>
        <v>SMB</v>
      </c>
      <c r="G814">
        <f>_xlfn.XLOOKUP(D814,tblStates[state_code],tblStates[territory_id],"Needs Review - Territory")</f>
        <v>2</v>
      </c>
      <c r="H814" t="str">
        <f>IF(E814="","",_xlfn.XLOOKUP(E814,tblUsers[user_id],tblUsers[job_title],"Owner Not Found"))</f>
        <v>SMB Account Executive</v>
      </c>
      <c r="I814" t="str">
        <f>IF(E814="","",_xlfn.XLOOKUP(E814,tblUsers[user_id],tblUsers[segment],"Owner Not Found"))</f>
        <v>SMB</v>
      </c>
      <c r="J814">
        <f>IF(E814="","",_xlfn.XLOOKUP(E814,tblUsers[user_id],tblUsers[territory_id],"Owner Not Found"))</f>
        <v>2</v>
      </c>
      <c r="K814" t="str">
        <f t="shared" si="25"/>
        <v>Routing Compatible</v>
      </c>
    </row>
    <row r="815" spans="1:11">
      <c r="A815" t="s">
        <v>4173</v>
      </c>
      <c r="B815" t="s">
        <v>4175</v>
      </c>
      <c r="C815" t="s">
        <v>30</v>
      </c>
      <c r="E815" t="s">
        <v>82</v>
      </c>
      <c r="F815" t="str">
        <f t="shared" si="24"/>
        <v>MM</v>
      </c>
      <c r="G815" t="str">
        <f>_xlfn.XLOOKUP(D815,tblStates[state_code],tblStates[territory_id],"Needs Review - Territory")</f>
        <v>Needs Review - Territory</v>
      </c>
      <c r="H815" t="str">
        <f>IF(E815="","",_xlfn.XLOOKUP(E815,tblUsers[user_id],tblUsers[job_title],"Owner Not Found"))</f>
        <v>Mid-Market Account Executive</v>
      </c>
      <c r="I815" t="str">
        <f>IF(E815="","",_xlfn.XLOOKUP(E815,tblUsers[user_id],tblUsers[segment],"Owner Not Found"))</f>
        <v>MM</v>
      </c>
      <c r="J815">
        <f>IF(E815="","",_xlfn.XLOOKUP(E815,tblUsers[user_id],tblUsers[territory_id],"Owner Not Found"))</f>
        <v>2</v>
      </c>
      <c r="K815" t="str">
        <f t="shared" si="25"/>
        <v>Needs Review - Territory</v>
      </c>
    </row>
    <row r="816" spans="1:11">
      <c r="A816" t="s">
        <v>4176</v>
      </c>
      <c r="B816" t="s">
        <v>4178</v>
      </c>
      <c r="C816" t="s">
        <v>24</v>
      </c>
      <c r="D816" t="s">
        <v>64</v>
      </c>
      <c r="E816" t="s">
        <v>69</v>
      </c>
      <c r="F816" t="str">
        <f t="shared" si="24"/>
        <v>SMB</v>
      </c>
      <c r="G816">
        <f>_xlfn.XLOOKUP(D816,tblStates[state_code],tblStates[territory_id],"Needs Review - Territory")</f>
        <v>3</v>
      </c>
      <c r="H816" t="str">
        <f>IF(E816="","",_xlfn.XLOOKUP(E816,tblUsers[user_id],tblUsers[job_title],"Owner Not Found"))</f>
        <v>SMB Account Executive</v>
      </c>
      <c r="I816" t="str">
        <f>IF(E816="","",_xlfn.XLOOKUP(E816,tblUsers[user_id],tblUsers[segment],"Owner Not Found"))</f>
        <v>SMB</v>
      </c>
      <c r="J816">
        <f>IF(E816="","",_xlfn.XLOOKUP(E816,tblUsers[user_id],tblUsers[territory_id],"Owner Not Found"))</f>
        <v>3</v>
      </c>
      <c r="K816" t="str">
        <f t="shared" si="25"/>
        <v>Routing Compatible</v>
      </c>
    </row>
    <row r="817" spans="1:11">
      <c r="A817" t="s">
        <v>4179</v>
      </c>
      <c r="B817" t="s">
        <v>4181</v>
      </c>
      <c r="C817" t="s">
        <v>30</v>
      </c>
      <c r="D817" t="s">
        <v>81</v>
      </c>
      <c r="E817" t="s">
        <v>82</v>
      </c>
      <c r="F817" t="str">
        <f t="shared" si="24"/>
        <v>MM</v>
      </c>
      <c r="G817">
        <f>_xlfn.XLOOKUP(D817,tblStates[state_code],tblStates[territory_id],"Needs Review - Territory")</f>
        <v>2</v>
      </c>
      <c r="H817" t="str">
        <f>IF(E817="","",_xlfn.XLOOKUP(E817,tblUsers[user_id],tblUsers[job_title],"Owner Not Found"))</f>
        <v>Mid-Market Account Executive</v>
      </c>
      <c r="I817" t="str">
        <f>IF(E817="","",_xlfn.XLOOKUP(E817,tblUsers[user_id],tblUsers[segment],"Owner Not Found"))</f>
        <v>MM</v>
      </c>
      <c r="J817">
        <f>IF(E817="","",_xlfn.XLOOKUP(E817,tblUsers[user_id],tblUsers[territory_id],"Owner Not Found"))</f>
        <v>2</v>
      </c>
      <c r="K817" t="str">
        <f t="shared" si="25"/>
        <v>Routing Compatible</v>
      </c>
    </row>
    <row r="818" spans="1:11">
      <c r="A818" t="s">
        <v>4182</v>
      </c>
      <c r="B818" t="s">
        <v>4184</v>
      </c>
      <c r="C818" t="s">
        <v>24</v>
      </c>
      <c r="D818" t="s">
        <v>171</v>
      </c>
      <c r="E818" t="s">
        <v>91</v>
      </c>
      <c r="F818" t="str">
        <f t="shared" si="24"/>
        <v>SMB</v>
      </c>
      <c r="G818">
        <f>_xlfn.XLOOKUP(D818,tblStates[state_code],tblStates[territory_id],"Needs Review - Territory")</f>
        <v>1</v>
      </c>
      <c r="H818" t="str">
        <f>IF(E818="","",_xlfn.XLOOKUP(E818,tblUsers[user_id],tblUsers[job_title],"Owner Not Found"))</f>
        <v>SMB Account Executive</v>
      </c>
      <c r="I818" t="str">
        <f>IF(E818="","",_xlfn.XLOOKUP(E818,tblUsers[user_id],tblUsers[segment],"Owner Not Found"))</f>
        <v>SMB</v>
      </c>
      <c r="J818">
        <f>IF(E818="","",_xlfn.XLOOKUP(E818,tblUsers[user_id],tblUsers[territory_id],"Owner Not Found"))</f>
        <v>1</v>
      </c>
      <c r="K818" t="str">
        <f t="shared" si="25"/>
        <v>Routing Compatible</v>
      </c>
    </row>
    <row r="819" spans="1:11">
      <c r="A819" t="s">
        <v>4185</v>
      </c>
      <c r="B819" t="s">
        <v>4187</v>
      </c>
      <c r="C819" t="s">
        <v>30</v>
      </c>
      <c r="D819" t="s">
        <v>366</v>
      </c>
      <c r="E819" t="s">
        <v>18</v>
      </c>
      <c r="F819" t="str">
        <f t="shared" si="24"/>
        <v>MM</v>
      </c>
      <c r="G819">
        <f>_xlfn.XLOOKUP(D819,tblStates[state_code],tblStates[territory_id],"Needs Review - Territory")</f>
        <v>1</v>
      </c>
      <c r="H819" t="str">
        <f>IF(E819="","",_xlfn.XLOOKUP(E819,tblUsers[user_id],tblUsers[job_title],"Owner Not Found"))</f>
        <v>Mid-Market Account Executive</v>
      </c>
      <c r="I819" t="str">
        <f>IF(E819="","",_xlfn.XLOOKUP(E819,tblUsers[user_id],tblUsers[segment],"Owner Not Found"))</f>
        <v>MM</v>
      </c>
      <c r="J819">
        <f>IF(E819="","",_xlfn.XLOOKUP(E819,tblUsers[user_id],tblUsers[territory_id],"Owner Not Found"))</f>
        <v>1</v>
      </c>
      <c r="K819" t="str">
        <f t="shared" si="25"/>
        <v>Routing Compatible</v>
      </c>
    </row>
    <row r="820" spans="1:11">
      <c r="A820" t="s">
        <v>4188</v>
      </c>
      <c r="B820" t="s">
        <v>4190</v>
      </c>
      <c r="C820" t="s">
        <v>24</v>
      </c>
      <c r="D820" t="s">
        <v>16</v>
      </c>
      <c r="E820" t="s">
        <v>18</v>
      </c>
      <c r="F820" t="str">
        <f t="shared" si="24"/>
        <v>SMB</v>
      </c>
      <c r="G820">
        <f>_xlfn.XLOOKUP(D820,tblStates[state_code],tblStates[territory_id],"Needs Review - Territory")</f>
        <v>1</v>
      </c>
      <c r="H820" t="str">
        <f>IF(E820="","",_xlfn.XLOOKUP(E820,tblUsers[user_id],tblUsers[job_title],"Owner Not Found"))</f>
        <v>Mid-Market Account Executive</v>
      </c>
      <c r="I820" t="str">
        <f>IF(E820="","",_xlfn.XLOOKUP(E820,tblUsers[user_id],tblUsers[segment],"Owner Not Found"))</f>
        <v>MM</v>
      </c>
      <c r="J820">
        <f>IF(E820="","",_xlfn.XLOOKUP(E820,tblUsers[user_id],tblUsers[territory_id],"Owner Not Found"))</f>
        <v>1</v>
      </c>
      <c r="K820" t="str">
        <f t="shared" si="25"/>
        <v>Wrong Segment</v>
      </c>
    </row>
    <row r="821" spans="1:11">
      <c r="A821" t="s">
        <v>4191</v>
      </c>
      <c r="B821" t="s">
        <v>4193</v>
      </c>
      <c r="C821" t="s">
        <v>24</v>
      </c>
      <c r="D821" t="s">
        <v>23</v>
      </c>
      <c r="E821" t="s">
        <v>25</v>
      </c>
      <c r="F821" t="str">
        <f t="shared" si="24"/>
        <v>SMB</v>
      </c>
      <c r="G821">
        <f>_xlfn.XLOOKUP(D821,tblStates[state_code],tblStates[territory_id],"Needs Review - Territory")</f>
        <v>2</v>
      </c>
      <c r="H821" t="str">
        <f>IF(E821="","",_xlfn.XLOOKUP(E821,tblUsers[user_id],tblUsers[job_title],"Owner Not Found"))</f>
        <v>SMB Account Executive</v>
      </c>
      <c r="I821" t="str">
        <f>IF(E821="","",_xlfn.XLOOKUP(E821,tblUsers[user_id],tblUsers[segment],"Owner Not Found"))</f>
        <v>SMB</v>
      </c>
      <c r="J821">
        <f>IF(E821="","",_xlfn.XLOOKUP(E821,tblUsers[user_id],tblUsers[territory_id],"Owner Not Found"))</f>
        <v>2</v>
      </c>
      <c r="K821" t="str">
        <f t="shared" si="25"/>
        <v>Routing Compatible</v>
      </c>
    </row>
    <row r="822" spans="1:11">
      <c r="A822" t="s">
        <v>4194</v>
      </c>
      <c r="B822" t="s">
        <v>4196</v>
      </c>
      <c r="C822" t="s">
        <v>24</v>
      </c>
      <c r="D822" t="s">
        <v>638</v>
      </c>
      <c r="E822" t="s">
        <v>69</v>
      </c>
      <c r="F822" t="str">
        <f t="shared" si="24"/>
        <v>SMB</v>
      </c>
      <c r="G822">
        <f>_xlfn.XLOOKUP(D822,tblStates[state_code],tblStates[territory_id],"Needs Review - Territory")</f>
        <v>3</v>
      </c>
      <c r="H822" t="str">
        <f>IF(E822="","",_xlfn.XLOOKUP(E822,tblUsers[user_id],tblUsers[job_title],"Owner Not Found"))</f>
        <v>SMB Account Executive</v>
      </c>
      <c r="I822" t="str">
        <f>IF(E822="","",_xlfn.XLOOKUP(E822,tblUsers[user_id],tblUsers[segment],"Owner Not Found"))</f>
        <v>SMB</v>
      </c>
      <c r="J822">
        <f>IF(E822="","",_xlfn.XLOOKUP(E822,tblUsers[user_id],tblUsers[territory_id],"Owner Not Found"))</f>
        <v>3</v>
      </c>
      <c r="K822" t="str">
        <f t="shared" si="25"/>
        <v>Routing Compatible</v>
      </c>
    </row>
    <row r="823" spans="1:11">
      <c r="A823" t="s">
        <v>4197</v>
      </c>
      <c r="B823" t="s">
        <v>4199</v>
      </c>
      <c r="C823" t="s">
        <v>30</v>
      </c>
      <c r="D823" t="s">
        <v>154</v>
      </c>
      <c r="E823" t="s">
        <v>82</v>
      </c>
      <c r="F823" t="str">
        <f t="shared" si="24"/>
        <v>MM</v>
      </c>
      <c r="G823">
        <f>_xlfn.XLOOKUP(D823,tblStates[state_code],tblStates[territory_id],"Needs Review - Territory")</f>
        <v>2</v>
      </c>
      <c r="H823" t="str">
        <f>IF(E823="","",_xlfn.XLOOKUP(E823,tblUsers[user_id],tblUsers[job_title],"Owner Not Found"))</f>
        <v>Mid-Market Account Executive</v>
      </c>
      <c r="I823" t="str">
        <f>IF(E823="","",_xlfn.XLOOKUP(E823,tblUsers[user_id],tblUsers[segment],"Owner Not Found"))</f>
        <v>MM</v>
      </c>
      <c r="J823">
        <f>IF(E823="","",_xlfn.XLOOKUP(E823,tblUsers[user_id],tblUsers[territory_id],"Owner Not Found"))</f>
        <v>2</v>
      </c>
      <c r="K823" t="str">
        <f t="shared" si="25"/>
        <v>Routing Compatible</v>
      </c>
    </row>
    <row r="824" spans="1:11">
      <c r="A824" t="s">
        <v>4200</v>
      </c>
      <c r="B824" t="s">
        <v>4202</v>
      </c>
      <c r="C824" t="s">
        <v>24</v>
      </c>
      <c r="D824" t="s">
        <v>50</v>
      </c>
      <c r="E824" t="s">
        <v>59</v>
      </c>
      <c r="F824" t="str">
        <f t="shared" si="24"/>
        <v>SMB</v>
      </c>
      <c r="G824">
        <f>_xlfn.XLOOKUP(D824,tblStates[state_code],tblStates[territory_id],"Needs Review - Territory")</f>
        <v>4</v>
      </c>
      <c r="H824" t="str">
        <f>IF(E824="","",_xlfn.XLOOKUP(E824,tblUsers[user_id],tblUsers[job_title],"Owner Not Found"))</f>
        <v>SMB Account Executive</v>
      </c>
      <c r="I824" t="str">
        <f>IF(E824="","",_xlfn.XLOOKUP(E824,tblUsers[user_id],tblUsers[segment],"Owner Not Found"))</f>
        <v>SMB</v>
      </c>
      <c r="J824">
        <f>IF(E824="","",_xlfn.XLOOKUP(E824,tblUsers[user_id],tblUsers[territory_id],"Owner Not Found"))</f>
        <v>4</v>
      </c>
      <c r="K824" t="str">
        <f t="shared" si="25"/>
        <v>Routing Compatible</v>
      </c>
    </row>
    <row r="825" spans="1:11">
      <c r="A825" t="s">
        <v>4203</v>
      </c>
      <c r="B825" t="s">
        <v>4205</v>
      </c>
      <c r="C825" t="s">
        <v>24</v>
      </c>
      <c r="D825" t="s">
        <v>366</v>
      </c>
      <c r="F825" t="str">
        <f t="shared" si="24"/>
        <v>SMB</v>
      </c>
      <c r="G825">
        <f>_xlfn.XLOOKUP(D825,tblStates[state_code],tblStates[territory_id],"Needs Review - Territory")</f>
        <v>1</v>
      </c>
      <c r="H825" t="str">
        <f>IF(E825="","",_xlfn.XLOOKUP(E825,tblUsers[user_id],tblUsers[job_title],"Owner Not Found"))</f>
        <v/>
      </c>
      <c r="I825" t="str">
        <f>IF(E825="","",_xlfn.XLOOKUP(E825,tblUsers[user_id],tblUsers[segment],"Owner Not Found"))</f>
        <v/>
      </c>
      <c r="J825" t="str">
        <f>IF(E825="","",_xlfn.XLOOKUP(E825,tblUsers[user_id],tblUsers[territory_id],"Owner Not Found"))</f>
        <v/>
      </c>
      <c r="K825" t="str">
        <f t="shared" si="25"/>
        <v>Unassigned</v>
      </c>
    </row>
    <row r="826" spans="1:11">
      <c r="A826" t="s">
        <v>4206</v>
      </c>
      <c r="B826" t="s">
        <v>4208</v>
      </c>
      <c r="C826" t="s">
        <v>17</v>
      </c>
      <c r="D826" t="s">
        <v>212</v>
      </c>
      <c r="E826" t="s">
        <v>55</v>
      </c>
      <c r="F826" t="str">
        <f t="shared" si="24"/>
        <v>MM</v>
      </c>
      <c r="G826">
        <f>_xlfn.XLOOKUP(D826,tblStates[state_code],tblStates[territory_id],"Needs Review - Territory")</f>
        <v>3</v>
      </c>
      <c r="H826" t="str">
        <f>IF(E826="","",_xlfn.XLOOKUP(E826,tblUsers[user_id],tblUsers[job_title],"Owner Not Found"))</f>
        <v>Mid-Market Account Executive</v>
      </c>
      <c r="I826" t="str">
        <f>IF(E826="","",_xlfn.XLOOKUP(E826,tblUsers[user_id],tblUsers[segment],"Owner Not Found"))</f>
        <v>MM</v>
      </c>
      <c r="J826">
        <f>IF(E826="","",_xlfn.XLOOKUP(E826,tblUsers[user_id],tblUsers[territory_id],"Owner Not Found"))</f>
        <v>3</v>
      </c>
      <c r="K826" t="str">
        <f t="shared" si="25"/>
        <v>Routing Compatible</v>
      </c>
    </row>
    <row r="827" spans="1:11">
      <c r="A827" t="s">
        <v>4209</v>
      </c>
      <c r="B827" t="s">
        <v>4211</v>
      </c>
      <c r="C827" t="s">
        <v>30</v>
      </c>
      <c r="D827" t="s">
        <v>140</v>
      </c>
      <c r="E827" t="s">
        <v>82</v>
      </c>
      <c r="F827" t="str">
        <f t="shared" si="24"/>
        <v>MM</v>
      </c>
      <c r="G827">
        <f>_xlfn.XLOOKUP(D827,tblStates[state_code],tblStates[territory_id],"Needs Review - Territory")</f>
        <v>2</v>
      </c>
      <c r="H827" t="str">
        <f>IF(E827="","",_xlfn.XLOOKUP(E827,tblUsers[user_id],tblUsers[job_title],"Owner Not Found"))</f>
        <v>Mid-Market Account Executive</v>
      </c>
      <c r="I827" t="str">
        <f>IF(E827="","",_xlfn.XLOOKUP(E827,tblUsers[user_id],tblUsers[segment],"Owner Not Found"))</f>
        <v>MM</v>
      </c>
      <c r="J827">
        <f>IF(E827="","",_xlfn.XLOOKUP(E827,tblUsers[user_id],tblUsers[territory_id],"Owner Not Found"))</f>
        <v>2</v>
      </c>
      <c r="K827" t="str">
        <f t="shared" si="25"/>
        <v>Routing Compatible</v>
      </c>
    </row>
    <row r="828" spans="1:11">
      <c r="A828" t="s">
        <v>4213</v>
      </c>
      <c r="B828" t="s">
        <v>4215</v>
      </c>
      <c r="C828" t="s">
        <v>24</v>
      </c>
      <c r="D828" t="s">
        <v>323</v>
      </c>
      <c r="E828" t="s">
        <v>25</v>
      </c>
      <c r="F828" t="str">
        <f t="shared" si="24"/>
        <v>SMB</v>
      </c>
      <c r="G828">
        <f>_xlfn.XLOOKUP(D828,tblStates[state_code],tblStates[territory_id],"Needs Review - Territory")</f>
        <v>2</v>
      </c>
      <c r="H828" t="str">
        <f>IF(E828="","",_xlfn.XLOOKUP(E828,tblUsers[user_id],tblUsers[job_title],"Owner Not Found"))</f>
        <v>SMB Account Executive</v>
      </c>
      <c r="I828" t="str">
        <f>IF(E828="","",_xlfn.XLOOKUP(E828,tblUsers[user_id],tblUsers[segment],"Owner Not Found"))</f>
        <v>SMB</v>
      </c>
      <c r="J828">
        <f>IF(E828="","",_xlfn.XLOOKUP(E828,tblUsers[user_id],tblUsers[territory_id],"Owner Not Found"))</f>
        <v>2</v>
      </c>
      <c r="K828" t="str">
        <f t="shared" si="25"/>
        <v>Routing Compatible</v>
      </c>
    </row>
    <row r="829" spans="1:11">
      <c r="A829" t="s">
        <v>4216</v>
      </c>
      <c r="B829" t="s">
        <v>4218</v>
      </c>
      <c r="C829" t="s">
        <v>24</v>
      </c>
      <c r="D829" t="s">
        <v>154</v>
      </c>
      <c r="E829" t="s">
        <v>25</v>
      </c>
      <c r="F829" t="str">
        <f t="shared" si="24"/>
        <v>SMB</v>
      </c>
      <c r="G829">
        <f>_xlfn.XLOOKUP(D829,tblStates[state_code],tblStates[territory_id],"Needs Review - Territory")</f>
        <v>2</v>
      </c>
      <c r="H829" t="str">
        <f>IF(E829="","",_xlfn.XLOOKUP(E829,tblUsers[user_id],tblUsers[job_title],"Owner Not Found"))</f>
        <v>SMB Account Executive</v>
      </c>
      <c r="I829" t="str">
        <f>IF(E829="","",_xlfn.XLOOKUP(E829,tblUsers[user_id],tblUsers[segment],"Owner Not Found"))</f>
        <v>SMB</v>
      </c>
      <c r="J829">
        <f>IF(E829="","",_xlfn.XLOOKUP(E829,tblUsers[user_id],tblUsers[territory_id],"Owner Not Found"))</f>
        <v>2</v>
      </c>
      <c r="K829" t="str">
        <f t="shared" si="25"/>
        <v>Routing Compatible</v>
      </c>
    </row>
    <row r="830" spans="1:11">
      <c r="A830" t="s">
        <v>4219</v>
      </c>
      <c r="B830" t="s">
        <v>4221</v>
      </c>
      <c r="C830" t="s">
        <v>24</v>
      </c>
      <c r="D830" t="s">
        <v>226</v>
      </c>
      <c r="E830" t="s">
        <v>69</v>
      </c>
      <c r="F830" t="str">
        <f t="shared" si="24"/>
        <v>SMB</v>
      </c>
      <c r="G830">
        <f>_xlfn.XLOOKUP(D830,tblStates[state_code],tblStates[territory_id],"Needs Review - Territory")</f>
        <v>3</v>
      </c>
      <c r="H830" t="str">
        <f>IF(E830="","",_xlfn.XLOOKUP(E830,tblUsers[user_id],tblUsers[job_title],"Owner Not Found"))</f>
        <v>SMB Account Executive</v>
      </c>
      <c r="I830" t="str">
        <f>IF(E830="","",_xlfn.XLOOKUP(E830,tblUsers[user_id],tblUsers[segment],"Owner Not Found"))</f>
        <v>SMB</v>
      </c>
      <c r="J830">
        <f>IF(E830="","",_xlfn.XLOOKUP(E830,tblUsers[user_id],tblUsers[territory_id],"Owner Not Found"))</f>
        <v>3</v>
      </c>
      <c r="K830" t="str">
        <f t="shared" si="25"/>
        <v>Routing Compatible</v>
      </c>
    </row>
    <row r="831" spans="1:11">
      <c r="A831" t="s">
        <v>4222</v>
      </c>
      <c r="B831" t="s">
        <v>4224</v>
      </c>
      <c r="C831" t="s">
        <v>17</v>
      </c>
      <c r="D831" t="s">
        <v>161</v>
      </c>
      <c r="E831" t="s">
        <v>36</v>
      </c>
      <c r="F831" t="str">
        <f t="shared" si="24"/>
        <v>MM</v>
      </c>
      <c r="G831">
        <f>_xlfn.XLOOKUP(D831,tblStates[state_code],tblStates[territory_id],"Needs Review - Territory")</f>
        <v>4</v>
      </c>
      <c r="H831" t="str">
        <f>IF(E831="","",_xlfn.XLOOKUP(E831,tblUsers[user_id],tblUsers[job_title],"Owner Not Found"))</f>
        <v>Mid-Market Account Executive</v>
      </c>
      <c r="I831" t="str">
        <f>IF(E831="","",_xlfn.XLOOKUP(E831,tblUsers[user_id],tblUsers[segment],"Owner Not Found"))</f>
        <v>MM</v>
      </c>
      <c r="J831">
        <f>IF(E831="","",_xlfn.XLOOKUP(E831,tblUsers[user_id],tblUsers[territory_id],"Owner Not Found"))</f>
        <v>4</v>
      </c>
      <c r="K831" t="str">
        <f t="shared" si="25"/>
        <v>Routing Compatible</v>
      </c>
    </row>
    <row r="832" spans="1:11">
      <c r="A832" t="s">
        <v>4225</v>
      </c>
      <c r="B832" t="s">
        <v>4227</v>
      </c>
      <c r="C832" t="s">
        <v>30</v>
      </c>
      <c r="D832" t="s">
        <v>140</v>
      </c>
      <c r="E832" t="s">
        <v>82</v>
      </c>
      <c r="F832" t="str">
        <f t="shared" si="24"/>
        <v>MM</v>
      </c>
      <c r="G832">
        <f>_xlfn.XLOOKUP(D832,tblStates[state_code],tblStates[territory_id],"Needs Review - Territory")</f>
        <v>2</v>
      </c>
      <c r="H832" t="str">
        <f>IF(E832="","",_xlfn.XLOOKUP(E832,tblUsers[user_id],tblUsers[job_title],"Owner Not Found"))</f>
        <v>Mid-Market Account Executive</v>
      </c>
      <c r="I832" t="str">
        <f>IF(E832="","",_xlfn.XLOOKUP(E832,tblUsers[user_id],tblUsers[segment],"Owner Not Found"))</f>
        <v>MM</v>
      </c>
      <c r="J832">
        <f>IF(E832="","",_xlfn.XLOOKUP(E832,tblUsers[user_id],tblUsers[territory_id],"Owner Not Found"))</f>
        <v>2</v>
      </c>
      <c r="K832" t="str">
        <f t="shared" si="25"/>
        <v>Routing Compatible</v>
      </c>
    </row>
    <row r="833" spans="1:11">
      <c r="A833" t="s">
        <v>4228</v>
      </c>
      <c r="B833" t="s">
        <v>4230</v>
      </c>
      <c r="C833" t="s">
        <v>24</v>
      </c>
      <c r="D833" t="s">
        <v>50</v>
      </c>
      <c r="E833" t="s">
        <v>59</v>
      </c>
      <c r="F833" t="str">
        <f t="shared" si="24"/>
        <v>SMB</v>
      </c>
      <c r="G833">
        <f>_xlfn.XLOOKUP(D833,tblStates[state_code],tblStates[territory_id],"Needs Review - Territory")</f>
        <v>4</v>
      </c>
      <c r="H833" t="str">
        <f>IF(E833="","",_xlfn.XLOOKUP(E833,tblUsers[user_id],tblUsers[job_title],"Owner Not Found"))</f>
        <v>SMB Account Executive</v>
      </c>
      <c r="I833" t="str">
        <f>IF(E833="","",_xlfn.XLOOKUP(E833,tblUsers[user_id],tblUsers[segment],"Owner Not Found"))</f>
        <v>SMB</v>
      </c>
      <c r="J833">
        <f>IF(E833="","",_xlfn.XLOOKUP(E833,tblUsers[user_id],tblUsers[territory_id],"Owner Not Found"))</f>
        <v>4</v>
      </c>
      <c r="K833" t="str">
        <f t="shared" si="25"/>
        <v>Routing Compatible</v>
      </c>
    </row>
    <row r="834" spans="1:11">
      <c r="A834" t="s">
        <v>4231</v>
      </c>
      <c r="B834" t="s">
        <v>4233</v>
      </c>
      <c r="C834" t="s">
        <v>17</v>
      </c>
      <c r="D834" t="s">
        <v>81</v>
      </c>
      <c r="E834" t="s">
        <v>36</v>
      </c>
      <c r="F834" t="str">
        <f t="shared" si="24"/>
        <v>MM</v>
      </c>
      <c r="G834">
        <f>_xlfn.XLOOKUP(D834,tblStates[state_code],tblStates[territory_id],"Needs Review - Territory")</f>
        <v>2</v>
      </c>
      <c r="H834" t="str">
        <f>IF(E834="","",_xlfn.XLOOKUP(E834,tblUsers[user_id],tblUsers[job_title],"Owner Not Found"))</f>
        <v>Mid-Market Account Executive</v>
      </c>
      <c r="I834" t="str">
        <f>IF(E834="","",_xlfn.XLOOKUP(E834,tblUsers[user_id],tblUsers[segment],"Owner Not Found"))</f>
        <v>MM</v>
      </c>
      <c r="J834">
        <f>IF(E834="","",_xlfn.XLOOKUP(E834,tblUsers[user_id],tblUsers[territory_id],"Owner Not Found"))</f>
        <v>4</v>
      </c>
      <c r="K834" t="str">
        <f t="shared" si="25"/>
        <v>Wrong AE Territory</v>
      </c>
    </row>
    <row r="835" spans="1:11">
      <c r="A835" t="s">
        <v>4234</v>
      </c>
      <c r="B835" t="s">
        <v>4236</v>
      </c>
      <c r="D835" t="s">
        <v>285</v>
      </c>
      <c r="F835" t="str">
        <f t="shared" ref="F835:F898" si="26">IF(C835="SMB","SMB",IF(OR(C835="Mid-Market",C835="Upper Mid-Market"),"MM","Needs Review - Segment"))</f>
        <v>Needs Review - Segment</v>
      </c>
      <c r="G835">
        <f>_xlfn.XLOOKUP(D835,tblStates[state_code],tblStates[territory_id],"Needs Review - Territory")</f>
        <v>4</v>
      </c>
      <c r="H835" t="str">
        <f>IF(E835="","",_xlfn.XLOOKUP(E835,tblUsers[user_id],tblUsers[job_title],"Owner Not Found"))</f>
        <v/>
      </c>
      <c r="I835" t="str">
        <f>IF(E835="","",_xlfn.XLOOKUP(E835,tblUsers[user_id],tblUsers[segment],"Owner Not Found"))</f>
        <v/>
      </c>
      <c r="J835" t="str">
        <f>IF(E835="","",_xlfn.XLOOKUP(E835,tblUsers[user_id],tblUsers[territory_id],"Owner Not Found"))</f>
        <v/>
      </c>
      <c r="K835" t="str">
        <f t="shared" ref="K835:K898" si="27">IF(E835="","Unassigned",IF(F835="Needs Review - Segment","Needs Review - Segment",IF(G835="Needs Review - Territory","Needs Review - Territory",IF(I835&lt;&gt;F835,"Wrong Segment",IF(AND(ISNUMBER(SEARCH("Account Executive",H835)),J835&lt;&gt;G835),"Wrong AE Territory",IF(OR(ISNUMBER(SEARCH("Account Executive",H835)),H835="Sales Development Representative"),"Routing Compatible","Unexpected Owner Role"))))))</f>
        <v>Unassigned</v>
      </c>
    </row>
    <row r="836" spans="1:11">
      <c r="A836" t="s">
        <v>4237</v>
      </c>
      <c r="B836" t="s">
        <v>4239</v>
      </c>
      <c r="C836" t="s">
        <v>30</v>
      </c>
      <c r="D836" t="s">
        <v>212</v>
      </c>
      <c r="E836" t="s">
        <v>55</v>
      </c>
      <c r="F836" t="str">
        <f t="shared" si="26"/>
        <v>MM</v>
      </c>
      <c r="G836">
        <f>_xlfn.XLOOKUP(D836,tblStates[state_code],tblStates[territory_id],"Needs Review - Territory")</f>
        <v>3</v>
      </c>
      <c r="H836" t="str">
        <f>IF(E836="","",_xlfn.XLOOKUP(E836,tblUsers[user_id],tblUsers[job_title],"Owner Not Found"))</f>
        <v>Mid-Market Account Executive</v>
      </c>
      <c r="I836" t="str">
        <f>IF(E836="","",_xlfn.XLOOKUP(E836,tblUsers[user_id],tblUsers[segment],"Owner Not Found"))</f>
        <v>MM</v>
      </c>
      <c r="J836">
        <f>IF(E836="","",_xlfn.XLOOKUP(E836,tblUsers[user_id],tblUsers[territory_id],"Owner Not Found"))</f>
        <v>3</v>
      </c>
      <c r="K836" t="str">
        <f t="shared" si="27"/>
        <v>Routing Compatible</v>
      </c>
    </row>
    <row r="837" spans="1:11">
      <c r="A837" t="s">
        <v>4240</v>
      </c>
      <c r="B837" t="s">
        <v>4242</v>
      </c>
      <c r="C837" t="s">
        <v>30</v>
      </c>
      <c r="D837" t="s">
        <v>16</v>
      </c>
      <c r="E837" t="s">
        <v>18</v>
      </c>
      <c r="F837" t="str">
        <f t="shared" si="26"/>
        <v>MM</v>
      </c>
      <c r="G837">
        <f>_xlfn.XLOOKUP(D837,tblStates[state_code],tblStates[territory_id],"Needs Review - Territory")</f>
        <v>1</v>
      </c>
      <c r="H837" t="str">
        <f>IF(E837="","",_xlfn.XLOOKUP(E837,tblUsers[user_id],tblUsers[job_title],"Owner Not Found"))</f>
        <v>Mid-Market Account Executive</v>
      </c>
      <c r="I837" t="str">
        <f>IF(E837="","",_xlfn.XLOOKUP(E837,tblUsers[user_id],tblUsers[segment],"Owner Not Found"))</f>
        <v>MM</v>
      </c>
      <c r="J837">
        <f>IF(E837="","",_xlfn.XLOOKUP(E837,tblUsers[user_id],tblUsers[territory_id],"Owner Not Found"))</f>
        <v>1</v>
      </c>
      <c r="K837" t="str">
        <f t="shared" si="27"/>
        <v>Routing Compatible</v>
      </c>
    </row>
    <row r="838" spans="1:11">
      <c r="A838" t="s">
        <v>4243</v>
      </c>
      <c r="B838" t="s">
        <v>4245</v>
      </c>
      <c r="C838" t="s">
        <v>17</v>
      </c>
      <c r="D838" t="s">
        <v>95</v>
      </c>
      <c r="E838" t="s">
        <v>18</v>
      </c>
      <c r="F838" t="str">
        <f t="shared" si="26"/>
        <v>MM</v>
      </c>
      <c r="G838">
        <f>_xlfn.XLOOKUP(D838,tblStates[state_code],tblStates[territory_id],"Needs Review - Territory")</f>
        <v>1</v>
      </c>
      <c r="H838" t="str">
        <f>IF(E838="","",_xlfn.XLOOKUP(E838,tblUsers[user_id],tblUsers[job_title],"Owner Not Found"))</f>
        <v>Mid-Market Account Executive</v>
      </c>
      <c r="I838" t="str">
        <f>IF(E838="","",_xlfn.XLOOKUP(E838,tblUsers[user_id],tblUsers[segment],"Owner Not Found"))</f>
        <v>MM</v>
      </c>
      <c r="J838">
        <f>IF(E838="","",_xlfn.XLOOKUP(E838,tblUsers[user_id],tblUsers[territory_id],"Owner Not Found"))</f>
        <v>1</v>
      </c>
      <c r="K838" t="str">
        <f t="shared" si="27"/>
        <v>Routing Compatible</v>
      </c>
    </row>
    <row r="839" spans="1:11">
      <c r="A839" t="s">
        <v>4246</v>
      </c>
      <c r="B839" t="s">
        <v>4248</v>
      </c>
      <c r="C839" t="s">
        <v>30</v>
      </c>
      <c r="D839" t="s">
        <v>23</v>
      </c>
      <c r="E839" t="s">
        <v>82</v>
      </c>
      <c r="F839" t="str">
        <f t="shared" si="26"/>
        <v>MM</v>
      </c>
      <c r="G839">
        <f>_xlfn.XLOOKUP(D839,tblStates[state_code],tblStates[territory_id],"Needs Review - Territory")</f>
        <v>2</v>
      </c>
      <c r="H839" t="str">
        <f>IF(E839="","",_xlfn.XLOOKUP(E839,tblUsers[user_id],tblUsers[job_title],"Owner Not Found"))</f>
        <v>Mid-Market Account Executive</v>
      </c>
      <c r="I839" t="str">
        <f>IF(E839="","",_xlfn.XLOOKUP(E839,tblUsers[user_id],tblUsers[segment],"Owner Not Found"))</f>
        <v>MM</v>
      </c>
      <c r="J839">
        <f>IF(E839="","",_xlfn.XLOOKUP(E839,tblUsers[user_id],tblUsers[territory_id],"Owner Not Found"))</f>
        <v>2</v>
      </c>
      <c r="K839" t="str">
        <f t="shared" si="27"/>
        <v>Routing Compatible</v>
      </c>
    </row>
    <row r="840" spans="1:11">
      <c r="A840" t="s">
        <v>4249</v>
      </c>
      <c r="B840" t="s">
        <v>4251</v>
      </c>
      <c r="C840" t="s">
        <v>30</v>
      </c>
      <c r="D840" t="s">
        <v>95</v>
      </c>
      <c r="E840" t="s">
        <v>18</v>
      </c>
      <c r="F840" t="str">
        <f t="shared" si="26"/>
        <v>MM</v>
      </c>
      <c r="G840">
        <f>_xlfn.XLOOKUP(D840,tblStates[state_code],tblStates[territory_id],"Needs Review - Territory")</f>
        <v>1</v>
      </c>
      <c r="H840" t="str">
        <f>IF(E840="","",_xlfn.XLOOKUP(E840,tblUsers[user_id],tblUsers[job_title],"Owner Not Found"))</f>
        <v>Mid-Market Account Executive</v>
      </c>
      <c r="I840" t="str">
        <f>IF(E840="","",_xlfn.XLOOKUP(E840,tblUsers[user_id],tblUsers[segment],"Owner Not Found"))</f>
        <v>MM</v>
      </c>
      <c r="J840">
        <f>IF(E840="","",_xlfn.XLOOKUP(E840,tblUsers[user_id],tblUsers[territory_id],"Owner Not Found"))</f>
        <v>1</v>
      </c>
      <c r="K840" t="str">
        <f t="shared" si="27"/>
        <v>Routing Compatible</v>
      </c>
    </row>
    <row r="841" spans="1:11">
      <c r="A841" t="s">
        <v>4252</v>
      </c>
      <c r="B841" t="s">
        <v>4254</v>
      </c>
      <c r="C841" t="s">
        <v>30</v>
      </c>
      <c r="D841" t="s">
        <v>178</v>
      </c>
      <c r="E841" t="s">
        <v>36</v>
      </c>
      <c r="F841" t="str">
        <f t="shared" si="26"/>
        <v>MM</v>
      </c>
      <c r="G841">
        <f>_xlfn.XLOOKUP(D841,tblStates[state_code],tblStates[territory_id],"Needs Review - Territory")</f>
        <v>4</v>
      </c>
      <c r="H841" t="str">
        <f>IF(E841="","",_xlfn.XLOOKUP(E841,tblUsers[user_id],tblUsers[job_title],"Owner Not Found"))</f>
        <v>Mid-Market Account Executive</v>
      </c>
      <c r="I841" t="str">
        <f>IF(E841="","",_xlfn.XLOOKUP(E841,tblUsers[user_id],tblUsers[segment],"Owner Not Found"))</f>
        <v>MM</v>
      </c>
      <c r="J841">
        <f>IF(E841="","",_xlfn.XLOOKUP(E841,tblUsers[user_id],tblUsers[territory_id],"Owner Not Found"))</f>
        <v>4</v>
      </c>
      <c r="K841" t="str">
        <f t="shared" si="27"/>
        <v>Routing Compatible</v>
      </c>
    </row>
    <row r="842" spans="1:11">
      <c r="A842" t="s">
        <v>4255</v>
      </c>
      <c r="B842" t="s">
        <v>4257</v>
      </c>
      <c r="C842" t="s">
        <v>24</v>
      </c>
      <c r="D842" t="s">
        <v>50</v>
      </c>
      <c r="E842" t="s">
        <v>59</v>
      </c>
      <c r="F842" t="str">
        <f t="shared" si="26"/>
        <v>SMB</v>
      </c>
      <c r="G842">
        <f>_xlfn.XLOOKUP(D842,tblStates[state_code],tblStates[territory_id],"Needs Review - Territory")</f>
        <v>4</v>
      </c>
      <c r="H842" t="str">
        <f>IF(E842="","",_xlfn.XLOOKUP(E842,tblUsers[user_id],tblUsers[job_title],"Owner Not Found"))</f>
        <v>SMB Account Executive</v>
      </c>
      <c r="I842" t="str">
        <f>IF(E842="","",_xlfn.XLOOKUP(E842,tblUsers[user_id],tblUsers[segment],"Owner Not Found"))</f>
        <v>SMB</v>
      </c>
      <c r="J842">
        <f>IF(E842="","",_xlfn.XLOOKUP(E842,tblUsers[user_id],tblUsers[territory_id],"Owner Not Found"))</f>
        <v>4</v>
      </c>
      <c r="K842" t="str">
        <f t="shared" si="27"/>
        <v>Routing Compatible</v>
      </c>
    </row>
    <row r="843" spans="1:11">
      <c r="A843" t="s">
        <v>4258</v>
      </c>
      <c r="B843" t="s">
        <v>4260</v>
      </c>
      <c r="C843" t="s">
        <v>17</v>
      </c>
      <c r="D843" t="s">
        <v>95</v>
      </c>
      <c r="E843" t="s">
        <v>18</v>
      </c>
      <c r="F843" t="str">
        <f t="shared" si="26"/>
        <v>MM</v>
      </c>
      <c r="G843">
        <f>_xlfn.XLOOKUP(D843,tblStates[state_code],tblStates[territory_id],"Needs Review - Territory")</f>
        <v>1</v>
      </c>
      <c r="H843" t="str">
        <f>IF(E843="","",_xlfn.XLOOKUP(E843,tblUsers[user_id],tblUsers[job_title],"Owner Not Found"))</f>
        <v>Mid-Market Account Executive</v>
      </c>
      <c r="I843" t="str">
        <f>IF(E843="","",_xlfn.XLOOKUP(E843,tblUsers[user_id],tblUsers[segment],"Owner Not Found"))</f>
        <v>MM</v>
      </c>
      <c r="J843">
        <f>IF(E843="","",_xlfn.XLOOKUP(E843,tblUsers[user_id],tblUsers[territory_id],"Owner Not Found"))</f>
        <v>1</v>
      </c>
      <c r="K843" t="str">
        <f t="shared" si="27"/>
        <v>Routing Compatible</v>
      </c>
    </row>
    <row r="844" spans="1:11">
      <c r="A844" t="s">
        <v>4261</v>
      </c>
      <c r="B844" t="s">
        <v>4263</v>
      </c>
      <c r="C844" t="s">
        <v>24</v>
      </c>
      <c r="D844" t="s">
        <v>408</v>
      </c>
      <c r="E844" t="s">
        <v>69</v>
      </c>
      <c r="F844" t="str">
        <f t="shared" si="26"/>
        <v>SMB</v>
      </c>
      <c r="G844">
        <f>_xlfn.XLOOKUP(D844,tblStates[state_code],tblStates[territory_id],"Needs Review - Territory")</f>
        <v>3</v>
      </c>
      <c r="H844" t="str">
        <f>IF(E844="","",_xlfn.XLOOKUP(E844,tblUsers[user_id],tblUsers[job_title],"Owner Not Found"))</f>
        <v>SMB Account Executive</v>
      </c>
      <c r="I844" t="str">
        <f>IF(E844="","",_xlfn.XLOOKUP(E844,tblUsers[user_id],tblUsers[segment],"Owner Not Found"))</f>
        <v>SMB</v>
      </c>
      <c r="J844">
        <f>IF(E844="","",_xlfn.XLOOKUP(E844,tblUsers[user_id],tblUsers[territory_id],"Owner Not Found"))</f>
        <v>3</v>
      </c>
      <c r="K844" t="str">
        <f t="shared" si="27"/>
        <v>Routing Compatible</v>
      </c>
    </row>
    <row r="845" spans="1:11">
      <c r="A845" t="s">
        <v>4264</v>
      </c>
      <c r="B845" t="s">
        <v>4266</v>
      </c>
      <c r="C845" t="s">
        <v>24</v>
      </c>
      <c r="D845" t="s">
        <v>154</v>
      </c>
      <c r="E845" t="s">
        <v>25</v>
      </c>
      <c r="F845" t="str">
        <f t="shared" si="26"/>
        <v>SMB</v>
      </c>
      <c r="G845">
        <f>_xlfn.XLOOKUP(D845,tblStates[state_code],tblStates[territory_id],"Needs Review - Territory")</f>
        <v>2</v>
      </c>
      <c r="H845" t="str">
        <f>IF(E845="","",_xlfn.XLOOKUP(E845,tblUsers[user_id],tblUsers[job_title],"Owner Not Found"))</f>
        <v>SMB Account Executive</v>
      </c>
      <c r="I845" t="str">
        <f>IF(E845="","",_xlfn.XLOOKUP(E845,tblUsers[user_id],tblUsers[segment],"Owner Not Found"))</f>
        <v>SMB</v>
      </c>
      <c r="J845">
        <f>IF(E845="","",_xlfn.XLOOKUP(E845,tblUsers[user_id],tblUsers[territory_id],"Owner Not Found"))</f>
        <v>2</v>
      </c>
      <c r="K845" t="str">
        <f t="shared" si="27"/>
        <v>Routing Compatible</v>
      </c>
    </row>
    <row r="846" spans="1:11">
      <c r="A846" t="s">
        <v>4267</v>
      </c>
      <c r="B846" t="s">
        <v>4269</v>
      </c>
      <c r="C846" t="s">
        <v>24</v>
      </c>
      <c r="D846" t="s">
        <v>46</v>
      </c>
      <c r="E846" t="s">
        <v>91</v>
      </c>
      <c r="F846" t="str">
        <f t="shared" si="26"/>
        <v>SMB</v>
      </c>
      <c r="G846">
        <f>_xlfn.XLOOKUP(D846,tblStates[state_code],tblStates[territory_id],"Needs Review - Territory")</f>
        <v>1</v>
      </c>
      <c r="H846" t="str">
        <f>IF(E846="","",_xlfn.XLOOKUP(E846,tblUsers[user_id],tblUsers[job_title],"Owner Not Found"))</f>
        <v>SMB Account Executive</v>
      </c>
      <c r="I846" t="str">
        <f>IF(E846="","",_xlfn.XLOOKUP(E846,tblUsers[user_id],tblUsers[segment],"Owner Not Found"))</f>
        <v>SMB</v>
      </c>
      <c r="J846">
        <f>IF(E846="","",_xlfn.XLOOKUP(E846,tblUsers[user_id],tblUsers[territory_id],"Owner Not Found"))</f>
        <v>1</v>
      </c>
      <c r="K846" t="str">
        <f t="shared" si="27"/>
        <v>Routing Compatible</v>
      </c>
    </row>
    <row r="847" spans="1:11">
      <c r="A847" t="s">
        <v>4270</v>
      </c>
      <c r="B847" t="s">
        <v>4272</v>
      </c>
      <c r="C847" t="s">
        <v>30</v>
      </c>
      <c r="D847" t="s">
        <v>216</v>
      </c>
      <c r="E847" t="s">
        <v>18</v>
      </c>
      <c r="F847" t="str">
        <f t="shared" si="26"/>
        <v>MM</v>
      </c>
      <c r="G847">
        <f>_xlfn.XLOOKUP(D847,tblStates[state_code],tblStates[territory_id],"Needs Review - Territory")</f>
        <v>1</v>
      </c>
      <c r="H847" t="str">
        <f>IF(E847="","",_xlfn.XLOOKUP(E847,tblUsers[user_id],tblUsers[job_title],"Owner Not Found"))</f>
        <v>Mid-Market Account Executive</v>
      </c>
      <c r="I847" t="str">
        <f>IF(E847="","",_xlfn.XLOOKUP(E847,tblUsers[user_id],tblUsers[segment],"Owner Not Found"))</f>
        <v>MM</v>
      </c>
      <c r="J847">
        <f>IF(E847="","",_xlfn.XLOOKUP(E847,tblUsers[user_id],tblUsers[territory_id],"Owner Not Found"))</f>
        <v>1</v>
      </c>
      <c r="K847" t="str">
        <f t="shared" si="27"/>
        <v>Routing Compatible</v>
      </c>
    </row>
    <row r="848" spans="1:11">
      <c r="A848" t="s">
        <v>4273</v>
      </c>
      <c r="B848" t="s">
        <v>4275</v>
      </c>
      <c r="C848" t="s">
        <v>24</v>
      </c>
      <c r="D848" t="s">
        <v>404</v>
      </c>
      <c r="E848" t="s">
        <v>25</v>
      </c>
      <c r="F848" t="str">
        <f t="shared" si="26"/>
        <v>SMB</v>
      </c>
      <c r="G848">
        <f>_xlfn.XLOOKUP(D848,tblStates[state_code],tblStates[territory_id],"Needs Review - Territory")</f>
        <v>2</v>
      </c>
      <c r="H848" t="str">
        <f>IF(E848="","",_xlfn.XLOOKUP(E848,tblUsers[user_id],tblUsers[job_title],"Owner Not Found"))</f>
        <v>SMB Account Executive</v>
      </c>
      <c r="I848" t="str">
        <f>IF(E848="","",_xlfn.XLOOKUP(E848,tblUsers[user_id],tblUsers[segment],"Owner Not Found"))</f>
        <v>SMB</v>
      </c>
      <c r="J848">
        <f>IF(E848="","",_xlfn.XLOOKUP(E848,tblUsers[user_id],tblUsers[territory_id],"Owner Not Found"))</f>
        <v>2</v>
      </c>
      <c r="K848" t="str">
        <f t="shared" si="27"/>
        <v>Routing Compatible</v>
      </c>
    </row>
    <row r="849" spans="1:11">
      <c r="A849" t="s">
        <v>4276</v>
      </c>
      <c r="B849" t="s">
        <v>4278</v>
      </c>
      <c r="C849" t="s">
        <v>24</v>
      </c>
      <c r="D849" t="s">
        <v>638</v>
      </c>
      <c r="E849" t="s">
        <v>69</v>
      </c>
      <c r="F849" t="str">
        <f t="shared" si="26"/>
        <v>SMB</v>
      </c>
      <c r="G849">
        <f>_xlfn.XLOOKUP(D849,tblStates[state_code],tblStates[territory_id],"Needs Review - Territory")</f>
        <v>3</v>
      </c>
      <c r="H849" t="str">
        <f>IF(E849="","",_xlfn.XLOOKUP(E849,tblUsers[user_id],tblUsers[job_title],"Owner Not Found"))</f>
        <v>SMB Account Executive</v>
      </c>
      <c r="I849" t="str">
        <f>IF(E849="","",_xlfn.XLOOKUP(E849,tblUsers[user_id],tblUsers[segment],"Owner Not Found"))</f>
        <v>SMB</v>
      </c>
      <c r="J849">
        <f>IF(E849="","",_xlfn.XLOOKUP(E849,tblUsers[user_id],tblUsers[territory_id],"Owner Not Found"))</f>
        <v>3</v>
      </c>
      <c r="K849" t="str">
        <f t="shared" si="27"/>
        <v>Routing Compatible</v>
      </c>
    </row>
    <row r="850" spans="1:11">
      <c r="A850" t="s">
        <v>4279</v>
      </c>
      <c r="B850" t="s">
        <v>4281</v>
      </c>
      <c r="C850" t="s">
        <v>30</v>
      </c>
      <c r="D850" t="s">
        <v>23</v>
      </c>
      <c r="E850" t="s">
        <v>82</v>
      </c>
      <c r="F850" t="str">
        <f t="shared" si="26"/>
        <v>MM</v>
      </c>
      <c r="G850">
        <f>_xlfn.XLOOKUP(D850,tblStates[state_code],tblStates[territory_id],"Needs Review - Territory")</f>
        <v>2</v>
      </c>
      <c r="H850" t="str">
        <f>IF(E850="","",_xlfn.XLOOKUP(E850,tblUsers[user_id],tblUsers[job_title],"Owner Not Found"))</f>
        <v>Mid-Market Account Executive</v>
      </c>
      <c r="I850" t="str">
        <f>IF(E850="","",_xlfn.XLOOKUP(E850,tblUsers[user_id],tblUsers[segment],"Owner Not Found"))</f>
        <v>MM</v>
      </c>
      <c r="J850">
        <f>IF(E850="","",_xlfn.XLOOKUP(E850,tblUsers[user_id],tblUsers[territory_id],"Owner Not Found"))</f>
        <v>2</v>
      </c>
      <c r="K850" t="str">
        <f t="shared" si="27"/>
        <v>Routing Compatible</v>
      </c>
    </row>
    <row r="851" spans="1:11">
      <c r="A851" t="s">
        <v>4282</v>
      </c>
      <c r="B851" t="s">
        <v>4284</v>
      </c>
      <c r="C851" t="s">
        <v>30</v>
      </c>
      <c r="D851" t="s">
        <v>23</v>
      </c>
      <c r="E851" t="s">
        <v>82</v>
      </c>
      <c r="F851" t="str">
        <f t="shared" si="26"/>
        <v>MM</v>
      </c>
      <c r="G851">
        <f>_xlfn.XLOOKUP(D851,tblStates[state_code],tblStates[territory_id],"Needs Review - Territory")</f>
        <v>2</v>
      </c>
      <c r="H851" t="str">
        <f>IF(E851="","",_xlfn.XLOOKUP(E851,tblUsers[user_id],tblUsers[job_title],"Owner Not Found"))</f>
        <v>Mid-Market Account Executive</v>
      </c>
      <c r="I851" t="str">
        <f>IF(E851="","",_xlfn.XLOOKUP(E851,tblUsers[user_id],tblUsers[segment],"Owner Not Found"))</f>
        <v>MM</v>
      </c>
      <c r="J851">
        <f>IF(E851="","",_xlfn.XLOOKUP(E851,tblUsers[user_id],tblUsers[territory_id],"Owner Not Found"))</f>
        <v>2</v>
      </c>
      <c r="K851" t="str">
        <f t="shared" si="27"/>
        <v>Routing Compatible</v>
      </c>
    </row>
    <row r="852" spans="1:11">
      <c r="A852" t="s">
        <v>4285</v>
      </c>
      <c r="B852" t="s">
        <v>4287</v>
      </c>
      <c r="C852" t="s">
        <v>30</v>
      </c>
      <c r="D852" t="s">
        <v>54</v>
      </c>
      <c r="E852" t="s">
        <v>55</v>
      </c>
      <c r="F852" t="str">
        <f t="shared" si="26"/>
        <v>MM</v>
      </c>
      <c r="G852">
        <f>_xlfn.XLOOKUP(D852,tblStates[state_code],tblStates[territory_id],"Needs Review - Territory")</f>
        <v>3</v>
      </c>
      <c r="H852" t="str">
        <f>IF(E852="","",_xlfn.XLOOKUP(E852,tblUsers[user_id],tblUsers[job_title],"Owner Not Found"))</f>
        <v>Mid-Market Account Executive</v>
      </c>
      <c r="I852" t="str">
        <f>IF(E852="","",_xlfn.XLOOKUP(E852,tblUsers[user_id],tblUsers[segment],"Owner Not Found"))</f>
        <v>MM</v>
      </c>
      <c r="J852">
        <f>IF(E852="","",_xlfn.XLOOKUP(E852,tblUsers[user_id],tblUsers[territory_id],"Owner Not Found"))</f>
        <v>3</v>
      </c>
      <c r="K852" t="str">
        <f t="shared" si="27"/>
        <v>Routing Compatible</v>
      </c>
    </row>
    <row r="853" spans="1:11">
      <c r="A853" t="s">
        <v>4288</v>
      </c>
      <c r="B853" t="s">
        <v>4290</v>
      </c>
      <c r="C853" t="s">
        <v>30</v>
      </c>
      <c r="D853" t="s">
        <v>68</v>
      </c>
      <c r="E853" t="s">
        <v>55</v>
      </c>
      <c r="F853" t="str">
        <f t="shared" si="26"/>
        <v>MM</v>
      </c>
      <c r="G853">
        <f>_xlfn.XLOOKUP(D853,tblStates[state_code],tblStates[territory_id],"Needs Review - Territory")</f>
        <v>3</v>
      </c>
      <c r="H853" t="str">
        <f>IF(E853="","",_xlfn.XLOOKUP(E853,tblUsers[user_id],tblUsers[job_title],"Owner Not Found"))</f>
        <v>Mid-Market Account Executive</v>
      </c>
      <c r="I853" t="str">
        <f>IF(E853="","",_xlfn.XLOOKUP(E853,tblUsers[user_id],tblUsers[segment],"Owner Not Found"))</f>
        <v>MM</v>
      </c>
      <c r="J853">
        <f>IF(E853="","",_xlfn.XLOOKUP(E853,tblUsers[user_id],tblUsers[territory_id],"Owner Not Found"))</f>
        <v>3</v>
      </c>
      <c r="K853" t="str">
        <f t="shared" si="27"/>
        <v>Routing Compatible</v>
      </c>
    </row>
    <row r="854" spans="1:11">
      <c r="A854" t="s">
        <v>4291</v>
      </c>
      <c r="B854" t="s">
        <v>4293</v>
      </c>
      <c r="C854" t="s">
        <v>17</v>
      </c>
      <c r="D854" t="s">
        <v>408</v>
      </c>
      <c r="E854" t="s">
        <v>55</v>
      </c>
      <c r="F854" t="str">
        <f t="shared" si="26"/>
        <v>MM</v>
      </c>
      <c r="G854">
        <f>_xlfn.XLOOKUP(D854,tblStates[state_code],tblStates[territory_id],"Needs Review - Territory")</f>
        <v>3</v>
      </c>
      <c r="H854" t="str">
        <f>IF(E854="","",_xlfn.XLOOKUP(E854,tblUsers[user_id],tblUsers[job_title],"Owner Not Found"))</f>
        <v>Mid-Market Account Executive</v>
      </c>
      <c r="I854" t="str">
        <f>IF(E854="","",_xlfn.XLOOKUP(E854,tblUsers[user_id],tblUsers[segment],"Owner Not Found"))</f>
        <v>MM</v>
      </c>
      <c r="J854">
        <f>IF(E854="","",_xlfn.XLOOKUP(E854,tblUsers[user_id],tblUsers[territory_id],"Owner Not Found"))</f>
        <v>3</v>
      </c>
      <c r="K854" t="str">
        <f t="shared" si="27"/>
        <v>Routing Compatible</v>
      </c>
    </row>
    <row r="855" spans="1:11">
      <c r="A855" t="s">
        <v>4294</v>
      </c>
      <c r="B855" t="s">
        <v>4296</v>
      </c>
      <c r="C855" t="s">
        <v>30</v>
      </c>
      <c r="D855" t="s">
        <v>127</v>
      </c>
      <c r="E855" t="s">
        <v>82</v>
      </c>
      <c r="F855" t="str">
        <f t="shared" si="26"/>
        <v>MM</v>
      </c>
      <c r="G855">
        <f>_xlfn.XLOOKUP(D855,tblStates[state_code],tblStates[territory_id],"Needs Review - Territory")</f>
        <v>2</v>
      </c>
      <c r="H855" t="str">
        <f>IF(E855="","",_xlfn.XLOOKUP(E855,tblUsers[user_id],tblUsers[job_title],"Owner Not Found"))</f>
        <v>Mid-Market Account Executive</v>
      </c>
      <c r="I855" t="str">
        <f>IF(E855="","",_xlfn.XLOOKUP(E855,tblUsers[user_id],tblUsers[segment],"Owner Not Found"))</f>
        <v>MM</v>
      </c>
      <c r="J855">
        <f>IF(E855="","",_xlfn.XLOOKUP(E855,tblUsers[user_id],tblUsers[territory_id],"Owner Not Found"))</f>
        <v>2</v>
      </c>
      <c r="K855" t="str">
        <f t="shared" si="27"/>
        <v>Routing Compatible</v>
      </c>
    </row>
    <row r="856" spans="1:11">
      <c r="A856" t="s">
        <v>4297</v>
      </c>
      <c r="B856" t="s">
        <v>4299</v>
      </c>
      <c r="C856" t="s">
        <v>24</v>
      </c>
      <c r="D856" t="s">
        <v>140</v>
      </c>
      <c r="E856" t="s">
        <v>25</v>
      </c>
      <c r="F856" t="str">
        <f t="shared" si="26"/>
        <v>SMB</v>
      </c>
      <c r="G856">
        <f>_xlfn.XLOOKUP(D856,tblStates[state_code],tblStates[territory_id],"Needs Review - Territory")</f>
        <v>2</v>
      </c>
      <c r="H856" t="str">
        <f>IF(E856="","",_xlfn.XLOOKUP(E856,tblUsers[user_id],tblUsers[job_title],"Owner Not Found"))</f>
        <v>SMB Account Executive</v>
      </c>
      <c r="I856" t="str">
        <f>IF(E856="","",_xlfn.XLOOKUP(E856,tblUsers[user_id],tblUsers[segment],"Owner Not Found"))</f>
        <v>SMB</v>
      </c>
      <c r="J856">
        <f>IF(E856="","",_xlfn.XLOOKUP(E856,tblUsers[user_id],tblUsers[territory_id],"Owner Not Found"))</f>
        <v>2</v>
      </c>
      <c r="K856" t="str">
        <f t="shared" si="27"/>
        <v>Routing Compatible</v>
      </c>
    </row>
    <row r="857" spans="1:11">
      <c r="A857" t="s">
        <v>4300</v>
      </c>
      <c r="B857" t="s">
        <v>4302</v>
      </c>
      <c r="C857" t="s">
        <v>24</v>
      </c>
      <c r="D857" t="s">
        <v>54</v>
      </c>
      <c r="E857" t="s">
        <v>69</v>
      </c>
      <c r="F857" t="str">
        <f t="shared" si="26"/>
        <v>SMB</v>
      </c>
      <c r="G857">
        <f>_xlfn.XLOOKUP(D857,tblStates[state_code],tblStates[territory_id],"Needs Review - Territory")</f>
        <v>3</v>
      </c>
      <c r="H857" t="str">
        <f>IF(E857="","",_xlfn.XLOOKUP(E857,tblUsers[user_id],tblUsers[job_title],"Owner Not Found"))</f>
        <v>SMB Account Executive</v>
      </c>
      <c r="I857" t="str">
        <f>IF(E857="","",_xlfn.XLOOKUP(E857,tblUsers[user_id],tblUsers[segment],"Owner Not Found"))</f>
        <v>SMB</v>
      </c>
      <c r="J857">
        <f>IF(E857="","",_xlfn.XLOOKUP(E857,tblUsers[user_id],tblUsers[territory_id],"Owner Not Found"))</f>
        <v>3</v>
      </c>
      <c r="K857" t="str">
        <f t="shared" si="27"/>
        <v>Routing Compatible</v>
      </c>
    </row>
    <row r="858" spans="1:11">
      <c r="A858" t="s">
        <v>4303</v>
      </c>
      <c r="B858" t="s">
        <v>4305</v>
      </c>
      <c r="C858" t="s">
        <v>24</v>
      </c>
      <c r="D858" t="s">
        <v>54</v>
      </c>
      <c r="E858" t="s">
        <v>69</v>
      </c>
      <c r="F858" t="str">
        <f t="shared" si="26"/>
        <v>SMB</v>
      </c>
      <c r="G858">
        <f>_xlfn.XLOOKUP(D858,tblStates[state_code],tblStates[territory_id],"Needs Review - Territory")</f>
        <v>3</v>
      </c>
      <c r="H858" t="str">
        <f>IF(E858="","",_xlfn.XLOOKUP(E858,tblUsers[user_id],tblUsers[job_title],"Owner Not Found"))</f>
        <v>SMB Account Executive</v>
      </c>
      <c r="I858" t="str">
        <f>IF(E858="","",_xlfn.XLOOKUP(E858,tblUsers[user_id],tblUsers[segment],"Owner Not Found"))</f>
        <v>SMB</v>
      </c>
      <c r="J858">
        <f>IF(E858="","",_xlfn.XLOOKUP(E858,tblUsers[user_id],tblUsers[territory_id],"Owner Not Found"))</f>
        <v>3</v>
      </c>
      <c r="K858" t="str">
        <f t="shared" si="27"/>
        <v>Routing Compatible</v>
      </c>
    </row>
    <row r="859" spans="1:11">
      <c r="A859" t="s">
        <v>4306</v>
      </c>
      <c r="B859" t="s">
        <v>4308</v>
      </c>
      <c r="C859" t="s">
        <v>24</v>
      </c>
      <c r="D859" t="s">
        <v>1079</v>
      </c>
      <c r="E859" t="s">
        <v>69</v>
      </c>
      <c r="F859" t="str">
        <f t="shared" si="26"/>
        <v>SMB</v>
      </c>
      <c r="G859">
        <f>_xlfn.XLOOKUP(D859,tblStates[state_code],tblStates[territory_id],"Needs Review - Territory")</f>
        <v>3</v>
      </c>
      <c r="H859" t="str">
        <f>IF(E859="","",_xlfn.XLOOKUP(E859,tblUsers[user_id],tblUsers[job_title],"Owner Not Found"))</f>
        <v>SMB Account Executive</v>
      </c>
      <c r="I859" t="str">
        <f>IF(E859="","",_xlfn.XLOOKUP(E859,tblUsers[user_id],tblUsers[segment],"Owner Not Found"))</f>
        <v>SMB</v>
      </c>
      <c r="J859">
        <f>IF(E859="","",_xlfn.XLOOKUP(E859,tblUsers[user_id],tblUsers[territory_id],"Owner Not Found"))</f>
        <v>3</v>
      </c>
      <c r="K859" t="str">
        <f t="shared" si="27"/>
        <v>Routing Compatible</v>
      </c>
    </row>
    <row r="860" spans="1:11">
      <c r="A860" t="s">
        <v>4309</v>
      </c>
      <c r="B860" t="s">
        <v>4311</v>
      </c>
      <c r="C860" t="s">
        <v>24</v>
      </c>
      <c r="D860" t="s">
        <v>50</v>
      </c>
      <c r="E860" t="s">
        <v>59</v>
      </c>
      <c r="F860" t="str">
        <f t="shared" si="26"/>
        <v>SMB</v>
      </c>
      <c r="G860">
        <f>_xlfn.XLOOKUP(D860,tblStates[state_code],tblStates[territory_id],"Needs Review - Territory")</f>
        <v>4</v>
      </c>
      <c r="H860" t="str">
        <f>IF(E860="","",_xlfn.XLOOKUP(E860,tblUsers[user_id],tblUsers[job_title],"Owner Not Found"))</f>
        <v>SMB Account Executive</v>
      </c>
      <c r="I860" t="str">
        <f>IF(E860="","",_xlfn.XLOOKUP(E860,tblUsers[user_id],tblUsers[segment],"Owner Not Found"))</f>
        <v>SMB</v>
      </c>
      <c r="J860">
        <f>IF(E860="","",_xlfn.XLOOKUP(E860,tblUsers[user_id],tblUsers[territory_id],"Owner Not Found"))</f>
        <v>4</v>
      </c>
      <c r="K860" t="str">
        <f t="shared" si="27"/>
        <v>Routing Compatible</v>
      </c>
    </row>
    <row r="861" spans="1:11">
      <c r="A861" t="s">
        <v>4312</v>
      </c>
      <c r="B861" t="s">
        <v>4314</v>
      </c>
      <c r="C861" t="s">
        <v>24</v>
      </c>
      <c r="E861" t="s">
        <v>59</v>
      </c>
      <c r="F861" t="str">
        <f t="shared" si="26"/>
        <v>SMB</v>
      </c>
      <c r="G861" t="str">
        <f>_xlfn.XLOOKUP(D861,tblStates[state_code],tblStates[territory_id],"Needs Review - Territory")</f>
        <v>Needs Review - Territory</v>
      </c>
      <c r="H861" t="str">
        <f>IF(E861="","",_xlfn.XLOOKUP(E861,tblUsers[user_id],tblUsers[job_title],"Owner Not Found"))</f>
        <v>SMB Account Executive</v>
      </c>
      <c r="I861" t="str">
        <f>IF(E861="","",_xlfn.XLOOKUP(E861,tblUsers[user_id],tblUsers[segment],"Owner Not Found"))</f>
        <v>SMB</v>
      </c>
      <c r="J861">
        <f>IF(E861="","",_xlfn.XLOOKUP(E861,tblUsers[user_id],tblUsers[territory_id],"Owner Not Found"))</f>
        <v>4</v>
      </c>
      <c r="K861" t="str">
        <f t="shared" si="27"/>
        <v>Needs Review - Territory</v>
      </c>
    </row>
    <row r="862" spans="1:11">
      <c r="A862" t="s">
        <v>4315</v>
      </c>
      <c r="B862" t="s">
        <v>4317</v>
      </c>
      <c r="C862" t="s">
        <v>24</v>
      </c>
      <c r="D862" t="s">
        <v>81</v>
      </c>
      <c r="E862" t="s">
        <v>25</v>
      </c>
      <c r="F862" t="str">
        <f t="shared" si="26"/>
        <v>SMB</v>
      </c>
      <c r="G862">
        <f>_xlfn.XLOOKUP(D862,tblStates[state_code],tblStates[territory_id],"Needs Review - Territory")</f>
        <v>2</v>
      </c>
      <c r="H862" t="str">
        <f>IF(E862="","",_xlfn.XLOOKUP(E862,tblUsers[user_id],tblUsers[job_title],"Owner Not Found"))</f>
        <v>SMB Account Executive</v>
      </c>
      <c r="I862" t="str">
        <f>IF(E862="","",_xlfn.XLOOKUP(E862,tblUsers[user_id],tblUsers[segment],"Owner Not Found"))</f>
        <v>SMB</v>
      </c>
      <c r="J862">
        <f>IF(E862="","",_xlfn.XLOOKUP(E862,tblUsers[user_id],tblUsers[territory_id],"Owner Not Found"))</f>
        <v>2</v>
      </c>
      <c r="K862" t="str">
        <f t="shared" si="27"/>
        <v>Routing Compatible</v>
      </c>
    </row>
    <row r="863" spans="1:11">
      <c r="A863" t="s">
        <v>4318</v>
      </c>
      <c r="B863" t="s">
        <v>4320</v>
      </c>
      <c r="C863" t="s">
        <v>30</v>
      </c>
      <c r="D863" t="s">
        <v>50</v>
      </c>
      <c r="E863" t="s">
        <v>36</v>
      </c>
      <c r="F863" t="str">
        <f t="shared" si="26"/>
        <v>MM</v>
      </c>
      <c r="G863">
        <f>_xlfn.XLOOKUP(D863,tblStates[state_code],tblStates[territory_id],"Needs Review - Territory")</f>
        <v>4</v>
      </c>
      <c r="H863" t="str">
        <f>IF(E863="","",_xlfn.XLOOKUP(E863,tblUsers[user_id],tblUsers[job_title],"Owner Not Found"))</f>
        <v>Mid-Market Account Executive</v>
      </c>
      <c r="I863" t="str">
        <f>IF(E863="","",_xlfn.XLOOKUP(E863,tblUsers[user_id],tblUsers[segment],"Owner Not Found"))</f>
        <v>MM</v>
      </c>
      <c r="J863">
        <f>IF(E863="","",_xlfn.XLOOKUP(E863,tblUsers[user_id],tblUsers[territory_id],"Owner Not Found"))</f>
        <v>4</v>
      </c>
      <c r="K863" t="str">
        <f t="shared" si="27"/>
        <v>Routing Compatible</v>
      </c>
    </row>
    <row r="864" spans="1:11">
      <c r="A864" t="s">
        <v>4321</v>
      </c>
      <c r="B864" t="s">
        <v>4323</v>
      </c>
      <c r="C864" t="s">
        <v>17</v>
      </c>
      <c r="D864" t="s">
        <v>1077</v>
      </c>
      <c r="E864" t="s">
        <v>55</v>
      </c>
      <c r="F864" t="str">
        <f t="shared" si="26"/>
        <v>MM</v>
      </c>
      <c r="G864">
        <f>_xlfn.XLOOKUP(D864,tblStates[state_code],tblStates[territory_id],"Needs Review - Territory")</f>
        <v>3</v>
      </c>
      <c r="H864" t="str">
        <f>IF(E864="","",_xlfn.XLOOKUP(E864,tblUsers[user_id],tblUsers[job_title],"Owner Not Found"))</f>
        <v>Mid-Market Account Executive</v>
      </c>
      <c r="I864" t="str">
        <f>IF(E864="","",_xlfn.XLOOKUP(E864,tblUsers[user_id],tblUsers[segment],"Owner Not Found"))</f>
        <v>MM</v>
      </c>
      <c r="J864">
        <f>IF(E864="","",_xlfn.XLOOKUP(E864,tblUsers[user_id],tblUsers[territory_id],"Owner Not Found"))</f>
        <v>3</v>
      </c>
      <c r="K864" t="str">
        <f t="shared" si="27"/>
        <v>Routing Compatible</v>
      </c>
    </row>
    <row r="865" spans="1:11">
      <c r="A865" t="s">
        <v>4324</v>
      </c>
      <c r="B865" t="s">
        <v>4326</v>
      </c>
      <c r="C865" t="s">
        <v>24</v>
      </c>
      <c r="D865" t="s">
        <v>41</v>
      </c>
      <c r="E865" t="s">
        <v>25</v>
      </c>
      <c r="F865" t="str">
        <f t="shared" si="26"/>
        <v>SMB</v>
      </c>
      <c r="G865">
        <f>_xlfn.XLOOKUP(D865,tblStates[state_code],tblStates[territory_id],"Needs Review - Territory")</f>
        <v>2</v>
      </c>
      <c r="H865" t="str">
        <f>IF(E865="","",_xlfn.XLOOKUP(E865,tblUsers[user_id],tblUsers[job_title],"Owner Not Found"))</f>
        <v>SMB Account Executive</v>
      </c>
      <c r="I865" t="str">
        <f>IF(E865="","",_xlfn.XLOOKUP(E865,tblUsers[user_id],tblUsers[segment],"Owner Not Found"))</f>
        <v>SMB</v>
      </c>
      <c r="J865">
        <f>IF(E865="","",_xlfn.XLOOKUP(E865,tblUsers[user_id],tblUsers[territory_id],"Owner Not Found"))</f>
        <v>2</v>
      </c>
      <c r="K865" t="str">
        <f t="shared" si="27"/>
        <v>Routing Compatible</v>
      </c>
    </row>
    <row r="866" spans="1:11">
      <c r="A866" t="s">
        <v>4327</v>
      </c>
      <c r="B866" t="s">
        <v>4329</v>
      </c>
      <c r="C866" t="s">
        <v>30</v>
      </c>
      <c r="D866" t="s">
        <v>81</v>
      </c>
      <c r="E866" t="s">
        <v>82</v>
      </c>
      <c r="F866" t="str">
        <f t="shared" si="26"/>
        <v>MM</v>
      </c>
      <c r="G866">
        <f>_xlfn.XLOOKUP(D866,tblStates[state_code],tblStates[territory_id],"Needs Review - Territory")</f>
        <v>2</v>
      </c>
      <c r="H866" t="str">
        <f>IF(E866="","",_xlfn.XLOOKUP(E866,tblUsers[user_id],tblUsers[job_title],"Owner Not Found"))</f>
        <v>Mid-Market Account Executive</v>
      </c>
      <c r="I866" t="str">
        <f>IF(E866="","",_xlfn.XLOOKUP(E866,tblUsers[user_id],tblUsers[segment],"Owner Not Found"))</f>
        <v>MM</v>
      </c>
      <c r="J866">
        <f>IF(E866="","",_xlfn.XLOOKUP(E866,tblUsers[user_id],tblUsers[territory_id],"Owner Not Found"))</f>
        <v>2</v>
      </c>
      <c r="K866" t="str">
        <f t="shared" si="27"/>
        <v>Routing Compatible</v>
      </c>
    </row>
    <row r="867" spans="1:11">
      <c r="A867" t="s">
        <v>4330</v>
      </c>
      <c r="B867" t="s">
        <v>4332</v>
      </c>
      <c r="C867" t="s">
        <v>30</v>
      </c>
      <c r="D867" t="s">
        <v>154</v>
      </c>
      <c r="E867" t="s">
        <v>82</v>
      </c>
      <c r="F867" t="str">
        <f t="shared" si="26"/>
        <v>MM</v>
      </c>
      <c r="G867">
        <f>_xlfn.XLOOKUP(D867,tblStates[state_code],tblStates[territory_id],"Needs Review - Territory")</f>
        <v>2</v>
      </c>
      <c r="H867" t="str">
        <f>IF(E867="","",_xlfn.XLOOKUP(E867,tblUsers[user_id],tblUsers[job_title],"Owner Not Found"))</f>
        <v>Mid-Market Account Executive</v>
      </c>
      <c r="I867" t="str">
        <f>IF(E867="","",_xlfn.XLOOKUP(E867,tblUsers[user_id],tblUsers[segment],"Owner Not Found"))</f>
        <v>MM</v>
      </c>
      <c r="J867">
        <f>IF(E867="","",_xlfn.XLOOKUP(E867,tblUsers[user_id],tblUsers[territory_id],"Owner Not Found"))</f>
        <v>2</v>
      </c>
      <c r="K867" t="str">
        <f t="shared" si="27"/>
        <v>Routing Compatible</v>
      </c>
    </row>
    <row r="868" spans="1:11">
      <c r="A868" t="s">
        <v>4333</v>
      </c>
      <c r="B868" t="s">
        <v>4335</v>
      </c>
      <c r="C868" t="s">
        <v>17</v>
      </c>
      <c r="D868" t="s">
        <v>81</v>
      </c>
      <c r="E868" t="s">
        <v>55</v>
      </c>
      <c r="F868" t="str">
        <f t="shared" si="26"/>
        <v>MM</v>
      </c>
      <c r="G868">
        <f>_xlfn.XLOOKUP(D868,tblStates[state_code],tblStates[territory_id],"Needs Review - Territory")</f>
        <v>2</v>
      </c>
      <c r="H868" t="str">
        <f>IF(E868="","",_xlfn.XLOOKUP(E868,tblUsers[user_id],tblUsers[job_title],"Owner Not Found"))</f>
        <v>Mid-Market Account Executive</v>
      </c>
      <c r="I868" t="str">
        <f>IF(E868="","",_xlfn.XLOOKUP(E868,tblUsers[user_id],tblUsers[segment],"Owner Not Found"))</f>
        <v>MM</v>
      </c>
      <c r="J868">
        <f>IF(E868="","",_xlfn.XLOOKUP(E868,tblUsers[user_id],tblUsers[territory_id],"Owner Not Found"))</f>
        <v>3</v>
      </c>
      <c r="K868" t="str">
        <f t="shared" si="27"/>
        <v>Wrong AE Territory</v>
      </c>
    </row>
    <row r="869" spans="1:11">
      <c r="A869" t="s">
        <v>4336</v>
      </c>
      <c r="B869" t="s">
        <v>4338</v>
      </c>
      <c r="C869" t="s">
        <v>30</v>
      </c>
      <c r="D869" t="s">
        <v>178</v>
      </c>
      <c r="E869" t="s">
        <v>36</v>
      </c>
      <c r="F869" t="str">
        <f t="shared" si="26"/>
        <v>MM</v>
      </c>
      <c r="G869">
        <f>_xlfn.XLOOKUP(D869,tblStates[state_code],tblStates[territory_id],"Needs Review - Territory")</f>
        <v>4</v>
      </c>
      <c r="H869" t="str">
        <f>IF(E869="","",_xlfn.XLOOKUP(E869,tblUsers[user_id],tblUsers[job_title],"Owner Not Found"))</f>
        <v>Mid-Market Account Executive</v>
      </c>
      <c r="I869" t="str">
        <f>IF(E869="","",_xlfn.XLOOKUP(E869,tblUsers[user_id],tblUsers[segment],"Owner Not Found"))</f>
        <v>MM</v>
      </c>
      <c r="J869">
        <f>IF(E869="","",_xlfn.XLOOKUP(E869,tblUsers[user_id],tblUsers[territory_id],"Owner Not Found"))</f>
        <v>4</v>
      </c>
      <c r="K869" t="str">
        <f t="shared" si="27"/>
        <v>Routing Compatible</v>
      </c>
    </row>
    <row r="870" spans="1:11">
      <c r="A870" t="s">
        <v>4339</v>
      </c>
      <c r="B870" t="s">
        <v>4341</v>
      </c>
      <c r="C870" t="s">
        <v>24</v>
      </c>
      <c r="D870" t="s">
        <v>81</v>
      </c>
      <c r="E870" t="s">
        <v>25</v>
      </c>
      <c r="F870" t="str">
        <f t="shared" si="26"/>
        <v>SMB</v>
      </c>
      <c r="G870">
        <f>_xlfn.XLOOKUP(D870,tblStates[state_code],tblStates[territory_id],"Needs Review - Territory")</f>
        <v>2</v>
      </c>
      <c r="H870" t="str">
        <f>IF(E870="","",_xlfn.XLOOKUP(E870,tblUsers[user_id],tblUsers[job_title],"Owner Not Found"))</f>
        <v>SMB Account Executive</v>
      </c>
      <c r="I870" t="str">
        <f>IF(E870="","",_xlfn.XLOOKUP(E870,tblUsers[user_id],tblUsers[segment],"Owner Not Found"))</f>
        <v>SMB</v>
      </c>
      <c r="J870">
        <f>IF(E870="","",_xlfn.XLOOKUP(E870,tblUsers[user_id],tblUsers[territory_id],"Owner Not Found"))</f>
        <v>2</v>
      </c>
      <c r="K870" t="str">
        <f t="shared" si="27"/>
        <v>Routing Compatible</v>
      </c>
    </row>
    <row r="871" spans="1:11">
      <c r="A871" t="s">
        <v>4342</v>
      </c>
      <c r="B871" t="s">
        <v>4344</v>
      </c>
      <c r="C871" t="s">
        <v>24</v>
      </c>
      <c r="D871" t="s">
        <v>216</v>
      </c>
      <c r="E871" t="s">
        <v>91</v>
      </c>
      <c r="F871" t="str">
        <f t="shared" si="26"/>
        <v>SMB</v>
      </c>
      <c r="G871">
        <f>_xlfn.XLOOKUP(D871,tblStates[state_code],tblStates[territory_id],"Needs Review - Territory")</f>
        <v>1</v>
      </c>
      <c r="H871" t="str">
        <f>IF(E871="","",_xlfn.XLOOKUP(E871,tblUsers[user_id],tblUsers[job_title],"Owner Not Found"))</f>
        <v>SMB Account Executive</v>
      </c>
      <c r="I871" t="str">
        <f>IF(E871="","",_xlfn.XLOOKUP(E871,tblUsers[user_id],tblUsers[segment],"Owner Not Found"))</f>
        <v>SMB</v>
      </c>
      <c r="J871">
        <f>IF(E871="","",_xlfn.XLOOKUP(E871,tblUsers[user_id],tblUsers[territory_id],"Owner Not Found"))</f>
        <v>1</v>
      </c>
      <c r="K871" t="str">
        <f t="shared" si="27"/>
        <v>Routing Compatible</v>
      </c>
    </row>
    <row r="872" spans="1:11">
      <c r="A872" t="s">
        <v>4345</v>
      </c>
      <c r="B872" t="s">
        <v>4347</v>
      </c>
      <c r="C872" t="s">
        <v>30</v>
      </c>
      <c r="D872" t="s">
        <v>366</v>
      </c>
      <c r="E872" t="s">
        <v>18</v>
      </c>
      <c r="F872" t="str">
        <f t="shared" si="26"/>
        <v>MM</v>
      </c>
      <c r="G872">
        <f>_xlfn.XLOOKUP(D872,tblStates[state_code],tblStates[territory_id],"Needs Review - Territory")</f>
        <v>1</v>
      </c>
      <c r="H872" t="str">
        <f>IF(E872="","",_xlfn.XLOOKUP(E872,tblUsers[user_id],tblUsers[job_title],"Owner Not Found"))</f>
        <v>Mid-Market Account Executive</v>
      </c>
      <c r="I872" t="str">
        <f>IF(E872="","",_xlfn.XLOOKUP(E872,tblUsers[user_id],tblUsers[segment],"Owner Not Found"))</f>
        <v>MM</v>
      </c>
      <c r="J872">
        <f>IF(E872="","",_xlfn.XLOOKUP(E872,tblUsers[user_id],tblUsers[territory_id],"Owner Not Found"))</f>
        <v>1</v>
      </c>
      <c r="K872" t="str">
        <f t="shared" si="27"/>
        <v>Routing Compatible</v>
      </c>
    </row>
    <row r="873" spans="1:11">
      <c r="A873" t="s">
        <v>4348</v>
      </c>
      <c r="B873" t="s">
        <v>4350</v>
      </c>
      <c r="D873" t="s">
        <v>1077</v>
      </c>
      <c r="F873" t="str">
        <f t="shared" si="26"/>
        <v>Needs Review - Segment</v>
      </c>
      <c r="G873">
        <f>_xlfn.XLOOKUP(D873,tblStates[state_code],tblStates[territory_id],"Needs Review - Territory")</f>
        <v>3</v>
      </c>
      <c r="H873" t="str">
        <f>IF(E873="","",_xlfn.XLOOKUP(E873,tblUsers[user_id],tblUsers[job_title],"Owner Not Found"))</f>
        <v/>
      </c>
      <c r="I873" t="str">
        <f>IF(E873="","",_xlfn.XLOOKUP(E873,tblUsers[user_id],tblUsers[segment],"Owner Not Found"))</f>
        <v/>
      </c>
      <c r="J873" t="str">
        <f>IF(E873="","",_xlfn.XLOOKUP(E873,tblUsers[user_id],tblUsers[territory_id],"Owner Not Found"))</f>
        <v/>
      </c>
      <c r="K873" t="str">
        <f t="shared" si="27"/>
        <v>Unassigned</v>
      </c>
    </row>
    <row r="874" spans="1:11">
      <c r="A874" t="s">
        <v>4351</v>
      </c>
      <c r="B874" t="s">
        <v>4353</v>
      </c>
      <c r="C874" t="s">
        <v>24</v>
      </c>
      <c r="D874" t="s">
        <v>216</v>
      </c>
      <c r="E874" t="s">
        <v>91</v>
      </c>
      <c r="F874" t="str">
        <f t="shared" si="26"/>
        <v>SMB</v>
      </c>
      <c r="G874">
        <f>_xlfn.XLOOKUP(D874,tblStates[state_code],tblStates[territory_id],"Needs Review - Territory")</f>
        <v>1</v>
      </c>
      <c r="H874" t="str">
        <f>IF(E874="","",_xlfn.XLOOKUP(E874,tblUsers[user_id],tblUsers[job_title],"Owner Not Found"))</f>
        <v>SMB Account Executive</v>
      </c>
      <c r="I874" t="str">
        <f>IF(E874="","",_xlfn.XLOOKUP(E874,tblUsers[user_id],tblUsers[segment],"Owner Not Found"))</f>
        <v>SMB</v>
      </c>
      <c r="J874">
        <f>IF(E874="","",_xlfn.XLOOKUP(E874,tblUsers[user_id],tblUsers[territory_id],"Owner Not Found"))</f>
        <v>1</v>
      </c>
      <c r="K874" t="str">
        <f t="shared" si="27"/>
        <v>Routing Compatible</v>
      </c>
    </row>
    <row r="875" spans="1:11">
      <c r="A875" t="s">
        <v>4354</v>
      </c>
      <c r="B875" t="s">
        <v>4356</v>
      </c>
      <c r="C875" t="s">
        <v>24</v>
      </c>
      <c r="D875" t="s">
        <v>154</v>
      </c>
      <c r="E875" t="s">
        <v>25</v>
      </c>
      <c r="F875" t="str">
        <f t="shared" si="26"/>
        <v>SMB</v>
      </c>
      <c r="G875">
        <f>_xlfn.XLOOKUP(D875,tblStates[state_code],tblStates[territory_id],"Needs Review - Territory")</f>
        <v>2</v>
      </c>
      <c r="H875" t="str">
        <f>IF(E875="","",_xlfn.XLOOKUP(E875,tblUsers[user_id],tblUsers[job_title],"Owner Not Found"))</f>
        <v>SMB Account Executive</v>
      </c>
      <c r="I875" t="str">
        <f>IF(E875="","",_xlfn.XLOOKUP(E875,tblUsers[user_id],tblUsers[segment],"Owner Not Found"))</f>
        <v>SMB</v>
      </c>
      <c r="J875">
        <f>IF(E875="","",_xlfn.XLOOKUP(E875,tblUsers[user_id],tblUsers[territory_id],"Owner Not Found"))</f>
        <v>2</v>
      </c>
      <c r="K875" t="str">
        <f t="shared" si="27"/>
        <v>Routing Compatible</v>
      </c>
    </row>
    <row r="876" spans="1:11">
      <c r="A876" t="s">
        <v>4357</v>
      </c>
      <c r="B876" t="s">
        <v>4359</v>
      </c>
      <c r="C876" t="s">
        <v>24</v>
      </c>
      <c r="D876" t="s">
        <v>249</v>
      </c>
      <c r="E876" t="s">
        <v>59</v>
      </c>
      <c r="F876" t="str">
        <f t="shared" si="26"/>
        <v>SMB</v>
      </c>
      <c r="G876">
        <f>_xlfn.XLOOKUP(D876,tblStates[state_code],tblStates[territory_id],"Needs Review - Territory")</f>
        <v>4</v>
      </c>
      <c r="H876" t="str">
        <f>IF(E876="","",_xlfn.XLOOKUP(E876,tblUsers[user_id],tblUsers[job_title],"Owner Not Found"))</f>
        <v>SMB Account Executive</v>
      </c>
      <c r="I876" t="str">
        <f>IF(E876="","",_xlfn.XLOOKUP(E876,tblUsers[user_id],tblUsers[segment],"Owner Not Found"))</f>
        <v>SMB</v>
      </c>
      <c r="J876">
        <f>IF(E876="","",_xlfn.XLOOKUP(E876,tblUsers[user_id],tblUsers[territory_id],"Owner Not Found"))</f>
        <v>4</v>
      </c>
      <c r="K876" t="str">
        <f t="shared" si="27"/>
        <v>Routing Compatible</v>
      </c>
    </row>
    <row r="877" spans="1:11">
      <c r="A877" t="s">
        <v>4360</v>
      </c>
      <c r="B877" t="s">
        <v>4362</v>
      </c>
      <c r="C877" t="s">
        <v>24</v>
      </c>
      <c r="D877" t="s">
        <v>41</v>
      </c>
      <c r="E877" t="s">
        <v>25</v>
      </c>
      <c r="F877" t="str">
        <f t="shared" si="26"/>
        <v>SMB</v>
      </c>
      <c r="G877">
        <f>_xlfn.XLOOKUP(D877,tblStates[state_code],tblStates[territory_id],"Needs Review - Territory")</f>
        <v>2</v>
      </c>
      <c r="H877" t="str">
        <f>IF(E877="","",_xlfn.XLOOKUP(E877,tblUsers[user_id],tblUsers[job_title],"Owner Not Found"))</f>
        <v>SMB Account Executive</v>
      </c>
      <c r="I877" t="str">
        <f>IF(E877="","",_xlfn.XLOOKUP(E877,tblUsers[user_id],tblUsers[segment],"Owner Not Found"))</f>
        <v>SMB</v>
      </c>
      <c r="J877">
        <f>IF(E877="","",_xlfn.XLOOKUP(E877,tblUsers[user_id],tblUsers[territory_id],"Owner Not Found"))</f>
        <v>2</v>
      </c>
      <c r="K877" t="str">
        <f t="shared" si="27"/>
        <v>Routing Compatible</v>
      </c>
    </row>
    <row r="878" spans="1:11">
      <c r="A878" t="s">
        <v>4363</v>
      </c>
      <c r="B878" t="s">
        <v>4365</v>
      </c>
      <c r="C878" t="s">
        <v>17</v>
      </c>
      <c r="D878" t="s">
        <v>81</v>
      </c>
      <c r="E878" t="s">
        <v>25</v>
      </c>
      <c r="F878" t="str">
        <f t="shared" si="26"/>
        <v>MM</v>
      </c>
      <c r="G878">
        <f>_xlfn.XLOOKUP(D878,tblStates[state_code],tblStates[territory_id],"Needs Review - Territory")</f>
        <v>2</v>
      </c>
      <c r="H878" t="str">
        <f>IF(E878="","",_xlfn.XLOOKUP(E878,tblUsers[user_id],tblUsers[job_title],"Owner Not Found"))</f>
        <v>SMB Account Executive</v>
      </c>
      <c r="I878" t="str">
        <f>IF(E878="","",_xlfn.XLOOKUP(E878,tblUsers[user_id],tblUsers[segment],"Owner Not Found"))</f>
        <v>SMB</v>
      </c>
      <c r="J878">
        <f>IF(E878="","",_xlfn.XLOOKUP(E878,tblUsers[user_id],tblUsers[territory_id],"Owner Not Found"))</f>
        <v>2</v>
      </c>
      <c r="K878" t="str">
        <f t="shared" si="27"/>
        <v>Wrong Segment</v>
      </c>
    </row>
    <row r="879" spans="1:11">
      <c r="A879" t="s">
        <v>4366</v>
      </c>
      <c r="B879" t="s">
        <v>4368</v>
      </c>
      <c r="C879" t="s">
        <v>24</v>
      </c>
      <c r="D879" t="s">
        <v>54</v>
      </c>
      <c r="E879" t="s">
        <v>69</v>
      </c>
      <c r="F879" t="str">
        <f t="shared" si="26"/>
        <v>SMB</v>
      </c>
      <c r="G879">
        <f>_xlfn.XLOOKUP(D879,tblStates[state_code],tblStates[territory_id],"Needs Review - Territory")</f>
        <v>3</v>
      </c>
      <c r="H879" t="str">
        <f>IF(E879="","",_xlfn.XLOOKUP(E879,tblUsers[user_id],tblUsers[job_title],"Owner Not Found"))</f>
        <v>SMB Account Executive</v>
      </c>
      <c r="I879" t="str">
        <f>IF(E879="","",_xlfn.XLOOKUP(E879,tblUsers[user_id],tblUsers[segment],"Owner Not Found"))</f>
        <v>SMB</v>
      </c>
      <c r="J879">
        <f>IF(E879="","",_xlfn.XLOOKUP(E879,tblUsers[user_id],tblUsers[territory_id],"Owner Not Found"))</f>
        <v>3</v>
      </c>
      <c r="K879" t="str">
        <f t="shared" si="27"/>
        <v>Routing Compatible</v>
      </c>
    </row>
    <row r="880" spans="1:11">
      <c r="A880" t="s">
        <v>4369</v>
      </c>
      <c r="B880" t="s">
        <v>4371</v>
      </c>
      <c r="C880" t="s">
        <v>24</v>
      </c>
      <c r="D880" t="s">
        <v>216</v>
      </c>
      <c r="E880" t="s">
        <v>91</v>
      </c>
      <c r="F880" t="str">
        <f t="shared" si="26"/>
        <v>SMB</v>
      </c>
      <c r="G880">
        <f>_xlfn.XLOOKUP(D880,tblStates[state_code],tblStates[territory_id],"Needs Review - Territory")</f>
        <v>1</v>
      </c>
      <c r="H880" t="str">
        <f>IF(E880="","",_xlfn.XLOOKUP(E880,tblUsers[user_id],tblUsers[job_title],"Owner Not Found"))</f>
        <v>SMB Account Executive</v>
      </c>
      <c r="I880" t="str">
        <f>IF(E880="","",_xlfn.XLOOKUP(E880,tblUsers[user_id],tblUsers[segment],"Owner Not Found"))</f>
        <v>SMB</v>
      </c>
      <c r="J880">
        <f>IF(E880="","",_xlfn.XLOOKUP(E880,tblUsers[user_id],tblUsers[territory_id],"Owner Not Found"))</f>
        <v>1</v>
      </c>
      <c r="K880" t="str">
        <f t="shared" si="27"/>
        <v>Routing Compatible</v>
      </c>
    </row>
    <row r="881" spans="1:11">
      <c r="A881" t="s">
        <v>4372</v>
      </c>
      <c r="B881" t="s">
        <v>4374</v>
      </c>
      <c r="C881" t="s">
        <v>24</v>
      </c>
      <c r="D881" t="s">
        <v>140</v>
      </c>
      <c r="E881" t="s">
        <v>25</v>
      </c>
      <c r="F881" t="str">
        <f t="shared" si="26"/>
        <v>SMB</v>
      </c>
      <c r="G881">
        <f>_xlfn.XLOOKUP(D881,tblStates[state_code],tblStates[territory_id],"Needs Review - Territory")</f>
        <v>2</v>
      </c>
      <c r="H881" t="str">
        <f>IF(E881="","",_xlfn.XLOOKUP(E881,tblUsers[user_id],tblUsers[job_title],"Owner Not Found"))</f>
        <v>SMB Account Executive</v>
      </c>
      <c r="I881" t="str">
        <f>IF(E881="","",_xlfn.XLOOKUP(E881,tblUsers[user_id],tblUsers[segment],"Owner Not Found"))</f>
        <v>SMB</v>
      </c>
      <c r="J881">
        <f>IF(E881="","",_xlfn.XLOOKUP(E881,tblUsers[user_id],tblUsers[territory_id],"Owner Not Found"))</f>
        <v>2</v>
      </c>
      <c r="K881" t="str">
        <f t="shared" si="27"/>
        <v>Routing Compatible</v>
      </c>
    </row>
    <row r="882" spans="1:11">
      <c r="A882" t="s">
        <v>4375</v>
      </c>
      <c r="B882" t="s">
        <v>4377</v>
      </c>
      <c r="C882" t="s">
        <v>30</v>
      </c>
      <c r="D882" t="s">
        <v>81</v>
      </c>
      <c r="E882" t="s">
        <v>82</v>
      </c>
      <c r="F882" t="str">
        <f t="shared" si="26"/>
        <v>MM</v>
      </c>
      <c r="G882">
        <f>_xlfn.XLOOKUP(D882,tblStates[state_code],tblStates[territory_id],"Needs Review - Territory")</f>
        <v>2</v>
      </c>
      <c r="H882" t="str">
        <f>IF(E882="","",_xlfn.XLOOKUP(E882,tblUsers[user_id],tblUsers[job_title],"Owner Not Found"))</f>
        <v>Mid-Market Account Executive</v>
      </c>
      <c r="I882" t="str">
        <f>IF(E882="","",_xlfn.XLOOKUP(E882,tblUsers[user_id],tblUsers[segment],"Owner Not Found"))</f>
        <v>MM</v>
      </c>
      <c r="J882">
        <f>IF(E882="","",_xlfn.XLOOKUP(E882,tblUsers[user_id],tblUsers[territory_id],"Owner Not Found"))</f>
        <v>2</v>
      </c>
      <c r="K882" t="str">
        <f t="shared" si="27"/>
        <v>Routing Compatible</v>
      </c>
    </row>
    <row r="883" spans="1:11">
      <c r="A883" t="s">
        <v>4378</v>
      </c>
      <c r="B883" t="s">
        <v>4380</v>
      </c>
      <c r="C883" t="s">
        <v>30</v>
      </c>
      <c r="D883" t="s">
        <v>192</v>
      </c>
      <c r="E883" t="s">
        <v>18</v>
      </c>
      <c r="F883" t="str">
        <f t="shared" si="26"/>
        <v>MM</v>
      </c>
      <c r="G883">
        <f>_xlfn.XLOOKUP(D883,tblStates[state_code],tblStates[territory_id],"Needs Review - Territory")</f>
        <v>1</v>
      </c>
      <c r="H883" t="str">
        <f>IF(E883="","",_xlfn.XLOOKUP(E883,tblUsers[user_id],tblUsers[job_title],"Owner Not Found"))</f>
        <v>Mid-Market Account Executive</v>
      </c>
      <c r="I883" t="str">
        <f>IF(E883="","",_xlfn.XLOOKUP(E883,tblUsers[user_id],tblUsers[segment],"Owner Not Found"))</f>
        <v>MM</v>
      </c>
      <c r="J883">
        <f>IF(E883="","",_xlfn.XLOOKUP(E883,tblUsers[user_id],tblUsers[territory_id],"Owner Not Found"))</f>
        <v>1</v>
      </c>
      <c r="K883" t="str">
        <f t="shared" si="27"/>
        <v>Routing Compatible</v>
      </c>
    </row>
    <row r="884" spans="1:11">
      <c r="A884" t="s">
        <v>4381</v>
      </c>
      <c r="B884" t="s">
        <v>4383</v>
      </c>
      <c r="C884" t="s">
        <v>30</v>
      </c>
      <c r="D884" t="s">
        <v>171</v>
      </c>
      <c r="E884" t="s">
        <v>18</v>
      </c>
      <c r="F884" t="str">
        <f t="shared" si="26"/>
        <v>MM</v>
      </c>
      <c r="G884">
        <f>_xlfn.XLOOKUP(D884,tblStates[state_code],tblStates[territory_id],"Needs Review - Territory")</f>
        <v>1</v>
      </c>
      <c r="H884" t="str">
        <f>IF(E884="","",_xlfn.XLOOKUP(E884,tblUsers[user_id],tblUsers[job_title],"Owner Not Found"))</f>
        <v>Mid-Market Account Executive</v>
      </c>
      <c r="I884" t="str">
        <f>IF(E884="","",_xlfn.XLOOKUP(E884,tblUsers[user_id],tblUsers[segment],"Owner Not Found"))</f>
        <v>MM</v>
      </c>
      <c r="J884">
        <f>IF(E884="","",_xlfn.XLOOKUP(E884,tblUsers[user_id],tblUsers[territory_id],"Owner Not Found"))</f>
        <v>1</v>
      </c>
      <c r="K884" t="str">
        <f t="shared" si="27"/>
        <v>Routing Compatible</v>
      </c>
    </row>
    <row r="885" spans="1:11">
      <c r="A885" t="s">
        <v>4384</v>
      </c>
      <c r="B885" t="s">
        <v>4386</v>
      </c>
      <c r="C885" t="s">
        <v>30</v>
      </c>
      <c r="D885" t="s">
        <v>339</v>
      </c>
      <c r="E885" t="s">
        <v>55</v>
      </c>
      <c r="F885" t="str">
        <f t="shared" si="26"/>
        <v>MM</v>
      </c>
      <c r="G885">
        <f>_xlfn.XLOOKUP(D885,tblStates[state_code],tblStates[territory_id],"Needs Review - Territory")</f>
        <v>3</v>
      </c>
      <c r="H885" t="str">
        <f>IF(E885="","",_xlfn.XLOOKUP(E885,tblUsers[user_id],tblUsers[job_title],"Owner Not Found"))</f>
        <v>Mid-Market Account Executive</v>
      </c>
      <c r="I885" t="str">
        <f>IF(E885="","",_xlfn.XLOOKUP(E885,tblUsers[user_id],tblUsers[segment],"Owner Not Found"))</f>
        <v>MM</v>
      </c>
      <c r="J885">
        <f>IF(E885="","",_xlfn.XLOOKUP(E885,tblUsers[user_id],tblUsers[territory_id],"Owner Not Found"))</f>
        <v>3</v>
      </c>
      <c r="K885" t="str">
        <f t="shared" si="27"/>
        <v>Routing Compatible</v>
      </c>
    </row>
    <row r="886" spans="1:11">
      <c r="A886" t="s">
        <v>4387</v>
      </c>
      <c r="B886" t="s">
        <v>4389</v>
      </c>
      <c r="C886" t="s">
        <v>30</v>
      </c>
      <c r="D886" t="s">
        <v>95</v>
      </c>
      <c r="E886" t="s">
        <v>18</v>
      </c>
      <c r="F886" t="str">
        <f t="shared" si="26"/>
        <v>MM</v>
      </c>
      <c r="G886">
        <f>_xlfn.XLOOKUP(D886,tblStates[state_code],tblStates[territory_id],"Needs Review - Territory")</f>
        <v>1</v>
      </c>
      <c r="H886" t="str">
        <f>IF(E886="","",_xlfn.XLOOKUP(E886,tblUsers[user_id],tblUsers[job_title],"Owner Not Found"))</f>
        <v>Mid-Market Account Executive</v>
      </c>
      <c r="I886" t="str">
        <f>IF(E886="","",_xlfn.XLOOKUP(E886,tblUsers[user_id],tblUsers[segment],"Owner Not Found"))</f>
        <v>MM</v>
      </c>
      <c r="J886">
        <f>IF(E886="","",_xlfn.XLOOKUP(E886,tblUsers[user_id],tblUsers[territory_id],"Owner Not Found"))</f>
        <v>1</v>
      </c>
      <c r="K886" t="str">
        <f t="shared" si="27"/>
        <v>Routing Compatible</v>
      </c>
    </row>
    <row r="887" spans="1:11">
      <c r="A887" t="s">
        <v>4390</v>
      </c>
      <c r="B887" t="s">
        <v>4392</v>
      </c>
      <c r="C887" t="s">
        <v>24</v>
      </c>
      <c r="D887" t="s">
        <v>205</v>
      </c>
      <c r="E887" t="s">
        <v>59</v>
      </c>
      <c r="F887" t="str">
        <f t="shared" si="26"/>
        <v>SMB</v>
      </c>
      <c r="G887">
        <f>_xlfn.XLOOKUP(D887,tblStates[state_code],tblStates[territory_id],"Needs Review - Territory")</f>
        <v>4</v>
      </c>
      <c r="H887" t="str">
        <f>IF(E887="","",_xlfn.XLOOKUP(E887,tblUsers[user_id],tblUsers[job_title],"Owner Not Found"))</f>
        <v>SMB Account Executive</v>
      </c>
      <c r="I887" t="str">
        <f>IF(E887="","",_xlfn.XLOOKUP(E887,tblUsers[user_id],tblUsers[segment],"Owner Not Found"))</f>
        <v>SMB</v>
      </c>
      <c r="J887">
        <f>IF(E887="","",_xlfn.XLOOKUP(E887,tblUsers[user_id],tblUsers[territory_id],"Owner Not Found"))</f>
        <v>4</v>
      </c>
      <c r="K887" t="str">
        <f t="shared" si="27"/>
        <v>Routing Compatible</v>
      </c>
    </row>
    <row r="888" spans="1:11">
      <c r="A888" t="s">
        <v>4393</v>
      </c>
      <c r="B888" t="s">
        <v>4395</v>
      </c>
      <c r="C888" t="s">
        <v>24</v>
      </c>
      <c r="D888" t="s">
        <v>68</v>
      </c>
      <c r="E888" t="s">
        <v>69</v>
      </c>
      <c r="F888" t="str">
        <f t="shared" si="26"/>
        <v>SMB</v>
      </c>
      <c r="G888">
        <f>_xlfn.XLOOKUP(D888,tblStates[state_code],tblStates[territory_id],"Needs Review - Territory")</f>
        <v>3</v>
      </c>
      <c r="H888" t="str">
        <f>IF(E888="","",_xlfn.XLOOKUP(E888,tblUsers[user_id],tblUsers[job_title],"Owner Not Found"))</f>
        <v>SMB Account Executive</v>
      </c>
      <c r="I888" t="str">
        <f>IF(E888="","",_xlfn.XLOOKUP(E888,tblUsers[user_id],tblUsers[segment],"Owner Not Found"))</f>
        <v>SMB</v>
      </c>
      <c r="J888">
        <f>IF(E888="","",_xlfn.XLOOKUP(E888,tblUsers[user_id],tblUsers[territory_id],"Owner Not Found"))</f>
        <v>3</v>
      </c>
      <c r="K888" t="str">
        <f t="shared" si="27"/>
        <v>Routing Compatible</v>
      </c>
    </row>
    <row r="889" spans="1:11">
      <c r="A889" t="s">
        <v>4396</v>
      </c>
      <c r="B889" t="s">
        <v>4398</v>
      </c>
      <c r="C889" t="s">
        <v>24</v>
      </c>
      <c r="D889" t="s">
        <v>140</v>
      </c>
      <c r="E889" t="s">
        <v>25</v>
      </c>
      <c r="F889" t="str">
        <f t="shared" si="26"/>
        <v>SMB</v>
      </c>
      <c r="G889">
        <f>_xlfn.XLOOKUP(D889,tblStates[state_code],tblStates[territory_id],"Needs Review - Territory")</f>
        <v>2</v>
      </c>
      <c r="H889" t="str">
        <f>IF(E889="","",_xlfn.XLOOKUP(E889,tblUsers[user_id],tblUsers[job_title],"Owner Not Found"))</f>
        <v>SMB Account Executive</v>
      </c>
      <c r="I889" t="str">
        <f>IF(E889="","",_xlfn.XLOOKUP(E889,tblUsers[user_id],tblUsers[segment],"Owner Not Found"))</f>
        <v>SMB</v>
      </c>
      <c r="J889">
        <f>IF(E889="","",_xlfn.XLOOKUP(E889,tblUsers[user_id],tblUsers[territory_id],"Owner Not Found"))</f>
        <v>2</v>
      </c>
      <c r="K889" t="str">
        <f t="shared" si="27"/>
        <v>Routing Compatible</v>
      </c>
    </row>
    <row r="890" spans="1:11">
      <c r="A890" t="s">
        <v>4399</v>
      </c>
      <c r="B890" t="s">
        <v>4401</v>
      </c>
      <c r="C890" t="s">
        <v>30</v>
      </c>
      <c r="D890" t="s">
        <v>50</v>
      </c>
      <c r="E890" t="s">
        <v>82</v>
      </c>
      <c r="F890" t="str">
        <f t="shared" si="26"/>
        <v>MM</v>
      </c>
      <c r="G890">
        <f>_xlfn.XLOOKUP(D890,tblStates[state_code],tblStates[territory_id],"Needs Review - Territory")</f>
        <v>4</v>
      </c>
      <c r="H890" t="str">
        <f>IF(E890="","",_xlfn.XLOOKUP(E890,tblUsers[user_id],tblUsers[job_title],"Owner Not Found"))</f>
        <v>Mid-Market Account Executive</v>
      </c>
      <c r="I890" t="str">
        <f>IF(E890="","",_xlfn.XLOOKUP(E890,tblUsers[user_id],tblUsers[segment],"Owner Not Found"))</f>
        <v>MM</v>
      </c>
      <c r="J890">
        <f>IF(E890="","",_xlfn.XLOOKUP(E890,tblUsers[user_id],tblUsers[territory_id],"Owner Not Found"))</f>
        <v>2</v>
      </c>
      <c r="K890" t="str">
        <f t="shared" si="27"/>
        <v>Wrong AE Territory</v>
      </c>
    </row>
    <row r="891" spans="1:11">
      <c r="A891" t="s">
        <v>4402</v>
      </c>
      <c r="B891" t="s">
        <v>4404</v>
      </c>
      <c r="C891" t="s">
        <v>30</v>
      </c>
      <c r="D891" t="s">
        <v>50</v>
      </c>
      <c r="E891" t="s">
        <v>18</v>
      </c>
      <c r="F891" t="str">
        <f t="shared" si="26"/>
        <v>MM</v>
      </c>
      <c r="G891">
        <f>_xlfn.XLOOKUP(D891,tblStates[state_code],tblStates[territory_id],"Needs Review - Territory")</f>
        <v>4</v>
      </c>
      <c r="H891" t="str">
        <f>IF(E891="","",_xlfn.XLOOKUP(E891,tblUsers[user_id],tblUsers[job_title],"Owner Not Found"))</f>
        <v>Mid-Market Account Executive</v>
      </c>
      <c r="I891" t="str">
        <f>IF(E891="","",_xlfn.XLOOKUP(E891,tblUsers[user_id],tblUsers[segment],"Owner Not Found"))</f>
        <v>MM</v>
      </c>
      <c r="J891">
        <f>IF(E891="","",_xlfn.XLOOKUP(E891,tblUsers[user_id],tblUsers[territory_id],"Owner Not Found"))</f>
        <v>1</v>
      </c>
      <c r="K891" t="str">
        <f t="shared" si="27"/>
        <v>Wrong AE Territory</v>
      </c>
    </row>
    <row r="892" spans="1:11">
      <c r="A892" t="s">
        <v>4405</v>
      </c>
      <c r="B892" t="s">
        <v>4407</v>
      </c>
      <c r="C892" t="s">
        <v>24</v>
      </c>
      <c r="D892" t="s">
        <v>81</v>
      </c>
      <c r="E892" t="s">
        <v>25</v>
      </c>
      <c r="F892" t="str">
        <f t="shared" si="26"/>
        <v>SMB</v>
      </c>
      <c r="G892">
        <f>_xlfn.XLOOKUP(D892,tblStates[state_code],tblStates[territory_id],"Needs Review - Territory")</f>
        <v>2</v>
      </c>
      <c r="H892" t="str">
        <f>IF(E892="","",_xlfn.XLOOKUP(E892,tblUsers[user_id],tblUsers[job_title],"Owner Not Found"))</f>
        <v>SMB Account Executive</v>
      </c>
      <c r="I892" t="str">
        <f>IF(E892="","",_xlfn.XLOOKUP(E892,tblUsers[user_id],tblUsers[segment],"Owner Not Found"))</f>
        <v>SMB</v>
      </c>
      <c r="J892">
        <f>IF(E892="","",_xlfn.XLOOKUP(E892,tblUsers[user_id],tblUsers[territory_id],"Owner Not Found"))</f>
        <v>2</v>
      </c>
      <c r="K892" t="str">
        <f t="shared" si="27"/>
        <v>Routing Compatible</v>
      </c>
    </row>
    <row r="893" spans="1:11">
      <c r="A893" t="s">
        <v>4408</v>
      </c>
      <c r="B893" t="s">
        <v>4410</v>
      </c>
      <c r="C893" t="s">
        <v>24</v>
      </c>
      <c r="D893" t="s">
        <v>23</v>
      </c>
      <c r="E893" t="s">
        <v>25</v>
      </c>
      <c r="F893" t="str">
        <f t="shared" si="26"/>
        <v>SMB</v>
      </c>
      <c r="G893">
        <f>_xlfn.XLOOKUP(D893,tblStates[state_code],tblStates[territory_id],"Needs Review - Territory")</f>
        <v>2</v>
      </c>
      <c r="H893" t="str">
        <f>IF(E893="","",_xlfn.XLOOKUP(E893,tblUsers[user_id],tblUsers[job_title],"Owner Not Found"))</f>
        <v>SMB Account Executive</v>
      </c>
      <c r="I893" t="str">
        <f>IF(E893="","",_xlfn.XLOOKUP(E893,tblUsers[user_id],tblUsers[segment],"Owner Not Found"))</f>
        <v>SMB</v>
      </c>
      <c r="J893">
        <f>IF(E893="","",_xlfn.XLOOKUP(E893,tblUsers[user_id],tblUsers[territory_id],"Owner Not Found"))</f>
        <v>2</v>
      </c>
      <c r="K893" t="str">
        <f t="shared" si="27"/>
        <v>Routing Compatible</v>
      </c>
    </row>
    <row r="894" spans="1:11">
      <c r="A894" t="s">
        <v>4411</v>
      </c>
      <c r="B894" t="s">
        <v>4413</v>
      </c>
      <c r="D894" t="s">
        <v>81</v>
      </c>
      <c r="F894" t="str">
        <f t="shared" si="26"/>
        <v>Needs Review - Segment</v>
      </c>
      <c r="G894">
        <f>_xlfn.XLOOKUP(D894,tblStates[state_code],tblStates[territory_id],"Needs Review - Territory")</f>
        <v>2</v>
      </c>
      <c r="H894" t="str">
        <f>IF(E894="","",_xlfn.XLOOKUP(E894,tblUsers[user_id],tblUsers[job_title],"Owner Not Found"))</f>
        <v/>
      </c>
      <c r="I894" t="str">
        <f>IF(E894="","",_xlfn.XLOOKUP(E894,tblUsers[user_id],tblUsers[segment],"Owner Not Found"))</f>
        <v/>
      </c>
      <c r="J894" t="str">
        <f>IF(E894="","",_xlfn.XLOOKUP(E894,tblUsers[user_id],tblUsers[territory_id],"Owner Not Found"))</f>
        <v/>
      </c>
      <c r="K894" t="str">
        <f t="shared" si="27"/>
        <v>Unassigned</v>
      </c>
    </row>
    <row r="895" spans="1:11">
      <c r="A895" t="s">
        <v>4414</v>
      </c>
      <c r="B895" t="s">
        <v>4416</v>
      </c>
      <c r="C895" t="s">
        <v>30</v>
      </c>
      <c r="D895" t="s">
        <v>140</v>
      </c>
      <c r="E895" t="s">
        <v>82</v>
      </c>
      <c r="F895" t="str">
        <f t="shared" si="26"/>
        <v>MM</v>
      </c>
      <c r="G895">
        <f>_xlfn.XLOOKUP(D895,tblStates[state_code],tblStates[territory_id],"Needs Review - Territory")</f>
        <v>2</v>
      </c>
      <c r="H895" t="str">
        <f>IF(E895="","",_xlfn.XLOOKUP(E895,tblUsers[user_id],tblUsers[job_title],"Owner Not Found"))</f>
        <v>Mid-Market Account Executive</v>
      </c>
      <c r="I895" t="str">
        <f>IF(E895="","",_xlfn.XLOOKUP(E895,tblUsers[user_id],tblUsers[segment],"Owner Not Found"))</f>
        <v>MM</v>
      </c>
      <c r="J895">
        <f>IF(E895="","",_xlfn.XLOOKUP(E895,tblUsers[user_id],tblUsers[territory_id],"Owner Not Found"))</f>
        <v>2</v>
      </c>
      <c r="K895" t="str">
        <f t="shared" si="27"/>
        <v>Routing Compatible</v>
      </c>
    </row>
    <row r="896" spans="1:11">
      <c r="A896" t="s">
        <v>4417</v>
      </c>
      <c r="B896" t="s">
        <v>4419</v>
      </c>
      <c r="C896" t="s">
        <v>24</v>
      </c>
      <c r="D896" t="s">
        <v>81</v>
      </c>
      <c r="E896" t="s">
        <v>25</v>
      </c>
      <c r="F896" t="str">
        <f t="shared" si="26"/>
        <v>SMB</v>
      </c>
      <c r="G896">
        <f>_xlfn.XLOOKUP(D896,tblStates[state_code],tblStates[territory_id],"Needs Review - Territory")</f>
        <v>2</v>
      </c>
      <c r="H896" t="str">
        <f>IF(E896="","",_xlfn.XLOOKUP(E896,tblUsers[user_id],tblUsers[job_title],"Owner Not Found"))</f>
        <v>SMB Account Executive</v>
      </c>
      <c r="I896" t="str">
        <f>IF(E896="","",_xlfn.XLOOKUP(E896,tblUsers[user_id],tblUsers[segment],"Owner Not Found"))</f>
        <v>SMB</v>
      </c>
      <c r="J896">
        <f>IF(E896="","",_xlfn.XLOOKUP(E896,tblUsers[user_id],tblUsers[territory_id],"Owner Not Found"))</f>
        <v>2</v>
      </c>
      <c r="K896" t="str">
        <f t="shared" si="27"/>
        <v>Routing Compatible</v>
      </c>
    </row>
    <row r="897" spans="1:11">
      <c r="A897" t="s">
        <v>4420</v>
      </c>
      <c r="B897" t="s">
        <v>4422</v>
      </c>
      <c r="C897" t="s">
        <v>30</v>
      </c>
      <c r="E897" t="s">
        <v>18</v>
      </c>
      <c r="F897" t="str">
        <f t="shared" si="26"/>
        <v>MM</v>
      </c>
      <c r="G897" t="str">
        <f>_xlfn.XLOOKUP(D897,tblStates[state_code],tblStates[territory_id],"Needs Review - Territory")</f>
        <v>Needs Review - Territory</v>
      </c>
      <c r="H897" t="str">
        <f>IF(E897="","",_xlfn.XLOOKUP(E897,tblUsers[user_id],tblUsers[job_title],"Owner Not Found"))</f>
        <v>Mid-Market Account Executive</v>
      </c>
      <c r="I897" t="str">
        <f>IF(E897="","",_xlfn.XLOOKUP(E897,tblUsers[user_id],tblUsers[segment],"Owner Not Found"))</f>
        <v>MM</v>
      </c>
      <c r="J897">
        <f>IF(E897="","",_xlfn.XLOOKUP(E897,tblUsers[user_id],tblUsers[territory_id],"Owner Not Found"))</f>
        <v>1</v>
      </c>
      <c r="K897" t="str">
        <f t="shared" si="27"/>
        <v>Needs Review - Territory</v>
      </c>
    </row>
    <row r="898" spans="1:11">
      <c r="A898" t="s">
        <v>4423</v>
      </c>
      <c r="B898" t="s">
        <v>4425</v>
      </c>
      <c r="C898" t="s">
        <v>24</v>
      </c>
      <c r="D898" t="s">
        <v>120</v>
      </c>
      <c r="E898" t="s">
        <v>25</v>
      </c>
      <c r="F898" t="str">
        <f t="shared" si="26"/>
        <v>SMB</v>
      </c>
      <c r="G898">
        <f>_xlfn.XLOOKUP(D898,tblStates[state_code],tblStates[territory_id],"Needs Review - Territory")</f>
        <v>2</v>
      </c>
      <c r="H898" t="str">
        <f>IF(E898="","",_xlfn.XLOOKUP(E898,tblUsers[user_id],tblUsers[job_title],"Owner Not Found"))</f>
        <v>SMB Account Executive</v>
      </c>
      <c r="I898" t="str">
        <f>IF(E898="","",_xlfn.XLOOKUP(E898,tblUsers[user_id],tblUsers[segment],"Owner Not Found"))</f>
        <v>SMB</v>
      </c>
      <c r="J898">
        <f>IF(E898="","",_xlfn.XLOOKUP(E898,tblUsers[user_id],tblUsers[territory_id],"Owner Not Found"))</f>
        <v>2</v>
      </c>
      <c r="K898" t="str">
        <f t="shared" si="27"/>
        <v>Routing Compatible</v>
      </c>
    </row>
    <row r="899" spans="1:11">
      <c r="A899" t="s">
        <v>4426</v>
      </c>
      <c r="B899" t="s">
        <v>4428</v>
      </c>
      <c r="C899" t="s">
        <v>24</v>
      </c>
      <c r="D899" t="s">
        <v>140</v>
      </c>
      <c r="E899" t="s">
        <v>59</v>
      </c>
      <c r="F899" t="str">
        <f t="shared" ref="F899:F962" si="28">IF(C899="SMB","SMB",IF(OR(C899="Mid-Market",C899="Upper Mid-Market"),"MM","Needs Review - Segment"))</f>
        <v>SMB</v>
      </c>
      <c r="G899">
        <f>_xlfn.XLOOKUP(D899,tblStates[state_code],tblStates[territory_id],"Needs Review - Territory")</f>
        <v>2</v>
      </c>
      <c r="H899" t="str">
        <f>IF(E899="","",_xlfn.XLOOKUP(E899,tblUsers[user_id],tblUsers[job_title],"Owner Not Found"))</f>
        <v>SMB Account Executive</v>
      </c>
      <c r="I899" t="str">
        <f>IF(E899="","",_xlfn.XLOOKUP(E899,tblUsers[user_id],tblUsers[segment],"Owner Not Found"))</f>
        <v>SMB</v>
      </c>
      <c r="J899">
        <f>IF(E899="","",_xlfn.XLOOKUP(E899,tblUsers[user_id],tblUsers[territory_id],"Owner Not Found"))</f>
        <v>4</v>
      </c>
      <c r="K899" t="str">
        <f t="shared" ref="K899:K962" si="29">IF(E899="","Unassigned",IF(F899="Needs Review - Segment","Needs Review - Segment",IF(G899="Needs Review - Territory","Needs Review - Territory",IF(I899&lt;&gt;F899,"Wrong Segment",IF(AND(ISNUMBER(SEARCH("Account Executive",H899)),J899&lt;&gt;G899),"Wrong AE Territory",IF(OR(ISNUMBER(SEARCH("Account Executive",H899)),H899="Sales Development Representative"),"Routing Compatible","Unexpected Owner Role"))))))</f>
        <v>Wrong AE Territory</v>
      </c>
    </row>
    <row r="900" spans="1:11">
      <c r="A900" t="s">
        <v>4429</v>
      </c>
      <c r="B900" t="s">
        <v>4431</v>
      </c>
      <c r="C900" t="s">
        <v>30</v>
      </c>
      <c r="D900" t="s">
        <v>23</v>
      </c>
      <c r="E900" t="s">
        <v>82</v>
      </c>
      <c r="F900" t="str">
        <f t="shared" si="28"/>
        <v>MM</v>
      </c>
      <c r="G900">
        <f>_xlfn.XLOOKUP(D900,tblStates[state_code],tblStates[territory_id],"Needs Review - Territory")</f>
        <v>2</v>
      </c>
      <c r="H900" t="str">
        <f>IF(E900="","",_xlfn.XLOOKUP(E900,tblUsers[user_id],tblUsers[job_title],"Owner Not Found"))</f>
        <v>Mid-Market Account Executive</v>
      </c>
      <c r="I900" t="str">
        <f>IF(E900="","",_xlfn.XLOOKUP(E900,tblUsers[user_id],tblUsers[segment],"Owner Not Found"))</f>
        <v>MM</v>
      </c>
      <c r="J900">
        <f>IF(E900="","",_xlfn.XLOOKUP(E900,tblUsers[user_id],tblUsers[territory_id],"Owner Not Found"))</f>
        <v>2</v>
      </c>
      <c r="K900" t="str">
        <f t="shared" si="29"/>
        <v>Routing Compatible</v>
      </c>
    </row>
    <row r="901" spans="1:11">
      <c r="A901" t="s">
        <v>4432</v>
      </c>
      <c r="B901" t="s">
        <v>4433</v>
      </c>
      <c r="C901" t="s">
        <v>24</v>
      </c>
      <c r="D901" t="s">
        <v>99</v>
      </c>
      <c r="E901" t="s">
        <v>59</v>
      </c>
      <c r="F901" t="str">
        <f t="shared" si="28"/>
        <v>SMB</v>
      </c>
      <c r="G901">
        <f>_xlfn.XLOOKUP(D901,tblStates[state_code],tblStates[territory_id],"Needs Review - Territory")</f>
        <v>4</v>
      </c>
      <c r="H901" t="str">
        <f>IF(E901="","",_xlfn.XLOOKUP(E901,tblUsers[user_id],tblUsers[job_title],"Owner Not Found"))</f>
        <v>SMB Account Executive</v>
      </c>
      <c r="I901" t="str">
        <f>IF(E901="","",_xlfn.XLOOKUP(E901,tblUsers[user_id],tblUsers[segment],"Owner Not Found"))</f>
        <v>SMB</v>
      </c>
      <c r="J901">
        <f>IF(E901="","",_xlfn.XLOOKUP(E901,tblUsers[user_id],tblUsers[territory_id],"Owner Not Found"))</f>
        <v>4</v>
      </c>
      <c r="K901" t="str">
        <f t="shared" si="29"/>
        <v>Routing Compatible</v>
      </c>
    </row>
    <row r="902" spans="1:11">
      <c r="A902" t="s">
        <v>4434</v>
      </c>
      <c r="B902" t="s">
        <v>4436</v>
      </c>
      <c r="C902" t="s">
        <v>24</v>
      </c>
      <c r="D902" t="s">
        <v>178</v>
      </c>
      <c r="E902" t="s">
        <v>59</v>
      </c>
      <c r="F902" t="str">
        <f t="shared" si="28"/>
        <v>SMB</v>
      </c>
      <c r="G902">
        <f>_xlfn.XLOOKUP(D902,tblStates[state_code],tblStates[territory_id],"Needs Review - Territory")</f>
        <v>4</v>
      </c>
      <c r="H902" t="str">
        <f>IF(E902="","",_xlfn.XLOOKUP(E902,tblUsers[user_id],tblUsers[job_title],"Owner Not Found"))</f>
        <v>SMB Account Executive</v>
      </c>
      <c r="I902" t="str">
        <f>IF(E902="","",_xlfn.XLOOKUP(E902,tblUsers[user_id],tblUsers[segment],"Owner Not Found"))</f>
        <v>SMB</v>
      </c>
      <c r="J902">
        <f>IF(E902="","",_xlfn.XLOOKUP(E902,tblUsers[user_id],tblUsers[territory_id],"Owner Not Found"))</f>
        <v>4</v>
      </c>
      <c r="K902" t="str">
        <f t="shared" si="29"/>
        <v>Routing Compatible</v>
      </c>
    </row>
    <row r="903" spans="1:11">
      <c r="A903" t="s">
        <v>4437</v>
      </c>
      <c r="B903" t="s">
        <v>4439</v>
      </c>
      <c r="C903" t="s">
        <v>24</v>
      </c>
      <c r="D903" t="s">
        <v>68</v>
      </c>
      <c r="E903" t="s">
        <v>59</v>
      </c>
      <c r="F903" t="str">
        <f t="shared" si="28"/>
        <v>SMB</v>
      </c>
      <c r="G903">
        <f>_xlfn.XLOOKUP(D903,tblStates[state_code],tblStates[territory_id],"Needs Review - Territory")</f>
        <v>3</v>
      </c>
      <c r="H903" t="str">
        <f>IF(E903="","",_xlfn.XLOOKUP(E903,tblUsers[user_id],tblUsers[job_title],"Owner Not Found"))</f>
        <v>SMB Account Executive</v>
      </c>
      <c r="I903" t="str">
        <f>IF(E903="","",_xlfn.XLOOKUP(E903,tblUsers[user_id],tblUsers[segment],"Owner Not Found"))</f>
        <v>SMB</v>
      </c>
      <c r="J903">
        <f>IF(E903="","",_xlfn.XLOOKUP(E903,tblUsers[user_id],tblUsers[territory_id],"Owner Not Found"))</f>
        <v>4</v>
      </c>
      <c r="K903" t="str">
        <f t="shared" si="29"/>
        <v>Wrong AE Territory</v>
      </c>
    </row>
    <row r="904" spans="1:11">
      <c r="A904" t="s">
        <v>4440</v>
      </c>
      <c r="B904" t="s">
        <v>4442</v>
      </c>
      <c r="C904" t="s">
        <v>24</v>
      </c>
      <c r="D904" t="s">
        <v>249</v>
      </c>
      <c r="E904" t="s">
        <v>59</v>
      </c>
      <c r="F904" t="str">
        <f t="shared" si="28"/>
        <v>SMB</v>
      </c>
      <c r="G904">
        <f>_xlfn.XLOOKUP(D904,tblStates[state_code],tblStates[territory_id],"Needs Review - Territory")</f>
        <v>4</v>
      </c>
      <c r="H904" t="str">
        <f>IF(E904="","",_xlfn.XLOOKUP(E904,tblUsers[user_id],tblUsers[job_title],"Owner Not Found"))</f>
        <v>SMB Account Executive</v>
      </c>
      <c r="I904" t="str">
        <f>IF(E904="","",_xlfn.XLOOKUP(E904,tblUsers[user_id],tblUsers[segment],"Owner Not Found"))</f>
        <v>SMB</v>
      </c>
      <c r="J904">
        <f>IF(E904="","",_xlfn.XLOOKUP(E904,tblUsers[user_id],tblUsers[territory_id],"Owner Not Found"))</f>
        <v>4</v>
      </c>
      <c r="K904" t="str">
        <f t="shared" si="29"/>
        <v>Routing Compatible</v>
      </c>
    </row>
    <row r="905" spans="1:11">
      <c r="A905" t="s">
        <v>4443</v>
      </c>
      <c r="B905" t="s">
        <v>4445</v>
      </c>
      <c r="C905" t="s">
        <v>24</v>
      </c>
      <c r="D905" t="s">
        <v>50</v>
      </c>
      <c r="E905" t="s">
        <v>59</v>
      </c>
      <c r="F905" t="str">
        <f t="shared" si="28"/>
        <v>SMB</v>
      </c>
      <c r="G905">
        <f>_xlfn.XLOOKUP(D905,tblStates[state_code],tblStates[territory_id],"Needs Review - Territory")</f>
        <v>4</v>
      </c>
      <c r="H905" t="str">
        <f>IF(E905="","",_xlfn.XLOOKUP(E905,tblUsers[user_id],tblUsers[job_title],"Owner Not Found"))</f>
        <v>SMB Account Executive</v>
      </c>
      <c r="I905" t="str">
        <f>IF(E905="","",_xlfn.XLOOKUP(E905,tblUsers[user_id],tblUsers[segment],"Owner Not Found"))</f>
        <v>SMB</v>
      </c>
      <c r="J905">
        <f>IF(E905="","",_xlfn.XLOOKUP(E905,tblUsers[user_id],tblUsers[territory_id],"Owner Not Found"))</f>
        <v>4</v>
      </c>
      <c r="K905" t="str">
        <f t="shared" si="29"/>
        <v>Routing Compatible</v>
      </c>
    </row>
    <row r="906" spans="1:11">
      <c r="A906" t="s">
        <v>4446</v>
      </c>
      <c r="B906" t="s">
        <v>4448</v>
      </c>
      <c r="C906" t="s">
        <v>17</v>
      </c>
      <c r="D906" t="s">
        <v>366</v>
      </c>
      <c r="E906" t="s">
        <v>18</v>
      </c>
      <c r="F906" t="str">
        <f t="shared" si="28"/>
        <v>MM</v>
      </c>
      <c r="G906">
        <f>_xlfn.XLOOKUP(D906,tblStates[state_code],tblStates[territory_id],"Needs Review - Territory")</f>
        <v>1</v>
      </c>
      <c r="H906" t="str">
        <f>IF(E906="","",_xlfn.XLOOKUP(E906,tblUsers[user_id],tblUsers[job_title],"Owner Not Found"))</f>
        <v>Mid-Market Account Executive</v>
      </c>
      <c r="I906" t="str">
        <f>IF(E906="","",_xlfn.XLOOKUP(E906,tblUsers[user_id],tblUsers[segment],"Owner Not Found"))</f>
        <v>MM</v>
      </c>
      <c r="J906">
        <f>IF(E906="","",_xlfn.XLOOKUP(E906,tblUsers[user_id],tblUsers[territory_id],"Owner Not Found"))</f>
        <v>1</v>
      </c>
      <c r="K906" t="str">
        <f t="shared" si="29"/>
        <v>Routing Compatible</v>
      </c>
    </row>
    <row r="907" spans="1:11">
      <c r="A907" t="s">
        <v>4449</v>
      </c>
      <c r="B907" t="s">
        <v>4450</v>
      </c>
      <c r="C907" t="s">
        <v>24</v>
      </c>
      <c r="D907" t="s">
        <v>95</v>
      </c>
      <c r="E907" t="s">
        <v>91</v>
      </c>
      <c r="F907" t="str">
        <f t="shared" si="28"/>
        <v>SMB</v>
      </c>
      <c r="G907">
        <f>_xlfn.XLOOKUP(D907,tblStates[state_code],tblStates[territory_id],"Needs Review - Territory")</f>
        <v>1</v>
      </c>
      <c r="H907" t="str">
        <f>IF(E907="","",_xlfn.XLOOKUP(E907,tblUsers[user_id],tblUsers[job_title],"Owner Not Found"))</f>
        <v>SMB Account Executive</v>
      </c>
      <c r="I907" t="str">
        <f>IF(E907="","",_xlfn.XLOOKUP(E907,tblUsers[user_id],tblUsers[segment],"Owner Not Found"))</f>
        <v>SMB</v>
      </c>
      <c r="J907">
        <f>IF(E907="","",_xlfn.XLOOKUP(E907,tblUsers[user_id],tblUsers[territory_id],"Owner Not Found"))</f>
        <v>1</v>
      </c>
      <c r="K907" t="str">
        <f t="shared" si="29"/>
        <v>Routing Compatible</v>
      </c>
    </row>
    <row r="908" spans="1:11">
      <c r="A908" t="s">
        <v>4451</v>
      </c>
      <c r="B908" t="s">
        <v>4453</v>
      </c>
      <c r="C908" t="s">
        <v>24</v>
      </c>
      <c r="D908" t="s">
        <v>120</v>
      </c>
      <c r="E908" t="s">
        <v>25</v>
      </c>
      <c r="F908" t="str">
        <f t="shared" si="28"/>
        <v>SMB</v>
      </c>
      <c r="G908">
        <f>_xlfn.XLOOKUP(D908,tblStates[state_code],tblStates[territory_id],"Needs Review - Territory")</f>
        <v>2</v>
      </c>
      <c r="H908" t="str">
        <f>IF(E908="","",_xlfn.XLOOKUP(E908,tblUsers[user_id],tblUsers[job_title],"Owner Not Found"))</f>
        <v>SMB Account Executive</v>
      </c>
      <c r="I908" t="str">
        <f>IF(E908="","",_xlfn.XLOOKUP(E908,tblUsers[user_id],tblUsers[segment],"Owner Not Found"))</f>
        <v>SMB</v>
      </c>
      <c r="J908">
        <f>IF(E908="","",_xlfn.XLOOKUP(E908,tblUsers[user_id],tblUsers[territory_id],"Owner Not Found"))</f>
        <v>2</v>
      </c>
      <c r="K908" t="str">
        <f t="shared" si="29"/>
        <v>Routing Compatible</v>
      </c>
    </row>
    <row r="909" spans="1:11">
      <c r="A909" t="s">
        <v>4454</v>
      </c>
      <c r="B909" t="s">
        <v>4456</v>
      </c>
      <c r="C909" t="s">
        <v>24</v>
      </c>
      <c r="D909" t="s">
        <v>1039</v>
      </c>
      <c r="E909" t="s">
        <v>91</v>
      </c>
      <c r="F909" t="str">
        <f t="shared" si="28"/>
        <v>SMB</v>
      </c>
      <c r="G909">
        <f>_xlfn.XLOOKUP(D909,tblStates[state_code],tblStates[territory_id],"Needs Review - Territory")</f>
        <v>1</v>
      </c>
      <c r="H909" t="str">
        <f>IF(E909="","",_xlfn.XLOOKUP(E909,tblUsers[user_id],tblUsers[job_title],"Owner Not Found"))</f>
        <v>SMB Account Executive</v>
      </c>
      <c r="I909" t="str">
        <f>IF(E909="","",_xlfn.XLOOKUP(E909,tblUsers[user_id],tblUsers[segment],"Owner Not Found"))</f>
        <v>SMB</v>
      </c>
      <c r="J909">
        <f>IF(E909="","",_xlfn.XLOOKUP(E909,tblUsers[user_id],tblUsers[territory_id],"Owner Not Found"))</f>
        <v>1</v>
      </c>
      <c r="K909" t="str">
        <f t="shared" si="29"/>
        <v>Routing Compatible</v>
      </c>
    </row>
    <row r="910" spans="1:11">
      <c r="A910" t="s">
        <v>4457</v>
      </c>
      <c r="B910" t="s">
        <v>4459</v>
      </c>
      <c r="C910" t="s">
        <v>30</v>
      </c>
      <c r="D910" t="s">
        <v>50</v>
      </c>
      <c r="E910" t="s">
        <v>36</v>
      </c>
      <c r="F910" t="str">
        <f t="shared" si="28"/>
        <v>MM</v>
      </c>
      <c r="G910">
        <f>_xlfn.XLOOKUP(D910,tblStates[state_code],tblStates[territory_id],"Needs Review - Territory")</f>
        <v>4</v>
      </c>
      <c r="H910" t="str">
        <f>IF(E910="","",_xlfn.XLOOKUP(E910,tblUsers[user_id],tblUsers[job_title],"Owner Not Found"))</f>
        <v>Mid-Market Account Executive</v>
      </c>
      <c r="I910" t="str">
        <f>IF(E910="","",_xlfn.XLOOKUP(E910,tblUsers[user_id],tblUsers[segment],"Owner Not Found"))</f>
        <v>MM</v>
      </c>
      <c r="J910">
        <f>IF(E910="","",_xlfn.XLOOKUP(E910,tblUsers[user_id],tblUsers[territory_id],"Owner Not Found"))</f>
        <v>4</v>
      </c>
      <c r="K910" t="str">
        <f t="shared" si="29"/>
        <v>Routing Compatible</v>
      </c>
    </row>
    <row r="911" spans="1:11">
      <c r="A911" t="s">
        <v>4460</v>
      </c>
      <c r="B911" t="s">
        <v>4462</v>
      </c>
      <c r="C911" t="s">
        <v>30</v>
      </c>
      <c r="D911" t="s">
        <v>366</v>
      </c>
      <c r="E911" t="s">
        <v>18</v>
      </c>
      <c r="F911" t="str">
        <f t="shared" si="28"/>
        <v>MM</v>
      </c>
      <c r="G911">
        <f>_xlfn.XLOOKUP(D911,tblStates[state_code],tblStates[territory_id],"Needs Review - Territory")</f>
        <v>1</v>
      </c>
      <c r="H911" t="str">
        <f>IF(E911="","",_xlfn.XLOOKUP(E911,tblUsers[user_id],tblUsers[job_title],"Owner Not Found"))</f>
        <v>Mid-Market Account Executive</v>
      </c>
      <c r="I911" t="str">
        <f>IF(E911="","",_xlfn.XLOOKUP(E911,tblUsers[user_id],tblUsers[segment],"Owner Not Found"))</f>
        <v>MM</v>
      </c>
      <c r="J911">
        <f>IF(E911="","",_xlfn.XLOOKUP(E911,tblUsers[user_id],tblUsers[territory_id],"Owner Not Found"))</f>
        <v>1</v>
      </c>
      <c r="K911" t="str">
        <f t="shared" si="29"/>
        <v>Routing Compatible</v>
      </c>
    </row>
    <row r="912" spans="1:11">
      <c r="A912" t="s">
        <v>4463</v>
      </c>
      <c r="B912" t="s">
        <v>4465</v>
      </c>
      <c r="C912" t="s">
        <v>30</v>
      </c>
      <c r="D912" t="s">
        <v>216</v>
      </c>
      <c r="E912" t="s">
        <v>18</v>
      </c>
      <c r="F912" t="str">
        <f t="shared" si="28"/>
        <v>MM</v>
      </c>
      <c r="G912">
        <f>_xlfn.XLOOKUP(D912,tblStates[state_code],tblStates[territory_id],"Needs Review - Territory")</f>
        <v>1</v>
      </c>
      <c r="H912" t="str">
        <f>IF(E912="","",_xlfn.XLOOKUP(E912,tblUsers[user_id],tblUsers[job_title],"Owner Not Found"))</f>
        <v>Mid-Market Account Executive</v>
      </c>
      <c r="I912" t="str">
        <f>IF(E912="","",_xlfn.XLOOKUP(E912,tblUsers[user_id],tblUsers[segment],"Owner Not Found"))</f>
        <v>MM</v>
      </c>
      <c r="J912">
        <f>IF(E912="","",_xlfn.XLOOKUP(E912,tblUsers[user_id],tblUsers[territory_id],"Owner Not Found"))</f>
        <v>1</v>
      </c>
      <c r="K912" t="str">
        <f t="shared" si="29"/>
        <v>Routing Compatible</v>
      </c>
    </row>
    <row r="913" spans="1:11">
      <c r="A913" t="s">
        <v>4466</v>
      </c>
      <c r="B913" t="s">
        <v>4468</v>
      </c>
      <c r="C913" t="s">
        <v>30</v>
      </c>
      <c r="D913" t="s">
        <v>182</v>
      </c>
      <c r="E913" t="s">
        <v>36</v>
      </c>
      <c r="F913" t="str">
        <f t="shared" si="28"/>
        <v>MM</v>
      </c>
      <c r="G913">
        <f>_xlfn.XLOOKUP(D913,tblStates[state_code],tblStates[territory_id],"Needs Review - Territory")</f>
        <v>4</v>
      </c>
      <c r="H913" t="str">
        <f>IF(E913="","",_xlfn.XLOOKUP(E913,tblUsers[user_id],tblUsers[job_title],"Owner Not Found"))</f>
        <v>Mid-Market Account Executive</v>
      </c>
      <c r="I913" t="str">
        <f>IF(E913="","",_xlfn.XLOOKUP(E913,tblUsers[user_id],tblUsers[segment],"Owner Not Found"))</f>
        <v>MM</v>
      </c>
      <c r="J913">
        <f>IF(E913="","",_xlfn.XLOOKUP(E913,tblUsers[user_id],tblUsers[territory_id],"Owner Not Found"))</f>
        <v>4</v>
      </c>
      <c r="K913" t="str">
        <f t="shared" si="29"/>
        <v>Routing Compatible</v>
      </c>
    </row>
    <row r="914" spans="1:11">
      <c r="A914" t="s">
        <v>4469</v>
      </c>
      <c r="B914" t="s">
        <v>4471</v>
      </c>
      <c r="C914" t="s">
        <v>24</v>
      </c>
      <c r="D914" t="s">
        <v>140</v>
      </c>
      <c r="E914" t="s">
        <v>25</v>
      </c>
      <c r="F914" t="str">
        <f t="shared" si="28"/>
        <v>SMB</v>
      </c>
      <c r="G914">
        <f>_xlfn.XLOOKUP(D914,tblStates[state_code],tblStates[territory_id],"Needs Review - Territory")</f>
        <v>2</v>
      </c>
      <c r="H914" t="str">
        <f>IF(E914="","",_xlfn.XLOOKUP(E914,tblUsers[user_id],tblUsers[job_title],"Owner Not Found"))</f>
        <v>SMB Account Executive</v>
      </c>
      <c r="I914" t="str">
        <f>IF(E914="","",_xlfn.XLOOKUP(E914,tblUsers[user_id],tblUsers[segment],"Owner Not Found"))</f>
        <v>SMB</v>
      </c>
      <c r="J914">
        <f>IF(E914="","",_xlfn.XLOOKUP(E914,tblUsers[user_id],tblUsers[territory_id],"Owner Not Found"))</f>
        <v>2</v>
      </c>
      <c r="K914" t="str">
        <f t="shared" si="29"/>
        <v>Routing Compatible</v>
      </c>
    </row>
    <row r="915" spans="1:11">
      <c r="A915" t="s">
        <v>4472</v>
      </c>
      <c r="B915" t="s">
        <v>4474</v>
      </c>
      <c r="C915" t="s">
        <v>24</v>
      </c>
      <c r="D915" t="s">
        <v>154</v>
      </c>
      <c r="E915" t="s">
        <v>59</v>
      </c>
      <c r="F915" t="str">
        <f t="shared" si="28"/>
        <v>SMB</v>
      </c>
      <c r="G915">
        <f>_xlfn.XLOOKUP(D915,tblStates[state_code],tblStates[territory_id],"Needs Review - Territory")</f>
        <v>2</v>
      </c>
      <c r="H915" t="str">
        <f>IF(E915="","",_xlfn.XLOOKUP(E915,tblUsers[user_id],tblUsers[job_title],"Owner Not Found"))</f>
        <v>SMB Account Executive</v>
      </c>
      <c r="I915" t="str">
        <f>IF(E915="","",_xlfn.XLOOKUP(E915,tblUsers[user_id],tblUsers[segment],"Owner Not Found"))</f>
        <v>SMB</v>
      </c>
      <c r="J915">
        <f>IF(E915="","",_xlfn.XLOOKUP(E915,tblUsers[user_id],tblUsers[territory_id],"Owner Not Found"))</f>
        <v>4</v>
      </c>
      <c r="K915" t="str">
        <f t="shared" si="29"/>
        <v>Wrong AE Territory</v>
      </c>
    </row>
    <row r="916" spans="1:11">
      <c r="A916" t="s">
        <v>4475</v>
      </c>
      <c r="B916" t="s">
        <v>4477</v>
      </c>
      <c r="C916" t="s">
        <v>24</v>
      </c>
      <c r="D916" t="s">
        <v>16</v>
      </c>
      <c r="E916" t="s">
        <v>91</v>
      </c>
      <c r="F916" t="str">
        <f t="shared" si="28"/>
        <v>SMB</v>
      </c>
      <c r="G916">
        <f>_xlfn.XLOOKUP(D916,tblStates[state_code],tblStates[territory_id],"Needs Review - Territory")</f>
        <v>1</v>
      </c>
      <c r="H916" t="str">
        <f>IF(E916="","",_xlfn.XLOOKUP(E916,tblUsers[user_id],tblUsers[job_title],"Owner Not Found"))</f>
        <v>SMB Account Executive</v>
      </c>
      <c r="I916" t="str">
        <f>IF(E916="","",_xlfn.XLOOKUP(E916,tblUsers[user_id],tblUsers[segment],"Owner Not Found"))</f>
        <v>SMB</v>
      </c>
      <c r="J916">
        <f>IF(E916="","",_xlfn.XLOOKUP(E916,tblUsers[user_id],tblUsers[territory_id],"Owner Not Found"))</f>
        <v>1</v>
      </c>
      <c r="K916" t="str">
        <f t="shared" si="29"/>
        <v>Routing Compatible</v>
      </c>
    </row>
    <row r="917" spans="1:11">
      <c r="A917" t="s">
        <v>4478</v>
      </c>
      <c r="B917" t="s">
        <v>4480</v>
      </c>
      <c r="C917" t="s">
        <v>30</v>
      </c>
      <c r="D917" t="s">
        <v>339</v>
      </c>
      <c r="E917" t="s">
        <v>55</v>
      </c>
      <c r="F917" t="str">
        <f t="shared" si="28"/>
        <v>MM</v>
      </c>
      <c r="G917">
        <f>_xlfn.XLOOKUP(D917,tblStates[state_code],tblStates[territory_id],"Needs Review - Territory")</f>
        <v>3</v>
      </c>
      <c r="H917" t="str">
        <f>IF(E917="","",_xlfn.XLOOKUP(E917,tblUsers[user_id],tblUsers[job_title],"Owner Not Found"))</f>
        <v>Mid-Market Account Executive</v>
      </c>
      <c r="I917" t="str">
        <f>IF(E917="","",_xlfn.XLOOKUP(E917,tblUsers[user_id],tblUsers[segment],"Owner Not Found"))</f>
        <v>MM</v>
      </c>
      <c r="J917">
        <f>IF(E917="","",_xlfn.XLOOKUP(E917,tblUsers[user_id],tblUsers[territory_id],"Owner Not Found"))</f>
        <v>3</v>
      </c>
      <c r="K917" t="str">
        <f t="shared" si="29"/>
        <v>Routing Compatible</v>
      </c>
    </row>
    <row r="918" spans="1:11">
      <c r="A918" t="s">
        <v>4481</v>
      </c>
      <c r="B918" t="s">
        <v>4483</v>
      </c>
      <c r="C918" t="s">
        <v>24</v>
      </c>
      <c r="D918" t="s">
        <v>140</v>
      </c>
      <c r="E918" t="s">
        <v>25</v>
      </c>
      <c r="F918" t="str">
        <f t="shared" si="28"/>
        <v>SMB</v>
      </c>
      <c r="G918">
        <f>_xlfn.XLOOKUP(D918,tblStates[state_code],tblStates[territory_id],"Needs Review - Territory")</f>
        <v>2</v>
      </c>
      <c r="H918" t="str">
        <f>IF(E918="","",_xlfn.XLOOKUP(E918,tblUsers[user_id],tblUsers[job_title],"Owner Not Found"))</f>
        <v>SMB Account Executive</v>
      </c>
      <c r="I918" t="str">
        <f>IF(E918="","",_xlfn.XLOOKUP(E918,tblUsers[user_id],tblUsers[segment],"Owner Not Found"))</f>
        <v>SMB</v>
      </c>
      <c r="J918">
        <f>IF(E918="","",_xlfn.XLOOKUP(E918,tblUsers[user_id],tblUsers[territory_id],"Owner Not Found"))</f>
        <v>2</v>
      </c>
      <c r="K918" t="str">
        <f t="shared" si="29"/>
        <v>Routing Compatible</v>
      </c>
    </row>
    <row r="919" spans="1:11">
      <c r="A919" t="s">
        <v>4484</v>
      </c>
      <c r="B919" t="s">
        <v>4486</v>
      </c>
      <c r="C919" t="s">
        <v>24</v>
      </c>
      <c r="D919" t="s">
        <v>68</v>
      </c>
      <c r="E919" t="s">
        <v>69</v>
      </c>
      <c r="F919" t="str">
        <f t="shared" si="28"/>
        <v>SMB</v>
      </c>
      <c r="G919">
        <f>_xlfn.XLOOKUP(D919,tblStates[state_code],tblStates[territory_id],"Needs Review - Territory")</f>
        <v>3</v>
      </c>
      <c r="H919" t="str">
        <f>IF(E919="","",_xlfn.XLOOKUP(E919,tblUsers[user_id],tblUsers[job_title],"Owner Not Found"))</f>
        <v>SMB Account Executive</v>
      </c>
      <c r="I919" t="str">
        <f>IF(E919="","",_xlfn.XLOOKUP(E919,tblUsers[user_id],tblUsers[segment],"Owner Not Found"))</f>
        <v>SMB</v>
      </c>
      <c r="J919">
        <f>IF(E919="","",_xlfn.XLOOKUP(E919,tblUsers[user_id],tblUsers[territory_id],"Owner Not Found"))</f>
        <v>3</v>
      </c>
      <c r="K919" t="str">
        <f t="shared" si="29"/>
        <v>Routing Compatible</v>
      </c>
    </row>
    <row r="920" spans="1:11">
      <c r="A920" t="s">
        <v>4487</v>
      </c>
      <c r="B920" t="s">
        <v>4488</v>
      </c>
      <c r="C920" t="s">
        <v>24</v>
      </c>
      <c r="D920" t="s">
        <v>95</v>
      </c>
      <c r="E920" t="s">
        <v>91</v>
      </c>
      <c r="F920" t="str">
        <f t="shared" si="28"/>
        <v>SMB</v>
      </c>
      <c r="G920">
        <f>_xlfn.XLOOKUP(D920,tblStates[state_code],tblStates[territory_id],"Needs Review - Territory")</f>
        <v>1</v>
      </c>
      <c r="H920" t="str">
        <f>IF(E920="","",_xlfn.XLOOKUP(E920,tblUsers[user_id],tblUsers[job_title],"Owner Not Found"))</f>
        <v>SMB Account Executive</v>
      </c>
      <c r="I920" t="str">
        <f>IF(E920="","",_xlfn.XLOOKUP(E920,tblUsers[user_id],tblUsers[segment],"Owner Not Found"))</f>
        <v>SMB</v>
      </c>
      <c r="J920">
        <f>IF(E920="","",_xlfn.XLOOKUP(E920,tblUsers[user_id],tblUsers[territory_id],"Owner Not Found"))</f>
        <v>1</v>
      </c>
      <c r="K920" t="str">
        <f t="shared" si="29"/>
        <v>Routing Compatible</v>
      </c>
    </row>
    <row r="921" spans="1:11">
      <c r="A921" t="s">
        <v>4489</v>
      </c>
      <c r="B921" t="s">
        <v>4491</v>
      </c>
      <c r="C921" t="s">
        <v>30</v>
      </c>
      <c r="D921" t="s">
        <v>140</v>
      </c>
      <c r="E921" t="s">
        <v>82</v>
      </c>
      <c r="F921" t="str">
        <f t="shared" si="28"/>
        <v>MM</v>
      </c>
      <c r="G921">
        <f>_xlfn.XLOOKUP(D921,tblStates[state_code],tblStates[territory_id],"Needs Review - Territory")</f>
        <v>2</v>
      </c>
      <c r="H921" t="str">
        <f>IF(E921="","",_xlfn.XLOOKUP(E921,tblUsers[user_id],tblUsers[job_title],"Owner Not Found"))</f>
        <v>Mid-Market Account Executive</v>
      </c>
      <c r="I921" t="str">
        <f>IF(E921="","",_xlfn.XLOOKUP(E921,tblUsers[user_id],tblUsers[segment],"Owner Not Found"))</f>
        <v>MM</v>
      </c>
      <c r="J921">
        <f>IF(E921="","",_xlfn.XLOOKUP(E921,tblUsers[user_id],tblUsers[territory_id],"Owner Not Found"))</f>
        <v>2</v>
      </c>
      <c r="K921" t="str">
        <f t="shared" si="29"/>
        <v>Routing Compatible</v>
      </c>
    </row>
    <row r="922" spans="1:11">
      <c r="A922" t="s">
        <v>4492</v>
      </c>
      <c r="B922" t="s">
        <v>4494</v>
      </c>
      <c r="C922" t="s">
        <v>30</v>
      </c>
      <c r="D922" t="s">
        <v>81</v>
      </c>
      <c r="E922" t="s">
        <v>82</v>
      </c>
      <c r="F922" t="str">
        <f t="shared" si="28"/>
        <v>MM</v>
      </c>
      <c r="G922">
        <f>_xlfn.XLOOKUP(D922,tblStates[state_code],tblStates[territory_id],"Needs Review - Territory")</f>
        <v>2</v>
      </c>
      <c r="H922" t="str">
        <f>IF(E922="","",_xlfn.XLOOKUP(E922,tblUsers[user_id],tblUsers[job_title],"Owner Not Found"))</f>
        <v>Mid-Market Account Executive</v>
      </c>
      <c r="I922" t="str">
        <f>IF(E922="","",_xlfn.XLOOKUP(E922,tblUsers[user_id],tblUsers[segment],"Owner Not Found"))</f>
        <v>MM</v>
      </c>
      <c r="J922">
        <f>IF(E922="","",_xlfn.XLOOKUP(E922,tblUsers[user_id],tblUsers[territory_id],"Owner Not Found"))</f>
        <v>2</v>
      </c>
      <c r="K922" t="str">
        <f t="shared" si="29"/>
        <v>Routing Compatible</v>
      </c>
    </row>
    <row r="923" spans="1:11">
      <c r="A923" t="s">
        <v>4495</v>
      </c>
      <c r="B923" t="s">
        <v>4497</v>
      </c>
      <c r="C923" t="s">
        <v>24</v>
      </c>
      <c r="D923" t="s">
        <v>154</v>
      </c>
      <c r="E923" t="s">
        <v>25</v>
      </c>
      <c r="F923" t="str">
        <f t="shared" si="28"/>
        <v>SMB</v>
      </c>
      <c r="G923">
        <f>_xlfn.XLOOKUP(D923,tblStates[state_code],tblStates[territory_id],"Needs Review - Territory")</f>
        <v>2</v>
      </c>
      <c r="H923" t="str">
        <f>IF(E923="","",_xlfn.XLOOKUP(E923,tblUsers[user_id],tblUsers[job_title],"Owner Not Found"))</f>
        <v>SMB Account Executive</v>
      </c>
      <c r="I923" t="str">
        <f>IF(E923="","",_xlfn.XLOOKUP(E923,tblUsers[user_id],tblUsers[segment],"Owner Not Found"))</f>
        <v>SMB</v>
      </c>
      <c r="J923">
        <f>IF(E923="","",_xlfn.XLOOKUP(E923,tblUsers[user_id],tblUsers[territory_id],"Owner Not Found"))</f>
        <v>2</v>
      </c>
      <c r="K923" t="str">
        <f t="shared" si="29"/>
        <v>Routing Compatible</v>
      </c>
    </row>
    <row r="924" spans="1:11">
      <c r="A924" t="s">
        <v>4498</v>
      </c>
      <c r="B924" t="s">
        <v>4500</v>
      </c>
      <c r="C924" t="s">
        <v>30</v>
      </c>
      <c r="D924" t="s">
        <v>171</v>
      </c>
      <c r="E924" t="s">
        <v>18</v>
      </c>
      <c r="F924" t="str">
        <f t="shared" si="28"/>
        <v>MM</v>
      </c>
      <c r="G924">
        <f>_xlfn.XLOOKUP(D924,tblStates[state_code],tblStates[territory_id],"Needs Review - Territory")</f>
        <v>1</v>
      </c>
      <c r="H924" t="str">
        <f>IF(E924="","",_xlfn.XLOOKUP(E924,tblUsers[user_id],tblUsers[job_title],"Owner Not Found"))</f>
        <v>Mid-Market Account Executive</v>
      </c>
      <c r="I924" t="str">
        <f>IF(E924="","",_xlfn.XLOOKUP(E924,tblUsers[user_id],tblUsers[segment],"Owner Not Found"))</f>
        <v>MM</v>
      </c>
      <c r="J924">
        <f>IF(E924="","",_xlfn.XLOOKUP(E924,tblUsers[user_id],tblUsers[territory_id],"Owner Not Found"))</f>
        <v>1</v>
      </c>
      <c r="K924" t="str">
        <f t="shared" si="29"/>
        <v>Routing Compatible</v>
      </c>
    </row>
    <row r="925" spans="1:11">
      <c r="A925" t="s">
        <v>4501</v>
      </c>
      <c r="B925" t="s">
        <v>4503</v>
      </c>
      <c r="C925" t="s">
        <v>30</v>
      </c>
      <c r="D925" t="s">
        <v>171</v>
      </c>
      <c r="F925" t="str">
        <f t="shared" si="28"/>
        <v>MM</v>
      </c>
      <c r="G925">
        <f>_xlfn.XLOOKUP(D925,tblStates[state_code],tblStates[territory_id],"Needs Review - Territory")</f>
        <v>1</v>
      </c>
      <c r="H925" t="str">
        <f>IF(E925="","",_xlfn.XLOOKUP(E925,tblUsers[user_id],tblUsers[job_title],"Owner Not Found"))</f>
        <v/>
      </c>
      <c r="I925" t="str">
        <f>IF(E925="","",_xlfn.XLOOKUP(E925,tblUsers[user_id],tblUsers[segment],"Owner Not Found"))</f>
        <v/>
      </c>
      <c r="J925" t="str">
        <f>IF(E925="","",_xlfn.XLOOKUP(E925,tblUsers[user_id],tblUsers[territory_id],"Owner Not Found"))</f>
        <v/>
      </c>
      <c r="K925" t="str">
        <f t="shared" si="29"/>
        <v>Unassigned</v>
      </c>
    </row>
    <row r="926" spans="1:11">
      <c r="A926" t="s">
        <v>4504</v>
      </c>
      <c r="B926" t="s">
        <v>4506</v>
      </c>
      <c r="D926" t="s">
        <v>182</v>
      </c>
      <c r="F926" t="str">
        <f t="shared" si="28"/>
        <v>Needs Review - Segment</v>
      </c>
      <c r="G926">
        <f>_xlfn.XLOOKUP(D926,tblStates[state_code],tblStates[territory_id],"Needs Review - Territory")</f>
        <v>4</v>
      </c>
      <c r="H926" t="str">
        <f>IF(E926="","",_xlfn.XLOOKUP(E926,tblUsers[user_id],tblUsers[job_title],"Owner Not Found"))</f>
        <v/>
      </c>
      <c r="I926" t="str">
        <f>IF(E926="","",_xlfn.XLOOKUP(E926,tblUsers[user_id],tblUsers[segment],"Owner Not Found"))</f>
        <v/>
      </c>
      <c r="J926" t="str">
        <f>IF(E926="","",_xlfn.XLOOKUP(E926,tblUsers[user_id],tblUsers[territory_id],"Owner Not Found"))</f>
        <v/>
      </c>
      <c r="K926" t="str">
        <f t="shared" si="29"/>
        <v>Unassigned</v>
      </c>
    </row>
    <row r="927" spans="1:11">
      <c r="A927" t="s">
        <v>4507</v>
      </c>
      <c r="B927" t="s">
        <v>4509</v>
      </c>
      <c r="C927" t="s">
        <v>24</v>
      </c>
      <c r="D927" t="s">
        <v>41</v>
      </c>
      <c r="E927" t="s">
        <v>25</v>
      </c>
      <c r="F927" t="str">
        <f t="shared" si="28"/>
        <v>SMB</v>
      </c>
      <c r="G927">
        <f>_xlfn.XLOOKUP(D927,tblStates[state_code],tblStates[territory_id],"Needs Review - Territory")</f>
        <v>2</v>
      </c>
      <c r="H927" t="str">
        <f>IF(E927="","",_xlfn.XLOOKUP(E927,tblUsers[user_id],tblUsers[job_title],"Owner Not Found"))</f>
        <v>SMB Account Executive</v>
      </c>
      <c r="I927" t="str">
        <f>IF(E927="","",_xlfn.XLOOKUP(E927,tblUsers[user_id],tblUsers[segment],"Owner Not Found"))</f>
        <v>SMB</v>
      </c>
      <c r="J927">
        <f>IF(E927="","",_xlfn.XLOOKUP(E927,tblUsers[user_id],tblUsers[territory_id],"Owner Not Found"))</f>
        <v>2</v>
      </c>
      <c r="K927" t="str">
        <f t="shared" si="29"/>
        <v>Routing Compatible</v>
      </c>
    </row>
    <row r="928" spans="1:11">
      <c r="A928" t="s">
        <v>4510</v>
      </c>
      <c r="B928" t="s">
        <v>4512</v>
      </c>
      <c r="C928" t="s">
        <v>24</v>
      </c>
      <c r="D928" t="s">
        <v>140</v>
      </c>
      <c r="E928" t="s">
        <v>25</v>
      </c>
      <c r="F928" t="str">
        <f t="shared" si="28"/>
        <v>SMB</v>
      </c>
      <c r="G928">
        <f>_xlfn.XLOOKUP(D928,tblStates[state_code],tblStates[territory_id],"Needs Review - Territory")</f>
        <v>2</v>
      </c>
      <c r="H928" t="str">
        <f>IF(E928="","",_xlfn.XLOOKUP(E928,tblUsers[user_id],tblUsers[job_title],"Owner Not Found"))</f>
        <v>SMB Account Executive</v>
      </c>
      <c r="I928" t="str">
        <f>IF(E928="","",_xlfn.XLOOKUP(E928,tblUsers[user_id],tblUsers[segment],"Owner Not Found"))</f>
        <v>SMB</v>
      </c>
      <c r="J928">
        <f>IF(E928="","",_xlfn.XLOOKUP(E928,tblUsers[user_id],tblUsers[territory_id],"Owner Not Found"))</f>
        <v>2</v>
      </c>
      <c r="K928" t="str">
        <f t="shared" si="29"/>
        <v>Routing Compatible</v>
      </c>
    </row>
    <row r="929" spans="1:11">
      <c r="A929" t="s">
        <v>4513</v>
      </c>
      <c r="B929" t="s">
        <v>4515</v>
      </c>
      <c r="C929" t="s">
        <v>24</v>
      </c>
      <c r="D929" t="s">
        <v>68</v>
      </c>
      <c r="E929" t="s">
        <v>69</v>
      </c>
      <c r="F929" t="str">
        <f t="shared" si="28"/>
        <v>SMB</v>
      </c>
      <c r="G929">
        <f>_xlfn.XLOOKUP(D929,tblStates[state_code],tblStates[territory_id],"Needs Review - Territory")</f>
        <v>3</v>
      </c>
      <c r="H929" t="str">
        <f>IF(E929="","",_xlfn.XLOOKUP(E929,tblUsers[user_id],tblUsers[job_title],"Owner Not Found"))</f>
        <v>SMB Account Executive</v>
      </c>
      <c r="I929" t="str">
        <f>IF(E929="","",_xlfn.XLOOKUP(E929,tblUsers[user_id],tblUsers[segment],"Owner Not Found"))</f>
        <v>SMB</v>
      </c>
      <c r="J929">
        <f>IF(E929="","",_xlfn.XLOOKUP(E929,tblUsers[user_id],tblUsers[territory_id],"Owner Not Found"))</f>
        <v>3</v>
      </c>
      <c r="K929" t="str">
        <f t="shared" si="29"/>
        <v>Routing Compatible</v>
      </c>
    </row>
    <row r="930" spans="1:11">
      <c r="A930" t="s">
        <v>4516</v>
      </c>
      <c r="B930" t="s">
        <v>4518</v>
      </c>
      <c r="C930" t="s">
        <v>17</v>
      </c>
      <c r="D930" t="s">
        <v>120</v>
      </c>
      <c r="E930" t="s">
        <v>82</v>
      </c>
      <c r="F930" t="str">
        <f t="shared" si="28"/>
        <v>MM</v>
      </c>
      <c r="G930">
        <f>_xlfn.XLOOKUP(D930,tblStates[state_code],tblStates[territory_id],"Needs Review - Territory")</f>
        <v>2</v>
      </c>
      <c r="H930" t="str">
        <f>IF(E930="","",_xlfn.XLOOKUP(E930,tblUsers[user_id],tblUsers[job_title],"Owner Not Found"))</f>
        <v>Mid-Market Account Executive</v>
      </c>
      <c r="I930" t="str">
        <f>IF(E930="","",_xlfn.XLOOKUP(E930,tblUsers[user_id],tblUsers[segment],"Owner Not Found"))</f>
        <v>MM</v>
      </c>
      <c r="J930">
        <f>IF(E930="","",_xlfn.XLOOKUP(E930,tblUsers[user_id],tblUsers[territory_id],"Owner Not Found"))</f>
        <v>2</v>
      </c>
      <c r="K930" t="str">
        <f t="shared" si="29"/>
        <v>Routing Compatible</v>
      </c>
    </row>
    <row r="931" spans="1:11">
      <c r="A931" t="s">
        <v>4519</v>
      </c>
      <c r="B931" t="s">
        <v>4521</v>
      </c>
      <c r="C931" t="s">
        <v>24</v>
      </c>
      <c r="D931" t="s">
        <v>140</v>
      </c>
      <c r="E931" t="s">
        <v>25</v>
      </c>
      <c r="F931" t="str">
        <f t="shared" si="28"/>
        <v>SMB</v>
      </c>
      <c r="G931">
        <f>_xlfn.XLOOKUP(D931,tblStates[state_code],tblStates[territory_id],"Needs Review - Territory")</f>
        <v>2</v>
      </c>
      <c r="H931" t="str">
        <f>IF(E931="","",_xlfn.XLOOKUP(E931,tblUsers[user_id],tblUsers[job_title],"Owner Not Found"))</f>
        <v>SMB Account Executive</v>
      </c>
      <c r="I931" t="str">
        <f>IF(E931="","",_xlfn.XLOOKUP(E931,tblUsers[user_id],tblUsers[segment],"Owner Not Found"))</f>
        <v>SMB</v>
      </c>
      <c r="J931">
        <f>IF(E931="","",_xlfn.XLOOKUP(E931,tblUsers[user_id],tblUsers[territory_id],"Owner Not Found"))</f>
        <v>2</v>
      </c>
      <c r="K931" t="str">
        <f t="shared" si="29"/>
        <v>Routing Compatible</v>
      </c>
    </row>
    <row r="932" spans="1:11">
      <c r="A932" t="s">
        <v>4522</v>
      </c>
      <c r="B932" t="s">
        <v>4524</v>
      </c>
      <c r="C932" t="s">
        <v>24</v>
      </c>
      <c r="D932" t="s">
        <v>50</v>
      </c>
      <c r="E932" t="s">
        <v>59</v>
      </c>
      <c r="F932" t="str">
        <f t="shared" si="28"/>
        <v>SMB</v>
      </c>
      <c r="G932">
        <f>_xlfn.XLOOKUP(D932,tblStates[state_code],tblStates[territory_id],"Needs Review - Territory")</f>
        <v>4</v>
      </c>
      <c r="H932" t="str">
        <f>IF(E932="","",_xlfn.XLOOKUP(E932,tblUsers[user_id],tblUsers[job_title],"Owner Not Found"))</f>
        <v>SMB Account Executive</v>
      </c>
      <c r="I932" t="str">
        <f>IF(E932="","",_xlfn.XLOOKUP(E932,tblUsers[user_id],tblUsers[segment],"Owner Not Found"))</f>
        <v>SMB</v>
      </c>
      <c r="J932">
        <f>IF(E932="","",_xlfn.XLOOKUP(E932,tblUsers[user_id],tblUsers[territory_id],"Owner Not Found"))</f>
        <v>4</v>
      </c>
      <c r="K932" t="str">
        <f t="shared" si="29"/>
        <v>Routing Compatible</v>
      </c>
    </row>
    <row r="933" spans="1:11">
      <c r="A933" t="s">
        <v>4525</v>
      </c>
      <c r="B933" t="s">
        <v>4527</v>
      </c>
      <c r="C933" t="s">
        <v>24</v>
      </c>
      <c r="D933" t="s">
        <v>120</v>
      </c>
      <c r="F933" t="str">
        <f t="shared" si="28"/>
        <v>SMB</v>
      </c>
      <c r="G933">
        <f>_xlfn.XLOOKUP(D933,tblStates[state_code],tblStates[territory_id],"Needs Review - Territory")</f>
        <v>2</v>
      </c>
      <c r="H933" t="str">
        <f>IF(E933="","",_xlfn.XLOOKUP(E933,tblUsers[user_id],tblUsers[job_title],"Owner Not Found"))</f>
        <v/>
      </c>
      <c r="I933" t="str">
        <f>IF(E933="","",_xlfn.XLOOKUP(E933,tblUsers[user_id],tblUsers[segment],"Owner Not Found"))</f>
        <v/>
      </c>
      <c r="J933" t="str">
        <f>IF(E933="","",_xlfn.XLOOKUP(E933,tblUsers[user_id],tblUsers[territory_id],"Owner Not Found"))</f>
        <v/>
      </c>
      <c r="K933" t="str">
        <f t="shared" si="29"/>
        <v>Unassigned</v>
      </c>
    </row>
    <row r="934" spans="1:11">
      <c r="A934" t="s">
        <v>4528</v>
      </c>
      <c r="B934" t="s">
        <v>4530</v>
      </c>
      <c r="C934" t="s">
        <v>24</v>
      </c>
      <c r="D934" t="s">
        <v>205</v>
      </c>
      <c r="E934" t="s">
        <v>25</v>
      </c>
      <c r="F934" t="str">
        <f t="shared" si="28"/>
        <v>SMB</v>
      </c>
      <c r="G934">
        <f>_xlfn.XLOOKUP(D934,tblStates[state_code],tblStates[territory_id],"Needs Review - Territory")</f>
        <v>4</v>
      </c>
      <c r="H934" t="str">
        <f>IF(E934="","",_xlfn.XLOOKUP(E934,tblUsers[user_id],tblUsers[job_title],"Owner Not Found"))</f>
        <v>SMB Account Executive</v>
      </c>
      <c r="I934" t="str">
        <f>IF(E934="","",_xlfn.XLOOKUP(E934,tblUsers[user_id],tblUsers[segment],"Owner Not Found"))</f>
        <v>SMB</v>
      </c>
      <c r="J934">
        <f>IF(E934="","",_xlfn.XLOOKUP(E934,tblUsers[user_id],tblUsers[territory_id],"Owner Not Found"))</f>
        <v>2</v>
      </c>
      <c r="K934" t="str">
        <f t="shared" si="29"/>
        <v>Wrong AE Territory</v>
      </c>
    </row>
    <row r="935" spans="1:11">
      <c r="A935" t="s">
        <v>4531</v>
      </c>
      <c r="B935" t="s">
        <v>4533</v>
      </c>
      <c r="C935" t="s">
        <v>24</v>
      </c>
      <c r="D935" t="s">
        <v>560</v>
      </c>
      <c r="E935" t="s">
        <v>25</v>
      </c>
      <c r="F935" t="str">
        <f t="shared" si="28"/>
        <v>SMB</v>
      </c>
      <c r="G935">
        <f>_xlfn.XLOOKUP(D935,tblStates[state_code],tblStates[territory_id],"Needs Review - Territory")</f>
        <v>2</v>
      </c>
      <c r="H935" t="str">
        <f>IF(E935="","",_xlfn.XLOOKUP(E935,tblUsers[user_id],tblUsers[job_title],"Owner Not Found"))</f>
        <v>SMB Account Executive</v>
      </c>
      <c r="I935" t="str">
        <f>IF(E935="","",_xlfn.XLOOKUP(E935,tblUsers[user_id],tblUsers[segment],"Owner Not Found"))</f>
        <v>SMB</v>
      </c>
      <c r="J935">
        <f>IF(E935="","",_xlfn.XLOOKUP(E935,tblUsers[user_id],tblUsers[territory_id],"Owner Not Found"))</f>
        <v>2</v>
      </c>
      <c r="K935" t="str">
        <f t="shared" si="29"/>
        <v>Routing Compatible</v>
      </c>
    </row>
    <row r="936" spans="1:11">
      <c r="A936" t="s">
        <v>4534</v>
      </c>
      <c r="B936" t="s">
        <v>4536</v>
      </c>
      <c r="C936" t="s">
        <v>30</v>
      </c>
      <c r="D936" t="s">
        <v>41</v>
      </c>
      <c r="E936" t="s">
        <v>18</v>
      </c>
      <c r="F936" t="str">
        <f t="shared" si="28"/>
        <v>MM</v>
      </c>
      <c r="G936">
        <f>_xlfn.XLOOKUP(D936,tblStates[state_code],tblStates[territory_id],"Needs Review - Territory")</f>
        <v>2</v>
      </c>
      <c r="H936" t="str">
        <f>IF(E936="","",_xlfn.XLOOKUP(E936,tblUsers[user_id],tblUsers[job_title],"Owner Not Found"))</f>
        <v>Mid-Market Account Executive</v>
      </c>
      <c r="I936" t="str">
        <f>IF(E936="","",_xlfn.XLOOKUP(E936,tblUsers[user_id],tblUsers[segment],"Owner Not Found"))</f>
        <v>MM</v>
      </c>
      <c r="J936">
        <f>IF(E936="","",_xlfn.XLOOKUP(E936,tblUsers[user_id],tblUsers[territory_id],"Owner Not Found"))</f>
        <v>1</v>
      </c>
      <c r="K936" t="str">
        <f t="shared" si="29"/>
        <v>Wrong AE Territory</v>
      </c>
    </row>
    <row r="937" spans="1:11">
      <c r="A937" t="s">
        <v>4537</v>
      </c>
      <c r="B937" t="s">
        <v>4539</v>
      </c>
      <c r="C937" t="s">
        <v>30</v>
      </c>
      <c r="D937" t="s">
        <v>50</v>
      </c>
      <c r="E937" t="s">
        <v>36</v>
      </c>
      <c r="F937" t="str">
        <f t="shared" si="28"/>
        <v>MM</v>
      </c>
      <c r="G937">
        <f>_xlfn.XLOOKUP(D937,tblStates[state_code],tblStates[territory_id],"Needs Review - Territory")</f>
        <v>4</v>
      </c>
      <c r="H937" t="str">
        <f>IF(E937="","",_xlfn.XLOOKUP(E937,tblUsers[user_id],tblUsers[job_title],"Owner Not Found"))</f>
        <v>Mid-Market Account Executive</v>
      </c>
      <c r="I937" t="str">
        <f>IF(E937="","",_xlfn.XLOOKUP(E937,tblUsers[user_id],tblUsers[segment],"Owner Not Found"))</f>
        <v>MM</v>
      </c>
      <c r="J937">
        <f>IF(E937="","",_xlfn.XLOOKUP(E937,tblUsers[user_id],tblUsers[territory_id],"Owner Not Found"))</f>
        <v>4</v>
      </c>
      <c r="K937" t="str">
        <f t="shared" si="29"/>
        <v>Routing Compatible</v>
      </c>
    </row>
    <row r="938" spans="1:11">
      <c r="A938" t="s">
        <v>4540</v>
      </c>
      <c r="B938" t="s">
        <v>4542</v>
      </c>
      <c r="C938" t="s">
        <v>30</v>
      </c>
      <c r="D938" t="s">
        <v>178</v>
      </c>
      <c r="E938" t="s">
        <v>36</v>
      </c>
      <c r="F938" t="str">
        <f t="shared" si="28"/>
        <v>MM</v>
      </c>
      <c r="G938">
        <f>_xlfn.XLOOKUP(D938,tblStates[state_code],tblStates[territory_id],"Needs Review - Territory")</f>
        <v>4</v>
      </c>
      <c r="H938" t="str">
        <f>IF(E938="","",_xlfn.XLOOKUP(E938,tblUsers[user_id],tblUsers[job_title],"Owner Not Found"))</f>
        <v>Mid-Market Account Executive</v>
      </c>
      <c r="I938" t="str">
        <f>IF(E938="","",_xlfn.XLOOKUP(E938,tblUsers[user_id],tblUsers[segment],"Owner Not Found"))</f>
        <v>MM</v>
      </c>
      <c r="J938">
        <f>IF(E938="","",_xlfn.XLOOKUP(E938,tblUsers[user_id],tblUsers[territory_id],"Owner Not Found"))</f>
        <v>4</v>
      </c>
      <c r="K938" t="str">
        <f t="shared" si="29"/>
        <v>Routing Compatible</v>
      </c>
    </row>
    <row r="939" spans="1:11">
      <c r="A939" t="s">
        <v>4543</v>
      </c>
      <c r="B939" t="s">
        <v>4545</v>
      </c>
      <c r="C939" t="s">
        <v>24</v>
      </c>
      <c r="D939" t="s">
        <v>323</v>
      </c>
      <c r="E939" t="s">
        <v>25</v>
      </c>
      <c r="F939" t="str">
        <f t="shared" si="28"/>
        <v>SMB</v>
      </c>
      <c r="G939">
        <f>_xlfn.XLOOKUP(D939,tblStates[state_code],tblStates[territory_id],"Needs Review - Territory")</f>
        <v>2</v>
      </c>
      <c r="H939" t="str">
        <f>IF(E939="","",_xlfn.XLOOKUP(E939,tblUsers[user_id],tblUsers[job_title],"Owner Not Found"))</f>
        <v>SMB Account Executive</v>
      </c>
      <c r="I939" t="str">
        <f>IF(E939="","",_xlfn.XLOOKUP(E939,tblUsers[user_id],tblUsers[segment],"Owner Not Found"))</f>
        <v>SMB</v>
      </c>
      <c r="J939">
        <f>IF(E939="","",_xlfn.XLOOKUP(E939,tblUsers[user_id],tblUsers[territory_id],"Owner Not Found"))</f>
        <v>2</v>
      </c>
      <c r="K939" t="str">
        <f t="shared" si="29"/>
        <v>Routing Compatible</v>
      </c>
    </row>
    <row r="940" spans="1:11">
      <c r="A940" t="s">
        <v>4546</v>
      </c>
      <c r="B940" t="s">
        <v>4548</v>
      </c>
      <c r="C940" t="s">
        <v>17</v>
      </c>
      <c r="D940" t="s">
        <v>339</v>
      </c>
      <c r="E940" t="s">
        <v>55</v>
      </c>
      <c r="F940" t="str">
        <f t="shared" si="28"/>
        <v>MM</v>
      </c>
      <c r="G940">
        <f>_xlfn.XLOOKUP(D940,tblStates[state_code],tblStates[territory_id],"Needs Review - Territory")</f>
        <v>3</v>
      </c>
      <c r="H940" t="str">
        <f>IF(E940="","",_xlfn.XLOOKUP(E940,tblUsers[user_id],tblUsers[job_title],"Owner Not Found"))</f>
        <v>Mid-Market Account Executive</v>
      </c>
      <c r="I940" t="str">
        <f>IF(E940="","",_xlfn.XLOOKUP(E940,tblUsers[user_id],tblUsers[segment],"Owner Not Found"))</f>
        <v>MM</v>
      </c>
      <c r="J940">
        <f>IF(E940="","",_xlfn.XLOOKUP(E940,tblUsers[user_id],tblUsers[territory_id],"Owner Not Found"))</f>
        <v>3</v>
      </c>
      <c r="K940" t="str">
        <f t="shared" si="29"/>
        <v>Routing Compatible</v>
      </c>
    </row>
    <row r="941" spans="1:11">
      <c r="A941" t="s">
        <v>4549</v>
      </c>
      <c r="B941" t="s">
        <v>4551</v>
      </c>
      <c r="C941" t="s">
        <v>30</v>
      </c>
      <c r="D941" t="s">
        <v>295</v>
      </c>
      <c r="E941" t="s">
        <v>82</v>
      </c>
      <c r="F941" t="str">
        <f t="shared" si="28"/>
        <v>MM</v>
      </c>
      <c r="G941">
        <f>_xlfn.XLOOKUP(D941,tblStates[state_code],tblStates[territory_id],"Needs Review - Territory")</f>
        <v>2</v>
      </c>
      <c r="H941" t="str">
        <f>IF(E941="","",_xlfn.XLOOKUP(E941,tblUsers[user_id],tblUsers[job_title],"Owner Not Found"))</f>
        <v>Mid-Market Account Executive</v>
      </c>
      <c r="I941" t="str">
        <f>IF(E941="","",_xlfn.XLOOKUP(E941,tblUsers[user_id],tblUsers[segment],"Owner Not Found"))</f>
        <v>MM</v>
      </c>
      <c r="J941">
        <f>IF(E941="","",_xlfn.XLOOKUP(E941,tblUsers[user_id],tblUsers[territory_id],"Owner Not Found"))</f>
        <v>2</v>
      </c>
      <c r="K941" t="str">
        <f t="shared" si="29"/>
        <v>Routing Compatible</v>
      </c>
    </row>
    <row r="942" spans="1:11">
      <c r="A942" t="s">
        <v>4552</v>
      </c>
      <c r="B942" t="s">
        <v>4554</v>
      </c>
      <c r="D942" t="s">
        <v>178</v>
      </c>
      <c r="F942" t="str">
        <f t="shared" si="28"/>
        <v>Needs Review - Segment</v>
      </c>
      <c r="G942">
        <f>_xlfn.XLOOKUP(D942,tblStates[state_code],tblStates[territory_id],"Needs Review - Territory")</f>
        <v>4</v>
      </c>
      <c r="H942" t="str">
        <f>IF(E942="","",_xlfn.XLOOKUP(E942,tblUsers[user_id],tblUsers[job_title],"Owner Not Found"))</f>
        <v/>
      </c>
      <c r="I942" t="str">
        <f>IF(E942="","",_xlfn.XLOOKUP(E942,tblUsers[user_id],tblUsers[segment],"Owner Not Found"))</f>
        <v/>
      </c>
      <c r="J942" t="str">
        <f>IF(E942="","",_xlfn.XLOOKUP(E942,tblUsers[user_id],tblUsers[territory_id],"Owner Not Found"))</f>
        <v/>
      </c>
      <c r="K942" t="str">
        <f t="shared" si="29"/>
        <v>Unassigned</v>
      </c>
    </row>
    <row r="943" spans="1:11">
      <c r="A943" t="s">
        <v>4555</v>
      </c>
      <c r="B943" t="s">
        <v>4557</v>
      </c>
      <c r="C943" t="s">
        <v>24</v>
      </c>
      <c r="D943" t="s">
        <v>140</v>
      </c>
      <c r="E943" t="s">
        <v>25</v>
      </c>
      <c r="F943" t="str">
        <f t="shared" si="28"/>
        <v>SMB</v>
      </c>
      <c r="G943">
        <f>_xlfn.XLOOKUP(D943,tblStates[state_code],tblStates[territory_id],"Needs Review - Territory")</f>
        <v>2</v>
      </c>
      <c r="H943" t="str">
        <f>IF(E943="","",_xlfn.XLOOKUP(E943,tblUsers[user_id],tblUsers[job_title],"Owner Not Found"))</f>
        <v>SMB Account Executive</v>
      </c>
      <c r="I943" t="str">
        <f>IF(E943="","",_xlfn.XLOOKUP(E943,tblUsers[user_id],tblUsers[segment],"Owner Not Found"))</f>
        <v>SMB</v>
      </c>
      <c r="J943">
        <f>IF(E943="","",_xlfn.XLOOKUP(E943,tblUsers[user_id],tblUsers[territory_id],"Owner Not Found"))</f>
        <v>2</v>
      </c>
      <c r="K943" t="str">
        <f t="shared" si="29"/>
        <v>Routing Compatible</v>
      </c>
    </row>
    <row r="944" spans="1:11">
      <c r="A944" t="s">
        <v>4558</v>
      </c>
      <c r="B944" t="s">
        <v>4560</v>
      </c>
      <c r="C944" t="s">
        <v>24</v>
      </c>
      <c r="D944" t="s">
        <v>116</v>
      </c>
      <c r="E944" t="s">
        <v>25</v>
      </c>
      <c r="F944" t="str">
        <f t="shared" si="28"/>
        <v>SMB</v>
      </c>
      <c r="G944">
        <f>_xlfn.XLOOKUP(D944,tblStates[state_code],tblStates[territory_id],"Needs Review - Territory")</f>
        <v>2</v>
      </c>
      <c r="H944" t="str">
        <f>IF(E944="","",_xlfn.XLOOKUP(E944,tblUsers[user_id],tblUsers[job_title],"Owner Not Found"))</f>
        <v>SMB Account Executive</v>
      </c>
      <c r="I944" t="str">
        <f>IF(E944="","",_xlfn.XLOOKUP(E944,tblUsers[user_id],tblUsers[segment],"Owner Not Found"))</f>
        <v>SMB</v>
      </c>
      <c r="J944">
        <f>IF(E944="","",_xlfn.XLOOKUP(E944,tblUsers[user_id],tblUsers[territory_id],"Owner Not Found"))</f>
        <v>2</v>
      </c>
      <c r="K944" t="str">
        <f t="shared" si="29"/>
        <v>Routing Compatible</v>
      </c>
    </row>
    <row r="945" spans="1:11">
      <c r="A945" t="s">
        <v>4561</v>
      </c>
      <c r="B945" t="s">
        <v>4563</v>
      </c>
      <c r="C945" t="s">
        <v>30</v>
      </c>
      <c r="D945" t="s">
        <v>140</v>
      </c>
      <c r="E945" t="s">
        <v>82</v>
      </c>
      <c r="F945" t="str">
        <f t="shared" si="28"/>
        <v>MM</v>
      </c>
      <c r="G945">
        <f>_xlfn.XLOOKUP(D945,tblStates[state_code],tblStates[territory_id],"Needs Review - Territory")</f>
        <v>2</v>
      </c>
      <c r="H945" t="str">
        <f>IF(E945="","",_xlfn.XLOOKUP(E945,tblUsers[user_id],tblUsers[job_title],"Owner Not Found"))</f>
        <v>Mid-Market Account Executive</v>
      </c>
      <c r="I945" t="str">
        <f>IF(E945="","",_xlfn.XLOOKUP(E945,tblUsers[user_id],tblUsers[segment],"Owner Not Found"))</f>
        <v>MM</v>
      </c>
      <c r="J945">
        <f>IF(E945="","",_xlfn.XLOOKUP(E945,tblUsers[user_id],tblUsers[territory_id],"Owner Not Found"))</f>
        <v>2</v>
      </c>
      <c r="K945" t="str">
        <f t="shared" si="29"/>
        <v>Routing Compatible</v>
      </c>
    </row>
    <row r="946" spans="1:11">
      <c r="A946" t="s">
        <v>4564</v>
      </c>
      <c r="B946" t="s">
        <v>4566</v>
      </c>
      <c r="C946" t="s">
        <v>30</v>
      </c>
      <c r="D946" t="s">
        <v>323</v>
      </c>
      <c r="E946" t="s">
        <v>82</v>
      </c>
      <c r="F946" t="str">
        <f t="shared" si="28"/>
        <v>MM</v>
      </c>
      <c r="G946">
        <f>_xlfn.XLOOKUP(D946,tblStates[state_code],tblStates[territory_id],"Needs Review - Territory")</f>
        <v>2</v>
      </c>
      <c r="H946" t="str">
        <f>IF(E946="","",_xlfn.XLOOKUP(E946,tblUsers[user_id],tblUsers[job_title],"Owner Not Found"))</f>
        <v>Mid-Market Account Executive</v>
      </c>
      <c r="I946" t="str">
        <f>IF(E946="","",_xlfn.XLOOKUP(E946,tblUsers[user_id],tblUsers[segment],"Owner Not Found"))</f>
        <v>MM</v>
      </c>
      <c r="J946">
        <f>IF(E946="","",_xlfn.XLOOKUP(E946,tblUsers[user_id],tblUsers[territory_id],"Owner Not Found"))</f>
        <v>2</v>
      </c>
      <c r="K946" t="str">
        <f t="shared" si="29"/>
        <v>Routing Compatible</v>
      </c>
    </row>
    <row r="947" spans="1:11">
      <c r="A947" t="s">
        <v>4567</v>
      </c>
      <c r="B947" t="s">
        <v>4569</v>
      </c>
      <c r="C947" t="s">
        <v>30</v>
      </c>
      <c r="D947" t="s">
        <v>50</v>
      </c>
      <c r="E947" t="s">
        <v>36</v>
      </c>
      <c r="F947" t="str">
        <f t="shared" si="28"/>
        <v>MM</v>
      </c>
      <c r="G947">
        <f>_xlfn.XLOOKUP(D947,tblStates[state_code],tblStates[territory_id],"Needs Review - Territory")</f>
        <v>4</v>
      </c>
      <c r="H947" t="str">
        <f>IF(E947="","",_xlfn.XLOOKUP(E947,tblUsers[user_id],tblUsers[job_title],"Owner Not Found"))</f>
        <v>Mid-Market Account Executive</v>
      </c>
      <c r="I947" t="str">
        <f>IF(E947="","",_xlfn.XLOOKUP(E947,tblUsers[user_id],tblUsers[segment],"Owner Not Found"))</f>
        <v>MM</v>
      </c>
      <c r="J947">
        <f>IF(E947="","",_xlfn.XLOOKUP(E947,tblUsers[user_id],tblUsers[territory_id],"Owner Not Found"))</f>
        <v>4</v>
      </c>
      <c r="K947" t="str">
        <f t="shared" si="29"/>
        <v>Routing Compatible</v>
      </c>
    </row>
    <row r="948" spans="1:11">
      <c r="A948" t="s">
        <v>4570</v>
      </c>
      <c r="B948" t="s">
        <v>4572</v>
      </c>
      <c r="C948" t="s">
        <v>30</v>
      </c>
      <c r="D948" t="s">
        <v>440</v>
      </c>
      <c r="E948" t="s">
        <v>55</v>
      </c>
      <c r="F948" t="str">
        <f t="shared" si="28"/>
        <v>MM</v>
      </c>
      <c r="G948">
        <f>_xlfn.XLOOKUP(D948,tblStates[state_code],tblStates[territory_id],"Needs Review - Territory")</f>
        <v>3</v>
      </c>
      <c r="H948" t="str">
        <f>IF(E948="","",_xlfn.XLOOKUP(E948,tblUsers[user_id],tblUsers[job_title],"Owner Not Found"))</f>
        <v>Mid-Market Account Executive</v>
      </c>
      <c r="I948" t="str">
        <f>IF(E948="","",_xlfn.XLOOKUP(E948,tblUsers[user_id],tblUsers[segment],"Owner Not Found"))</f>
        <v>MM</v>
      </c>
      <c r="J948">
        <f>IF(E948="","",_xlfn.XLOOKUP(E948,tblUsers[user_id],tblUsers[territory_id],"Owner Not Found"))</f>
        <v>3</v>
      </c>
      <c r="K948" t="str">
        <f t="shared" si="29"/>
        <v>Routing Compatible</v>
      </c>
    </row>
    <row r="949" spans="1:11">
      <c r="A949" t="s">
        <v>4573</v>
      </c>
      <c r="B949" t="s">
        <v>4575</v>
      </c>
      <c r="C949" t="s">
        <v>24</v>
      </c>
      <c r="D949" t="s">
        <v>68</v>
      </c>
      <c r="E949" t="s">
        <v>69</v>
      </c>
      <c r="F949" t="str">
        <f t="shared" si="28"/>
        <v>SMB</v>
      </c>
      <c r="G949">
        <f>_xlfn.XLOOKUP(D949,tblStates[state_code],tblStates[territory_id],"Needs Review - Territory")</f>
        <v>3</v>
      </c>
      <c r="H949" t="str">
        <f>IF(E949="","",_xlfn.XLOOKUP(E949,tblUsers[user_id],tblUsers[job_title],"Owner Not Found"))</f>
        <v>SMB Account Executive</v>
      </c>
      <c r="I949" t="str">
        <f>IF(E949="","",_xlfn.XLOOKUP(E949,tblUsers[user_id],tblUsers[segment],"Owner Not Found"))</f>
        <v>SMB</v>
      </c>
      <c r="J949">
        <f>IF(E949="","",_xlfn.XLOOKUP(E949,tblUsers[user_id],tblUsers[territory_id],"Owner Not Found"))</f>
        <v>3</v>
      </c>
      <c r="K949" t="str">
        <f t="shared" si="29"/>
        <v>Routing Compatible</v>
      </c>
    </row>
    <row r="950" spans="1:11">
      <c r="A950" t="s">
        <v>4576</v>
      </c>
      <c r="B950" t="s">
        <v>4578</v>
      </c>
      <c r="C950" t="s">
        <v>30</v>
      </c>
      <c r="D950" t="s">
        <v>576</v>
      </c>
      <c r="E950" t="s">
        <v>82</v>
      </c>
      <c r="F950" t="str">
        <f t="shared" si="28"/>
        <v>MM</v>
      </c>
      <c r="G950">
        <f>_xlfn.XLOOKUP(D950,tblStates[state_code],tblStates[territory_id],"Needs Review - Territory")</f>
        <v>2</v>
      </c>
      <c r="H950" t="str">
        <f>IF(E950="","",_xlfn.XLOOKUP(E950,tblUsers[user_id],tblUsers[job_title],"Owner Not Found"))</f>
        <v>Mid-Market Account Executive</v>
      </c>
      <c r="I950" t="str">
        <f>IF(E950="","",_xlfn.XLOOKUP(E950,tblUsers[user_id],tblUsers[segment],"Owner Not Found"))</f>
        <v>MM</v>
      </c>
      <c r="J950">
        <f>IF(E950="","",_xlfn.XLOOKUP(E950,tblUsers[user_id],tblUsers[territory_id],"Owner Not Found"))</f>
        <v>2</v>
      </c>
      <c r="K950" t="str">
        <f t="shared" si="29"/>
        <v>Routing Compatible</v>
      </c>
    </row>
    <row r="951" spans="1:11">
      <c r="A951" t="s">
        <v>4579</v>
      </c>
      <c r="B951" t="s">
        <v>4581</v>
      </c>
      <c r="C951" t="s">
        <v>30</v>
      </c>
      <c r="D951" t="s">
        <v>127</v>
      </c>
      <c r="E951" t="s">
        <v>82</v>
      </c>
      <c r="F951" t="str">
        <f t="shared" si="28"/>
        <v>MM</v>
      </c>
      <c r="G951">
        <f>_xlfn.XLOOKUP(D951,tblStates[state_code],tblStates[territory_id],"Needs Review - Territory")</f>
        <v>2</v>
      </c>
      <c r="H951" t="str">
        <f>IF(E951="","",_xlfn.XLOOKUP(E951,tblUsers[user_id],tblUsers[job_title],"Owner Not Found"))</f>
        <v>Mid-Market Account Executive</v>
      </c>
      <c r="I951" t="str">
        <f>IF(E951="","",_xlfn.XLOOKUP(E951,tblUsers[user_id],tblUsers[segment],"Owner Not Found"))</f>
        <v>MM</v>
      </c>
      <c r="J951">
        <f>IF(E951="","",_xlfn.XLOOKUP(E951,tblUsers[user_id],tblUsers[territory_id],"Owner Not Found"))</f>
        <v>2</v>
      </c>
      <c r="K951" t="str">
        <f t="shared" si="29"/>
        <v>Routing Compatible</v>
      </c>
    </row>
    <row r="952" spans="1:11">
      <c r="A952" t="s">
        <v>4582</v>
      </c>
      <c r="B952" t="s">
        <v>4584</v>
      </c>
      <c r="C952" t="s">
        <v>24</v>
      </c>
      <c r="D952" t="s">
        <v>46</v>
      </c>
      <c r="E952" t="s">
        <v>91</v>
      </c>
      <c r="F952" t="str">
        <f t="shared" si="28"/>
        <v>SMB</v>
      </c>
      <c r="G952">
        <f>_xlfn.XLOOKUP(D952,tblStates[state_code],tblStates[territory_id],"Needs Review - Territory")</f>
        <v>1</v>
      </c>
      <c r="H952" t="str">
        <f>IF(E952="","",_xlfn.XLOOKUP(E952,tblUsers[user_id],tblUsers[job_title],"Owner Not Found"))</f>
        <v>SMB Account Executive</v>
      </c>
      <c r="I952" t="str">
        <f>IF(E952="","",_xlfn.XLOOKUP(E952,tblUsers[user_id],tblUsers[segment],"Owner Not Found"))</f>
        <v>SMB</v>
      </c>
      <c r="J952">
        <f>IF(E952="","",_xlfn.XLOOKUP(E952,tblUsers[user_id],tblUsers[territory_id],"Owner Not Found"))</f>
        <v>1</v>
      </c>
      <c r="K952" t="str">
        <f t="shared" si="29"/>
        <v>Routing Compatible</v>
      </c>
    </row>
    <row r="953" spans="1:11">
      <c r="A953" t="s">
        <v>4585</v>
      </c>
      <c r="B953" t="s">
        <v>4587</v>
      </c>
      <c r="C953" t="s">
        <v>30</v>
      </c>
      <c r="D953" t="s">
        <v>205</v>
      </c>
      <c r="E953" t="s">
        <v>36</v>
      </c>
      <c r="F953" t="str">
        <f t="shared" si="28"/>
        <v>MM</v>
      </c>
      <c r="G953">
        <f>_xlfn.XLOOKUP(D953,tblStates[state_code],tblStates[territory_id],"Needs Review - Territory")</f>
        <v>4</v>
      </c>
      <c r="H953" t="str">
        <f>IF(E953="","",_xlfn.XLOOKUP(E953,tblUsers[user_id],tblUsers[job_title],"Owner Not Found"))</f>
        <v>Mid-Market Account Executive</v>
      </c>
      <c r="I953" t="str">
        <f>IF(E953="","",_xlfn.XLOOKUP(E953,tblUsers[user_id],tblUsers[segment],"Owner Not Found"))</f>
        <v>MM</v>
      </c>
      <c r="J953">
        <f>IF(E953="","",_xlfn.XLOOKUP(E953,tblUsers[user_id],tblUsers[territory_id],"Owner Not Found"))</f>
        <v>4</v>
      </c>
      <c r="K953" t="str">
        <f t="shared" si="29"/>
        <v>Routing Compatible</v>
      </c>
    </row>
    <row r="954" spans="1:11">
      <c r="A954" t="s">
        <v>4588</v>
      </c>
      <c r="B954" t="s">
        <v>4590</v>
      </c>
      <c r="C954" t="s">
        <v>24</v>
      </c>
      <c r="D954" t="s">
        <v>140</v>
      </c>
      <c r="E954" t="s">
        <v>25</v>
      </c>
      <c r="F954" t="str">
        <f t="shared" si="28"/>
        <v>SMB</v>
      </c>
      <c r="G954">
        <f>_xlfn.XLOOKUP(D954,tblStates[state_code],tblStates[territory_id],"Needs Review - Territory")</f>
        <v>2</v>
      </c>
      <c r="H954" t="str">
        <f>IF(E954="","",_xlfn.XLOOKUP(E954,tblUsers[user_id],tblUsers[job_title],"Owner Not Found"))</f>
        <v>SMB Account Executive</v>
      </c>
      <c r="I954" t="str">
        <f>IF(E954="","",_xlfn.XLOOKUP(E954,tblUsers[user_id],tblUsers[segment],"Owner Not Found"))</f>
        <v>SMB</v>
      </c>
      <c r="J954">
        <f>IF(E954="","",_xlfn.XLOOKUP(E954,tblUsers[user_id],tblUsers[territory_id],"Owner Not Found"))</f>
        <v>2</v>
      </c>
      <c r="K954" t="str">
        <f t="shared" si="29"/>
        <v>Routing Compatible</v>
      </c>
    </row>
    <row r="955" spans="1:11">
      <c r="A955" t="s">
        <v>4591</v>
      </c>
      <c r="B955" t="s">
        <v>4593</v>
      </c>
      <c r="C955" t="s">
        <v>30</v>
      </c>
      <c r="D955" t="s">
        <v>16</v>
      </c>
      <c r="E955" t="s">
        <v>18</v>
      </c>
      <c r="F955" t="str">
        <f t="shared" si="28"/>
        <v>MM</v>
      </c>
      <c r="G955">
        <f>_xlfn.XLOOKUP(D955,tblStates[state_code],tblStates[territory_id],"Needs Review - Territory")</f>
        <v>1</v>
      </c>
      <c r="H955" t="str">
        <f>IF(E955="","",_xlfn.XLOOKUP(E955,tblUsers[user_id],tblUsers[job_title],"Owner Not Found"))</f>
        <v>Mid-Market Account Executive</v>
      </c>
      <c r="I955" t="str">
        <f>IF(E955="","",_xlfn.XLOOKUP(E955,tblUsers[user_id],tblUsers[segment],"Owner Not Found"))</f>
        <v>MM</v>
      </c>
      <c r="J955">
        <f>IF(E955="","",_xlfn.XLOOKUP(E955,tblUsers[user_id],tblUsers[territory_id],"Owner Not Found"))</f>
        <v>1</v>
      </c>
      <c r="K955" t="str">
        <f t="shared" si="29"/>
        <v>Routing Compatible</v>
      </c>
    </row>
    <row r="956" spans="1:11">
      <c r="A956" t="s">
        <v>4594</v>
      </c>
      <c r="B956" t="s">
        <v>4596</v>
      </c>
      <c r="C956" t="s">
        <v>24</v>
      </c>
      <c r="D956" t="s">
        <v>223</v>
      </c>
      <c r="E956" t="s">
        <v>91</v>
      </c>
      <c r="F956" t="str">
        <f t="shared" si="28"/>
        <v>SMB</v>
      </c>
      <c r="G956">
        <f>_xlfn.XLOOKUP(D956,tblStates[state_code],tblStates[territory_id],"Needs Review - Territory")</f>
        <v>1</v>
      </c>
      <c r="H956" t="str">
        <f>IF(E956="","",_xlfn.XLOOKUP(E956,tblUsers[user_id],tblUsers[job_title],"Owner Not Found"))</f>
        <v>SMB Account Executive</v>
      </c>
      <c r="I956" t="str">
        <f>IF(E956="","",_xlfn.XLOOKUP(E956,tblUsers[user_id],tblUsers[segment],"Owner Not Found"))</f>
        <v>SMB</v>
      </c>
      <c r="J956">
        <f>IF(E956="","",_xlfn.XLOOKUP(E956,tblUsers[user_id],tblUsers[territory_id],"Owner Not Found"))</f>
        <v>1</v>
      </c>
      <c r="K956" t="str">
        <f t="shared" si="29"/>
        <v>Routing Compatible</v>
      </c>
    </row>
    <row r="957" spans="1:11">
      <c r="A957" t="s">
        <v>4597</v>
      </c>
      <c r="B957" t="s">
        <v>4599</v>
      </c>
      <c r="C957" t="s">
        <v>24</v>
      </c>
      <c r="D957" t="s">
        <v>339</v>
      </c>
      <c r="E957" t="s">
        <v>69</v>
      </c>
      <c r="F957" t="str">
        <f t="shared" si="28"/>
        <v>SMB</v>
      </c>
      <c r="G957">
        <f>_xlfn.XLOOKUP(D957,tblStates[state_code],tblStates[territory_id],"Needs Review - Territory")</f>
        <v>3</v>
      </c>
      <c r="H957" t="str">
        <f>IF(E957="","",_xlfn.XLOOKUP(E957,tblUsers[user_id],tblUsers[job_title],"Owner Not Found"))</f>
        <v>SMB Account Executive</v>
      </c>
      <c r="I957" t="str">
        <f>IF(E957="","",_xlfn.XLOOKUP(E957,tblUsers[user_id],tblUsers[segment],"Owner Not Found"))</f>
        <v>SMB</v>
      </c>
      <c r="J957">
        <f>IF(E957="","",_xlfn.XLOOKUP(E957,tblUsers[user_id],tblUsers[territory_id],"Owner Not Found"))</f>
        <v>3</v>
      </c>
      <c r="K957" t="str">
        <f t="shared" si="29"/>
        <v>Routing Compatible</v>
      </c>
    </row>
    <row r="958" spans="1:11">
      <c r="A958" t="s">
        <v>4600</v>
      </c>
      <c r="B958" t="s">
        <v>4602</v>
      </c>
      <c r="C958" t="s">
        <v>24</v>
      </c>
      <c r="D958" t="s">
        <v>226</v>
      </c>
      <c r="F958" t="str">
        <f t="shared" si="28"/>
        <v>SMB</v>
      </c>
      <c r="G958">
        <f>_xlfn.XLOOKUP(D958,tblStates[state_code],tblStates[territory_id],"Needs Review - Territory")</f>
        <v>3</v>
      </c>
      <c r="H958" t="str">
        <f>IF(E958="","",_xlfn.XLOOKUP(E958,tblUsers[user_id],tblUsers[job_title],"Owner Not Found"))</f>
        <v/>
      </c>
      <c r="I958" t="str">
        <f>IF(E958="","",_xlfn.XLOOKUP(E958,tblUsers[user_id],tblUsers[segment],"Owner Not Found"))</f>
        <v/>
      </c>
      <c r="J958" t="str">
        <f>IF(E958="","",_xlfn.XLOOKUP(E958,tblUsers[user_id],tblUsers[territory_id],"Owner Not Found"))</f>
        <v/>
      </c>
      <c r="K958" t="str">
        <f t="shared" si="29"/>
        <v>Unassigned</v>
      </c>
    </row>
    <row r="959" spans="1:11">
      <c r="A959" t="s">
        <v>4603</v>
      </c>
      <c r="B959" t="s">
        <v>4604</v>
      </c>
      <c r="C959" t="s">
        <v>24</v>
      </c>
      <c r="D959" t="s">
        <v>216</v>
      </c>
      <c r="E959" t="s">
        <v>25</v>
      </c>
      <c r="F959" t="str">
        <f t="shared" si="28"/>
        <v>SMB</v>
      </c>
      <c r="G959">
        <f>_xlfn.XLOOKUP(D959,tblStates[state_code],tblStates[territory_id],"Needs Review - Territory")</f>
        <v>1</v>
      </c>
      <c r="H959" t="str">
        <f>IF(E959="","",_xlfn.XLOOKUP(E959,tblUsers[user_id],tblUsers[job_title],"Owner Not Found"))</f>
        <v>SMB Account Executive</v>
      </c>
      <c r="I959" t="str">
        <f>IF(E959="","",_xlfn.XLOOKUP(E959,tblUsers[user_id],tblUsers[segment],"Owner Not Found"))</f>
        <v>SMB</v>
      </c>
      <c r="J959">
        <f>IF(E959="","",_xlfn.XLOOKUP(E959,tblUsers[user_id],tblUsers[territory_id],"Owner Not Found"))</f>
        <v>2</v>
      </c>
      <c r="K959" t="str">
        <f t="shared" si="29"/>
        <v>Wrong AE Territory</v>
      </c>
    </row>
    <row r="960" spans="1:11">
      <c r="A960" t="s">
        <v>4605</v>
      </c>
      <c r="B960" t="s">
        <v>4607</v>
      </c>
      <c r="C960" t="s">
        <v>24</v>
      </c>
      <c r="D960" t="s">
        <v>140</v>
      </c>
      <c r="E960" t="s">
        <v>25</v>
      </c>
      <c r="F960" t="str">
        <f t="shared" si="28"/>
        <v>SMB</v>
      </c>
      <c r="G960">
        <f>_xlfn.XLOOKUP(D960,tblStates[state_code],tblStates[territory_id],"Needs Review - Territory")</f>
        <v>2</v>
      </c>
      <c r="H960" t="str">
        <f>IF(E960="","",_xlfn.XLOOKUP(E960,tblUsers[user_id],tblUsers[job_title],"Owner Not Found"))</f>
        <v>SMB Account Executive</v>
      </c>
      <c r="I960" t="str">
        <f>IF(E960="","",_xlfn.XLOOKUP(E960,tblUsers[user_id],tblUsers[segment],"Owner Not Found"))</f>
        <v>SMB</v>
      </c>
      <c r="J960">
        <f>IF(E960="","",_xlfn.XLOOKUP(E960,tblUsers[user_id],tblUsers[territory_id],"Owner Not Found"))</f>
        <v>2</v>
      </c>
      <c r="K960" t="str">
        <f t="shared" si="29"/>
        <v>Routing Compatible</v>
      </c>
    </row>
    <row r="961" spans="1:11">
      <c r="A961" t="s">
        <v>4608</v>
      </c>
      <c r="B961" t="s">
        <v>4610</v>
      </c>
      <c r="D961" t="s">
        <v>440</v>
      </c>
      <c r="F961" t="str">
        <f t="shared" si="28"/>
        <v>Needs Review - Segment</v>
      </c>
      <c r="G961">
        <f>_xlfn.XLOOKUP(D961,tblStates[state_code],tblStates[territory_id],"Needs Review - Territory")</f>
        <v>3</v>
      </c>
      <c r="H961" t="str">
        <f>IF(E961="","",_xlfn.XLOOKUP(E961,tblUsers[user_id],tblUsers[job_title],"Owner Not Found"))</f>
        <v/>
      </c>
      <c r="I961" t="str">
        <f>IF(E961="","",_xlfn.XLOOKUP(E961,tblUsers[user_id],tblUsers[segment],"Owner Not Found"))</f>
        <v/>
      </c>
      <c r="J961" t="str">
        <f>IF(E961="","",_xlfn.XLOOKUP(E961,tblUsers[user_id],tblUsers[territory_id],"Owner Not Found"))</f>
        <v/>
      </c>
      <c r="K961" t="str">
        <f t="shared" si="29"/>
        <v>Unassigned</v>
      </c>
    </row>
    <row r="962" spans="1:11">
      <c r="A962" t="s">
        <v>4611</v>
      </c>
      <c r="B962" t="s">
        <v>4613</v>
      </c>
      <c r="C962" t="s">
        <v>24</v>
      </c>
      <c r="D962" t="s">
        <v>140</v>
      </c>
      <c r="E962" t="s">
        <v>25</v>
      </c>
      <c r="F962" t="str">
        <f t="shared" si="28"/>
        <v>SMB</v>
      </c>
      <c r="G962">
        <f>_xlfn.XLOOKUP(D962,tblStates[state_code],tblStates[territory_id],"Needs Review - Territory")</f>
        <v>2</v>
      </c>
      <c r="H962" t="str">
        <f>IF(E962="","",_xlfn.XLOOKUP(E962,tblUsers[user_id],tblUsers[job_title],"Owner Not Found"))</f>
        <v>SMB Account Executive</v>
      </c>
      <c r="I962" t="str">
        <f>IF(E962="","",_xlfn.XLOOKUP(E962,tblUsers[user_id],tblUsers[segment],"Owner Not Found"))</f>
        <v>SMB</v>
      </c>
      <c r="J962">
        <f>IF(E962="","",_xlfn.XLOOKUP(E962,tblUsers[user_id],tblUsers[territory_id],"Owner Not Found"))</f>
        <v>2</v>
      </c>
      <c r="K962" t="str">
        <f t="shared" si="29"/>
        <v>Routing Compatible</v>
      </c>
    </row>
    <row r="963" spans="1:11">
      <c r="A963" t="s">
        <v>4614</v>
      </c>
      <c r="B963" t="s">
        <v>4616</v>
      </c>
      <c r="C963" t="s">
        <v>24</v>
      </c>
      <c r="D963" t="s">
        <v>54</v>
      </c>
      <c r="E963" t="s">
        <v>69</v>
      </c>
      <c r="F963" t="str">
        <f t="shared" ref="F963:F1026" si="30">IF(C963="SMB","SMB",IF(OR(C963="Mid-Market",C963="Upper Mid-Market"),"MM","Needs Review - Segment"))</f>
        <v>SMB</v>
      </c>
      <c r="G963">
        <f>_xlfn.XLOOKUP(D963,tblStates[state_code],tblStates[territory_id],"Needs Review - Territory")</f>
        <v>3</v>
      </c>
      <c r="H963" t="str">
        <f>IF(E963="","",_xlfn.XLOOKUP(E963,tblUsers[user_id],tblUsers[job_title],"Owner Not Found"))</f>
        <v>SMB Account Executive</v>
      </c>
      <c r="I963" t="str">
        <f>IF(E963="","",_xlfn.XLOOKUP(E963,tblUsers[user_id],tblUsers[segment],"Owner Not Found"))</f>
        <v>SMB</v>
      </c>
      <c r="J963">
        <f>IF(E963="","",_xlfn.XLOOKUP(E963,tblUsers[user_id],tblUsers[territory_id],"Owner Not Found"))</f>
        <v>3</v>
      </c>
      <c r="K963" t="str">
        <f t="shared" ref="K963:K1026" si="31">IF(E963="","Unassigned",IF(F963="Needs Review - Segment","Needs Review - Segment",IF(G963="Needs Review - Territory","Needs Review - Territory",IF(I963&lt;&gt;F963,"Wrong Segment",IF(AND(ISNUMBER(SEARCH("Account Executive",H963)),J963&lt;&gt;G963),"Wrong AE Territory",IF(OR(ISNUMBER(SEARCH("Account Executive",H963)),H963="Sales Development Representative"),"Routing Compatible","Unexpected Owner Role"))))))</f>
        <v>Routing Compatible</v>
      </c>
    </row>
    <row r="964" spans="1:11">
      <c r="A964" t="s">
        <v>4617</v>
      </c>
      <c r="B964" t="s">
        <v>4619</v>
      </c>
      <c r="C964" t="s">
        <v>17</v>
      </c>
      <c r="D964" t="s">
        <v>236</v>
      </c>
      <c r="E964" t="s">
        <v>18</v>
      </c>
      <c r="F964" t="str">
        <f t="shared" si="30"/>
        <v>MM</v>
      </c>
      <c r="G964">
        <f>_xlfn.XLOOKUP(D964,tblStates[state_code],tblStates[territory_id],"Needs Review - Territory")</f>
        <v>1</v>
      </c>
      <c r="H964" t="str">
        <f>IF(E964="","",_xlfn.XLOOKUP(E964,tblUsers[user_id],tblUsers[job_title],"Owner Not Found"))</f>
        <v>Mid-Market Account Executive</v>
      </c>
      <c r="I964" t="str">
        <f>IF(E964="","",_xlfn.XLOOKUP(E964,tblUsers[user_id],tblUsers[segment],"Owner Not Found"))</f>
        <v>MM</v>
      </c>
      <c r="J964">
        <f>IF(E964="","",_xlfn.XLOOKUP(E964,tblUsers[user_id],tblUsers[territory_id],"Owner Not Found"))</f>
        <v>1</v>
      </c>
      <c r="K964" t="str">
        <f t="shared" si="31"/>
        <v>Routing Compatible</v>
      </c>
    </row>
    <row r="965" spans="1:11">
      <c r="A965" t="s">
        <v>4620</v>
      </c>
      <c r="B965" t="s">
        <v>4622</v>
      </c>
      <c r="C965" t="s">
        <v>24</v>
      </c>
      <c r="D965" t="s">
        <v>50</v>
      </c>
      <c r="E965" t="s">
        <v>59</v>
      </c>
      <c r="F965" t="str">
        <f t="shared" si="30"/>
        <v>SMB</v>
      </c>
      <c r="G965">
        <f>_xlfn.XLOOKUP(D965,tblStates[state_code],tblStates[territory_id],"Needs Review - Territory")</f>
        <v>4</v>
      </c>
      <c r="H965" t="str">
        <f>IF(E965="","",_xlfn.XLOOKUP(E965,tblUsers[user_id],tblUsers[job_title],"Owner Not Found"))</f>
        <v>SMB Account Executive</v>
      </c>
      <c r="I965" t="str">
        <f>IF(E965="","",_xlfn.XLOOKUP(E965,tblUsers[user_id],tblUsers[segment],"Owner Not Found"))</f>
        <v>SMB</v>
      </c>
      <c r="J965">
        <f>IF(E965="","",_xlfn.XLOOKUP(E965,tblUsers[user_id],tblUsers[territory_id],"Owner Not Found"))</f>
        <v>4</v>
      </c>
      <c r="K965" t="str">
        <f t="shared" si="31"/>
        <v>Routing Compatible</v>
      </c>
    </row>
    <row r="966" spans="1:11">
      <c r="A966" t="s">
        <v>4623</v>
      </c>
      <c r="B966" t="s">
        <v>4625</v>
      </c>
      <c r="C966" t="s">
        <v>24</v>
      </c>
      <c r="D966" t="s">
        <v>50</v>
      </c>
      <c r="E966" t="s">
        <v>59</v>
      </c>
      <c r="F966" t="str">
        <f t="shared" si="30"/>
        <v>SMB</v>
      </c>
      <c r="G966">
        <f>_xlfn.XLOOKUP(D966,tblStates[state_code],tblStates[territory_id],"Needs Review - Territory")</f>
        <v>4</v>
      </c>
      <c r="H966" t="str">
        <f>IF(E966="","",_xlfn.XLOOKUP(E966,tblUsers[user_id],tblUsers[job_title],"Owner Not Found"))</f>
        <v>SMB Account Executive</v>
      </c>
      <c r="I966" t="str">
        <f>IF(E966="","",_xlfn.XLOOKUP(E966,tblUsers[user_id],tblUsers[segment],"Owner Not Found"))</f>
        <v>SMB</v>
      </c>
      <c r="J966">
        <f>IF(E966="","",_xlfn.XLOOKUP(E966,tblUsers[user_id],tblUsers[territory_id],"Owner Not Found"))</f>
        <v>4</v>
      </c>
      <c r="K966" t="str">
        <f t="shared" si="31"/>
        <v>Routing Compatible</v>
      </c>
    </row>
    <row r="967" spans="1:11">
      <c r="A967" t="s">
        <v>4626</v>
      </c>
      <c r="B967" t="s">
        <v>4628</v>
      </c>
      <c r="C967" t="s">
        <v>30</v>
      </c>
      <c r="D967" t="s">
        <v>366</v>
      </c>
      <c r="E967" t="s">
        <v>18</v>
      </c>
      <c r="F967" t="str">
        <f t="shared" si="30"/>
        <v>MM</v>
      </c>
      <c r="G967">
        <f>_xlfn.XLOOKUP(D967,tblStates[state_code],tblStates[territory_id],"Needs Review - Territory")</f>
        <v>1</v>
      </c>
      <c r="H967" t="str">
        <f>IF(E967="","",_xlfn.XLOOKUP(E967,tblUsers[user_id],tblUsers[job_title],"Owner Not Found"))</f>
        <v>Mid-Market Account Executive</v>
      </c>
      <c r="I967" t="str">
        <f>IF(E967="","",_xlfn.XLOOKUP(E967,tblUsers[user_id],tblUsers[segment],"Owner Not Found"))</f>
        <v>MM</v>
      </c>
      <c r="J967">
        <f>IF(E967="","",_xlfn.XLOOKUP(E967,tblUsers[user_id],tblUsers[territory_id],"Owner Not Found"))</f>
        <v>1</v>
      </c>
      <c r="K967" t="str">
        <f t="shared" si="31"/>
        <v>Routing Compatible</v>
      </c>
    </row>
    <row r="968" spans="1:11">
      <c r="A968" t="s">
        <v>4629</v>
      </c>
      <c r="B968" t="s">
        <v>4631</v>
      </c>
      <c r="C968" t="s">
        <v>17</v>
      </c>
      <c r="D968" t="s">
        <v>140</v>
      </c>
      <c r="E968" t="s">
        <v>82</v>
      </c>
      <c r="F968" t="str">
        <f t="shared" si="30"/>
        <v>MM</v>
      </c>
      <c r="G968">
        <f>_xlfn.XLOOKUP(D968,tblStates[state_code],tblStates[territory_id],"Needs Review - Territory")</f>
        <v>2</v>
      </c>
      <c r="H968" t="str">
        <f>IF(E968="","",_xlfn.XLOOKUP(E968,tblUsers[user_id],tblUsers[job_title],"Owner Not Found"))</f>
        <v>Mid-Market Account Executive</v>
      </c>
      <c r="I968" t="str">
        <f>IF(E968="","",_xlfn.XLOOKUP(E968,tblUsers[user_id],tblUsers[segment],"Owner Not Found"))</f>
        <v>MM</v>
      </c>
      <c r="J968">
        <f>IF(E968="","",_xlfn.XLOOKUP(E968,tblUsers[user_id],tblUsers[territory_id],"Owner Not Found"))</f>
        <v>2</v>
      </c>
      <c r="K968" t="str">
        <f t="shared" si="31"/>
        <v>Routing Compatible</v>
      </c>
    </row>
    <row r="969" spans="1:11">
      <c r="A969" t="s">
        <v>4632</v>
      </c>
      <c r="B969" t="s">
        <v>4634</v>
      </c>
      <c r="C969" t="s">
        <v>24</v>
      </c>
      <c r="D969" t="s">
        <v>249</v>
      </c>
      <c r="E969" t="s">
        <v>59</v>
      </c>
      <c r="F969" t="str">
        <f t="shared" si="30"/>
        <v>SMB</v>
      </c>
      <c r="G969">
        <f>_xlfn.XLOOKUP(D969,tblStates[state_code],tblStates[territory_id],"Needs Review - Territory")</f>
        <v>4</v>
      </c>
      <c r="H969" t="str">
        <f>IF(E969="","",_xlfn.XLOOKUP(E969,tblUsers[user_id],tblUsers[job_title],"Owner Not Found"))</f>
        <v>SMB Account Executive</v>
      </c>
      <c r="I969" t="str">
        <f>IF(E969="","",_xlfn.XLOOKUP(E969,tblUsers[user_id],tblUsers[segment],"Owner Not Found"))</f>
        <v>SMB</v>
      </c>
      <c r="J969">
        <f>IF(E969="","",_xlfn.XLOOKUP(E969,tblUsers[user_id],tblUsers[territory_id],"Owner Not Found"))</f>
        <v>4</v>
      </c>
      <c r="K969" t="str">
        <f t="shared" si="31"/>
        <v>Routing Compatible</v>
      </c>
    </row>
    <row r="970" spans="1:11">
      <c r="A970" t="s">
        <v>4635</v>
      </c>
      <c r="B970" t="s">
        <v>4636</v>
      </c>
      <c r="C970" t="s">
        <v>17</v>
      </c>
      <c r="D970" t="s">
        <v>140</v>
      </c>
      <c r="E970" t="s">
        <v>82</v>
      </c>
      <c r="F970" t="str">
        <f t="shared" si="30"/>
        <v>MM</v>
      </c>
      <c r="G970">
        <f>_xlfn.XLOOKUP(D970,tblStates[state_code],tblStates[territory_id],"Needs Review - Territory")</f>
        <v>2</v>
      </c>
      <c r="H970" t="str">
        <f>IF(E970="","",_xlfn.XLOOKUP(E970,tblUsers[user_id],tblUsers[job_title],"Owner Not Found"))</f>
        <v>Mid-Market Account Executive</v>
      </c>
      <c r="I970" t="str">
        <f>IF(E970="","",_xlfn.XLOOKUP(E970,tblUsers[user_id],tblUsers[segment],"Owner Not Found"))</f>
        <v>MM</v>
      </c>
      <c r="J970">
        <f>IF(E970="","",_xlfn.XLOOKUP(E970,tblUsers[user_id],tblUsers[territory_id],"Owner Not Found"))</f>
        <v>2</v>
      </c>
      <c r="K970" t="str">
        <f t="shared" si="31"/>
        <v>Routing Compatible</v>
      </c>
    </row>
    <row r="971" spans="1:11">
      <c r="A971" t="s">
        <v>4637</v>
      </c>
      <c r="B971" t="s">
        <v>4639</v>
      </c>
      <c r="C971" t="s">
        <v>24</v>
      </c>
      <c r="D971" t="s">
        <v>576</v>
      </c>
      <c r="E971" t="s">
        <v>25</v>
      </c>
      <c r="F971" t="str">
        <f t="shared" si="30"/>
        <v>SMB</v>
      </c>
      <c r="G971">
        <f>_xlfn.XLOOKUP(D971,tblStates[state_code],tblStates[territory_id],"Needs Review - Territory")</f>
        <v>2</v>
      </c>
      <c r="H971" t="str">
        <f>IF(E971="","",_xlfn.XLOOKUP(E971,tblUsers[user_id],tblUsers[job_title],"Owner Not Found"))</f>
        <v>SMB Account Executive</v>
      </c>
      <c r="I971" t="str">
        <f>IF(E971="","",_xlfn.XLOOKUP(E971,tblUsers[user_id],tblUsers[segment],"Owner Not Found"))</f>
        <v>SMB</v>
      </c>
      <c r="J971">
        <f>IF(E971="","",_xlfn.XLOOKUP(E971,tblUsers[user_id],tblUsers[territory_id],"Owner Not Found"))</f>
        <v>2</v>
      </c>
      <c r="K971" t="str">
        <f t="shared" si="31"/>
        <v>Routing Compatible</v>
      </c>
    </row>
    <row r="972" spans="1:11">
      <c r="A972" t="s">
        <v>4640</v>
      </c>
      <c r="B972" t="s">
        <v>4642</v>
      </c>
      <c r="C972" t="s">
        <v>30</v>
      </c>
      <c r="D972" t="s">
        <v>95</v>
      </c>
      <c r="E972" t="s">
        <v>18</v>
      </c>
      <c r="F972" t="str">
        <f t="shared" si="30"/>
        <v>MM</v>
      </c>
      <c r="G972">
        <f>_xlfn.XLOOKUP(D972,tblStates[state_code],tblStates[territory_id],"Needs Review - Territory")</f>
        <v>1</v>
      </c>
      <c r="H972" t="str">
        <f>IF(E972="","",_xlfn.XLOOKUP(E972,tblUsers[user_id],tblUsers[job_title],"Owner Not Found"))</f>
        <v>Mid-Market Account Executive</v>
      </c>
      <c r="I972" t="str">
        <f>IF(E972="","",_xlfn.XLOOKUP(E972,tblUsers[user_id],tblUsers[segment],"Owner Not Found"))</f>
        <v>MM</v>
      </c>
      <c r="J972">
        <f>IF(E972="","",_xlfn.XLOOKUP(E972,tblUsers[user_id],tblUsers[territory_id],"Owner Not Found"))</f>
        <v>1</v>
      </c>
      <c r="K972" t="str">
        <f t="shared" si="31"/>
        <v>Routing Compatible</v>
      </c>
    </row>
    <row r="973" spans="1:11">
      <c r="A973" t="s">
        <v>4643</v>
      </c>
      <c r="B973" t="s">
        <v>4645</v>
      </c>
      <c r="C973" t="s">
        <v>24</v>
      </c>
      <c r="D973" t="s">
        <v>366</v>
      </c>
      <c r="E973" t="s">
        <v>91</v>
      </c>
      <c r="F973" t="str">
        <f t="shared" si="30"/>
        <v>SMB</v>
      </c>
      <c r="G973">
        <f>_xlfn.XLOOKUP(D973,tblStates[state_code],tblStates[territory_id],"Needs Review - Territory")</f>
        <v>1</v>
      </c>
      <c r="H973" t="str">
        <f>IF(E973="","",_xlfn.XLOOKUP(E973,tblUsers[user_id],tblUsers[job_title],"Owner Not Found"))</f>
        <v>SMB Account Executive</v>
      </c>
      <c r="I973" t="str">
        <f>IF(E973="","",_xlfn.XLOOKUP(E973,tblUsers[user_id],tblUsers[segment],"Owner Not Found"))</f>
        <v>SMB</v>
      </c>
      <c r="J973">
        <f>IF(E973="","",_xlfn.XLOOKUP(E973,tblUsers[user_id],tblUsers[territory_id],"Owner Not Found"))</f>
        <v>1</v>
      </c>
      <c r="K973" t="str">
        <f t="shared" si="31"/>
        <v>Routing Compatible</v>
      </c>
    </row>
    <row r="974" spans="1:11">
      <c r="A974" t="s">
        <v>4646</v>
      </c>
      <c r="B974" t="s">
        <v>4648</v>
      </c>
      <c r="C974" t="s">
        <v>24</v>
      </c>
      <c r="D974" t="s">
        <v>178</v>
      </c>
      <c r="E974" t="s">
        <v>69</v>
      </c>
      <c r="F974" t="str">
        <f t="shared" si="30"/>
        <v>SMB</v>
      </c>
      <c r="G974">
        <f>_xlfn.XLOOKUP(D974,tblStates[state_code],tblStates[territory_id],"Needs Review - Territory")</f>
        <v>4</v>
      </c>
      <c r="H974" t="str">
        <f>IF(E974="","",_xlfn.XLOOKUP(E974,tblUsers[user_id],tblUsers[job_title],"Owner Not Found"))</f>
        <v>SMB Account Executive</v>
      </c>
      <c r="I974" t="str">
        <f>IF(E974="","",_xlfn.XLOOKUP(E974,tblUsers[user_id],tblUsers[segment],"Owner Not Found"))</f>
        <v>SMB</v>
      </c>
      <c r="J974">
        <f>IF(E974="","",_xlfn.XLOOKUP(E974,tblUsers[user_id],tblUsers[territory_id],"Owner Not Found"))</f>
        <v>3</v>
      </c>
      <c r="K974" t="str">
        <f t="shared" si="31"/>
        <v>Wrong AE Territory</v>
      </c>
    </row>
    <row r="975" spans="1:11">
      <c r="A975" t="s">
        <v>4649</v>
      </c>
      <c r="B975" t="s">
        <v>4651</v>
      </c>
      <c r="C975" t="s">
        <v>30</v>
      </c>
      <c r="D975" t="s">
        <v>41</v>
      </c>
      <c r="E975" t="s">
        <v>82</v>
      </c>
      <c r="F975" t="str">
        <f t="shared" si="30"/>
        <v>MM</v>
      </c>
      <c r="G975">
        <f>_xlfn.XLOOKUP(D975,tblStates[state_code],tblStates[territory_id],"Needs Review - Territory")</f>
        <v>2</v>
      </c>
      <c r="H975" t="str">
        <f>IF(E975="","",_xlfn.XLOOKUP(E975,tblUsers[user_id],tblUsers[job_title],"Owner Not Found"))</f>
        <v>Mid-Market Account Executive</v>
      </c>
      <c r="I975" t="str">
        <f>IF(E975="","",_xlfn.XLOOKUP(E975,tblUsers[user_id],tblUsers[segment],"Owner Not Found"))</f>
        <v>MM</v>
      </c>
      <c r="J975">
        <f>IF(E975="","",_xlfn.XLOOKUP(E975,tblUsers[user_id],tblUsers[territory_id],"Owner Not Found"))</f>
        <v>2</v>
      </c>
      <c r="K975" t="str">
        <f t="shared" si="31"/>
        <v>Routing Compatible</v>
      </c>
    </row>
    <row r="976" spans="1:11">
      <c r="A976" t="s">
        <v>4652</v>
      </c>
      <c r="B976" t="s">
        <v>4654</v>
      </c>
      <c r="C976" t="s">
        <v>30</v>
      </c>
      <c r="D976" t="s">
        <v>23</v>
      </c>
      <c r="E976" t="s">
        <v>82</v>
      </c>
      <c r="F976" t="str">
        <f t="shared" si="30"/>
        <v>MM</v>
      </c>
      <c r="G976">
        <f>_xlfn.XLOOKUP(D976,tblStates[state_code],tblStates[territory_id],"Needs Review - Territory")</f>
        <v>2</v>
      </c>
      <c r="H976" t="str">
        <f>IF(E976="","",_xlfn.XLOOKUP(E976,tblUsers[user_id],tblUsers[job_title],"Owner Not Found"))</f>
        <v>Mid-Market Account Executive</v>
      </c>
      <c r="I976" t="str">
        <f>IF(E976="","",_xlfn.XLOOKUP(E976,tblUsers[user_id],tblUsers[segment],"Owner Not Found"))</f>
        <v>MM</v>
      </c>
      <c r="J976">
        <f>IF(E976="","",_xlfn.XLOOKUP(E976,tblUsers[user_id],tblUsers[territory_id],"Owner Not Found"))</f>
        <v>2</v>
      </c>
      <c r="K976" t="str">
        <f t="shared" si="31"/>
        <v>Routing Compatible</v>
      </c>
    </row>
    <row r="977" spans="1:11">
      <c r="A977" t="s">
        <v>4655</v>
      </c>
      <c r="B977" t="s">
        <v>4657</v>
      </c>
      <c r="C977" t="s">
        <v>30</v>
      </c>
      <c r="D977" t="s">
        <v>140</v>
      </c>
      <c r="E977" t="s">
        <v>82</v>
      </c>
      <c r="F977" t="str">
        <f t="shared" si="30"/>
        <v>MM</v>
      </c>
      <c r="G977">
        <f>_xlfn.XLOOKUP(D977,tblStates[state_code],tblStates[territory_id],"Needs Review - Territory")</f>
        <v>2</v>
      </c>
      <c r="H977" t="str">
        <f>IF(E977="","",_xlfn.XLOOKUP(E977,tblUsers[user_id],tblUsers[job_title],"Owner Not Found"))</f>
        <v>Mid-Market Account Executive</v>
      </c>
      <c r="I977" t="str">
        <f>IF(E977="","",_xlfn.XLOOKUP(E977,tblUsers[user_id],tblUsers[segment],"Owner Not Found"))</f>
        <v>MM</v>
      </c>
      <c r="J977">
        <f>IF(E977="","",_xlfn.XLOOKUP(E977,tblUsers[user_id],tblUsers[territory_id],"Owner Not Found"))</f>
        <v>2</v>
      </c>
      <c r="K977" t="str">
        <f t="shared" si="31"/>
        <v>Routing Compatible</v>
      </c>
    </row>
    <row r="978" spans="1:11">
      <c r="A978" t="s">
        <v>4658</v>
      </c>
      <c r="B978" t="s">
        <v>4660</v>
      </c>
      <c r="C978" t="s">
        <v>24</v>
      </c>
      <c r="D978" t="s">
        <v>1039</v>
      </c>
      <c r="E978" t="s">
        <v>91</v>
      </c>
      <c r="F978" t="str">
        <f t="shared" si="30"/>
        <v>SMB</v>
      </c>
      <c r="G978">
        <f>_xlfn.XLOOKUP(D978,tblStates[state_code],tblStates[territory_id],"Needs Review - Territory")</f>
        <v>1</v>
      </c>
      <c r="H978" t="str">
        <f>IF(E978="","",_xlfn.XLOOKUP(E978,tblUsers[user_id],tblUsers[job_title],"Owner Not Found"))</f>
        <v>SMB Account Executive</v>
      </c>
      <c r="I978" t="str">
        <f>IF(E978="","",_xlfn.XLOOKUP(E978,tblUsers[user_id],tblUsers[segment],"Owner Not Found"))</f>
        <v>SMB</v>
      </c>
      <c r="J978">
        <f>IF(E978="","",_xlfn.XLOOKUP(E978,tblUsers[user_id],tblUsers[territory_id],"Owner Not Found"))</f>
        <v>1</v>
      </c>
      <c r="K978" t="str">
        <f t="shared" si="31"/>
        <v>Routing Compatible</v>
      </c>
    </row>
    <row r="979" spans="1:11">
      <c r="A979" t="s">
        <v>4661</v>
      </c>
      <c r="B979" t="s">
        <v>4663</v>
      </c>
      <c r="C979" t="s">
        <v>30</v>
      </c>
      <c r="D979" t="s">
        <v>366</v>
      </c>
      <c r="E979" t="s">
        <v>18</v>
      </c>
      <c r="F979" t="str">
        <f t="shared" si="30"/>
        <v>MM</v>
      </c>
      <c r="G979">
        <f>_xlfn.XLOOKUP(D979,tblStates[state_code],tblStates[territory_id],"Needs Review - Territory")</f>
        <v>1</v>
      </c>
      <c r="H979" t="str">
        <f>IF(E979="","",_xlfn.XLOOKUP(E979,tblUsers[user_id],tblUsers[job_title],"Owner Not Found"))</f>
        <v>Mid-Market Account Executive</v>
      </c>
      <c r="I979" t="str">
        <f>IF(E979="","",_xlfn.XLOOKUP(E979,tblUsers[user_id],tblUsers[segment],"Owner Not Found"))</f>
        <v>MM</v>
      </c>
      <c r="J979">
        <f>IF(E979="","",_xlfn.XLOOKUP(E979,tblUsers[user_id],tblUsers[territory_id],"Owner Not Found"))</f>
        <v>1</v>
      </c>
      <c r="K979" t="str">
        <f t="shared" si="31"/>
        <v>Routing Compatible</v>
      </c>
    </row>
    <row r="980" spans="1:11">
      <c r="A980" t="s">
        <v>4664</v>
      </c>
      <c r="B980" t="s">
        <v>4666</v>
      </c>
      <c r="C980" t="s">
        <v>30</v>
      </c>
      <c r="D980" t="s">
        <v>216</v>
      </c>
      <c r="E980" t="s">
        <v>18</v>
      </c>
      <c r="F980" t="str">
        <f t="shared" si="30"/>
        <v>MM</v>
      </c>
      <c r="G980">
        <f>_xlfn.XLOOKUP(D980,tblStates[state_code],tblStates[territory_id],"Needs Review - Territory")</f>
        <v>1</v>
      </c>
      <c r="H980" t="str">
        <f>IF(E980="","",_xlfn.XLOOKUP(E980,tblUsers[user_id],tblUsers[job_title],"Owner Not Found"))</f>
        <v>Mid-Market Account Executive</v>
      </c>
      <c r="I980" t="str">
        <f>IF(E980="","",_xlfn.XLOOKUP(E980,tblUsers[user_id],tblUsers[segment],"Owner Not Found"))</f>
        <v>MM</v>
      </c>
      <c r="J980">
        <f>IF(E980="","",_xlfn.XLOOKUP(E980,tblUsers[user_id],tblUsers[territory_id],"Owner Not Found"))</f>
        <v>1</v>
      </c>
      <c r="K980" t="str">
        <f t="shared" si="31"/>
        <v>Routing Compatible</v>
      </c>
    </row>
    <row r="981" spans="1:11">
      <c r="A981" t="s">
        <v>4667</v>
      </c>
      <c r="B981" t="s">
        <v>4669</v>
      </c>
      <c r="C981" t="s">
        <v>17</v>
      </c>
      <c r="D981" t="s">
        <v>366</v>
      </c>
      <c r="E981" t="s">
        <v>91</v>
      </c>
      <c r="F981" t="str">
        <f t="shared" si="30"/>
        <v>MM</v>
      </c>
      <c r="G981">
        <f>_xlfn.XLOOKUP(D981,tblStates[state_code],tblStates[territory_id],"Needs Review - Territory")</f>
        <v>1</v>
      </c>
      <c r="H981" t="str">
        <f>IF(E981="","",_xlfn.XLOOKUP(E981,tblUsers[user_id],tblUsers[job_title],"Owner Not Found"))</f>
        <v>SMB Account Executive</v>
      </c>
      <c r="I981" t="str">
        <f>IF(E981="","",_xlfn.XLOOKUP(E981,tblUsers[user_id],tblUsers[segment],"Owner Not Found"))</f>
        <v>SMB</v>
      </c>
      <c r="J981">
        <f>IF(E981="","",_xlfn.XLOOKUP(E981,tblUsers[user_id],tblUsers[territory_id],"Owner Not Found"))</f>
        <v>1</v>
      </c>
      <c r="K981" t="str">
        <f t="shared" si="31"/>
        <v>Wrong Segment</v>
      </c>
    </row>
    <row r="982" spans="1:11">
      <c r="A982" t="s">
        <v>4670</v>
      </c>
      <c r="B982" t="s">
        <v>4672</v>
      </c>
      <c r="C982" t="s">
        <v>24</v>
      </c>
      <c r="D982" t="s">
        <v>50</v>
      </c>
      <c r="E982" t="s">
        <v>59</v>
      </c>
      <c r="F982" t="str">
        <f t="shared" si="30"/>
        <v>SMB</v>
      </c>
      <c r="G982">
        <f>_xlfn.XLOOKUP(D982,tblStates[state_code],tblStates[territory_id],"Needs Review - Territory")</f>
        <v>4</v>
      </c>
      <c r="H982" t="str">
        <f>IF(E982="","",_xlfn.XLOOKUP(E982,tblUsers[user_id],tblUsers[job_title],"Owner Not Found"))</f>
        <v>SMB Account Executive</v>
      </c>
      <c r="I982" t="str">
        <f>IF(E982="","",_xlfn.XLOOKUP(E982,tblUsers[user_id],tblUsers[segment],"Owner Not Found"))</f>
        <v>SMB</v>
      </c>
      <c r="J982">
        <f>IF(E982="","",_xlfn.XLOOKUP(E982,tblUsers[user_id],tblUsers[territory_id],"Owner Not Found"))</f>
        <v>4</v>
      </c>
      <c r="K982" t="str">
        <f t="shared" si="31"/>
        <v>Routing Compatible</v>
      </c>
    </row>
    <row r="983" spans="1:11">
      <c r="A983" t="s">
        <v>4673</v>
      </c>
      <c r="B983" t="s">
        <v>4675</v>
      </c>
      <c r="C983" t="s">
        <v>24</v>
      </c>
      <c r="D983" t="s">
        <v>16</v>
      </c>
      <c r="E983" t="s">
        <v>91</v>
      </c>
      <c r="F983" t="str">
        <f t="shared" si="30"/>
        <v>SMB</v>
      </c>
      <c r="G983">
        <f>_xlfn.XLOOKUP(D983,tblStates[state_code],tblStates[territory_id],"Needs Review - Territory")</f>
        <v>1</v>
      </c>
      <c r="H983" t="str">
        <f>IF(E983="","",_xlfn.XLOOKUP(E983,tblUsers[user_id],tblUsers[job_title],"Owner Not Found"))</f>
        <v>SMB Account Executive</v>
      </c>
      <c r="I983" t="str">
        <f>IF(E983="","",_xlfn.XLOOKUP(E983,tblUsers[user_id],tblUsers[segment],"Owner Not Found"))</f>
        <v>SMB</v>
      </c>
      <c r="J983">
        <f>IF(E983="","",_xlfn.XLOOKUP(E983,tblUsers[user_id],tblUsers[territory_id],"Owner Not Found"))</f>
        <v>1</v>
      </c>
      <c r="K983" t="str">
        <f t="shared" si="31"/>
        <v>Routing Compatible</v>
      </c>
    </row>
    <row r="984" spans="1:11">
      <c r="A984" t="s">
        <v>4676</v>
      </c>
      <c r="B984" t="s">
        <v>4678</v>
      </c>
      <c r="C984" t="s">
        <v>30</v>
      </c>
      <c r="D984" t="s">
        <v>95</v>
      </c>
      <c r="E984" t="s">
        <v>18</v>
      </c>
      <c r="F984" t="str">
        <f t="shared" si="30"/>
        <v>MM</v>
      </c>
      <c r="G984">
        <f>_xlfn.XLOOKUP(D984,tblStates[state_code],tblStates[territory_id],"Needs Review - Territory")</f>
        <v>1</v>
      </c>
      <c r="H984" t="str">
        <f>IF(E984="","",_xlfn.XLOOKUP(E984,tblUsers[user_id],tblUsers[job_title],"Owner Not Found"))</f>
        <v>Mid-Market Account Executive</v>
      </c>
      <c r="I984" t="str">
        <f>IF(E984="","",_xlfn.XLOOKUP(E984,tblUsers[user_id],tblUsers[segment],"Owner Not Found"))</f>
        <v>MM</v>
      </c>
      <c r="J984">
        <f>IF(E984="","",_xlfn.XLOOKUP(E984,tblUsers[user_id],tblUsers[territory_id],"Owner Not Found"))</f>
        <v>1</v>
      </c>
      <c r="K984" t="str">
        <f t="shared" si="31"/>
        <v>Routing Compatible</v>
      </c>
    </row>
    <row r="985" spans="1:11">
      <c r="A985" t="s">
        <v>4679</v>
      </c>
      <c r="B985" t="s">
        <v>4681</v>
      </c>
      <c r="C985" t="s">
        <v>24</v>
      </c>
      <c r="D985" t="s">
        <v>366</v>
      </c>
      <c r="E985" t="s">
        <v>91</v>
      </c>
      <c r="F985" t="str">
        <f t="shared" si="30"/>
        <v>SMB</v>
      </c>
      <c r="G985">
        <f>_xlfn.XLOOKUP(D985,tblStates[state_code],tblStates[territory_id],"Needs Review - Territory")</f>
        <v>1</v>
      </c>
      <c r="H985" t="str">
        <f>IF(E985="","",_xlfn.XLOOKUP(E985,tblUsers[user_id],tblUsers[job_title],"Owner Not Found"))</f>
        <v>SMB Account Executive</v>
      </c>
      <c r="I985" t="str">
        <f>IF(E985="","",_xlfn.XLOOKUP(E985,tblUsers[user_id],tblUsers[segment],"Owner Not Found"))</f>
        <v>SMB</v>
      </c>
      <c r="J985">
        <f>IF(E985="","",_xlfn.XLOOKUP(E985,tblUsers[user_id],tblUsers[territory_id],"Owner Not Found"))</f>
        <v>1</v>
      </c>
      <c r="K985" t="str">
        <f t="shared" si="31"/>
        <v>Routing Compatible</v>
      </c>
    </row>
    <row r="986" spans="1:11">
      <c r="A986" t="s">
        <v>4682</v>
      </c>
      <c r="B986" t="s">
        <v>4684</v>
      </c>
      <c r="C986" t="s">
        <v>30</v>
      </c>
      <c r="D986" t="s">
        <v>212</v>
      </c>
      <c r="E986" t="s">
        <v>55</v>
      </c>
      <c r="F986" t="str">
        <f t="shared" si="30"/>
        <v>MM</v>
      </c>
      <c r="G986">
        <f>_xlfn.XLOOKUP(D986,tblStates[state_code],tblStates[territory_id],"Needs Review - Territory")</f>
        <v>3</v>
      </c>
      <c r="H986" t="str">
        <f>IF(E986="","",_xlfn.XLOOKUP(E986,tblUsers[user_id],tblUsers[job_title],"Owner Not Found"))</f>
        <v>Mid-Market Account Executive</v>
      </c>
      <c r="I986" t="str">
        <f>IF(E986="","",_xlfn.XLOOKUP(E986,tblUsers[user_id],tblUsers[segment],"Owner Not Found"))</f>
        <v>MM</v>
      </c>
      <c r="J986">
        <f>IF(E986="","",_xlfn.XLOOKUP(E986,tblUsers[user_id],tblUsers[territory_id],"Owner Not Found"))</f>
        <v>3</v>
      </c>
      <c r="K986" t="str">
        <f t="shared" si="31"/>
        <v>Routing Compatible</v>
      </c>
    </row>
    <row r="987" spans="1:11">
      <c r="A987" t="s">
        <v>4685</v>
      </c>
      <c r="B987" t="s">
        <v>4687</v>
      </c>
      <c r="C987" t="s">
        <v>24</v>
      </c>
      <c r="D987" t="s">
        <v>68</v>
      </c>
      <c r="E987" t="s">
        <v>69</v>
      </c>
      <c r="F987" t="str">
        <f t="shared" si="30"/>
        <v>SMB</v>
      </c>
      <c r="G987">
        <f>_xlfn.XLOOKUP(D987,tblStates[state_code],tblStates[territory_id],"Needs Review - Territory")</f>
        <v>3</v>
      </c>
      <c r="H987" t="str">
        <f>IF(E987="","",_xlfn.XLOOKUP(E987,tblUsers[user_id],tblUsers[job_title],"Owner Not Found"))</f>
        <v>SMB Account Executive</v>
      </c>
      <c r="I987" t="str">
        <f>IF(E987="","",_xlfn.XLOOKUP(E987,tblUsers[user_id],tblUsers[segment],"Owner Not Found"))</f>
        <v>SMB</v>
      </c>
      <c r="J987">
        <f>IF(E987="","",_xlfn.XLOOKUP(E987,tblUsers[user_id],tblUsers[territory_id],"Owner Not Found"))</f>
        <v>3</v>
      </c>
      <c r="K987" t="str">
        <f t="shared" si="31"/>
        <v>Routing Compatible</v>
      </c>
    </row>
    <row r="988" spans="1:11">
      <c r="A988" t="s">
        <v>4688</v>
      </c>
      <c r="B988" t="s">
        <v>4690</v>
      </c>
      <c r="C988" t="s">
        <v>24</v>
      </c>
      <c r="D988" t="s">
        <v>140</v>
      </c>
      <c r="E988" t="s">
        <v>25</v>
      </c>
      <c r="F988" t="str">
        <f t="shared" si="30"/>
        <v>SMB</v>
      </c>
      <c r="G988">
        <f>_xlfn.XLOOKUP(D988,tblStates[state_code],tblStates[territory_id],"Needs Review - Territory")</f>
        <v>2</v>
      </c>
      <c r="H988" t="str">
        <f>IF(E988="","",_xlfn.XLOOKUP(E988,tblUsers[user_id],tblUsers[job_title],"Owner Not Found"))</f>
        <v>SMB Account Executive</v>
      </c>
      <c r="I988" t="str">
        <f>IF(E988="","",_xlfn.XLOOKUP(E988,tblUsers[user_id],tblUsers[segment],"Owner Not Found"))</f>
        <v>SMB</v>
      </c>
      <c r="J988">
        <f>IF(E988="","",_xlfn.XLOOKUP(E988,tblUsers[user_id],tblUsers[territory_id],"Owner Not Found"))</f>
        <v>2</v>
      </c>
      <c r="K988" t="str">
        <f t="shared" si="31"/>
        <v>Routing Compatible</v>
      </c>
    </row>
    <row r="989" spans="1:11">
      <c r="A989" t="s">
        <v>4691</v>
      </c>
      <c r="B989" t="s">
        <v>4693</v>
      </c>
      <c r="C989" t="s">
        <v>17</v>
      </c>
      <c r="D989" t="s">
        <v>226</v>
      </c>
      <c r="E989" t="s">
        <v>69</v>
      </c>
      <c r="F989" t="str">
        <f t="shared" si="30"/>
        <v>MM</v>
      </c>
      <c r="G989">
        <f>_xlfn.XLOOKUP(D989,tblStates[state_code],tblStates[territory_id],"Needs Review - Territory")</f>
        <v>3</v>
      </c>
      <c r="H989" t="str">
        <f>IF(E989="","",_xlfn.XLOOKUP(E989,tblUsers[user_id],tblUsers[job_title],"Owner Not Found"))</f>
        <v>SMB Account Executive</v>
      </c>
      <c r="I989" t="str">
        <f>IF(E989="","",_xlfn.XLOOKUP(E989,tblUsers[user_id],tblUsers[segment],"Owner Not Found"))</f>
        <v>SMB</v>
      </c>
      <c r="J989">
        <f>IF(E989="","",_xlfn.XLOOKUP(E989,tblUsers[user_id],tblUsers[territory_id],"Owner Not Found"))</f>
        <v>3</v>
      </c>
      <c r="K989" t="str">
        <f t="shared" si="31"/>
        <v>Wrong Segment</v>
      </c>
    </row>
    <row r="990" spans="1:11">
      <c r="A990" t="s">
        <v>4694</v>
      </c>
      <c r="B990" t="s">
        <v>4696</v>
      </c>
      <c r="C990" t="s">
        <v>24</v>
      </c>
      <c r="D990" t="s">
        <v>50</v>
      </c>
      <c r="E990" t="s">
        <v>59</v>
      </c>
      <c r="F990" t="str">
        <f t="shared" si="30"/>
        <v>SMB</v>
      </c>
      <c r="G990">
        <f>_xlfn.XLOOKUP(D990,tblStates[state_code],tblStates[territory_id],"Needs Review - Territory")</f>
        <v>4</v>
      </c>
      <c r="H990" t="str">
        <f>IF(E990="","",_xlfn.XLOOKUP(E990,tblUsers[user_id],tblUsers[job_title],"Owner Not Found"))</f>
        <v>SMB Account Executive</v>
      </c>
      <c r="I990" t="str">
        <f>IF(E990="","",_xlfn.XLOOKUP(E990,tblUsers[user_id],tblUsers[segment],"Owner Not Found"))</f>
        <v>SMB</v>
      </c>
      <c r="J990">
        <f>IF(E990="","",_xlfn.XLOOKUP(E990,tblUsers[user_id],tblUsers[territory_id],"Owner Not Found"))</f>
        <v>4</v>
      </c>
      <c r="K990" t="str">
        <f t="shared" si="31"/>
        <v>Routing Compatible</v>
      </c>
    </row>
    <row r="991" spans="1:11">
      <c r="A991" t="s">
        <v>4697</v>
      </c>
      <c r="B991" t="s">
        <v>4699</v>
      </c>
      <c r="C991" t="s">
        <v>30</v>
      </c>
      <c r="D991" t="s">
        <v>23</v>
      </c>
      <c r="E991" t="s">
        <v>82</v>
      </c>
      <c r="F991" t="str">
        <f t="shared" si="30"/>
        <v>MM</v>
      </c>
      <c r="G991">
        <f>_xlfn.XLOOKUP(D991,tblStates[state_code],tblStates[territory_id],"Needs Review - Territory")</f>
        <v>2</v>
      </c>
      <c r="H991" t="str">
        <f>IF(E991="","",_xlfn.XLOOKUP(E991,tblUsers[user_id],tblUsers[job_title],"Owner Not Found"))</f>
        <v>Mid-Market Account Executive</v>
      </c>
      <c r="I991" t="str">
        <f>IF(E991="","",_xlfn.XLOOKUP(E991,tblUsers[user_id],tblUsers[segment],"Owner Not Found"))</f>
        <v>MM</v>
      </c>
      <c r="J991">
        <f>IF(E991="","",_xlfn.XLOOKUP(E991,tblUsers[user_id],tblUsers[territory_id],"Owner Not Found"))</f>
        <v>2</v>
      </c>
      <c r="K991" t="str">
        <f t="shared" si="31"/>
        <v>Routing Compatible</v>
      </c>
    </row>
    <row r="992" spans="1:11">
      <c r="A992" t="s">
        <v>4700</v>
      </c>
      <c r="B992" t="s">
        <v>4702</v>
      </c>
      <c r="C992" t="s">
        <v>24</v>
      </c>
      <c r="D992" t="s">
        <v>68</v>
      </c>
      <c r="E992" t="s">
        <v>69</v>
      </c>
      <c r="F992" t="str">
        <f t="shared" si="30"/>
        <v>SMB</v>
      </c>
      <c r="G992">
        <f>_xlfn.XLOOKUP(D992,tblStates[state_code],tblStates[territory_id],"Needs Review - Territory")</f>
        <v>3</v>
      </c>
      <c r="H992" t="str">
        <f>IF(E992="","",_xlfn.XLOOKUP(E992,tblUsers[user_id],tblUsers[job_title],"Owner Not Found"))</f>
        <v>SMB Account Executive</v>
      </c>
      <c r="I992" t="str">
        <f>IF(E992="","",_xlfn.XLOOKUP(E992,tblUsers[user_id],tblUsers[segment],"Owner Not Found"))</f>
        <v>SMB</v>
      </c>
      <c r="J992">
        <f>IF(E992="","",_xlfn.XLOOKUP(E992,tblUsers[user_id],tblUsers[territory_id],"Owner Not Found"))</f>
        <v>3</v>
      </c>
      <c r="K992" t="str">
        <f t="shared" si="31"/>
        <v>Routing Compatible</v>
      </c>
    </row>
    <row r="993" spans="1:11">
      <c r="A993" t="s">
        <v>4703</v>
      </c>
      <c r="B993" t="s">
        <v>4705</v>
      </c>
      <c r="C993" t="s">
        <v>17</v>
      </c>
      <c r="D993" t="s">
        <v>41</v>
      </c>
      <c r="E993" t="s">
        <v>82</v>
      </c>
      <c r="F993" t="str">
        <f t="shared" si="30"/>
        <v>MM</v>
      </c>
      <c r="G993">
        <f>_xlfn.XLOOKUP(D993,tblStates[state_code],tblStates[territory_id],"Needs Review - Territory")</f>
        <v>2</v>
      </c>
      <c r="H993" t="str">
        <f>IF(E993="","",_xlfn.XLOOKUP(E993,tblUsers[user_id],tblUsers[job_title],"Owner Not Found"))</f>
        <v>Mid-Market Account Executive</v>
      </c>
      <c r="I993" t="str">
        <f>IF(E993="","",_xlfn.XLOOKUP(E993,tblUsers[user_id],tblUsers[segment],"Owner Not Found"))</f>
        <v>MM</v>
      </c>
      <c r="J993">
        <f>IF(E993="","",_xlfn.XLOOKUP(E993,tblUsers[user_id],tblUsers[territory_id],"Owner Not Found"))</f>
        <v>2</v>
      </c>
      <c r="K993" t="str">
        <f t="shared" si="31"/>
        <v>Routing Compatible</v>
      </c>
    </row>
    <row r="994" spans="1:11">
      <c r="A994" t="s">
        <v>4706</v>
      </c>
      <c r="B994" t="s">
        <v>4708</v>
      </c>
      <c r="C994" t="s">
        <v>30</v>
      </c>
      <c r="D994" t="s">
        <v>140</v>
      </c>
      <c r="F994" t="str">
        <f t="shared" si="30"/>
        <v>MM</v>
      </c>
      <c r="G994">
        <f>_xlfn.XLOOKUP(D994,tblStates[state_code],tblStates[territory_id],"Needs Review - Territory")</f>
        <v>2</v>
      </c>
      <c r="H994" t="str">
        <f>IF(E994="","",_xlfn.XLOOKUP(E994,tblUsers[user_id],tblUsers[job_title],"Owner Not Found"))</f>
        <v/>
      </c>
      <c r="I994" t="str">
        <f>IF(E994="","",_xlfn.XLOOKUP(E994,tblUsers[user_id],tblUsers[segment],"Owner Not Found"))</f>
        <v/>
      </c>
      <c r="J994" t="str">
        <f>IF(E994="","",_xlfn.XLOOKUP(E994,tblUsers[user_id],tblUsers[territory_id],"Owner Not Found"))</f>
        <v/>
      </c>
      <c r="K994" t="str">
        <f t="shared" si="31"/>
        <v>Unassigned</v>
      </c>
    </row>
    <row r="995" spans="1:11">
      <c r="A995" t="s">
        <v>4709</v>
      </c>
      <c r="B995" t="s">
        <v>4711</v>
      </c>
      <c r="C995" t="s">
        <v>24</v>
      </c>
      <c r="D995" t="s">
        <v>68</v>
      </c>
      <c r="E995" t="s">
        <v>69</v>
      </c>
      <c r="F995" t="str">
        <f t="shared" si="30"/>
        <v>SMB</v>
      </c>
      <c r="G995">
        <f>_xlfn.XLOOKUP(D995,tblStates[state_code],tblStates[territory_id],"Needs Review - Territory")</f>
        <v>3</v>
      </c>
      <c r="H995" t="str">
        <f>IF(E995="","",_xlfn.XLOOKUP(E995,tblUsers[user_id],tblUsers[job_title],"Owner Not Found"))</f>
        <v>SMB Account Executive</v>
      </c>
      <c r="I995" t="str">
        <f>IF(E995="","",_xlfn.XLOOKUP(E995,tblUsers[user_id],tblUsers[segment],"Owner Not Found"))</f>
        <v>SMB</v>
      </c>
      <c r="J995">
        <f>IF(E995="","",_xlfn.XLOOKUP(E995,tblUsers[user_id],tblUsers[territory_id],"Owner Not Found"))</f>
        <v>3</v>
      </c>
      <c r="K995" t="str">
        <f t="shared" si="31"/>
        <v>Routing Compatible</v>
      </c>
    </row>
    <row r="996" spans="1:11">
      <c r="A996" t="s">
        <v>4712</v>
      </c>
      <c r="B996" t="s">
        <v>4714</v>
      </c>
      <c r="C996" t="s">
        <v>30</v>
      </c>
      <c r="D996" t="s">
        <v>366</v>
      </c>
      <c r="E996" t="s">
        <v>18</v>
      </c>
      <c r="F996" t="str">
        <f t="shared" si="30"/>
        <v>MM</v>
      </c>
      <c r="G996">
        <f>_xlfn.XLOOKUP(D996,tblStates[state_code],tblStates[territory_id],"Needs Review - Territory")</f>
        <v>1</v>
      </c>
      <c r="H996" t="str">
        <f>IF(E996="","",_xlfn.XLOOKUP(E996,tblUsers[user_id],tblUsers[job_title],"Owner Not Found"))</f>
        <v>Mid-Market Account Executive</v>
      </c>
      <c r="I996" t="str">
        <f>IF(E996="","",_xlfn.XLOOKUP(E996,tblUsers[user_id],tblUsers[segment],"Owner Not Found"))</f>
        <v>MM</v>
      </c>
      <c r="J996">
        <f>IF(E996="","",_xlfn.XLOOKUP(E996,tblUsers[user_id],tblUsers[territory_id],"Owner Not Found"))</f>
        <v>1</v>
      </c>
      <c r="K996" t="str">
        <f t="shared" si="31"/>
        <v>Routing Compatible</v>
      </c>
    </row>
    <row r="997" spans="1:11">
      <c r="A997" t="s">
        <v>4715</v>
      </c>
      <c r="B997" t="s">
        <v>4717</v>
      </c>
      <c r="C997" t="s">
        <v>30</v>
      </c>
      <c r="D997" t="s">
        <v>249</v>
      </c>
      <c r="E997" t="s">
        <v>36</v>
      </c>
      <c r="F997" t="str">
        <f t="shared" si="30"/>
        <v>MM</v>
      </c>
      <c r="G997">
        <f>_xlfn.XLOOKUP(D997,tblStates[state_code],tblStates[territory_id],"Needs Review - Territory")</f>
        <v>4</v>
      </c>
      <c r="H997" t="str">
        <f>IF(E997="","",_xlfn.XLOOKUP(E997,tblUsers[user_id],tblUsers[job_title],"Owner Not Found"))</f>
        <v>Mid-Market Account Executive</v>
      </c>
      <c r="I997" t="str">
        <f>IF(E997="","",_xlfn.XLOOKUP(E997,tblUsers[user_id],tblUsers[segment],"Owner Not Found"))</f>
        <v>MM</v>
      </c>
      <c r="J997">
        <f>IF(E997="","",_xlfn.XLOOKUP(E997,tblUsers[user_id],tblUsers[territory_id],"Owner Not Found"))</f>
        <v>4</v>
      </c>
      <c r="K997" t="str">
        <f t="shared" si="31"/>
        <v>Routing Compatible</v>
      </c>
    </row>
    <row r="998" spans="1:11">
      <c r="A998" t="s">
        <v>4718</v>
      </c>
      <c r="B998" t="s">
        <v>4720</v>
      </c>
      <c r="C998" t="s">
        <v>24</v>
      </c>
      <c r="D998" t="s">
        <v>90</v>
      </c>
      <c r="E998" t="s">
        <v>91</v>
      </c>
      <c r="F998" t="str">
        <f t="shared" si="30"/>
        <v>SMB</v>
      </c>
      <c r="G998">
        <f>_xlfn.XLOOKUP(D998,tblStates[state_code],tblStates[territory_id],"Needs Review - Territory")</f>
        <v>1</v>
      </c>
      <c r="H998" t="str">
        <f>IF(E998="","",_xlfn.XLOOKUP(E998,tblUsers[user_id],tblUsers[job_title],"Owner Not Found"))</f>
        <v>SMB Account Executive</v>
      </c>
      <c r="I998" t="str">
        <f>IF(E998="","",_xlfn.XLOOKUP(E998,tblUsers[user_id],tblUsers[segment],"Owner Not Found"))</f>
        <v>SMB</v>
      </c>
      <c r="J998">
        <f>IF(E998="","",_xlfn.XLOOKUP(E998,tblUsers[user_id],tblUsers[territory_id],"Owner Not Found"))</f>
        <v>1</v>
      </c>
      <c r="K998" t="str">
        <f t="shared" si="31"/>
        <v>Routing Compatible</v>
      </c>
    </row>
    <row r="999" spans="1:11">
      <c r="A999" t="s">
        <v>4721</v>
      </c>
      <c r="B999" t="s">
        <v>4723</v>
      </c>
      <c r="C999" t="s">
        <v>24</v>
      </c>
      <c r="D999" t="s">
        <v>178</v>
      </c>
      <c r="E999" t="s">
        <v>59</v>
      </c>
      <c r="F999" t="str">
        <f t="shared" si="30"/>
        <v>SMB</v>
      </c>
      <c r="G999">
        <f>_xlfn.XLOOKUP(D999,tblStates[state_code],tblStates[territory_id],"Needs Review - Territory")</f>
        <v>4</v>
      </c>
      <c r="H999" t="str">
        <f>IF(E999="","",_xlfn.XLOOKUP(E999,tblUsers[user_id],tblUsers[job_title],"Owner Not Found"))</f>
        <v>SMB Account Executive</v>
      </c>
      <c r="I999" t="str">
        <f>IF(E999="","",_xlfn.XLOOKUP(E999,tblUsers[user_id],tblUsers[segment],"Owner Not Found"))</f>
        <v>SMB</v>
      </c>
      <c r="J999">
        <f>IF(E999="","",_xlfn.XLOOKUP(E999,tblUsers[user_id],tblUsers[territory_id],"Owner Not Found"))</f>
        <v>4</v>
      </c>
      <c r="K999" t="str">
        <f t="shared" si="31"/>
        <v>Routing Compatible</v>
      </c>
    </row>
    <row r="1000" spans="1:11">
      <c r="A1000" t="s">
        <v>4724</v>
      </c>
      <c r="B1000" t="s">
        <v>4726</v>
      </c>
      <c r="C1000" t="s">
        <v>17</v>
      </c>
      <c r="D1000" t="s">
        <v>81</v>
      </c>
      <c r="E1000" t="s">
        <v>82</v>
      </c>
      <c r="F1000" t="str">
        <f t="shared" si="30"/>
        <v>MM</v>
      </c>
      <c r="G1000">
        <f>_xlfn.XLOOKUP(D1000,tblStates[state_code],tblStates[territory_id],"Needs Review - Territory")</f>
        <v>2</v>
      </c>
      <c r="H1000" t="str">
        <f>IF(E1000="","",_xlfn.XLOOKUP(E1000,tblUsers[user_id],tblUsers[job_title],"Owner Not Found"))</f>
        <v>Mid-Market Account Executive</v>
      </c>
      <c r="I1000" t="str">
        <f>IF(E1000="","",_xlfn.XLOOKUP(E1000,tblUsers[user_id],tblUsers[segment],"Owner Not Found"))</f>
        <v>MM</v>
      </c>
      <c r="J1000">
        <f>IF(E1000="","",_xlfn.XLOOKUP(E1000,tblUsers[user_id],tblUsers[territory_id],"Owner Not Found"))</f>
        <v>2</v>
      </c>
      <c r="K1000" t="str">
        <f t="shared" si="31"/>
        <v>Routing Compatible</v>
      </c>
    </row>
    <row r="1001" spans="1:11">
      <c r="A1001" t="s">
        <v>4727</v>
      </c>
      <c r="B1001" t="s">
        <v>4729</v>
      </c>
      <c r="C1001" t="s">
        <v>24</v>
      </c>
      <c r="D1001" t="s">
        <v>635</v>
      </c>
      <c r="E1001" t="s">
        <v>59</v>
      </c>
      <c r="F1001" t="str">
        <f t="shared" si="30"/>
        <v>SMB</v>
      </c>
      <c r="G1001">
        <f>_xlfn.XLOOKUP(D1001,tblStates[state_code],tblStates[territory_id],"Needs Review - Territory")</f>
        <v>4</v>
      </c>
      <c r="H1001" t="str">
        <f>IF(E1001="","",_xlfn.XLOOKUP(E1001,tblUsers[user_id],tblUsers[job_title],"Owner Not Found"))</f>
        <v>SMB Account Executive</v>
      </c>
      <c r="I1001" t="str">
        <f>IF(E1001="","",_xlfn.XLOOKUP(E1001,tblUsers[user_id],tblUsers[segment],"Owner Not Found"))</f>
        <v>SMB</v>
      </c>
      <c r="J1001">
        <f>IF(E1001="","",_xlfn.XLOOKUP(E1001,tblUsers[user_id],tblUsers[territory_id],"Owner Not Found"))</f>
        <v>4</v>
      </c>
      <c r="K1001" t="str">
        <f t="shared" si="31"/>
        <v>Routing Compatible</v>
      </c>
    </row>
    <row r="1002" spans="1:11">
      <c r="A1002" t="s">
        <v>4730</v>
      </c>
      <c r="B1002" t="s">
        <v>4732</v>
      </c>
      <c r="C1002" t="s">
        <v>24</v>
      </c>
      <c r="D1002" t="s">
        <v>216</v>
      </c>
      <c r="E1002" t="s">
        <v>59</v>
      </c>
      <c r="F1002" t="str">
        <f t="shared" si="30"/>
        <v>SMB</v>
      </c>
      <c r="G1002">
        <f>_xlfn.XLOOKUP(D1002,tblStates[state_code],tblStates[territory_id],"Needs Review - Territory")</f>
        <v>1</v>
      </c>
      <c r="H1002" t="str">
        <f>IF(E1002="","",_xlfn.XLOOKUP(E1002,tblUsers[user_id],tblUsers[job_title],"Owner Not Found"))</f>
        <v>SMB Account Executive</v>
      </c>
      <c r="I1002" t="str">
        <f>IF(E1002="","",_xlfn.XLOOKUP(E1002,tblUsers[user_id],tblUsers[segment],"Owner Not Found"))</f>
        <v>SMB</v>
      </c>
      <c r="J1002">
        <f>IF(E1002="","",_xlfn.XLOOKUP(E1002,tblUsers[user_id],tblUsers[territory_id],"Owner Not Found"))</f>
        <v>4</v>
      </c>
      <c r="K1002" t="str">
        <f t="shared" si="31"/>
        <v>Wrong AE Territory</v>
      </c>
    </row>
    <row r="1003" spans="1:11">
      <c r="A1003" t="s">
        <v>4733</v>
      </c>
      <c r="B1003" t="s">
        <v>4735</v>
      </c>
      <c r="C1003" t="s">
        <v>30</v>
      </c>
      <c r="D1003" t="s">
        <v>16</v>
      </c>
      <c r="E1003" t="s">
        <v>18</v>
      </c>
      <c r="F1003" t="str">
        <f t="shared" si="30"/>
        <v>MM</v>
      </c>
      <c r="G1003">
        <f>_xlfn.XLOOKUP(D1003,tblStates[state_code],tblStates[territory_id],"Needs Review - Territory")</f>
        <v>1</v>
      </c>
      <c r="H1003" t="str">
        <f>IF(E1003="","",_xlfn.XLOOKUP(E1003,tblUsers[user_id],tblUsers[job_title],"Owner Not Found"))</f>
        <v>Mid-Market Account Executive</v>
      </c>
      <c r="I1003" t="str">
        <f>IF(E1003="","",_xlfn.XLOOKUP(E1003,tblUsers[user_id],tblUsers[segment],"Owner Not Found"))</f>
        <v>MM</v>
      </c>
      <c r="J1003">
        <f>IF(E1003="","",_xlfn.XLOOKUP(E1003,tblUsers[user_id],tblUsers[territory_id],"Owner Not Found"))</f>
        <v>1</v>
      </c>
      <c r="K1003" t="str">
        <f t="shared" si="31"/>
        <v>Routing Compatible</v>
      </c>
    </row>
    <row r="1004" spans="1:11">
      <c r="A1004" t="s">
        <v>4736</v>
      </c>
      <c r="B1004" t="s">
        <v>4738</v>
      </c>
      <c r="C1004" t="s">
        <v>17</v>
      </c>
      <c r="D1004" t="s">
        <v>50</v>
      </c>
      <c r="E1004" t="s">
        <v>59</v>
      </c>
      <c r="F1004" t="str">
        <f t="shared" si="30"/>
        <v>MM</v>
      </c>
      <c r="G1004">
        <f>_xlfn.XLOOKUP(D1004,tblStates[state_code],tblStates[territory_id],"Needs Review - Territory")</f>
        <v>4</v>
      </c>
      <c r="H1004" t="str">
        <f>IF(E1004="","",_xlfn.XLOOKUP(E1004,tblUsers[user_id],tblUsers[job_title],"Owner Not Found"))</f>
        <v>SMB Account Executive</v>
      </c>
      <c r="I1004" t="str">
        <f>IF(E1004="","",_xlfn.XLOOKUP(E1004,tblUsers[user_id],tblUsers[segment],"Owner Not Found"))</f>
        <v>SMB</v>
      </c>
      <c r="J1004">
        <f>IF(E1004="","",_xlfn.XLOOKUP(E1004,tblUsers[user_id],tblUsers[territory_id],"Owner Not Found"))</f>
        <v>4</v>
      </c>
      <c r="K1004" t="str">
        <f t="shared" si="31"/>
        <v>Wrong Segment</v>
      </c>
    </row>
    <row r="1005" spans="1:11">
      <c r="A1005" t="s">
        <v>4739</v>
      </c>
      <c r="B1005" t="s">
        <v>4741</v>
      </c>
      <c r="C1005" t="s">
        <v>24</v>
      </c>
      <c r="D1005" t="s">
        <v>68</v>
      </c>
      <c r="E1005" t="s">
        <v>25</v>
      </c>
      <c r="F1005" t="str">
        <f t="shared" si="30"/>
        <v>SMB</v>
      </c>
      <c r="G1005">
        <f>_xlfn.XLOOKUP(D1005,tblStates[state_code],tblStates[territory_id],"Needs Review - Territory")</f>
        <v>3</v>
      </c>
      <c r="H1005" t="str">
        <f>IF(E1005="","",_xlfn.XLOOKUP(E1005,tblUsers[user_id],tblUsers[job_title],"Owner Not Found"))</f>
        <v>SMB Account Executive</v>
      </c>
      <c r="I1005" t="str">
        <f>IF(E1005="","",_xlfn.XLOOKUP(E1005,tblUsers[user_id],tblUsers[segment],"Owner Not Found"))</f>
        <v>SMB</v>
      </c>
      <c r="J1005">
        <f>IF(E1005="","",_xlfn.XLOOKUP(E1005,tblUsers[user_id],tblUsers[territory_id],"Owner Not Found"))</f>
        <v>2</v>
      </c>
      <c r="K1005" t="str">
        <f t="shared" si="31"/>
        <v>Wrong AE Territory</v>
      </c>
    </row>
    <row r="1006" spans="1:11">
      <c r="A1006" t="s">
        <v>4742</v>
      </c>
      <c r="B1006" t="s">
        <v>4744</v>
      </c>
      <c r="C1006" t="s">
        <v>24</v>
      </c>
      <c r="D1006" t="s">
        <v>64</v>
      </c>
      <c r="E1006" t="s">
        <v>69</v>
      </c>
      <c r="F1006" t="str">
        <f t="shared" si="30"/>
        <v>SMB</v>
      </c>
      <c r="G1006">
        <f>_xlfn.XLOOKUP(D1006,tblStates[state_code],tblStates[territory_id],"Needs Review - Territory")</f>
        <v>3</v>
      </c>
      <c r="H1006" t="str">
        <f>IF(E1006="","",_xlfn.XLOOKUP(E1006,tblUsers[user_id],tblUsers[job_title],"Owner Not Found"))</f>
        <v>SMB Account Executive</v>
      </c>
      <c r="I1006" t="str">
        <f>IF(E1006="","",_xlfn.XLOOKUP(E1006,tblUsers[user_id],tblUsers[segment],"Owner Not Found"))</f>
        <v>SMB</v>
      </c>
      <c r="J1006">
        <f>IF(E1006="","",_xlfn.XLOOKUP(E1006,tblUsers[user_id],tblUsers[territory_id],"Owner Not Found"))</f>
        <v>3</v>
      </c>
      <c r="K1006" t="str">
        <f t="shared" si="31"/>
        <v>Routing Compatible</v>
      </c>
    </row>
    <row r="1007" spans="1:11">
      <c r="A1007" t="s">
        <v>4745</v>
      </c>
      <c r="B1007" t="s">
        <v>4747</v>
      </c>
      <c r="C1007" t="s">
        <v>30</v>
      </c>
      <c r="D1007" t="s">
        <v>81</v>
      </c>
      <c r="E1007" t="s">
        <v>18</v>
      </c>
      <c r="F1007" t="str">
        <f t="shared" si="30"/>
        <v>MM</v>
      </c>
      <c r="G1007">
        <f>_xlfn.XLOOKUP(D1007,tblStates[state_code],tblStates[territory_id],"Needs Review - Territory")</f>
        <v>2</v>
      </c>
      <c r="H1007" t="str">
        <f>IF(E1007="","",_xlfn.XLOOKUP(E1007,tblUsers[user_id],tblUsers[job_title],"Owner Not Found"))</f>
        <v>Mid-Market Account Executive</v>
      </c>
      <c r="I1007" t="str">
        <f>IF(E1007="","",_xlfn.XLOOKUP(E1007,tblUsers[user_id],tblUsers[segment],"Owner Not Found"))</f>
        <v>MM</v>
      </c>
      <c r="J1007">
        <f>IF(E1007="","",_xlfn.XLOOKUP(E1007,tblUsers[user_id],tblUsers[territory_id],"Owner Not Found"))</f>
        <v>1</v>
      </c>
      <c r="K1007" t="str">
        <f t="shared" si="31"/>
        <v>Wrong AE Territory</v>
      </c>
    </row>
    <row r="1008" spans="1:11">
      <c r="A1008" t="s">
        <v>4748</v>
      </c>
      <c r="B1008" t="s">
        <v>4749</v>
      </c>
      <c r="C1008" t="s">
        <v>30</v>
      </c>
      <c r="D1008" t="s">
        <v>41</v>
      </c>
      <c r="E1008" t="s">
        <v>82</v>
      </c>
      <c r="F1008" t="str">
        <f t="shared" si="30"/>
        <v>MM</v>
      </c>
      <c r="G1008">
        <f>_xlfn.XLOOKUP(D1008,tblStates[state_code],tblStates[territory_id],"Needs Review - Territory")</f>
        <v>2</v>
      </c>
      <c r="H1008" t="str">
        <f>IF(E1008="","",_xlfn.XLOOKUP(E1008,tblUsers[user_id],tblUsers[job_title],"Owner Not Found"))</f>
        <v>Mid-Market Account Executive</v>
      </c>
      <c r="I1008" t="str">
        <f>IF(E1008="","",_xlfn.XLOOKUP(E1008,tblUsers[user_id],tblUsers[segment],"Owner Not Found"))</f>
        <v>MM</v>
      </c>
      <c r="J1008">
        <f>IF(E1008="","",_xlfn.XLOOKUP(E1008,tblUsers[user_id],tblUsers[territory_id],"Owner Not Found"))</f>
        <v>2</v>
      </c>
      <c r="K1008" t="str">
        <f t="shared" si="31"/>
        <v>Routing Compatible</v>
      </c>
    </row>
    <row r="1009" spans="1:11">
      <c r="A1009" t="s">
        <v>4750</v>
      </c>
      <c r="B1009" t="s">
        <v>4752</v>
      </c>
      <c r="C1009" t="s">
        <v>24</v>
      </c>
      <c r="D1009" t="s">
        <v>16</v>
      </c>
      <c r="E1009" t="s">
        <v>91</v>
      </c>
      <c r="F1009" t="str">
        <f t="shared" si="30"/>
        <v>SMB</v>
      </c>
      <c r="G1009">
        <f>_xlfn.XLOOKUP(D1009,tblStates[state_code],tblStates[territory_id],"Needs Review - Territory")</f>
        <v>1</v>
      </c>
      <c r="H1009" t="str">
        <f>IF(E1009="","",_xlfn.XLOOKUP(E1009,tblUsers[user_id],tblUsers[job_title],"Owner Not Found"))</f>
        <v>SMB Account Executive</v>
      </c>
      <c r="I1009" t="str">
        <f>IF(E1009="","",_xlfn.XLOOKUP(E1009,tblUsers[user_id],tblUsers[segment],"Owner Not Found"))</f>
        <v>SMB</v>
      </c>
      <c r="J1009">
        <f>IF(E1009="","",_xlfn.XLOOKUP(E1009,tblUsers[user_id],tblUsers[territory_id],"Owner Not Found"))</f>
        <v>1</v>
      </c>
      <c r="K1009" t="str">
        <f t="shared" si="31"/>
        <v>Routing Compatible</v>
      </c>
    </row>
    <row r="1010" spans="1:11">
      <c r="A1010" t="s">
        <v>4753</v>
      </c>
      <c r="B1010" t="s">
        <v>4755</v>
      </c>
      <c r="C1010" t="s">
        <v>30</v>
      </c>
      <c r="D1010" t="s">
        <v>192</v>
      </c>
      <c r="E1010" t="s">
        <v>18</v>
      </c>
      <c r="F1010" t="str">
        <f t="shared" si="30"/>
        <v>MM</v>
      </c>
      <c r="G1010">
        <f>_xlfn.XLOOKUP(D1010,tblStates[state_code],tblStates[territory_id],"Needs Review - Territory")</f>
        <v>1</v>
      </c>
      <c r="H1010" t="str">
        <f>IF(E1010="","",_xlfn.XLOOKUP(E1010,tblUsers[user_id],tblUsers[job_title],"Owner Not Found"))</f>
        <v>Mid-Market Account Executive</v>
      </c>
      <c r="I1010" t="str">
        <f>IF(E1010="","",_xlfn.XLOOKUP(E1010,tblUsers[user_id],tblUsers[segment],"Owner Not Found"))</f>
        <v>MM</v>
      </c>
      <c r="J1010">
        <f>IF(E1010="","",_xlfn.XLOOKUP(E1010,tblUsers[user_id],tblUsers[territory_id],"Owner Not Found"))</f>
        <v>1</v>
      </c>
      <c r="K1010" t="str">
        <f t="shared" si="31"/>
        <v>Routing Compatible</v>
      </c>
    </row>
    <row r="1011" spans="1:11">
      <c r="A1011" t="s">
        <v>4756</v>
      </c>
      <c r="B1011" t="s">
        <v>4758</v>
      </c>
      <c r="C1011" t="s">
        <v>24</v>
      </c>
      <c r="D1011" t="s">
        <v>154</v>
      </c>
      <c r="E1011" t="s">
        <v>25</v>
      </c>
      <c r="F1011" t="str">
        <f t="shared" si="30"/>
        <v>SMB</v>
      </c>
      <c r="G1011">
        <f>_xlfn.XLOOKUP(D1011,tblStates[state_code],tblStates[territory_id],"Needs Review - Territory")</f>
        <v>2</v>
      </c>
      <c r="H1011" t="str">
        <f>IF(E1011="","",_xlfn.XLOOKUP(E1011,tblUsers[user_id],tblUsers[job_title],"Owner Not Found"))</f>
        <v>SMB Account Executive</v>
      </c>
      <c r="I1011" t="str">
        <f>IF(E1011="","",_xlfn.XLOOKUP(E1011,tblUsers[user_id],tblUsers[segment],"Owner Not Found"))</f>
        <v>SMB</v>
      </c>
      <c r="J1011">
        <f>IF(E1011="","",_xlfn.XLOOKUP(E1011,tblUsers[user_id],tblUsers[territory_id],"Owner Not Found"))</f>
        <v>2</v>
      </c>
      <c r="K1011" t="str">
        <f t="shared" si="31"/>
        <v>Routing Compatible</v>
      </c>
    </row>
    <row r="1012" spans="1:11">
      <c r="A1012" t="s">
        <v>4759</v>
      </c>
      <c r="B1012" t="s">
        <v>4761</v>
      </c>
      <c r="C1012" t="s">
        <v>24</v>
      </c>
      <c r="D1012" t="s">
        <v>635</v>
      </c>
      <c r="E1012" t="s">
        <v>59</v>
      </c>
      <c r="F1012" t="str">
        <f t="shared" si="30"/>
        <v>SMB</v>
      </c>
      <c r="G1012">
        <f>_xlfn.XLOOKUP(D1012,tblStates[state_code],tblStates[territory_id],"Needs Review - Territory")</f>
        <v>4</v>
      </c>
      <c r="H1012" t="str">
        <f>IF(E1012="","",_xlfn.XLOOKUP(E1012,tblUsers[user_id],tblUsers[job_title],"Owner Not Found"))</f>
        <v>SMB Account Executive</v>
      </c>
      <c r="I1012" t="str">
        <f>IF(E1012="","",_xlfn.XLOOKUP(E1012,tblUsers[user_id],tblUsers[segment],"Owner Not Found"))</f>
        <v>SMB</v>
      </c>
      <c r="J1012">
        <f>IF(E1012="","",_xlfn.XLOOKUP(E1012,tblUsers[user_id],tblUsers[territory_id],"Owner Not Found"))</f>
        <v>4</v>
      </c>
      <c r="K1012" t="str">
        <f t="shared" si="31"/>
        <v>Routing Compatible</v>
      </c>
    </row>
    <row r="1013" spans="1:11">
      <c r="A1013" t="s">
        <v>4762</v>
      </c>
      <c r="B1013" t="s">
        <v>4764</v>
      </c>
      <c r="C1013" t="s">
        <v>24</v>
      </c>
      <c r="D1013" t="s">
        <v>50</v>
      </c>
      <c r="E1013" t="s">
        <v>59</v>
      </c>
      <c r="F1013" t="str">
        <f t="shared" si="30"/>
        <v>SMB</v>
      </c>
      <c r="G1013">
        <f>_xlfn.XLOOKUP(D1013,tblStates[state_code],tblStates[territory_id],"Needs Review - Territory")</f>
        <v>4</v>
      </c>
      <c r="H1013" t="str">
        <f>IF(E1013="","",_xlfn.XLOOKUP(E1013,tblUsers[user_id],tblUsers[job_title],"Owner Not Found"))</f>
        <v>SMB Account Executive</v>
      </c>
      <c r="I1013" t="str">
        <f>IF(E1013="","",_xlfn.XLOOKUP(E1013,tblUsers[user_id],tblUsers[segment],"Owner Not Found"))</f>
        <v>SMB</v>
      </c>
      <c r="J1013">
        <f>IF(E1013="","",_xlfn.XLOOKUP(E1013,tblUsers[user_id],tblUsers[territory_id],"Owner Not Found"))</f>
        <v>4</v>
      </c>
      <c r="K1013" t="str">
        <f t="shared" si="31"/>
        <v>Routing Compatible</v>
      </c>
    </row>
    <row r="1014" spans="1:11">
      <c r="A1014" t="s">
        <v>4765</v>
      </c>
      <c r="B1014" t="s">
        <v>4767</v>
      </c>
      <c r="C1014" t="s">
        <v>30</v>
      </c>
      <c r="D1014" t="s">
        <v>212</v>
      </c>
      <c r="E1014" t="s">
        <v>55</v>
      </c>
      <c r="F1014" t="str">
        <f t="shared" si="30"/>
        <v>MM</v>
      </c>
      <c r="G1014">
        <f>_xlfn.XLOOKUP(D1014,tblStates[state_code],tblStates[territory_id],"Needs Review - Territory")</f>
        <v>3</v>
      </c>
      <c r="H1014" t="str">
        <f>IF(E1014="","",_xlfn.XLOOKUP(E1014,tblUsers[user_id],tblUsers[job_title],"Owner Not Found"))</f>
        <v>Mid-Market Account Executive</v>
      </c>
      <c r="I1014" t="str">
        <f>IF(E1014="","",_xlfn.XLOOKUP(E1014,tblUsers[user_id],tblUsers[segment],"Owner Not Found"))</f>
        <v>MM</v>
      </c>
      <c r="J1014">
        <f>IF(E1014="","",_xlfn.XLOOKUP(E1014,tblUsers[user_id],tblUsers[territory_id],"Owner Not Found"))</f>
        <v>3</v>
      </c>
      <c r="K1014" t="str">
        <f t="shared" si="31"/>
        <v>Routing Compatible</v>
      </c>
    </row>
    <row r="1015" spans="1:11">
      <c r="A1015" t="s">
        <v>4768</v>
      </c>
      <c r="B1015" t="s">
        <v>4770</v>
      </c>
      <c r="C1015" t="s">
        <v>24</v>
      </c>
      <c r="D1015" t="s">
        <v>81</v>
      </c>
      <c r="E1015" t="s">
        <v>25</v>
      </c>
      <c r="F1015" t="str">
        <f t="shared" si="30"/>
        <v>SMB</v>
      </c>
      <c r="G1015">
        <f>_xlfn.XLOOKUP(D1015,tblStates[state_code],tblStates[territory_id],"Needs Review - Territory")</f>
        <v>2</v>
      </c>
      <c r="H1015" t="str">
        <f>IF(E1015="","",_xlfn.XLOOKUP(E1015,tblUsers[user_id],tblUsers[job_title],"Owner Not Found"))</f>
        <v>SMB Account Executive</v>
      </c>
      <c r="I1015" t="str">
        <f>IF(E1015="","",_xlfn.XLOOKUP(E1015,tblUsers[user_id],tblUsers[segment],"Owner Not Found"))</f>
        <v>SMB</v>
      </c>
      <c r="J1015">
        <f>IF(E1015="","",_xlfn.XLOOKUP(E1015,tblUsers[user_id],tblUsers[territory_id],"Owner Not Found"))</f>
        <v>2</v>
      </c>
      <c r="K1015" t="str">
        <f t="shared" si="31"/>
        <v>Routing Compatible</v>
      </c>
    </row>
    <row r="1016" spans="1:11">
      <c r="A1016" t="s">
        <v>4771</v>
      </c>
      <c r="B1016" t="s">
        <v>4773</v>
      </c>
      <c r="C1016" t="s">
        <v>24</v>
      </c>
      <c r="D1016" t="s">
        <v>171</v>
      </c>
      <c r="E1016" t="s">
        <v>91</v>
      </c>
      <c r="F1016" t="str">
        <f t="shared" si="30"/>
        <v>SMB</v>
      </c>
      <c r="G1016">
        <f>_xlfn.XLOOKUP(D1016,tblStates[state_code],tblStates[territory_id],"Needs Review - Territory")</f>
        <v>1</v>
      </c>
      <c r="H1016" t="str">
        <f>IF(E1016="","",_xlfn.XLOOKUP(E1016,tblUsers[user_id],tblUsers[job_title],"Owner Not Found"))</f>
        <v>SMB Account Executive</v>
      </c>
      <c r="I1016" t="str">
        <f>IF(E1016="","",_xlfn.XLOOKUP(E1016,tblUsers[user_id],tblUsers[segment],"Owner Not Found"))</f>
        <v>SMB</v>
      </c>
      <c r="J1016">
        <f>IF(E1016="","",_xlfn.XLOOKUP(E1016,tblUsers[user_id],tblUsers[territory_id],"Owner Not Found"))</f>
        <v>1</v>
      </c>
      <c r="K1016" t="str">
        <f t="shared" si="31"/>
        <v>Routing Compatible</v>
      </c>
    </row>
    <row r="1017" spans="1:11">
      <c r="A1017" t="s">
        <v>4774</v>
      </c>
      <c r="B1017" t="s">
        <v>4776</v>
      </c>
      <c r="C1017" t="s">
        <v>24</v>
      </c>
      <c r="D1017" t="s">
        <v>81</v>
      </c>
      <c r="E1017" t="s">
        <v>25</v>
      </c>
      <c r="F1017" t="str">
        <f t="shared" si="30"/>
        <v>SMB</v>
      </c>
      <c r="G1017">
        <f>_xlfn.XLOOKUP(D1017,tblStates[state_code],tblStates[territory_id],"Needs Review - Territory")</f>
        <v>2</v>
      </c>
      <c r="H1017" t="str">
        <f>IF(E1017="","",_xlfn.XLOOKUP(E1017,tblUsers[user_id],tblUsers[job_title],"Owner Not Found"))</f>
        <v>SMB Account Executive</v>
      </c>
      <c r="I1017" t="str">
        <f>IF(E1017="","",_xlfn.XLOOKUP(E1017,tblUsers[user_id],tblUsers[segment],"Owner Not Found"))</f>
        <v>SMB</v>
      </c>
      <c r="J1017">
        <f>IF(E1017="","",_xlfn.XLOOKUP(E1017,tblUsers[user_id],tblUsers[territory_id],"Owner Not Found"))</f>
        <v>2</v>
      </c>
      <c r="K1017" t="str">
        <f t="shared" si="31"/>
        <v>Routing Compatible</v>
      </c>
    </row>
    <row r="1018" spans="1:11">
      <c r="A1018" t="s">
        <v>4777</v>
      </c>
      <c r="B1018" t="s">
        <v>4779</v>
      </c>
      <c r="C1018" t="s">
        <v>30</v>
      </c>
      <c r="D1018" t="s">
        <v>140</v>
      </c>
      <c r="E1018" t="s">
        <v>82</v>
      </c>
      <c r="F1018" t="str">
        <f t="shared" si="30"/>
        <v>MM</v>
      </c>
      <c r="G1018">
        <f>_xlfn.XLOOKUP(D1018,tblStates[state_code],tblStates[territory_id],"Needs Review - Territory")</f>
        <v>2</v>
      </c>
      <c r="H1018" t="str">
        <f>IF(E1018="","",_xlfn.XLOOKUP(E1018,tblUsers[user_id],tblUsers[job_title],"Owner Not Found"))</f>
        <v>Mid-Market Account Executive</v>
      </c>
      <c r="I1018" t="str">
        <f>IF(E1018="","",_xlfn.XLOOKUP(E1018,tblUsers[user_id],tblUsers[segment],"Owner Not Found"))</f>
        <v>MM</v>
      </c>
      <c r="J1018">
        <f>IF(E1018="","",_xlfn.XLOOKUP(E1018,tblUsers[user_id],tblUsers[territory_id],"Owner Not Found"))</f>
        <v>2</v>
      </c>
      <c r="K1018" t="str">
        <f t="shared" si="31"/>
        <v>Routing Compatible</v>
      </c>
    </row>
    <row r="1019" spans="1:11">
      <c r="A1019" t="s">
        <v>4780</v>
      </c>
      <c r="B1019" t="s">
        <v>4782</v>
      </c>
      <c r="C1019" t="s">
        <v>24</v>
      </c>
      <c r="D1019" t="s">
        <v>1034</v>
      </c>
      <c r="E1019" t="s">
        <v>59</v>
      </c>
      <c r="F1019" t="str">
        <f t="shared" si="30"/>
        <v>SMB</v>
      </c>
      <c r="G1019">
        <f>_xlfn.XLOOKUP(D1019,tblStates[state_code],tblStates[territory_id],"Needs Review - Territory")</f>
        <v>4</v>
      </c>
      <c r="H1019" t="str">
        <f>IF(E1019="","",_xlfn.XLOOKUP(E1019,tblUsers[user_id],tblUsers[job_title],"Owner Not Found"))</f>
        <v>SMB Account Executive</v>
      </c>
      <c r="I1019" t="str">
        <f>IF(E1019="","",_xlfn.XLOOKUP(E1019,tblUsers[user_id],tblUsers[segment],"Owner Not Found"))</f>
        <v>SMB</v>
      </c>
      <c r="J1019">
        <f>IF(E1019="","",_xlfn.XLOOKUP(E1019,tblUsers[user_id],tblUsers[territory_id],"Owner Not Found"))</f>
        <v>4</v>
      </c>
      <c r="K1019" t="str">
        <f t="shared" si="31"/>
        <v>Routing Compatible</v>
      </c>
    </row>
    <row r="1020" spans="1:11">
      <c r="A1020" t="s">
        <v>4783</v>
      </c>
      <c r="B1020" t="s">
        <v>4785</v>
      </c>
      <c r="C1020" t="s">
        <v>17</v>
      </c>
      <c r="D1020" t="s">
        <v>54</v>
      </c>
      <c r="E1020" t="s">
        <v>55</v>
      </c>
      <c r="F1020" t="str">
        <f t="shared" si="30"/>
        <v>MM</v>
      </c>
      <c r="G1020">
        <f>_xlfn.XLOOKUP(D1020,tblStates[state_code],tblStates[territory_id],"Needs Review - Territory")</f>
        <v>3</v>
      </c>
      <c r="H1020" t="str">
        <f>IF(E1020="","",_xlfn.XLOOKUP(E1020,tblUsers[user_id],tblUsers[job_title],"Owner Not Found"))</f>
        <v>Mid-Market Account Executive</v>
      </c>
      <c r="I1020" t="str">
        <f>IF(E1020="","",_xlfn.XLOOKUP(E1020,tblUsers[user_id],tblUsers[segment],"Owner Not Found"))</f>
        <v>MM</v>
      </c>
      <c r="J1020">
        <f>IF(E1020="","",_xlfn.XLOOKUP(E1020,tblUsers[user_id],tblUsers[territory_id],"Owner Not Found"))</f>
        <v>3</v>
      </c>
      <c r="K1020" t="str">
        <f t="shared" si="31"/>
        <v>Routing Compatible</v>
      </c>
    </row>
    <row r="1021" spans="1:11">
      <c r="A1021" t="s">
        <v>4786</v>
      </c>
      <c r="B1021" t="s">
        <v>4788</v>
      </c>
      <c r="C1021" t="s">
        <v>24</v>
      </c>
      <c r="D1021" t="s">
        <v>127</v>
      </c>
      <c r="E1021" t="s">
        <v>25</v>
      </c>
      <c r="F1021" t="str">
        <f t="shared" si="30"/>
        <v>SMB</v>
      </c>
      <c r="G1021">
        <f>_xlfn.XLOOKUP(D1021,tblStates[state_code],tblStates[territory_id],"Needs Review - Territory")</f>
        <v>2</v>
      </c>
      <c r="H1021" t="str">
        <f>IF(E1021="","",_xlfn.XLOOKUP(E1021,tblUsers[user_id],tblUsers[job_title],"Owner Not Found"))</f>
        <v>SMB Account Executive</v>
      </c>
      <c r="I1021" t="str">
        <f>IF(E1021="","",_xlfn.XLOOKUP(E1021,tblUsers[user_id],tblUsers[segment],"Owner Not Found"))</f>
        <v>SMB</v>
      </c>
      <c r="J1021">
        <f>IF(E1021="","",_xlfn.XLOOKUP(E1021,tblUsers[user_id],tblUsers[territory_id],"Owner Not Found"))</f>
        <v>2</v>
      </c>
      <c r="K1021" t="str">
        <f t="shared" si="31"/>
        <v>Routing Compatible</v>
      </c>
    </row>
    <row r="1022" spans="1:11">
      <c r="A1022" t="s">
        <v>4789</v>
      </c>
      <c r="B1022" t="s">
        <v>4791</v>
      </c>
      <c r="C1022" t="s">
        <v>17</v>
      </c>
      <c r="D1022" t="s">
        <v>68</v>
      </c>
      <c r="E1022" t="s">
        <v>55</v>
      </c>
      <c r="F1022" t="str">
        <f t="shared" si="30"/>
        <v>MM</v>
      </c>
      <c r="G1022">
        <f>_xlfn.XLOOKUP(D1022,tblStates[state_code],tblStates[territory_id],"Needs Review - Territory")</f>
        <v>3</v>
      </c>
      <c r="H1022" t="str">
        <f>IF(E1022="","",_xlfn.XLOOKUP(E1022,tblUsers[user_id],tblUsers[job_title],"Owner Not Found"))</f>
        <v>Mid-Market Account Executive</v>
      </c>
      <c r="I1022" t="str">
        <f>IF(E1022="","",_xlfn.XLOOKUP(E1022,tblUsers[user_id],tblUsers[segment],"Owner Not Found"))</f>
        <v>MM</v>
      </c>
      <c r="J1022">
        <f>IF(E1022="","",_xlfn.XLOOKUP(E1022,tblUsers[user_id],tblUsers[territory_id],"Owner Not Found"))</f>
        <v>3</v>
      </c>
      <c r="K1022" t="str">
        <f t="shared" si="31"/>
        <v>Routing Compatible</v>
      </c>
    </row>
    <row r="1023" spans="1:11">
      <c r="A1023" t="s">
        <v>4792</v>
      </c>
      <c r="B1023" t="s">
        <v>4794</v>
      </c>
      <c r="C1023" t="s">
        <v>17</v>
      </c>
      <c r="D1023" t="s">
        <v>16</v>
      </c>
      <c r="E1023" t="s">
        <v>18</v>
      </c>
      <c r="F1023" t="str">
        <f t="shared" si="30"/>
        <v>MM</v>
      </c>
      <c r="G1023">
        <f>_xlfn.XLOOKUP(D1023,tblStates[state_code],tblStates[territory_id],"Needs Review - Territory")</f>
        <v>1</v>
      </c>
      <c r="H1023" t="str">
        <f>IF(E1023="","",_xlfn.XLOOKUP(E1023,tblUsers[user_id],tblUsers[job_title],"Owner Not Found"))</f>
        <v>Mid-Market Account Executive</v>
      </c>
      <c r="I1023" t="str">
        <f>IF(E1023="","",_xlfn.XLOOKUP(E1023,tblUsers[user_id],tblUsers[segment],"Owner Not Found"))</f>
        <v>MM</v>
      </c>
      <c r="J1023">
        <f>IF(E1023="","",_xlfn.XLOOKUP(E1023,tblUsers[user_id],tblUsers[territory_id],"Owner Not Found"))</f>
        <v>1</v>
      </c>
      <c r="K1023" t="str">
        <f t="shared" si="31"/>
        <v>Routing Compatible</v>
      </c>
    </row>
    <row r="1024" spans="1:11">
      <c r="A1024" t="s">
        <v>4795</v>
      </c>
      <c r="B1024" t="s">
        <v>4797</v>
      </c>
      <c r="C1024" t="s">
        <v>24</v>
      </c>
      <c r="D1024" t="s">
        <v>576</v>
      </c>
      <c r="E1024" t="s">
        <v>25</v>
      </c>
      <c r="F1024" t="str">
        <f t="shared" si="30"/>
        <v>SMB</v>
      </c>
      <c r="G1024">
        <f>_xlfn.XLOOKUP(D1024,tblStates[state_code],tblStates[territory_id],"Needs Review - Territory")</f>
        <v>2</v>
      </c>
      <c r="H1024" t="str">
        <f>IF(E1024="","",_xlfn.XLOOKUP(E1024,tblUsers[user_id],tblUsers[job_title],"Owner Not Found"))</f>
        <v>SMB Account Executive</v>
      </c>
      <c r="I1024" t="str">
        <f>IF(E1024="","",_xlfn.XLOOKUP(E1024,tblUsers[user_id],tblUsers[segment],"Owner Not Found"))</f>
        <v>SMB</v>
      </c>
      <c r="J1024">
        <f>IF(E1024="","",_xlfn.XLOOKUP(E1024,tblUsers[user_id],tblUsers[territory_id],"Owner Not Found"))</f>
        <v>2</v>
      </c>
      <c r="K1024" t="str">
        <f t="shared" si="31"/>
        <v>Routing Compatible</v>
      </c>
    </row>
    <row r="1025" spans="1:11">
      <c r="A1025" t="s">
        <v>4798</v>
      </c>
      <c r="B1025" t="s">
        <v>4800</v>
      </c>
      <c r="C1025" t="s">
        <v>17</v>
      </c>
      <c r="E1025" t="s">
        <v>55</v>
      </c>
      <c r="F1025" t="str">
        <f t="shared" si="30"/>
        <v>MM</v>
      </c>
      <c r="G1025" t="str">
        <f>_xlfn.XLOOKUP(D1025,tblStates[state_code],tblStates[territory_id],"Needs Review - Territory")</f>
        <v>Needs Review - Territory</v>
      </c>
      <c r="H1025" t="str">
        <f>IF(E1025="","",_xlfn.XLOOKUP(E1025,tblUsers[user_id],tblUsers[job_title],"Owner Not Found"))</f>
        <v>Mid-Market Account Executive</v>
      </c>
      <c r="I1025" t="str">
        <f>IF(E1025="","",_xlfn.XLOOKUP(E1025,tblUsers[user_id],tblUsers[segment],"Owner Not Found"))</f>
        <v>MM</v>
      </c>
      <c r="J1025">
        <f>IF(E1025="","",_xlfn.XLOOKUP(E1025,tblUsers[user_id],tblUsers[territory_id],"Owner Not Found"))</f>
        <v>3</v>
      </c>
      <c r="K1025" t="str">
        <f t="shared" si="31"/>
        <v>Needs Review - Territory</v>
      </c>
    </row>
    <row r="1026" spans="1:11">
      <c r="A1026" t="s">
        <v>4801</v>
      </c>
      <c r="B1026" t="s">
        <v>4803</v>
      </c>
      <c r="C1026" t="s">
        <v>24</v>
      </c>
      <c r="D1026" t="s">
        <v>1034</v>
      </c>
      <c r="E1026" t="s">
        <v>59</v>
      </c>
      <c r="F1026" t="str">
        <f t="shared" si="30"/>
        <v>SMB</v>
      </c>
      <c r="G1026">
        <f>_xlfn.XLOOKUP(D1026,tblStates[state_code],tblStates[territory_id],"Needs Review - Territory")</f>
        <v>4</v>
      </c>
      <c r="H1026" t="str">
        <f>IF(E1026="","",_xlfn.XLOOKUP(E1026,tblUsers[user_id],tblUsers[job_title],"Owner Not Found"))</f>
        <v>SMB Account Executive</v>
      </c>
      <c r="I1026" t="str">
        <f>IF(E1026="","",_xlfn.XLOOKUP(E1026,tblUsers[user_id],tblUsers[segment],"Owner Not Found"))</f>
        <v>SMB</v>
      </c>
      <c r="J1026">
        <f>IF(E1026="","",_xlfn.XLOOKUP(E1026,tblUsers[user_id],tblUsers[territory_id],"Owner Not Found"))</f>
        <v>4</v>
      </c>
      <c r="K1026" t="str">
        <f t="shared" si="31"/>
        <v>Routing Compatible</v>
      </c>
    </row>
    <row r="1027" spans="1:11">
      <c r="A1027" t="s">
        <v>4804</v>
      </c>
      <c r="B1027" t="s">
        <v>4806</v>
      </c>
      <c r="C1027" t="s">
        <v>24</v>
      </c>
      <c r="D1027" t="s">
        <v>116</v>
      </c>
      <c r="E1027" t="s">
        <v>69</v>
      </c>
      <c r="F1027" t="str">
        <f t="shared" ref="F1027:F1090" si="32">IF(C1027="SMB","SMB",IF(OR(C1027="Mid-Market",C1027="Upper Mid-Market"),"MM","Needs Review - Segment"))</f>
        <v>SMB</v>
      </c>
      <c r="G1027">
        <f>_xlfn.XLOOKUP(D1027,tblStates[state_code],tblStates[territory_id],"Needs Review - Territory")</f>
        <v>2</v>
      </c>
      <c r="H1027" t="str">
        <f>IF(E1027="","",_xlfn.XLOOKUP(E1027,tblUsers[user_id],tblUsers[job_title],"Owner Not Found"))</f>
        <v>SMB Account Executive</v>
      </c>
      <c r="I1027" t="str">
        <f>IF(E1027="","",_xlfn.XLOOKUP(E1027,tblUsers[user_id],tblUsers[segment],"Owner Not Found"))</f>
        <v>SMB</v>
      </c>
      <c r="J1027">
        <f>IF(E1027="","",_xlfn.XLOOKUP(E1027,tblUsers[user_id],tblUsers[territory_id],"Owner Not Found"))</f>
        <v>3</v>
      </c>
      <c r="K1027" t="str">
        <f t="shared" ref="K1027:K1090" si="33">IF(E1027="","Unassigned",IF(F1027="Needs Review - Segment","Needs Review - Segment",IF(G1027="Needs Review - Territory","Needs Review - Territory",IF(I1027&lt;&gt;F1027,"Wrong Segment",IF(AND(ISNUMBER(SEARCH("Account Executive",H1027)),J1027&lt;&gt;G1027),"Wrong AE Territory",IF(OR(ISNUMBER(SEARCH("Account Executive",H1027)),H1027="Sales Development Representative"),"Routing Compatible","Unexpected Owner Role"))))))</f>
        <v>Wrong AE Territory</v>
      </c>
    </row>
    <row r="1028" spans="1:11">
      <c r="A1028" t="s">
        <v>4807</v>
      </c>
      <c r="B1028" t="s">
        <v>4809</v>
      </c>
      <c r="C1028" t="s">
        <v>17</v>
      </c>
      <c r="D1028" t="s">
        <v>178</v>
      </c>
      <c r="E1028" t="s">
        <v>36</v>
      </c>
      <c r="F1028" t="str">
        <f t="shared" si="32"/>
        <v>MM</v>
      </c>
      <c r="G1028">
        <f>_xlfn.XLOOKUP(D1028,tblStates[state_code],tblStates[territory_id],"Needs Review - Territory")</f>
        <v>4</v>
      </c>
      <c r="H1028" t="str">
        <f>IF(E1028="","",_xlfn.XLOOKUP(E1028,tblUsers[user_id],tblUsers[job_title],"Owner Not Found"))</f>
        <v>Mid-Market Account Executive</v>
      </c>
      <c r="I1028" t="str">
        <f>IF(E1028="","",_xlfn.XLOOKUP(E1028,tblUsers[user_id],tblUsers[segment],"Owner Not Found"))</f>
        <v>MM</v>
      </c>
      <c r="J1028">
        <f>IF(E1028="","",_xlfn.XLOOKUP(E1028,tblUsers[user_id],tblUsers[territory_id],"Owner Not Found"))</f>
        <v>4</v>
      </c>
      <c r="K1028" t="str">
        <f t="shared" si="33"/>
        <v>Routing Compatible</v>
      </c>
    </row>
    <row r="1029" spans="1:11">
      <c r="A1029" t="s">
        <v>4810</v>
      </c>
      <c r="B1029" t="s">
        <v>4812</v>
      </c>
      <c r="C1029" t="s">
        <v>30</v>
      </c>
      <c r="D1029" t="s">
        <v>35</v>
      </c>
      <c r="E1029" t="s">
        <v>36</v>
      </c>
      <c r="F1029" t="str">
        <f t="shared" si="32"/>
        <v>MM</v>
      </c>
      <c r="G1029">
        <f>_xlfn.XLOOKUP(D1029,tblStates[state_code],tblStates[territory_id],"Needs Review - Territory")</f>
        <v>4</v>
      </c>
      <c r="H1029" t="str">
        <f>IF(E1029="","",_xlfn.XLOOKUP(E1029,tblUsers[user_id],tblUsers[job_title],"Owner Not Found"))</f>
        <v>Mid-Market Account Executive</v>
      </c>
      <c r="I1029" t="str">
        <f>IF(E1029="","",_xlfn.XLOOKUP(E1029,tblUsers[user_id],tblUsers[segment],"Owner Not Found"))</f>
        <v>MM</v>
      </c>
      <c r="J1029">
        <f>IF(E1029="","",_xlfn.XLOOKUP(E1029,tblUsers[user_id],tblUsers[territory_id],"Owner Not Found"))</f>
        <v>4</v>
      </c>
      <c r="K1029" t="str">
        <f t="shared" si="33"/>
        <v>Routing Compatible</v>
      </c>
    </row>
    <row r="1030" spans="1:11">
      <c r="A1030" t="s">
        <v>4813</v>
      </c>
      <c r="B1030" t="s">
        <v>4815</v>
      </c>
      <c r="C1030" t="s">
        <v>30</v>
      </c>
      <c r="D1030" t="s">
        <v>178</v>
      </c>
      <c r="E1030" t="s">
        <v>36</v>
      </c>
      <c r="F1030" t="str">
        <f t="shared" si="32"/>
        <v>MM</v>
      </c>
      <c r="G1030">
        <f>_xlfn.XLOOKUP(D1030,tblStates[state_code],tblStates[territory_id],"Needs Review - Territory")</f>
        <v>4</v>
      </c>
      <c r="H1030" t="str">
        <f>IF(E1030="","",_xlfn.XLOOKUP(E1030,tblUsers[user_id],tblUsers[job_title],"Owner Not Found"))</f>
        <v>Mid-Market Account Executive</v>
      </c>
      <c r="I1030" t="str">
        <f>IF(E1030="","",_xlfn.XLOOKUP(E1030,tblUsers[user_id],tblUsers[segment],"Owner Not Found"))</f>
        <v>MM</v>
      </c>
      <c r="J1030">
        <f>IF(E1030="","",_xlfn.XLOOKUP(E1030,tblUsers[user_id],tblUsers[territory_id],"Owner Not Found"))</f>
        <v>4</v>
      </c>
      <c r="K1030" t="str">
        <f t="shared" si="33"/>
        <v>Routing Compatible</v>
      </c>
    </row>
    <row r="1031" spans="1:11">
      <c r="A1031" t="s">
        <v>4816</v>
      </c>
      <c r="B1031" t="s">
        <v>4817</v>
      </c>
      <c r="C1031" t="s">
        <v>30</v>
      </c>
      <c r="D1031" t="s">
        <v>366</v>
      </c>
      <c r="E1031" t="s">
        <v>55</v>
      </c>
      <c r="F1031" t="str">
        <f t="shared" si="32"/>
        <v>MM</v>
      </c>
      <c r="G1031">
        <f>_xlfn.XLOOKUP(D1031,tblStates[state_code],tblStates[territory_id],"Needs Review - Territory")</f>
        <v>1</v>
      </c>
      <c r="H1031" t="str">
        <f>IF(E1031="","",_xlfn.XLOOKUP(E1031,tblUsers[user_id],tblUsers[job_title],"Owner Not Found"))</f>
        <v>Mid-Market Account Executive</v>
      </c>
      <c r="I1031" t="str">
        <f>IF(E1031="","",_xlfn.XLOOKUP(E1031,tblUsers[user_id],tblUsers[segment],"Owner Not Found"))</f>
        <v>MM</v>
      </c>
      <c r="J1031">
        <f>IF(E1031="","",_xlfn.XLOOKUP(E1031,tblUsers[user_id],tblUsers[territory_id],"Owner Not Found"))</f>
        <v>3</v>
      </c>
      <c r="K1031" t="str">
        <f t="shared" si="33"/>
        <v>Wrong AE Territory</v>
      </c>
    </row>
    <row r="1032" spans="1:11">
      <c r="A1032" t="s">
        <v>4818</v>
      </c>
      <c r="B1032" t="s">
        <v>4820</v>
      </c>
      <c r="C1032" t="s">
        <v>30</v>
      </c>
      <c r="D1032" t="s">
        <v>68</v>
      </c>
      <c r="E1032" t="s">
        <v>55</v>
      </c>
      <c r="F1032" t="str">
        <f t="shared" si="32"/>
        <v>MM</v>
      </c>
      <c r="G1032">
        <f>_xlfn.XLOOKUP(D1032,tblStates[state_code],tblStates[territory_id],"Needs Review - Territory")</f>
        <v>3</v>
      </c>
      <c r="H1032" t="str">
        <f>IF(E1032="","",_xlfn.XLOOKUP(E1032,tblUsers[user_id],tblUsers[job_title],"Owner Not Found"))</f>
        <v>Mid-Market Account Executive</v>
      </c>
      <c r="I1032" t="str">
        <f>IF(E1032="","",_xlfn.XLOOKUP(E1032,tblUsers[user_id],tblUsers[segment],"Owner Not Found"))</f>
        <v>MM</v>
      </c>
      <c r="J1032">
        <f>IF(E1032="","",_xlfn.XLOOKUP(E1032,tblUsers[user_id],tblUsers[territory_id],"Owner Not Found"))</f>
        <v>3</v>
      </c>
      <c r="K1032" t="str">
        <f t="shared" si="33"/>
        <v>Routing Compatible</v>
      </c>
    </row>
    <row r="1033" spans="1:11">
      <c r="A1033" t="s">
        <v>4821</v>
      </c>
      <c r="B1033" t="s">
        <v>4823</v>
      </c>
      <c r="C1033" t="s">
        <v>30</v>
      </c>
      <c r="D1033" t="s">
        <v>95</v>
      </c>
      <c r="E1033" t="s">
        <v>18</v>
      </c>
      <c r="F1033" t="str">
        <f t="shared" si="32"/>
        <v>MM</v>
      </c>
      <c r="G1033">
        <f>_xlfn.XLOOKUP(D1033,tblStates[state_code],tblStates[territory_id],"Needs Review - Territory")</f>
        <v>1</v>
      </c>
      <c r="H1033" t="str">
        <f>IF(E1033="","",_xlfn.XLOOKUP(E1033,tblUsers[user_id],tblUsers[job_title],"Owner Not Found"))</f>
        <v>Mid-Market Account Executive</v>
      </c>
      <c r="I1033" t="str">
        <f>IF(E1033="","",_xlfn.XLOOKUP(E1033,tblUsers[user_id],tblUsers[segment],"Owner Not Found"))</f>
        <v>MM</v>
      </c>
      <c r="J1033">
        <f>IF(E1033="","",_xlfn.XLOOKUP(E1033,tblUsers[user_id],tblUsers[territory_id],"Owner Not Found"))</f>
        <v>1</v>
      </c>
      <c r="K1033" t="str">
        <f t="shared" si="33"/>
        <v>Routing Compatible</v>
      </c>
    </row>
    <row r="1034" spans="1:11">
      <c r="A1034" t="s">
        <v>4824</v>
      </c>
      <c r="B1034" t="s">
        <v>4826</v>
      </c>
      <c r="C1034" t="s">
        <v>24</v>
      </c>
      <c r="D1034" t="s">
        <v>50</v>
      </c>
      <c r="E1034" t="s">
        <v>59</v>
      </c>
      <c r="F1034" t="str">
        <f t="shared" si="32"/>
        <v>SMB</v>
      </c>
      <c r="G1034">
        <f>_xlfn.XLOOKUP(D1034,tblStates[state_code],tblStates[territory_id],"Needs Review - Territory")</f>
        <v>4</v>
      </c>
      <c r="H1034" t="str">
        <f>IF(E1034="","",_xlfn.XLOOKUP(E1034,tblUsers[user_id],tblUsers[job_title],"Owner Not Found"))</f>
        <v>SMB Account Executive</v>
      </c>
      <c r="I1034" t="str">
        <f>IF(E1034="","",_xlfn.XLOOKUP(E1034,tblUsers[user_id],tblUsers[segment],"Owner Not Found"))</f>
        <v>SMB</v>
      </c>
      <c r="J1034">
        <f>IF(E1034="","",_xlfn.XLOOKUP(E1034,tblUsers[user_id],tblUsers[territory_id],"Owner Not Found"))</f>
        <v>4</v>
      </c>
      <c r="K1034" t="str">
        <f t="shared" si="33"/>
        <v>Routing Compatible</v>
      </c>
    </row>
    <row r="1035" spans="1:11">
      <c r="A1035" t="s">
        <v>4827</v>
      </c>
      <c r="B1035" t="s">
        <v>4829</v>
      </c>
      <c r="C1035" t="s">
        <v>24</v>
      </c>
      <c r="D1035" t="s">
        <v>285</v>
      </c>
      <c r="E1035" t="s">
        <v>59</v>
      </c>
      <c r="F1035" t="str">
        <f t="shared" si="32"/>
        <v>SMB</v>
      </c>
      <c r="G1035">
        <f>_xlfn.XLOOKUP(D1035,tblStates[state_code],tblStates[territory_id],"Needs Review - Territory")</f>
        <v>4</v>
      </c>
      <c r="H1035" t="str">
        <f>IF(E1035="","",_xlfn.XLOOKUP(E1035,tblUsers[user_id],tblUsers[job_title],"Owner Not Found"))</f>
        <v>SMB Account Executive</v>
      </c>
      <c r="I1035" t="str">
        <f>IF(E1035="","",_xlfn.XLOOKUP(E1035,tblUsers[user_id],tblUsers[segment],"Owner Not Found"))</f>
        <v>SMB</v>
      </c>
      <c r="J1035">
        <f>IF(E1035="","",_xlfn.XLOOKUP(E1035,tblUsers[user_id],tblUsers[territory_id],"Owner Not Found"))</f>
        <v>4</v>
      </c>
      <c r="K1035" t="str">
        <f t="shared" si="33"/>
        <v>Routing Compatible</v>
      </c>
    </row>
    <row r="1036" spans="1:11">
      <c r="A1036" t="s">
        <v>4830</v>
      </c>
      <c r="B1036" t="s">
        <v>4832</v>
      </c>
      <c r="C1036" t="s">
        <v>30</v>
      </c>
      <c r="D1036" t="s">
        <v>81</v>
      </c>
      <c r="E1036" t="s">
        <v>82</v>
      </c>
      <c r="F1036" t="str">
        <f t="shared" si="32"/>
        <v>MM</v>
      </c>
      <c r="G1036">
        <f>_xlfn.XLOOKUP(D1036,tblStates[state_code],tblStates[territory_id],"Needs Review - Territory")</f>
        <v>2</v>
      </c>
      <c r="H1036" t="str">
        <f>IF(E1036="","",_xlfn.XLOOKUP(E1036,tblUsers[user_id],tblUsers[job_title],"Owner Not Found"))</f>
        <v>Mid-Market Account Executive</v>
      </c>
      <c r="I1036" t="str">
        <f>IF(E1036="","",_xlfn.XLOOKUP(E1036,tblUsers[user_id],tblUsers[segment],"Owner Not Found"))</f>
        <v>MM</v>
      </c>
      <c r="J1036">
        <f>IF(E1036="","",_xlfn.XLOOKUP(E1036,tblUsers[user_id],tblUsers[territory_id],"Owner Not Found"))</f>
        <v>2</v>
      </c>
      <c r="K1036" t="str">
        <f t="shared" si="33"/>
        <v>Routing Compatible</v>
      </c>
    </row>
    <row r="1037" spans="1:11">
      <c r="A1037" t="s">
        <v>4833</v>
      </c>
      <c r="B1037" t="s">
        <v>4835</v>
      </c>
      <c r="C1037" t="s">
        <v>24</v>
      </c>
      <c r="D1037" t="s">
        <v>16</v>
      </c>
      <c r="E1037" t="s">
        <v>91</v>
      </c>
      <c r="F1037" t="str">
        <f t="shared" si="32"/>
        <v>SMB</v>
      </c>
      <c r="G1037">
        <f>_xlfn.XLOOKUP(D1037,tblStates[state_code],tblStates[territory_id],"Needs Review - Territory")</f>
        <v>1</v>
      </c>
      <c r="H1037" t="str">
        <f>IF(E1037="","",_xlfn.XLOOKUP(E1037,tblUsers[user_id],tblUsers[job_title],"Owner Not Found"))</f>
        <v>SMB Account Executive</v>
      </c>
      <c r="I1037" t="str">
        <f>IF(E1037="","",_xlfn.XLOOKUP(E1037,tblUsers[user_id],tblUsers[segment],"Owner Not Found"))</f>
        <v>SMB</v>
      </c>
      <c r="J1037">
        <f>IF(E1037="","",_xlfn.XLOOKUP(E1037,tblUsers[user_id],tblUsers[territory_id],"Owner Not Found"))</f>
        <v>1</v>
      </c>
      <c r="K1037" t="str">
        <f t="shared" si="33"/>
        <v>Routing Compatible</v>
      </c>
    </row>
    <row r="1038" spans="1:11">
      <c r="A1038" t="s">
        <v>4836</v>
      </c>
      <c r="B1038" t="s">
        <v>4838</v>
      </c>
      <c r="C1038" t="s">
        <v>24</v>
      </c>
      <c r="D1038" t="s">
        <v>81</v>
      </c>
      <c r="E1038" t="s">
        <v>25</v>
      </c>
      <c r="F1038" t="str">
        <f t="shared" si="32"/>
        <v>SMB</v>
      </c>
      <c r="G1038">
        <f>_xlfn.XLOOKUP(D1038,tblStates[state_code],tblStates[territory_id],"Needs Review - Territory")</f>
        <v>2</v>
      </c>
      <c r="H1038" t="str">
        <f>IF(E1038="","",_xlfn.XLOOKUP(E1038,tblUsers[user_id],tblUsers[job_title],"Owner Not Found"))</f>
        <v>SMB Account Executive</v>
      </c>
      <c r="I1038" t="str">
        <f>IF(E1038="","",_xlfn.XLOOKUP(E1038,tblUsers[user_id],tblUsers[segment],"Owner Not Found"))</f>
        <v>SMB</v>
      </c>
      <c r="J1038">
        <f>IF(E1038="","",_xlfn.XLOOKUP(E1038,tblUsers[user_id],tblUsers[territory_id],"Owner Not Found"))</f>
        <v>2</v>
      </c>
      <c r="K1038" t="str">
        <f t="shared" si="33"/>
        <v>Routing Compatible</v>
      </c>
    </row>
    <row r="1039" spans="1:11">
      <c r="A1039" t="s">
        <v>4839</v>
      </c>
      <c r="B1039" t="s">
        <v>4841</v>
      </c>
      <c r="C1039" t="s">
        <v>24</v>
      </c>
      <c r="D1039" t="s">
        <v>440</v>
      </c>
      <c r="E1039" t="s">
        <v>69</v>
      </c>
      <c r="F1039" t="str">
        <f t="shared" si="32"/>
        <v>SMB</v>
      </c>
      <c r="G1039">
        <f>_xlfn.XLOOKUP(D1039,tblStates[state_code],tblStates[territory_id],"Needs Review - Territory")</f>
        <v>3</v>
      </c>
      <c r="H1039" t="str">
        <f>IF(E1039="","",_xlfn.XLOOKUP(E1039,tblUsers[user_id],tblUsers[job_title],"Owner Not Found"))</f>
        <v>SMB Account Executive</v>
      </c>
      <c r="I1039" t="str">
        <f>IF(E1039="","",_xlfn.XLOOKUP(E1039,tblUsers[user_id],tblUsers[segment],"Owner Not Found"))</f>
        <v>SMB</v>
      </c>
      <c r="J1039">
        <f>IF(E1039="","",_xlfn.XLOOKUP(E1039,tblUsers[user_id],tblUsers[territory_id],"Owner Not Found"))</f>
        <v>3</v>
      </c>
      <c r="K1039" t="str">
        <f t="shared" si="33"/>
        <v>Routing Compatible</v>
      </c>
    </row>
    <row r="1040" spans="1:11">
      <c r="A1040" t="s">
        <v>4842</v>
      </c>
      <c r="B1040" t="s">
        <v>4844</v>
      </c>
      <c r="C1040" t="s">
        <v>24</v>
      </c>
      <c r="D1040" t="s">
        <v>23</v>
      </c>
      <c r="E1040" t="s">
        <v>25</v>
      </c>
      <c r="F1040" t="str">
        <f t="shared" si="32"/>
        <v>SMB</v>
      </c>
      <c r="G1040">
        <f>_xlfn.XLOOKUP(D1040,tblStates[state_code],tblStates[territory_id],"Needs Review - Territory")</f>
        <v>2</v>
      </c>
      <c r="H1040" t="str">
        <f>IF(E1040="","",_xlfn.XLOOKUP(E1040,tblUsers[user_id],tblUsers[job_title],"Owner Not Found"))</f>
        <v>SMB Account Executive</v>
      </c>
      <c r="I1040" t="str">
        <f>IF(E1040="","",_xlfn.XLOOKUP(E1040,tblUsers[user_id],tblUsers[segment],"Owner Not Found"))</f>
        <v>SMB</v>
      </c>
      <c r="J1040">
        <f>IF(E1040="","",_xlfn.XLOOKUP(E1040,tblUsers[user_id],tblUsers[territory_id],"Owner Not Found"))</f>
        <v>2</v>
      </c>
      <c r="K1040" t="str">
        <f t="shared" si="33"/>
        <v>Routing Compatible</v>
      </c>
    </row>
    <row r="1041" spans="1:11">
      <c r="A1041" t="s">
        <v>4845</v>
      </c>
      <c r="B1041" t="s">
        <v>4847</v>
      </c>
      <c r="C1041" t="s">
        <v>24</v>
      </c>
      <c r="D1041" t="s">
        <v>408</v>
      </c>
      <c r="E1041" t="s">
        <v>69</v>
      </c>
      <c r="F1041" t="str">
        <f t="shared" si="32"/>
        <v>SMB</v>
      </c>
      <c r="G1041">
        <f>_xlfn.XLOOKUP(D1041,tblStates[state_code],tblStates[territory_id],"Needs Review - Territory")</f>
        <v>3</v>
      </c>
      <c r="H1041" t="str">
        <f>IF(E1041="","",_xlfn.XLOOKUP(E1041,tblUsers[user_id],tblUsers[job_title],"Owner Not Found"))</f>
        <v>SMB Account Executive</v>
      </c>
      <c r="I1041" t="str">
        <f>IF(E1041="","",_xlfn.XLOOKUP(E1041,tblUsers[user_id],tblUsers[segment],"Owner Not Found"))</f>
        <v>SMB</v>
      </c>
      <c r="J1041">
        <f>IF(E1041="","",_xlfn.XLOOKUP(E1041,tblUsers[user_id],tblUsers[territory_id],"Owner Not Found"))</f>
        <v>3</v>
      </c>
      <c r="K1041" t="str">
        <f t="shared" si="33"/>
        <v>Routing Compatible</v>
      </c>
    </row>
    <row r="1042" spans="1:11">
      <c r="A1042" t="s">
        <v>4848</v>
      </c>
      <c r="B1042" t="s">
        <v>4850</v>
      </c>
      <c r="C1042" t="s">
        <v>30</v>
      </c>
      <c r="D1042" t="s">
        <v>154</v>
      </c>
      <c r="E1042" t="s">
        <v>82</v>
      </c>
      <c r="F1042" t="str">
        <f t="shared" si="32"/>
        <v>MM</v>
      </c>
      <c r="G1042">
        <f>_xlfn.XLOOKUP(D1042,tblStates[state_code],tblStates[territory_id],"Needs Review - Territory")</f>
        <v>2</v>
      </c>
      <c r="H1042" t="str">
        <f>IF(E1042="","",_xlfn.XLOOKUP(E1042,tblUsers[user_id],tblUsers[job_title],"Owner Not Found"))</f>
        <v>Mid-Market Account Executive</v>
      </c>
      <c r="I1042" t="str">
        <f>IF(E1042="","",_xlfn.XLOOKUP(E1042,tblUsers[user_id],tblUsers[segment],"Owner Not Found"))</f>
        <v>MM</v>
      </c>
      <c r="J1042">
        <f>IF(E1042="","",_xlfn.XLOOKUP(E1042,tblUsers[user_id],tblUsers[territory_id],"Owner Not Found"))</f>
        <v>2</v>
      </c>
      <c r="K1042" t="str">
        <f t="shared" si="33"/>
        <v>Routing Compatible</v>
      </c>
    </row>
    <row r="1043" spans="1:11">
      <c r="A1043" t="s">
        <v>4851</v>
      </c>
      <c r="B1043" t="s">
        <v>4853</v>
      </c>
      <c r="D1043" t="s">
        <v>323</v>
      </c>
      <c r="F1043" t="str">
        <f t="shared" si="32"/>
        <v>Needs Review - Segment</v>
      </c>
      <c r="G1043">
        <f>_xlfn.XLOOKUP(D1043,tblStates[state_code],tblStates[territory_id],"Needs Review - Territory")</f>
        <v>2</v>
      </c>
      <c r="H1043" t="str">
        <f>IF(E1043="","",_xlfn.XLOOKUP(E1043,tblUsers[user_id],tblUsers[job_title],"Owner Not Found"))</f>
        <v/>
      </c>
      <c r="I1043" t="str">
        <f>IF(E1043="","",_xlfn.XLOOKUP(E1043,tblUsers[user_id],tblUsers[segment],"Owner Not Found"))</f>
        <v/>
      </c>
      <c r="J1043" t="str">
        <f>IF(E1043="","",_xlfn.XLOOKUP(E1043,tblUsers[user_id],tblUsers[territory_id],"Owner Not Found"))</f>
        <v/>
      </c>
      <c r="K1043" t="str">
        <f t="shared" si="33"/>
        <v>Unassigned</v>
      </c>
    </row>
    <row r="1044" spans="1:11">
      <c r="A1044" t="s">
        <v>4854</v>
      </c>
      <c r="B1044" t="s">
        <v>4856</v>
      </c>
      <c r="C1044" t="s">
        <v>24</v>
      </c>
      <c r="D1044" t="s">
        <v>323</v>
      </c>
      <c r="E1044" t="s">
        <v>25</v>
      </c>
      <c r="F1044" t="str">
        <f t="shared" si="32"/>
        <v>SMB</v>
      </c>
      <c r="G1044">
        <f>_xlfn.XLOOKUP(D1044,tblStates[state_code],tblStates[territory_id],"Needs Review - Territory")</f>
        <v>2</v>
      </c>
      <c r="H1044" t="str">
        <f>IF(E1044="","",_xlfn.XLOOKUP(E1044,tblUsers[user_id],tblUsers[job_title],"Owner Not Found"))</f>
        <v>SMB Account Executive</v>
      </c>
      <c r="I1044" t="str">
        <f>IF(E1044="","",_xlfn.XLOOKUP(E1044,tblUsers[user_id],tblUsers[segment],"Owner Not Found"))</f>
        <v>SMB</v>
      </c>
      <c r="J1044">
        <f>IF(E1044="","",_xlfn.XLOOKUP(E1044,tblUsers[user_id],tblUsers[territory_id],"Owner Not Found"))</f>
        <v>2</v>
      </c>
      <c r="K1044" t="str">
        <f t="shared" si="33"/>
        <v>Routing Compatible</v>
      </c>
    </row>
    <row r="1045" spans="1:11">
      <c r="A1045" t="s">
        <v>4857</v>
      </c>
      <c r="B1045" t="s">
        <v>4859</v>
      </c>
      <c r="C1045" t="s">
        <v>24</v>
      </c>
      <c r="D1045" t="s">
        <v>99</v>
      </c>
      <c r="E1045" t="s">
        <v>59</v>
      </c>
      <c r="F1045" t="str">
        <f t="shared" si="32"/>
        <v>SMB</v>
      </c>
      <c r="G1045">
        <f>_xlfn.XLOOKUP(D1045,tblStates[state_code],tblStates[territory_id],"Needs Review - Territory")</f>
        <v>4</v>
      </c>
      <c r="H1045" t="str">
        <f>IF(E1045="","",_xlfn.XLOOKUP(E1045,tblUsers[user_id],tblUsers[job_title],"Owner Not Found"))</f>
        <v>SMB Account Executive</v>
      </c>
      <c r="I1045" t="str">
        <f>IF(E1045="","",_xlfn.XLOOKUP(E1045,tblUsers[user_id],tblUsers[segment],"Owner Not Found"))</f>
        <v>SMB</v>
      </c>
      <c r="J1045">
        <f>IF(E1045="","",_xlfn.XLOOKUP(E1045,tblUsers[user_id],tblUsers[territory_id],"Owner Not Found"))</f>
        <v>4</v>
      </c>
      <c r="K1045" t="str">
        <f t="shared" si="33"/>
        <v>Routing Compatible</v>
      </c>
    </row>
    <row r="1046" spans="1:11">
      <c r="A1046" t="s">
        <v>4860</v>
      </c>
      <c r="B1046" t="s">
        <v>4862</v>
      </c>
      <c r="D1046" t="s">
        <v>171</v>
      </c>
      <c r="F1046" t="str">
        <f t="shared" si="32"/>
        <v>Needs Review - Segment</v>
      </c>
      <c r="G1046">
        <f>_xlfn.XLOOKUP(D1046,tblStates[state_code],tblStates[territory_id],"Needs Review - Territory")</f>
        <v>1</v>
      </c>
      <c r="H1046" t="str">
        <f>IF(E1046="","",_xlfn.XLOOKUP(E1046,tblUsers[user_id],tblUsers[job_title],"Owner Not Found"))</f>
        <v/>
      </c>
      <c r="I1046" t="str">
        <f>IF(E1046="","",_xlfn.XLOOKUP(E1046,tblUsers[user_id],tblUsers[segment],"Owner Not Found"))</f>
        <v/>
      </c>
      <c r="J1046" t="str">
        <f>IF(E1046="","",_xlfn.XLOOKUP(E1046,tblUsers[user_id],tblUsers[territory_id],"Owner Not Found"))</f>
        <v/>
      </c>
      <c r="K1046" t="str">
        <f t="shared" si="33"/>
        <v>Unassigned</v>
      </c>
    </row>
    <row r="1047" spans="1:11">
      <c r="A1047" t="s">
        <v>4863</v>
      </c>
      <c r="B1047" t="s">
        <v>4865</v>
      </c>
      <c r="C1047" t="s">
        <v>30</v>
      </c>
      <c r="D1047" t="s">
        <v>54</v>
      </c>
      <c r="E1047" t="s">
        <v>55</v>
      </c>
      <c r="F1047" t="str">
        <f t="shared" si="32"/>
        <v>MM</v>
      </c>
      <c r="G1047">
        <f>_xlfn.XLOOKUP(D1047,tblStates[state_code],tblStates[territory_id],"Needs Review - Territory")</f>
        <v>3</v>
      </c>
      <c r="H1047" t="str">
        <f>IF(E1047="","",_xlfn.XLOOKUP(E1047,tblUsers[user_id],tblUsers[job_title],"Owner Not Found"))</f>
        <v>Mid-Market Account Executive</v>
      </c>
      <c r="I1047" t="str">
        <f>IF(E1047="","",_xlfn.XLOOKUP(E1047,tblUsers[user_id],tblUsers[segment],"Owner Not Found"))</f>
        <v>MM</v>
      </c>
      <c r="J1047">
        <f>IF(E1047="","",_xlfn.XLOOKUP(E1047,tblUsers[user_id],tblUsers[territory_id],"Owner Not Found"))</f>
        <v>3</v>
      </c>
      <c r="K1047" t="str">
        <f t="shared" si="33"/>
        <v>Routing Compatible</v>
      </c>
    </row>
    <row r="1048" spans="1:11">
      <c r="A1048" t="s">
        <v>4866</v>
      </c>
      <c r="B1048" t="s">
        <v>4868</v>
      </c>
      <c r="C1048" t="s">
        <v>17</v>
      </c>
      <c r="D1048" t="s">
        <v>295</v>
      </c>
      <c r="E1048" t="s">
        <v>82</v>
      </c>
      <c r="F1048" t="str">
        <f t="shared" si="32"/>
        <v>MM</v>
      </c>
      <c r="G1048">
        <f>_xlfn.XLOOKUP(D1048,tblStates[state_code],tblStates[territory_id],"Needs Review - Territory")</f>
        <v>2</v>
      </c>
      <c r="H1048" t="str">
        <f>IF(E1048="","",_xlfn.XLOOKUP(E1048,tblUsers[user_id],tblUsers[job_title],"Owner Not Found"))</f>
        <v>Mid-Market Account Executive</v>
      </c>
      <c r="I1048" t="str">
        <f>IF(E1048="","",_xlfn.XLOOKUP(E1048,tblUsers[user_id],tblUsers[segment],"Owner Not Found"))</f>
        <v>MM</v>
      </c>
      <c r="J1048">
        <f>IF(E1048="","",_xlfn.XLOOKUP(E1048,tblUsers[user_id],tblUsers[territory_id],"Owner Not Found"))</f>
        <v>2</v>
      </c>
      <c r="K1048" t="str">
        <f t="shared" si="33"/>
        <v>Routing Compatible</v>
      </c>
    </row>
    <row r="1049" spans="1:11">
      <c r="A1049" t="s">
        <v>4869</v>
      </c>
      <c r="B1049" t="s">
        <v>4871</v>
      </c>
      <c r="C1049" t="s">
        <v>30</v>
      </c>
      <c r="D1049" t="s">
        <v>216</v>
      </c>
      <c r="E1049" t="s">
        <v>18</v>
      </c>
      <c r="F1049" t="str">
        <f t="shared" si="32"/>
        <v>MM</v>
      </c>
      <c r="G1049">
        <f>_xlfn.XLOOKUP(D1049,tblStates[state_code],tblStates[territory_id],"Needs Review - Territory")</f>
        <v>1</v>
      </c>
      <c r="H1049" t="str">
        <f>IF(E1049="","",_xlfn.XLOOKUP(E1049,tblUsers[user_id],tblUsers[job_title],"Owner Not Found"))</f>
        <v>Mid-Market Account Executive</v>
      </c>
      <c r="I1049" t="str">
        <f>IF(E1049="","",_xlfn.XLOOKUP(E1049,tblUsers[user_id],tblUsers[segment],"Owner Not Found"))</f>
        <v>MM</v>
      </c>
      <c r="J1049">
        <f>IF(E1049="","",_xlfn.XLOOKUP(E1049,tblUsers[user_id],tblUsers[territory_id],"Owner Not Found"))</f>
        <v>1</v>
      </c>
      <c r="K1049" t="str">
        <f t="shared" si="33"/>
        <v>Routing Compatible</v>
      </c>
    </row>
    <row r="1050" spans="1:11">
      <c r="A1050" t="s">
        <v>4872</v>
      </c>
      <c r="B1050" t="s">
        <v>4874</v>
      </c>
      <c r="C1050" t="s">
        <v>30</v>
      </c>
      <c r="D1050" t="s">
        <v>50</v>
      </c>
      <c r="E1050" t="s">
        <v>36</v>
      </c>
      <c r="F1050" t="str">
        <f t="shared" si="32"/>
        <v>MM</v>
      </c>
      <c r="G1050">
        <f>_xlfn.XLOOKUP(D1050,tblStates[state_code],tblStates[territory_id],"Needs Review - Territory")</f>
        <v>4</v>
      </c>
      <c r="H1050" t="str">
        <f>IF(E1050="","",_xlfn.XLOOKUP(E1050,tblUsers[user_id],tblUsers[job_title],"Owner Not Found"))</f>
        <v>Mid-Market Account Executive</v>
      </c>
      <c r="I1050" t="str">
        <f>IF(E1050="","",_xlfn.XLOOKUP(E1050,tblUsers[user_id],tblUsers[segment],"Owner Not Found"))</f>
        <v>MM</v>
      </c>
      <c r="J1050">
        <f>IF(E1050="","",_xlfn.XLOOKUP(E1050,tblUsers[user_id],tblUsers[territory_id],"Owner Not Found"))</f>
        <v>4</v>
      </c>
      <c r="K1050" t="str">
        <f t="shared" si="33"/>
        <v>Routing Compatible</v>
      </c>
    </row>
    <row r="1051" spans="1:11">
      <c r="A1051" t="s">
        <v>4875</v>
      </c>
      <c r="B1051" t="s">
        <v>4877</v>
      </c>
      <c r="C1051" t="s">
        <v>30</v>
      </c>
      <c r="D1051" t="s">
        <v>140</v>
      </c>
      <c r="E1051" t="s">
        <v>82</v>
      </c>
      <c r="F1051" t="str">
        <f t="shared" si="32"/>
        <v>MM</v>
      </c>
      <c r="G1051">
        <f>_xlfn.XLOOKUP(D1051,tblStates[state_code],tblStates[territory_id],"Needs Review - Territory")</f>
        <v>2</v>
      </c>
      <c r="H1051" t="str">
        <f>IF(E1051="","",_xlfn.XLOOKUP(E1051,tblUsers[user_id],tblUsers[job_title],"Owner Not Found"))</f>
        <v>Mid-Market Account Executive</v>
      </c>
      <c r="I1051" t="str">
        <f>IF(E1051="","",_xlfn.XLOOKUP(E1051,tblUsers[user_id],tblUsers[segment],"Owner Not Found"))</f>
        <v>MM</v>
      </c>
      <c r="J1051">
        <f>IF(E1051="","",_xlfn.XLOOKUP(E1051,tblUsers[user_id],tblUsers[territory_id],"Owner Not Found"))</f>
        <v>2</v>
      </c>
      <c r="K1051" t="str">
        <f t="shared" si="33"/>
        <v>Routing Compatible</v>
      </c>
    </row>
    <row r="1052" spans="1:11">
      <c r="A1052" t="s">
        <v>4878</v>
      </c>
      <c r="B1052" t="s">
        <v>4880</v>
      </c>
      <c r="C1052" t="s">
        <v>17</v>
      </c>
      <c r="D1052" t="s">
        <v>171</v>
      </c>
      <c r="E1052" t="s">
        <v>82</v>
      </c>
      <c r="F1052" t="str">
        <f t="shared" si="32"/>
        <v>MM</v>
      </c>
      <c r="G1052">
        <f>_xlfn.XLOOKUP(D1052,tblStates[state_code],tblStates[territory_id],"Needs Review - Territory")</f>
        <v>1</v>
      </c>
      <c r="H1052" t="str">
        <f>IF(E1052="","",_xlfn.XLOOKUP(E1052,tblUsers[user_id],tblUsers[job_title],"Owner Not Found"))</f>
        <v>Mid-Market Account Executive</v>
      </c>
      <c r="I1052" t="str">
        <f>IF(E1052="","",_xlfn.XLOOKUP(E1052,tblUsers[user_id],tblUsers[segment],"Owner Not Found"))</f>
        <v>MM</v>
      </c>
      <c r="J1052">
        <f>IF(E1052="","",_xlfn.XLOOKUP(E1052,tblUsers[user_id],tblUsers[territory_id],"Owner Not Found"))</f>
        <v>2</v>
      </c>
      <c r="K1052" t="str">
        <f t="shared" si="33"/>
        <v>Wrong AE Territory</v>
      </c>
    </row>
    <row r="1053" spans="1:11">
      <c r="A1053" t="s">
        <v>4881</v>
      </c>
      <c r="B1053" t="s">
        <v>4883</v>
      </c>
      <c r="D1053" t="s">
        <v>50</v>
      </c>
      <c r="F1053" t="str">
        <f t="shared" si="32"/>
        <v>Needs Review - Segment</v>
      </c>
      <c r="G1053">
        <f>_xlfn.XLOOKUP(D1053,tblStates[state_code],tblStates[territory_id],"Needs Review - Territory")</f>
        <v>4</v>
      </c>
      <c r="H1053" t="str">
        <f>IF(E1053="","",_xlfn.XLOOKUP(E1053,tblUsers[user_id],tblUsers[job_title],"Owner Not Found"))</f>
        <v/>
      </c>
      <c r="I1053" t="str">
        <f>IF(E1053="","",_xlfn.XLOOKUP(E1053,tblUsers[user_id],tblUsers[segment],"Owner Not Found"))</f>
        <v/>
      </c>
      <c r="J1053" t="str">
        <f>IF(E1053="","",_xlfn.XLOOKUP(E1053,tblUsers[user_id],tblUsers[territory_id],"Owner Not Found"))</f>
        <v/>
      </c>
      <c r="K1053" t="str">
        <f t="shared" si="33"/>
        <v>Unassigned</v>
      </c>
    </row>
    <row r="1054" spans="1:11">
      <c r="A1054" t="s">
        <v>4884</v>
      </c>
      <c r="B1054" t="s">
        <v>4886</v>
      </c>
      <c r="C1054" t="s">
        <v>30</v>
      </c>
      <c r="D1054" t="s">
        <v>226</v>
      </c>
      <c r="E1054" t="s">
        <v>55</v>
      </c>
      <c r="F1054" t="str">
        <f t="shared" si="32"/>
        <v>MM</v>
      </c>
      <c r="G1054">
        <f>_xlfn.XLOOKUP(D1054,tblStates[state_code],tblStates[territory_id],"Needs Review - Territory")</f>
        <v>3</v>
      </c>
      <c r="H1054" t="str">
        <f>IF(E1054="","",_xlfn.XLOOKUP(E1054,tblUsers[user_id],tblUsers[job_title],"Owner Not Found"))</f>
        <v>Mid-Market Account Executive</v>
      </c>
      <c r="I1054" t="str">
        <f>IF(E1054="","",_xlfn.XLOOKUP(E1054,tblUsers[user_id],tblUsers[segment],"Owner Not Found"))</f>
        <v>MM</v>
      </c>
      <c r="J1054">
        <f>IF(E1054="","",_xlfn.XLOOKUP(E1054,tblUsers[user_id],tblUsers[territory_id],"Owner Not Found"))</f>
        <v>3</v>
      </c>
      <c r="K1054" t="str">
        <f t="shared" si="33"/>
        <v>Routing Compatible</v>
      </c>
    </row>
    <row r="1055" spans="1:11">
      <c r="A1055" t="s">
        <v>4887</v>
      </c>
      <c r="B1055" t="s">
        <v>4889</v>
      </c>
      <c r="C1055" t="s">
        <v>24</v>
      </c>
      <c r="D1055" t="s">
        <v>223</v>
      </c>
      <c r="E1055" t="s">
        <v>91</v>
      </c>
      <c r="F1055" t="str">
        <f t="shared" si="32"/>
        <v>SMB</v>
      </c>
      <c r="G1055">
        <f>_xlfn.XLOOKUP(D1055,tblStates[state_code],tblStates[territory_id],"Needs Review - Territory")</f>
        <v>1</v>
      </c>
      <c r="H1055" t="str">
        <f>IF(E1055="","",_xlfn.XLOOKUP(E1055,tblUsers[user_id],tblUsers[job_title],"Owner Not Found"))</f>
        <v>SMB Account Executive</v>
      </c>
      <c r="I1055" t="str">
        <f>IF(E1055="","",_xlfn.XLOOKUP(E1055,tblUsers[user_id],tblUsers[segment],"Owner Not Found"))</f>
        <v>SMB</v>
      </c>
      <c r="J1055">
        <f>IF(E1055="","",_xlfn.XLOOKUP(E1055,tblUsers[user_id],tblUsers[territory_id],"Owner Not Found"))</f>
        <v>1</v>
      </c>
      <c r="K1055" t="str">
        <f t="shared" si="33"/>
        <v>Routing Compatible</v>
      </c>
    </row>
    <row r="1056" spans="1:11">
      <c r="A1056" t="s">
        <v>4890</v>
      </c>
      <c r="B1056" t="s">
        <v>4892</v>
      </c>
      <c r="C1056" t="s">
        <v>30</v>
      </c>
      <c r="D1056" t="s">
        <v>205</v>
      </c>
      <c r="E1056" t="s">
        <v>82</v>
      </c>
      <c r="F1056" t="str">
        <f t="shared" si="32"/>
        <v>MM</v>
      </c>
      <c r="G1056">
        <f>_xlfn.XLOOKUP(D1056,tblStates[state_code],tblStates[territory_id],"Needs Review - Territory")</f>
        <v>4</v>
      </c>
      <c r="H1056" t="str">
        <f>IF(E1056="","",_xlfn.XLOOKUP(E1056,tblUsers[user_id],tblUsers[job_title],"Owner Not Found"))</f>
        <v>Mid-Market Account Executive</v>
      </c>
      <c r="I1056" t="str">
        <f>IF(E1056="","",_xlfn.XLOOKUP(E1056,tblUsers[user_id],tblUsers[segment],"Owner Not Found"))</f>
        <v>MM</v>
      </c>
      <c r="J1056">
        <f>IF(E1056="","",_xlfn.XLOOKUP(E1056,tblUsers[user_id],tblUsers[territory_id],"Owner Not Found"))</f>
        <v>2</v>
      </c>
      <c r="K1056" t="str">
        <f t="shared" si="33"/>
        <v>Wrong AE Territory</v>
      </c>
    </row>
    <row r="1057" spans="1:11">
      <c r="A1057" t="s">
        <v>4893</v>
      </c>
      <c r="B1057" t="s">
        <v>4895</v>
      </c>
      <c r="C1057" t="s">
        <v>24</v>
      </c>
      <c r="D1057" t="s">
        <v>41</v>
      </c>
      <c r="E1057" t="s">
        <v>25</v>
      </c>
      <c r="F1057" t="str">
        <f t="shared" si="32"/>
        <v>SMB</v>
      </c>
      <c r="G1057">
        <f>_xlfn.XLOOKUP(D1057,tblStates[state_code],tblStates[territory_id],"Needs Review - Territory")</f>
        <v>2</v>
      </c>
      <c r="H1057" t="str">
        <f>IF(E1057="","",_xlfn.XLOOKUP(E1057,tblUsers[user_id],tblUsers[job_title],"Owner Not Found"))</f>
        <v>SMB Account Executive</v>
      </c>
      <c r="I1057" t="str">
        <f>IF(E1057="","",_xlfn.XLOOKUP(E1057,tblUsers[user_id],tblUsers[segment],"Owner Not Found"))</f>
        <v>SMB</v>
      </c>
      <c r="J1057">
        <f>IF(E1057="","",_xlfn.XLOOKUP(E1057,tblUsers[user_id],tblUsers[territory_id],"Owner Not Found"))</f>
        <v>2</v>
      </c>
      <c r="K1057" t="str">
        <f t="shared" si="33"/>
        <v>Routing Compatible</v>
      </c>
    </row>
    <row r="1058" spans="1:11">
      <c r="A1058" t="s">
        <v>4896</v>
      </c>
      <c r="B1058" t="s">
        <v>4898</v>
      </c>
      <c r="C1058" t="s">
        <v>30</v>
      </c>
      <c r="D1058" t="s">
        <v>95</v>
      </c>
      <c r="E1058" t="s">
        <v>18</v>
      </c>
      <c r="F1058" t="str">
        <f t="shared" si="32"/>
        <v>MM</v>
      </c>
      <c r="G1058">
        <f>_xlfn.XLOOKUP(D1058,tblStates[state_code],tblStates[territory_id],"Needs Review - Territory")</f>
        <v>1</v>
      </c>
      <c r="H1058" t="str">
        <f>IF(E1058="","",_xlfn.XLOOKUP(E1058,tblUsers[user_id],tblUsers[job_title],"Owner Not Found"))</f>
        <v>Mid-Market Account Executive</v>
      </c>
      <c r="I1058" t="str">
        <f>IF(E1058="","",_xlfn.XLOOKUP(E1058,tblUsers[user_id],tblUsers[segment],"Owner Not Found"))</f>
        <v>MM</v>
      </c>
      <c r="J1058">
        <f>IF(E1058="","",_xlfn.XLOOKUP(E1058,tblUsers[user_id],tblUsers[territory_id],"Owner Not Found"))</f>
        <v>1</v>
      </c>
      <c r="K1058" t="str">
        <f t="shared" si="33"/>
        <v>Routing Compatible</v>
      </c>
    </row>
    <row r="1059" spans="1:11">
      <c r="A1059" t="s">
        <v>4899</v>
      </c>
      <c r="B1059" t="s">
        <v>4901</v>
      </c>
      <c r="C1059" t="s">
        <v>30</v>
      </c>
      <c r="D1059" t="s">
        <v>50</v>
      </c>
      <c r="E1059" t="s">
        <v>36</v>
      </c>
      <c r="F1059" t="str">
        <f t="shared" si="32"/>
        <v>MM</v>
      </c>
      <c r="G1059">
        <f>_xlfn.XLOOKUP(D1059,tblStates[state_code],tblStates[territory_id],"Needs Review - Territory")</f>
        <v>4</v>
      </c>
      <c r="H1059" t="str">
        <f>IF(E1059="","",_xlfn.XLOOKUP(E1059,tblUsers[user_id],tblUsers[job_title],"Owner Not Found"))</f>
        <v>Mid-Market Account Executive</v>
      </c>
      <c r="I1059" t="str">
        <f>IF(E1059="","",_xlfn.XLOOKUP(E1059,tblUsers[user_id],tblUsers[segment],"Owner Not Found"))</f>
        <v>MM</v>
      </c>
      <c r="J1059">
        <f>IF(E1059="","",_xlfn.XLOOKUP(E1059,tblUsers[user_id],tblUsers[territory_id],"Owner Not Found"))</f>
        <v>4</v>
      </c>
      <c r="K1059" t="str">
        <f t="shared" si="33"/>
        <v>Routing Compatible</v>
      </c>
    </row>
    <row r="1060" spans="1:11">
      <c r="A1060" t="s">
        <v>4902</v>
      </c>
      <c r="B1060" t="s">
        <v>4904</v>
      </c>
      <c r="C1060" t="s">
        <v>30</v>
      </c>
      <c r="D1060" t="s">
        <v>154</v>
      </c>
      <c r="E1060" t="s">
        <v>82</v>
      </c>
      <c r="F1060" t="str">
        <f t="shared" si="32"/>
        <v>MM</v>
      </c>
      <c r="G1060">
        <f>_xlfn.XLOOKUP(D1060,tblStates[state_code],tblStates[territory_id],"Needs Review - Territory")</f>
        <v>2</v>
      </c>
      <c r="H1060" t="str">
        <f>IF(E1060="","",_xlfn.XLOOKUP(E1060,tblUsers[user_id],tblUsers[job_title],"Owner Not Found"))</f>
        <v>Mid-Market Account Executive</v>
      </c>
      <c r="I1060" t="str">
        <f>IF(E1060="","",_xlfn.XLOOKUP(E1060,tblUsers[user_id],tblUsers[segment],"Owner Not Found"))</f>
        <v>MM</v>
      </c>
      <c r="J1060">
        <f>IF(E1060="","",_xlfn.XLOOKUP(E1060,tblUsers[user_id],tblUsers[territory_id],"Owner Not Found"))</f>
        <v>2</v>
      </c>
      <c r="K1060" t="str">
        <f t="shared" si="33"/>
        <v>Routing Compatible</v>
      </c>
    </row>
    <row r="1061" spans="1:11">
      <c r="A1061" t="s">
        <v>4905</v>
      </c>
      <c r="B1061" t="s">
        <v>4907</v>
      </c>
      <c r="C1061" t="s">
        <v>30</v>
      </c>
      <c r="D1061" t="s">
        <v>50</v>
      </c>
      <c r="E1061" t="s">
        <v>36</v>
      </c>
      <c r="F1061" t="str">
        <f t="shared" si="32"/>
        <v>MM</v>
      </c>
      <c r="G1061">
        <f>_xlfn.XLOOKUP(D1061,tblStates[state_code],tblStates[territory_id],"Needs Review - Territory")</f>
        <v>4</v>
      </c>
      <c r="H1061" t="str">
        <f>IF(E1061="","",_xlfn.XLOOKUP(E1061,tblUsers[user_id],tblUsers[job_title],"Owner Not Found"))</f>
        <v>Mid-Market Account Executive</v>
      </c>
      <c r="I1061" t="str">
        <f>IF(E1061="","",_xlfn.XLOOKUP(E1061,tblUsers[user_id],tblUsers[segment],"Owner Not Found"))</f>
        <v>MM</v>
      </c>
      <c r="J1061">
        <f>IF(E1061="","",_xlfn.XLOOKUP(E1061,tblUsers[user_id],tblUsers[territory_id],"Owner Not Found"))</f>
        <v>4</v>
      </c>
      <c r="K1061" t="str">
        <f t="shared" si="33"/>
        <v>Routing Compatible</v>
      </c>
    </row>
    <row r="1062" spans="1:11">
      <c r="A1062" t="s">
        <v>4908</v>
      </c>
      <c r="B1062" t="s">
        <v>4910</v>
      </c>
      <c r="C1062" t="s">
        <v>30</v>
      </c>
      <c r="D1062" t="s">
        <v>182</v>
      </c>
      <c r="E1062" t="s">
        <v>55</v>
      </c>
      <c r="F1062" t="str">
        <f t="shared" si="32"/>
        <v>MM</v>
      </c>
      <c r="G1062">
        <f>_xlfn.XLOOKUP(D1062,tblStates[state_code],tblStates[territory_id],"Needs Review - Territory")</f>
        <v>4</v>
      </c>
      <c r="H1062" t="str">
        <f>IF(E1062="","",_xlfn.XLOOKUP(E1062,tblUsers[user_id],tblUsers[job_title],"Owner Not Found"))</f>
        <v>Mid-Market Account Executive</v>
      </c>
      <c r="I1062" t="str">
        <f>IF(E1062="","",_xlfn.XLOOKUP(E1062,tblUsers[user_id],tblUsers[segment],"Owner Not Found"))</f>
        <v>MM</v>
      </c>
      <c r="J1062">
        <f>IF(E1062="","",_xlfn.XLOOKUP(E1062,tblUsers[user_id],tblUsers[territory_id],"Owner Not Found"))</f>
        <v>3</v>
      </c>
      <c r="K1062" t="str">
        <f t="shared" si="33"/>
        <v>Wrong AE Territory</v>
      </c>
    </row>
    <row r="1063" spans="1:11">
      <c r="A1063" t="s">
        <v>4911</v>
      </c>
      <c r="B1063" t="s">
        <v>4913</v>
      </c>
      <c r="C1063" t="s">
        <v>30</v>
      </c>
      <c r="D1063" t="s">
        <v>68</v>
      </c>
      <c r="E1063" t="s">
        <v>55</v>
      </c>
      <c r="F1063" t="str">
        <f t="shared" si="32"/>
        <v>MM</v>
      </c>
      <c r="G1063">
        <f>_xlfn.XLOOKUP(D1063,tblStates[state_code],tblStates[territory_id],"Needs Review - Territory")</f>
        <v>3</v>
      </c>
      <c r="H1063" t="str">
        <f>IF(E1063="","",_xlfn.XLOOKUP(E1063,tblUsers[user_id],tblUsers[job_title],"Owner Not Found"))</f>
        <v>Mid-Market Account Executive</v>
      </c>
      <c r="I1063" t="str">
        <f>IF(E1063="","",_xlfn.XLOOKUP(E1063,tblUsers[user_id],tblUsers[segment],"Owner Not Found"))</f>
        <v>MM</v>
      </c>
      <c r="J1063">
        <f>IF(E1063="","",_xlfn.XLOOKUP(E1063,tblUsers[user_id],tblUsers[territory_id],"Owner Not Found"))</f>
        <v>3</v>
      </c>
      <c r="K1063" t="str">
        <f t="shared" si="33"/>
        <v>Routing Compatible</v>
      </c>
    </row>
    <row r="1064" spans="1:11">
      <c r="A1064" t="s">
        <v>4914</v>
      </c>
      <c r="B1064" t="s">
        <v>4916</v>
      </c>
      <c r="C1064" t="s">
        <v>24</v>
      </c>
      <c r="D1064" t="s">
        <v>50</v>
      </c>
      <c r="E1064" t="s">
        <v>59</v>
      </c>
      <c r="F1064" t="str">
        <f t="shared" si="32"/>
        <v>SMB</v>
      </c>
      <c r="G1064">
        <f>_xlfn.XLOOKUP(D1064,tblStates[state_code],tblStates[territory_id],"Needs Review - Territory")</f>
        <v>4</v>
      </c>
      <c r="H1064" t="str">
        <f>IF(E1064="","",_xlfn.XLOOKUP(E1064,tblUsers[user_id],tblUsers[job_title],"Owner Not Found"))</f>
        <v>SMB Account Executive</v>
      </c>
      <c r="I1064" t="str">
        <f>IF(E1064="","",_xlfn.XLOOKUP(E1064,tblUsers[user_id],tblUsers[segment],"Owner Not Found"))</f>
        <v>SMB</v>
      </c>
      <c r="J1064">
        <f>IF(E1064="","",_xlfn.XLOOKUP(E1064,tblUsers[user_id],tblUsers[territory_id],"Owner Not Found"))</f>
        <v>4</v>
      </c>
      <c r="K1064" t="str">
        <f t="shared" si="33"/>
        <v>Routing Compatible</v>
      </c>
    </row>
    <row r="1065" spans="1:11">
      <c r="A1065" t="s">
        <v>4917</v>
      </c>
      <c r="B1065" t="s">
        <v>4919</v>
      </c>
      <c r="C1065" t="s">
        <v>24</v>
      </c>
      <c r="D1065" t="s">
        <v>68</v>
      </c>
      <c r="E1065" t="s">
        <v>69</v>
      </c>
      <c r="F1065" t="str">
        <f t="shared" si="32"/>
        <v>SMB</v>
      </c>
      <c r="G1065">
        <f>_xlfn.XLOOKUP(D1065,tblStates[state_code],tblStates[territory_id],"Needs Review - Territory")</f>
        <v>3</v>
      </c>
      <c r="H1065" t="str">
        <f>IF(E1065="","",_xlfn.XLOOKUP(E1065,tblUsers[user_id],tblUsers[job_title],"Owner Not Found"))</f>
        <v>SMB Account Executive</v>
      </c>
      <c r="I1065" t="str">
        <f>IF(E1065="","",_xlfn.XLOOKUP(E1065,tblUsers[user_id],tblUsers[segment],"Owner Not Found"))</f>
        <v>SMB</v>
      </c>
      <c r="J1065">
        <f>IF(E1065="","",_xlfn.XLOOKUP(E1065,tblUsers[user_id],tblUsers[territory_id],"Owner Not Found"))</f>
        <v>3</v>
      </c>
      <c r="K1065" t="str">
        <f t="shared" si="33"/>
        <v>Routing Compatible</v>
      </c>
    </row>
    <row r="1066" spans="1:11">
      <c r="A1066" t="s">
        <v>4920</v>
      </c>
      <c r="B1066" t="s">
        <v>4922</v>
      </c>
      <c r="C1066" t="s">
        <v>24</v>
      </c>
      <c r="D1066" t="s">
        <v>50</v>
      </c>
      <c r="E1066" t="s">
        <v>59</v>
      </c>
      <c r="F1066" t="str">
        <f t="shared" si="32"/>
        <v>SMB</v>
      </c>
      <c r="G1066">
        <f>_xlfn.XLOOKUP(D1066,tblStates[state_code],tblStates[territory_id],"Needs Review - Territory")</f>
        <v>4</v>
      </c>
      <c r="H1066" t="str">
        <f>IF(E1066="","",_xlfn.XLOOKUP(E1066,tblUsers[user_id],tblUsers[job_title],"Owner Not Found"))</f>
        <v>SMB Account Executive</v>
      </c>
      <c r="I1066" t="str">
        <f>IF(E1066="","",_xlfn.XLOOKUP(E1066,tblUsers[user_id],tblUsers[segment],"Owner Not Found"))</f>
        <v>SMB</v>
      </c>
      <c r="J1066">
        <f>IF(E1066="","",_xlfn.XLOOKUP(E1066,tblUsers[user_id],tblUsers[territory_id],"Owner Not Found"))</f>
        <v>4</v>
      </c>
      <c r="K1066" t="str">
        <f t="shared" si="33"/>
        <v>Routing Compatible</v>
      </c>
    </row>
    <row r="1067" spans="1:11">
      <c r="A1067" t="s">
        <v>4923</v>
      </c>
      <c r="B1067" t="s">
        <v>4925</v>
      </c>
      <c r="D1067" t="s">
        <v>366</v>
      </c>
      <c r="F1067" t="str">
        <f t="shared" si="32"/>
        <v>Needs Review - Segment</v>
      </c>
      <c r="G1067">
        <f>_xlfn.XLOOKUP(D1067,tblStates[state_code],tblStates[territory_id],"Needs Review - Territory")</f>
        <v>1</v>
      </c>
      <c r="H1067" t="str">
        <f>IF(E1067="","",_xlfn.XLOOKUP(E1067,tblUsers[user_id],tblUsers[job_title],"Owner Not Found"))</f>
        <v/>
      </c>
      <c r="I1067" t="str">
        <f>IF(E1067="","",_xlfn.XLOOKUP(E1067,tblUsers[user_id],tblUsers[segment],"Owner Not Found"))</f>
        <v/>
      </c>
      <c r="J1067" t="str">
        <f>IF(E1067="","",_xlfn.XLOOKUP(E1067,tblUsers[user_id],tblUsers[territory_id],"Owner Not Found"))</f>
        <v/>
      </c>
      <c r="K1067" t="str">
        <f t="shared" si="33"/>
        <v>Unassigned</v>
      </c>
    </row>
    <row r="1068" spans="1:11">
      <c r="A1068" t="s">
        <v>4926</v>
      </c>
      <c r="B1068" t="s">
        <v>4928</v>
      </c>
      <c r="C1068" t="s">
        <v>24</v>
      </c>
      <c r="D1068" t="s">
        <v>226</v>
      </c>
      <c r="E1068" t="s">
        <v>69</v>
      </c>
      <c r="F1068" t="str">
        <f t="shared" si="32"/>
        <v>SMB</v>
      </c>
      <c r="G1068">
        <f>_xlfn.XLOOKUP(D1068,tblStates[state_code],tblStates[territory_id],"Needs Review - Territory")</f>
        <v>3</v>
      </c>
      <c r="H1068" t="str">
        <f>IF(E1068="","",_xlfn.XLOOKUP(E1068,tblUsers[user_id],tblUsers[job_title],"Owner Not Found"))</f>
        <v>SMB Account Executive</v>
      </c>
      <c r="I1068" t="str">
        <f>IF(E1068="","",_xlfn.XLOOKUP(E1068,tblUsers[user_id],tblUsers[segment],"Owner Not Found"))</f>
        <v>SMB</v>
      </c>
      <c r="J1068">
        <f>IF(E1068="","",_xlfn.XLOOKUP(E1068,tblUsers[user_id],tblUsers[territory_id],"Owner Not Found"))</f>
        <v>3</v>
      </c>
      <c r="K1068" t="str">
        <f t="shared" si="33"/>
        <v>Routing Compatible</v>
      </c>
    </row>
    <row r="1069" spans="1:11">
      <c r="A1069" t="s">
        <v>4929</v>
      </c>
      <c r="B1069" t="s">
        <v>4931</v>
      </c>
      <c r="C1069" t="s">
        <v>17</v>
      </c>
      <c r="D1069" t="s">
        <v>50</v>
      </c>
      <c r="E1069" t="s">
        <v>36</v>
      </c>
      <c r="F1069" t="str">
        <f t="shared" si="32"/>
        <v>MM</v>
      </c>
      <c r="G1069">
        <f>_xlfn.XLOOKUP(D1069,tblStates[state_code],tblStates[territory_id],"Needs Review - Territory")</f>
        <v>4</v>
      </c>
      <c r="H1069" t="str">
        <f>IF(E1069="","",_xlfn.XLOOKUP(E1069,tblUsers[user_id],tblUsers[job_title],"Owner Not Found"))</f>
        <v>Mid-Market Account Executive</v>
      </c>
      <c r="I1069" t="str">
        <f>IF(E1069="","",_xlfn.XLOOKUP(E1069,tblUsers[user_id],tblUsers[segment],"Owner Not Found"))</f>
        <v>MM</v>
      </c>
      <c r="J1069">
        <f>IF(E1069="","",_xlfn.XLOOKUP(E1069,tblUsers[user_id],tblUsers[territory_id],"Owner Not Found"))</f>
        <v>4</v>
      </c>
      <c r="K1069" t="str">
        <f t="shared" si="33"/>
        <v>Routing Compatible</v>
      </c>
    </row>
    <row r="1070" spans="1:11">
      <c r="A1070" t="s">
        <v>4932</v>
      </c>
      <c r="B1070" t="s">
        <v>4934</v>
      </c>
      <c r="C1070" t="s">
        <v>30</v>
      </c>
      <c r="D1070" t="s">
        <v>635</v>
      </c>
      <c r="E1070" t="s">
        <v>36</v>
      </c>
      <c r="F1070" t="str">
        <f t="shared" si="32"/>
        <v>MM</v>
      </c>
      <c r="G1070">
        <f>_xlfn.XLOOKUP(D1070,tblStates[state_code],tblStates[territory_id],"Needs Review - Territory")</f>
        <v>4</v>
      </c>
      <c r="H1070" t="str">
        <f>IF(E1070="","",_xlfn.XLOOKUP(E1070,tblUsers[user_id],tblUsers[job_title],"Owner Not Found"))</f>
        <v>Mid-Market Account Executive</v>
      </c>
      <c r="I1070" t="str">
        <f>IF(E1070="","",_xlfn.XLOOKUP(E1070,tblUsers[user_id],tblUsers[segment],"Owner Not Found"))</f>
        <v>MM</v>
      </c>
      <c r="J1070">
        <f>IF(E1070="","",_xlfn.XLOOKUP(E1070,tblUsers[user_id],tblUsers[territory_id],"Owner Not Found"))</f>
        <v>4</v>
      </c>
      <c r="K1070" t="str">
        <f t="shared" si="33"/>
        <v>Routing Compatible</v>
      </c>
    </row>
    <row r="1071" spans="1:11">
      <c r="A1071" t="s">
        <v>4935</v>
      </c>
      <c r="B1071" t="s">
        <v>4937</v>
      </c>
      <c r="C1071" t="s">
        <v>24</v>
      </c>
      <c r="D1071" t="s">
        <v>68</v>
      </c>
      <c r="E1071" t="s">
        <v>69</v>
      </c>
      <c r="F1071" t="str">
        <f t="shared" si="32"/>
        <v>SMB</v>
      </c>
      <c r="G1071">
        <f>_xlfn.XLOOKUP(D1071,tblStates[state_code],tblStates[territory_id],"Needs Review - Territory")</f>
        <v>3</v>
      </c>
      <c r="H1071" t="str">
        <f>IF(E1071="","",_xlfn.XLOOKUP(E1071,tblUsers[user_id],tblUsers[job_title],"Owner Not Found"))</f>
        <v>SMB Account Executive</v>
      </c>
      <c r="I1071" t="str">
        <f>IF(E1071="","",_xlfn.XLOOKUP(E1071,tblUsers[user_id],tblUsers[segment],"Owner Not Found"))</f>
        <v>SMB</v>
      </c>
      <c r="J1071">
        <f>IF(E1071="","",_xlfn.XLOOKUP(E1071,tblUsers[user_id],tblUsers[territory_id],"Owner Not Found"))</f>
        <v>3</v>
      </c>
      <c r="K1071" t="str">
        <f t="shared" si="33"/>
        <v>Routing Compatible</v>
      </c>
    </row>
    <row r="1072" spans="1:11">
      <c r="A1072" t="s">
        <v>4938</v>
      </c>
      <c r="B1072" t="s">
        <v>4940</v>
      </c>
      <c r="C1072" t="s">
        <v>17</v>
      </c>
      <c r="D1072" t="s">
        <v>366</v>
      </c>
      <c r="E1072" t="s">
        <v>82</v>
      </c>
      <c r="F1072" t="str">
        <f t="shared" si="32"/>
        <v>MM</v>
      </c>
      <c r="G1072">
        <f>_xlfn.XLOOKUP(D1072,tblStates[state_code],tblStates[territory_id],"Needs Review - Territory")</f>
        <v>1</v>
      </c>
      <c r="H1072" t="str">
        <f>IF(E1072="","",_xlfn.XLOOKUP(E1072,tblUsers[user_id],tblUsers[job_title],"Owner Not Found"))</f>
        <v>Mid-Market Account Executive</v>
      </c>
      <c r="I1072" t="str">
        <f>IF(E1072="","",_xlfn.XLOOKUP(E1072,tblUsers[user_id],tblUsers[segment],"Owner Not Found"))</f>
        <v>MM</v>
      </c>
      <c r="J1072">
        <f>IF(E1072="","",_xlfn.XLOOKUP(E1072,tblUsers[user_id],tblUsers[territory_id],"Owner Not Found"))</f>
        <v>2</v>
      </c>
      <c r="K1072" t="str">
        <f t="shared" si="33"/>
        <v>Wrong AE Territory</v>
      </c>
    </row>
    <row r="1073" spans="1:11">
      <c r="A1073" t="s">
        <v>4941</v>
      </c>
      <c r="B1073" t="s">
        <v>4943</v>
      </c>
      <c r="C1073" t="s">
        <v>30</v>
      </c>
      <c r="D1073" t="s">
        <v>161</v>
      </c>
      <c r="E1073" t="s">
        <v>36</v>
      </c>
      <c r="F1073" t="str">
        <f t="shared" si="32"/>
        <v>MM</v>
      </c>
      <c r="G1073">
        <f>_xlfn.XLOOKUP(D1073,tblStates[state_code],tblStates[territory_id],"Needs Review - Territory")</f>
        <v>4</v>
      </c>
      <c r="H1073" t="str">
        <f>IF(E1073="","",_xlfn.XLOOKUP(E1073,tblUsers[user_id],tblUsers[job_title],"Owner Not Found"))</f>
        <v>Mid-Market Account Executive</v>
      </c>
      <c r="I1073" t="str">
        <f>IF(E1073="","",_xlfn.XLOOKUP(E1073,tblUsers[user_id],tblUsers[segment],"Owner Not Found"))</f>
        <v>MM</v>
      </c>
      <c r="J1073">
        <f>IF(E1073="","",_xlfn.XLOOKUP(E1073,tblUsers[user_id],tblUsers[territory_id],"Owner Not Found"))</f>
        <v>4</v>
      </c>
      <c r="K1073" t="str">
        <f t="shared" si="33"/>
        <v>Routing Compatible</v>
      </c>
    </row>
    <row r="1074" spans="1:11">
      <c r="A1074" t="s">
        <v>4944</v>
      </c>
      <c r="B1074" t="s">
        <v>4946</v>
      </c>
      <c r="C1074" t="s">
        <v>24</v>
      </c>
      <c r="D1074" t="s">
        <v>16</v>
      </c>
      <c r="E1074" t="s">
        <v>91</v>
      </c>
      <c r="F1074" t="str">
        <f t="shared" si="32"/>
        <v>SMB</v>
      </c>
      <c r="G1074">
        <f>_xlfn.XLOOKUP(D1074,tblStates[state_code],tblStates[territory_id],"Needs Review - Territory")</f>
        <v>1</v>
      </c>
      <c r="H1074" t="str">
        <f>IF(E1074="","",_xlfn.XLOOKUP(E1074,tblUsers[user_id],tblUsers[job_title],"Owner Not Found"))</f>
        <v>SMB Account Executive</v>
      </c>
      <c r="I1074" t="str">
        <f>IF(E1074="","",_xlfn.XLOOKUP(E1074,tblUsers[user_id],tblUsers[segment],"Owner Not Found"))</f>
        <v>SMB</v>
      </c>
      <c r="J1074">
        <f>IF(E1074="","",_xlfn.XLOOKUP(E1074,tblUsers[user_id],tblUsers[territory_id],"Owner Not Found"))</f>
        <v>1</v>
      </c>
      <c r="K1074" t="str">
        <f t="shared" si="33"/>
        <v>Routing Compatible</v>
      </c>
    </row>
    <row r="1075" spans="1:11">
      <c r="A1075" t="s">
        <v>4947</v>
      </c>
      <c r="B1075" t="s">
        <v>4949</v>
      </c>
      <c r="C1075" t="s">
        <v>30</v>
      </c>
      <c r="D1075" t="s">
        <v>23</v>
      </c>
      <c r="E1075" t="s">
        <v>82</v>
      </c>
      <c r="F1075" t="str">
        <f t="shared" si="32"/>
        <v>MM</v>
      </c>
      <c r="G1075">
        <f>_xlfn.XLOOKUP(D1075,tblStates[state_code],tblStates[territory_id],"Needs Review - Territory")</f>
        <v>2</v>
      </c>
      <c r="H1075" t="str">
        <f>IF(E1075="","",_xlfn.XLOOKUP(E1075,tblUsers[user_id],tblUsers[job_title],"Owner Not Found"))</f>
        <v>Mid-Market Account Executive</v>
      </c>
      <c r="I1075" t="str">
        <f>IF(E1075="","",_xlfn.XLOOKUP(E1075,tblUsers[user_id],tblUsers[segment],"Owner Not Found"))</f>
        <v>MM</v>
      </c>
      <c r="J1075">
        <f>IF(E1075="","",_xlfn.XLOOKUP(E1075,tblUsers[user_id],tblUsers[territory_id],"Owner Not Found"))</f>
        <v>2</v>
      </c>
      <c r="K1075" t="str">
        <f t="shared" si="33"/>
        <v>Routing Compatible</v>
      </c>
    </row>
    <row r="1076" spans="1:11">
      <c r="A1076" t="s">
        <v>4950</v>
      </c>
      <c r="B1076" t="s">
        <v>4952</v>
      </c>
      <c r="C1076" t="s">
        <v>30</v>
      </c>
      <c r="D1076" t="s">
        <v>81</v>
      </c>
      <c r="E1076" t="s">
        <v>82</v>
      </c>
      <c r="F1076" t="str">
        <f t="shared" si="32"/>
        <v>MM</v>
      </c>
      <c r="G1076">
        <f>_xlfn.XLOOKUP(D1076,tblStates[state_code],tblStates[territory_id],"Needs Review - Territory")</f>
        <v>2</v>
      </c>
      <c r="H1076" t="str">
        <f>IF(E1076="","",_xlfn.XLOOKUP(E1076,tblUsers[user_id],tblUsers[job_title],"Owner Not Found"))</f>
        <v>Mid-Market Account Executive</v>
      </c>
      <c r="I1076" t="str">
        <f>IF(E1076="","",_xlfn.XLOOKUP(E1076,tblUsers[user_id],tblUsers[segment],"Owner Not Found"))</f>
        <v>MM</v>
      </c>
      <c r="J1076">
        <f>IF(E1076="","",_xlfn.XLOOKUP(E1076,tblUsers[user_id],tblUsers[territory_id],"Owner Not Found"))</f>
        <v>2</v>
      </c>
      <c r="K1076" t="str">
        <f t="shared" si="33"/>
        <v>Routing Compatible</v>
      </c>
    </row>
    <row r="1077" spans="1:11">
      <c r="A1077" t="s">
        <v>4953</v>
      </c>
      <c r="B1077" t="s">
        <v>4955</v>
      </c>
      <c r="C1077" t="s">
        <v>24</v>
      </c>
      <c r="D1077" t="s">
        <v>35</v>
      </c>
      <c r="F1077" t="str">
        <f t="shared" si="32"/>
        <v>SMB</v>
      </c>
      <c r="G1077">
        <f>_xlfn.XLOOKUP(D1077,tblStates[state_code],tblStates[territory_id],"Needs Review - Territory")</f>
        <v>4</v>
      </c>
      <c r="H1077" t="str">
        <f>IF(E1077="","",_xlfn.XLOOKUP(E1077,tblUsers[user_id],tblUsers[job_title],"Owner Not Found"))</f>
        <v/>
      </c>
      <c r="I1077" t="str">
        <f>IF(E1077="","",_xlfn.XLOOKUP(E1077,tblUsers[user_id],tblUsers[segment],"Owner Not Found"))</f>
        <v/>
      </c>
      <c r="J1077" t="str">
        <f>IF(E1077="","",_xlfn.XLOOKUP(E1077,tblUsers[user_id],tblUsers[territory_id],"Owner Not Found"))</f>
        <v/>
      </c>
      <c r="K1077" t="str">
        <f t="shared" si="33"/>
        <v>Unassigned</v>
      </c>
    </row>
    <row r="1078" spans="1:11">
      <c r="A1078" t="s">
        <v>4956</v>
      </c>
      <c r="B1078" t="s">
        <v>4958</v>
      </c>
      <c r="C1078" t="s">
        <v>24</v>
      </c>
      <c r="D1078" t="s">
        <v>226</v>
      </c>
      <c r="E1078" t="s">
        <v>69</v>
      </c>
      <c r="F1078" t="str">
        <f t="shared" si="32"/>
        <v>SMB</v>
      </c>
      <c r="G1078">
        <f>_xlfn.XLOOKUP(D1078,tblStates[state_code],tblStates[territory_id],"Needs Review - Territory")</f>
        <v>3</v>
      </c>
      <c r="H1078" t="str">
        <f>IF(E1078="","",_xlfn.XLOOKUP(E1078,tblUsers[user_id],tblUsers[job_title],"Owner Not Found"))</f>
        <v>SMB Account Executive</v>
      </c>
      <c r="I1078" t="str">
        <f>IF(E1078="","",_xlfn.XLOOKUP(E1078,tblUsers[user_id],tblUsers[segment],"Owner Not Found"))</f>
        <v>SMB</v>
      </c>
      <c r="J1078">
        <f>IF(E1078="","",_xlfn.XLOOKUP(E1078,tblUsers[user_id],tblUsers[territory_id],"Owner Not Found"))</f>
        <v>3</v>
      </c>
      <c r="K1078" t="str">
        <f t="shared" si="33"/>
        <v>Routing Compatible</v>
      </c>
    </row>
    <row r="1079" spans="1:11">
      <c r="A1079" t="s">
        <v>4959</v>
      </c>
      <c r="B1079" t="s">
        <v>4961</v>
      </c>
      <c r="C1079" t="s">
        <v>30</v>
      </c>
      <c r="D1079" t="s">
        <v>120</v>
      </c>
      <c r="E1079" t="s">
        <v>82</v>
      </c>
      <c r="F1079" t="str">
        <f t="shared" si="32"/>
        <v>MM</v>
      </c>
      <c r="G1079">
        <f>_xlfn.XLOOKUP(D1079,tblStates[state_code],tblStates[territory_id],"Needs Review - Territory")</f>
        <v>2</v>
      </c>
      <c r="H1079" t="str">
        <f>IF(E1079="","",_xlfn.XLOOKUP(E1079,tblUsers[user_id],tblUsers[job_title],"Owner Not Found"))</f>
        <v>Mid-Market Account Executive</v>
      </c>
      <c r="I1079" t="str">
        <f>IF(E1079="","",_xlfn.XLOOKUP(E1079,tblUsers[user_id],tblUsers[segment],"Owner Not Found"))</f>
        <v>MM</v>
      </c>
      <c r="J1079">
        <f>IF(E1079="","",_xlfn.XLOOKUP(E1079,tblUsers[user_id],tblUsers[territory_id],"Owner Not Found"))</f>
        <v>2</v>
      </c>
      <c r="K1079" t="str">
        <f t="shared" si="33"/>
        <v>Routing Compatible</v>
      </c>
    </row>
    <row r="1080" spans="1:11">
      <c r="A1080" t="s">
        <v>4962</v>
      </c>
      <c r="B1080" t="s">
        <v>4964</v>
      </c>
      <c r="C1080" t="s">
        <v>24</v>
      </c>
      <c r="D1080" t="s">
        <v>226</v>
      </c>
      <c r="E1080" t="s">
        <v>69</v>
      </c>
      <c r="F1080" t="str">
        <f t="shared" si="32"/>
        <v>SMB</v>
      </c>
      <c r="G1080">
        <f>_xlfn.XLOOKUP(D1080,tblStates[state_code],tblStates[territory_id],"Needs Review - Territory")</f>
        <v>3</v>
      </c>
      <c r="H1080" t="str">
        <f>IF(E1080="","",_xlfn.XLOOKUP(E1080,tblUsers[user_id],tblUsers[job_title],"Owner Not Found"))</f>
        <v>SMB Account Executive</v>
      </c>
      <c r="I1080" t="str">
        <f>IF(E1080="","",_xlfn.XLOOKUP(E1080,tblUsers[user_id],tblUsers[segment],"Owner Not Found"))</f>
        <v>SMB</v>
      </c>
      <c r="J1080">
        <f>IF(E1080="","",_xlfn.XLOOKUP(E1080,tblUsers[user_id],tblUsers[territory_id],"Owner Not Found"))</f>
        <v>3</v>
      </c>
      <c r="K1080" t="str">
        <f t="shared" si="33"/>
        <v>Routing Compatible</v>
      </c>
    </row>
    <row r="1081" spans="1:11">
      <c r="A1081" t="s">
        <v>4965</v>
      </c>
      <c r="B1081" t="s">
        <v>4967</v>
      </c>
      <c r="C1081" t="s">
        <v>17</v>
      </c>
      <c r="D1081" t="s">
        <v>68</v>
      </c>
      <c r="E1081" t="s">
        <v>69</v>
      </c>
      <c r="F1081" t="str">
        <f t="shared" si="32"/>
        <v>MM</v>
      </c>
      <c r="G1081">
        <f>_xlfn.XLOOKUP(D1081,tblStates[state_code],tblStates[territory_id],"Needs Review - Territory")</f>
        <v>3</v>
      </c>
      <c r="H1081" t="str">
        <f>IF(E1081="","",_xlfn.XLOOKUP(E1081,tblUsers[user_id],tblUsers[job_title],"Owner Not Found"))</f>
        <v>SMB Account Executive</v>
      </c>
      <c r="I1081" t="str">
        <f>IF(E1081="","",_xlfn.XLOOKUP(E1081,tblUsers[user_id],tblUsers[segment],"Owner Not Found"))</f>
        <v>SMB</v>
      </c>
      <c r="J1081">
        <f>IF(E1081="","",_xlfn.XLOOKUP(E1081,tblUsers[user_id],tblUsers[territory_id],"Owner Not Found"))</f>
        <v>3</v>
      </c>
      <c r="K1081" t="str">
        <f t="shared" si="33"/>
        <v>Wrong Segment</v>
      </c>
    </row>
    <row r="1082" spans="1:11">
      <c r="A1082" t="s">
        <v>4968</v>
      </c>
      <c r="B1082" t="s">
        <v>4970</v>
      </c>
      <c r="C1082" t="s">
        <v>24</v>
      </c>
      <c r="D1082" t="s">
        <v>1093</v>
      </c>
      <c r="E1082" t="s">
        <v>59</v>
      </c>
      <c r="F1082" t="str">
        <f t="shared" si="32"/>
        <v>SMB</v>
      </c>
      <c r="G1082">
        <f>_xlfn.XLOOKUP(D1082,tblStates[state_code],tblStates[territory_id],"Needs Review - Territory")</f>
        <v>4</v>
      </c>
      <c r="H1082" t="str">
        <f>IF(E1082="","",_xlfn.XLOOKUP(E1082,tblUsers[user_id],tblUsers[job_title],"Owner Not Found"))</f>
        <v>SMB Account Executive</v>
      </c>
      <c r="I1082" t="str">
        <f>IF(E1082="","",_xlfn.XLOOKUP(E1082,tblUsers[user_id],tblUsers[segment],"Owner Not Found"))</f>
        <v>SMB</v>
      </c>
      <c r="J1082">
        <f>IF(E1082="","",_xlfn.XLOOKUP(E1082,tblUsers[user_id],tblUsers[territory_id],"Owner Not Found"))</f>
        <v>4</v>
      </c>
      <c r="K1082" t="str">
        <f t="shared" si="33"/>
        <v>Routing Compatible</v>
      </c>
    </row>
    <row r="1083" spans="1:11">
      <c r="A1083" t="s">
        <v>4971</v>
      </c>
      <c r="B1083" t="s">
        <v>4973</v>
      </c>
      <c r="C1083" t="s">
        <v>30</v>
      </c>
      <c r="D1083" t="s">
        <v>182</v>
      </c>
      <c r="E1083" t="s">
        <v>36</v>
      </c>
      <c r="F1083" t="str">
        <f t="shared" si="32"/>
        <v>MM</v>
      </c>
      <c r="G1083">
        <f>_xlfn.XLOOKUP(D1083,tblStates[state_code],tblStates[territory_id],"Needs Review - Territory")</f>
        <v>4</v>
      </c>
      <c r="H1083" t="str">
        <f>IF(E1083="","",_xlfn.XLOOKUP(E1083,tblUsers[user_id],tblUsers[job_title],"Owner Not Found"))</f>
        <v>Mid-Market Account Executive</v>
      </c>
      <c r="I1083" t="str">
        <f>IF(E1083="","",_xlfn.XLOOKUP(E1083,tblUsers[user_id],tblUsers[segment],"Owner Not Found"))</f>
        <v>MM</v>
      </c>
      <c r="J1083">
        <f>IF(E1083="","",_xlfn.XLOOKUP(E1083,tblUsers[user_id],tblUsers[territory_id],"Owner Not Found"))</f>
        <v>4</v>
      </c>
      <c r="K1083" t="str">
        <f t="shared" si="33"/>
        <v>Routing Compatible</v>
      </c>
    </row>
    <row r="1084" spans="1:11">
      <c r="A1084" t="s">
        <v>4974</v>
      </c>
      <c r="B1084" t="s">
        <v>4976</v>
      </c>
      <c r="C1084" t="s">
        <v>24</v>
      </c>
      <c r="D1084" t="s">
        <v>81</v>
      </c>
      <c r="E1084" t="s">
        <v>25</v>
      </c>
      <c r="F1084" t="str">
        <f t="shared" si="32"/>
        <v>SMB</v>
      </c>
      <c r="G1084">
        <f>_xlfn.XLOOKUP(D1084,tblStates[state_code],tblStates[territory_id],"Needs Review - Territory")</f>
        <v>2</v>
      </c>
      <c r="H1084" t="str">
        <f>IF(E1084="","",_xlfn.XLOOKUP(E1084,tblUsers[user_id],tblUsers[job_title],"Owner Not Found"))</f>
        <v>SMB Account Executive</v>
      </c>
      <c r="I1084" t="str">
        <f>IF(E1084="","",_xlfn.XLOOKUP(E1084,tblUsers[user_id],tblUsers[segment],"Owner Not Found"))</f>
        <v>SMB</v>
      </c>
      <c r="J1084">
        <f>IF(E1084="","",_xlfn.XLOOKUP(E1084,tblUsers[user_id],tblUsers[territory_id],"Owner Not Found"))</f>
        <v>2</v>
      </c>
      <c r="K1084" t="str">
        <f t="shared" si="33"/>
        <v>Routing Compatible</v>
      </c>
    </row>
    <row r="1085" spans="1:11">
      <c r="A1085" t="s">
        <v>4977</v>
      </c>
      <c r="B1085" t="s">
        <v>4979</v>
      </c>
      <c r="C1085" t="s">
        <v>24</v>
      </c>
      <c r="D1085" t="s">
        <v>16</v>
      </c>
      <c r="E1085" t="s">
        <v>91</v>
      </c>
      <c r="F1085" t="str">
        <f t="shared" si="32"/>
        <v>SMB</v>
      </c>
      <c r="G1085">
        <f>_xlfn.XLOOKUP(D1085,tblStates[state_code],tblStates[territory_id],"Needs Review - Territory")</f>
        <v>1</v>
      </c>
      <c r="H1085" t="str">
        <f>IF(E1085="","",_xlfn.XLOOKUP(E1085,tblUsers[user_id],tblUsers[job_title],"Owner Not Found"))</f>
        <v>SMB Account Executive</v>
      </c>
      <c r="I1085" t="str">
        <f>IF(E1085="","",_xlfn.XLOOKUP(E1085,tblUsers[user_id],tblUsers[segment],"Owner Not Found"))</f>
        <v>SMB</v>
      </c>
      <c r="J1085">
        <f>IF(E1085="","",_xlfn.XLOOKUP(E1085,tblUsers[user_id],tblUsers[territory_id],"Owner Not Found"))</f>
        <v>1</v>
      </c>
      <c r="K1085" t="str">
        <f t="shared" si="33"/>
        <v>Routing Compatible</v>
      </c>
    </row>
    <row r="1086" spans="1:11">
      <c r="A1086" t="s">
        <v>4980</v>
      </c>
      <c r="B1086" t="s">
        <v>4982</v>
      </c>
      <c r="C1086" t="s">
        <v>24</v>
      </c>
      <c r="D1086" t="s">
        <v>95</v>
      </c>
      <c r="E1086" t="s">
        <v>91</v>
      </c>
      <c r="F1086" t="str">
        <f t="shared" si="32"/>
        <v>SMB</v>
      </c>
      <c r="G1086">
        <f>_xlfn.XLOOKUP(D1086,tblStates[state_code],tblStates[territory_id],"Needs Review - Territory")</f>
        <v>1</v>
      </c>
      <c r="H1086" t="str">
        <f>IF(E1086="","",_xlfn.XLOOKUP(E1086,tblUsers[user_id],tblUsers[job_title],"Owner Not Found"))</f>
        <v>SMB Account Executive</v>
      </c>
      <c r="I1086" t="str">
        <f>IF(E1086="","",_xlfn.XLOOKUP(E1086,tblUsers[user_id],tblUsers[segment],"Owner Not Found"))</f>
        <v>SMB</v>
      </c>
      <c r="J1086">
        <f>IF(E1086="","",_xlfn.XLOOKUP(E1086,tblUsers[user_id],tblUsers[territory_id],"Owner Not Found"))</f>
        <v>1</v>
      </c>
      <c r="K1086" t="str">
        <f t="shared" si="33"/>
        <v>Routing Compatible</v>
      </c>
    </row>
    <row r="1087" spans="1:11">
      <c r="A1087" t="s">
        <v>4983</v>
      </c>
      <c r="B1087" t="s">
        <v>4985</v>
      </c>
      <c r="C1087" t="s">
        <v>24</v>
      </c>
      <c r="D1087" t="s">
        <v>205</v>
      </c>
      <c r="E1087" t="s">
        <v>59</v>
      </c>
      <c r="F1087" t="str">
        <f t="shared" si="32"/>
        <v>SMB</v>
      </c>
      <c r="G1087">
        <f>_xlfn.XLOOKUP(D1087,tblStates[state_code],tblStates[territory_id],"Needs Review - Territory")</f>
        <v>4</v>
      </c>
      <c r="H1087" t="str">
        <f>IF(E1087="","",_xlfn.XLOOKUP(E1087,tblUsers[user_id],tblUsers[job_title],"Owner Not Found"))</f>
        <v>SMB Account Executive</v>
      </c>
      <c r="I1087" t="str">
        <f>IF(E1087="","",_xlfn.XLOOKUP(E1087,tblUsers[user_id],tblUsers[segment],"Owner Not Found"))</f>
        <v>SMB</v>
      </c>
      <c r="J1087">
        <f>IF(E1087="","",_xlfn.XLOOKUP(E1087,tblUsers[user_id],tblUsers[territory_id],"Owner Not Found"))</f>
        <v>4</v>
      </c>
      <c r="K1087" t="str">
        <f t="shared" si="33"/>
        <v>Routing Compatible</v>
      </c>
    </row>
    <row r="1088" spans="1:11">
      <c r="A1088" t="s">
        <v>4986</v>
      </c>
      <c r="B1088" t="s">
        <v>4988</v>
      </c>
      <c r="C1088" t="s">
        <v>24</v>
      </c>
      <c r="D1088" t="s">
        <v>1042</v>
      </c>
      <c r="E1088" t="s">
        <v>91</v>
      </c>
      <c r="F1088" t="str">
        <f t="shared" si="32"/>
        <v>SMB</v>
      </c>
      <c r="G1088">
        <f>_xlfn.XLOOKUP(D1088,tblStates[state_code],tblStates[territory_id],"Needs Review - Territory")</f>
        <v>1</v>
      </c>
      <c r="H1088" t="str">
        <f>IF(E1088="","",_xlfn.XLOOKUP(E1088,tblUsers[user_id],tblUsers[job_title],"Owner Not Found"))</f>
        <v>SMB Account Executive</v>
      </c>
      <c r="I1088" t="str">
        <f>IF(E1088="","",_xlfn.XLOOKUP(E1088,tblUsers[user_id],tblUsers[segment],"Owner Not Found"))</f>
        <v>SMB</v>
      </c>
      <c r="J1088">
        <f>IF(E1088="","",_xlfn.XLOOKUP(E1088,tblUsers[user_id],tblUsers[territory_id],"Owner Not Found"))</f>
        <v>1</v>
      </c>
      <c r="K1088" t="str">
        <f t="shared" si="33"/>
        <v>Routing Compatible</v>
      </c>
    </row>
    <row r="1089" spans="1:11">
      <c r="A1089" t="s">
        <v>4989</v>
      </c>
      <c r="B1089" t="s">
        <v>4991</v>
      </c>
      <c r="C1089" t="s">
        <v>30</v>
      </c>
      <c r="D1089" t="s">
        <v>182</v>
      </c>
      <c r="E1089" t="s">
        <v>36</v>
      </c>
      <c r="F1089" t="str">
        <f t="shared" si="32"/>
        <v>MM</v>
      </c>
      <c r="G1089">
        <f>_xlfn.XLOOKUP(D1089,tblStates[state_code],tblStates[territory_id],"Needs Review - Territory")</f>
        <v>4</v>
      </c>
      <c r="H1089" t="str">
        <f>IF(E1089="","",_xlfn.XLOOKUP(E1089,tblUsers[user_id],tblUsers[job_title],"Owner Not Found"))</f>
        <v>Mid-Market Account Executive</v>
      </c>
      <c r="I1089" t="str">
        <f>IF(E1089="","",_xlfn.XLOOKUP(E1089,tblUsers[user_id],tblUsers[segment],"Owner Not Found"))</f>
        <v>MM</v>
      </c>
      <c r="J1089">
        <f>IF(E1089="","",_xlfn.XLOOKUP(E1089,tblUsers[user_id],tblUsers[territory_id],"Owner Not Found"))</f>
        <v>4</v>
      </c>
      <c r="K1089" t="str">
        <f t="shared" si="33"/>
        <v>Routing Compatible</v>
      </c>
    </row>
    <row r="1090" spans="1:11">
      <c r="A1090" t="s">
        <v>4992</v>
      </c>
      <c r="B1090" t="s">
        <v>4994</v>
      </c>
      <c r="D1090" t="s">
        <v>178</v>
      </c>
      <c r="F1090" t="str">
        <f t="shared" si="32"/>
        <v>Needs Review - Segment</v>
      </c>
      <c r="G1090">
        <f>_xlfn.XLOOKUP(D1090,tblStates[state_code],tblStates[territory_id],"Needs Review - Territory")</f>
        <v>4</v>
      </c>
      <c r="H1090" t="str">
        <f>IF(E1090="","",_xlfn.XLOOKUP(E1090,tblUsers[user_id],tblUsers[job_title],"Owner Not Found"))</f>
        <v/>
      </c>
      <c r="I1090" t="str">
        <f>IF(E1090="","",_xlfn.XLOOKUP(E1090,tblUsers[user_id],tblUsers[segment],"Owner Not Found"))</f>
        <v/>
      </c>
      <c r="J1090" t="str">
        <f>IF(E1090="","",_xlfn.XLOOKUP(E1090,tblUsers[user_id],tblUsers[territory_id],"Owner Not Found"))</f>
        <v/>
      </c>
      <c r="K1090" t="str">
        <f t="shared" si="33"/>
        <v>Unassigned</v>
      </c>
    </row>
    <row r="1091" spans="1:11">
      <c r="A1091" t="s">
        <v>4995</v>
      </c>
      <c r="B1091" t="s">
        <v>4997</v>
      </c>
      <c r="C1091" t="s">
        <v>17</v>
      </c>
      <c r="D1091" t="s">
        <v>54</v>
      </c>
      <c r="E1091" t="s">
        <v>55</v>
      </c>
      <c r="F1091" t="str">
        <f t="shared" ref="F1091:F1154" si="34">IF(C1091="SMB","SMB",IF(OR(C1091="Mid-Market",C1091="Upper Mid-Market"),"MM","Needs Review - Segment"))</f>
        <v>MM</v>
      </c>
      <c r="G1091">
        <f>_xlfn.XLOOKUP(D1091,tblStates[state_code],tblStates[territory_id],"Needs Review - Territory")</f>
        <v>3</v>
      </c>
      <c r="H1091" t="str">
        <f>IF(E1091="","",_xlfn.XLOOKUP(E1091,tblUsers[user_id],tblUsers[job_title],"Owner Not Found"))</f>
        <v>Mid-Market Account Executive</v>
      </c>
      <c r="I1091" t="str">
        <f>IF(E1091="","",_xlfn.XLOOKUP(E1091,tblUsers[user_id],tblUsers[segment],"Owner Not Found"))</f>
        <v>MM</v>
      </c>
      <c r="J1091">
        <f>IF(E1091="","",_xlfn.XLOOKUP(E1091,tblUsers[user_id],tblUsers[territory_id],"Owner Not Found"))</f>
        <v>3</v>
      </c>
      <c r="K1091" t="str">
        <f t="shared" ref="K1091:K1154" si="35">IF(E1091="","Unassigned",IF(F1091="Needs Review - Segment","Needs Review - Segment",IF(G1091="Needs Review - Territory","Needs Review - Territory",IF(I1091&lt;&gt;F1091,"Wrong Segment",IF(AND(ISNUMBER(SEARCH("Account Executive",H1091)),J1091&lt;&gt;G1091),"Wrong AE Territory",IF(OR(ISNUMBER(SEARCH("Account Executive",H1091)),H1091="Sales Development Representative"),"Routing Compatible","Unexpected Owner Role"))))))</f>
        <v>Routing Compatible</v>
      </c>
    </row>
    <row r="1092" spans="1:11">
      <c r="A1092" t="s">
        <v>4998</v>
      </c>
      <c r="B1092" t="s">
        <v>5000</v>
      </c>
      <c r="C1092" t="s">
        <v>17</v>
      </c>
      <c r="D1092" t="s">
        <v>50</v>
      </c>
      <c r="E1092" t="s">
        <v>36</v>
      </c>
      <c r="F1092" t="str">
        <f t="shared" si="34"/>
        <v>MM</v>
      </c>
      <c r="G1092">
        <f>_xlfn.XLOOKUP(D1092,tblStates[state_code],tblStates[territory_id],"Needs Review - Territory")</f>
        <v>4</v>
      </c>
      <c r="H1092" t="str">
        <f>IF(E1092="","",_xlfn.XLOOKUP(E1092,tblUsers[user_id],tblUsers[job_title],"Owner Not Found"))</f>
        <v>Mid-Market Account Executive</v>
      </c>
      <c r="I1092" t="str">
        <f>IF(E1092="","",_xlfn.XLOOKUP(E1092,tblUsers[user_id],tblUsers[segment],"Owner Not Found"))</f>
        <v>MM</v>
      </c>
      <c r="J1092">
        <f>IF(E1092="","",_xlfn.XLOOKUP(E1092,tblUsers[user_id],tblUsers[territory_id],"Owner Not Found"))</f>
        <v>4</v>
      </c>
      <c r="K1092" t="str">
        <f t="shared" si="35"/>
        <v>Routing Compatible</v>
      </c>
    </row>
    <row r="1093" spans="1:11">
      <c r="A1093" t="s">
        <v>5001</v>
      </c>
      <c r="B1093" t="s">
        <v>5003</v>
      </c>
      <c r="C1093" t="s">
        <v>17</v>
      </c>
      <c r="D1093" t="s">
        <v>16</v>
      </c>
      <c r="E1093" t="s">
        <v>18</v>
      </c>
      <c r="F1093" t="str">
        <f t="shared" si="34"/>
        <v>MM</v>
      </c>
      <c r="G1093">
        <f>_xlfn.XLOOKUP(D1093,tblStates[state_code],tblStates[territory_id],"Needs Review - Territory")</f>
        <v>1</v>
      </c>
      <c r="H1093" t="str">
        <f>IF(E1093="","",_xlfn.XLOOKUP(E1093,tblUsers[user_id],tblUsers[job_title],"Owner Not Found"))</f>
        <v>Mid-Market Account Executive</v>
      </c>
      <c r="I1093" t="str">
        <f>IF(E1093="","",_xlfn.XLOOKUP(E1093,tblUsers[user_id],tblUsers[segment],"Owner Not Found"))</f>
        <v>MM</v>
      </c>
      <c r="J1093">
        <f>IF(E1093="","",_xlfn.XLOOKUP(E1093,tblUsers[user_id],tblUsers[territory_id],"Owner Not Found"))</f>
        <v>1</v>
      </c>
      <c r="K1093" t="str">
        <f t="shared" si="35"/>
        <v>Routing Compatible</v>
      </c>
    </row>
    <row r="1094" spans="1:11">
      <c r="A1094" t="s">
        <v>5004</v>
      </c>
      <c r="B1094" t="s">
        <v>5006</v>
      </c>
      <c r="C1094" t="s">
        <v>24</v>
      </c>
      <c r="D1094" t="s">
        <v>212</v>
      </c>
      <c r="E1094" t="s">
        <v>69</v>
      </c>
      <c r="F1094" t="str">
        <f t="shared" si="34"/>
        <v>SMB</v>
      </c>
      <c r="G1094">
        <f>_xlfn.XLOOKUP(D1094,tblStates[state_code],tblStates[territory_id],"Needs Review - Territory")</f>
        <v>3</v>
      </c>
      <c r="H1094" t="str">
        <f>IF(E1094="","",_xlfn.XLOOKUP(E1094,tblUsers[user_id],tblUsers[job_title],"Owner Not Found"))</f>
        <v>SMB Account Executive</v>
      </c>
      <c r="I1094" t="str">
        <f>IF(E1094="","",_xlfn.XLOOKUP(E1094,tblUsers[user_id],tblUsers[segment],"Owner Not Found"))</f>
        <v>SMB</v>
      </c>
      <c r="J1094">
        <f>IF(E1094="","",_xlfn.XLOOKUP(E1094,tblUsers[user_id],tblUsers[territory_id],"Owner Not Found"))</f>
        <v>3</v>
      </c>
      <c r="K1094" t="str">
        <f t="shared" si="35"/>
        <v>Routing Compatible</v>
      </c>
    </row>
    <row r="1095" spans="1:11">
      <c r="A1095" t="s">
        <v>5007</v>
      </c>
      <c r="B1095" t="s">
        <v>5009</v>
      </c>
      <c r="C1095" t="s">
        <v>24</v>
      </c>
      <c r="D1095" t="s">
        <v>81</v>
      </c>
      <c r="E1095" t="s">
        <v>25</v>
      </c>
      <c r="F1095" t="str">
        <f t="shared" si="34"/>
        <v>SMB</v>
      </c>
      <c r="G1095">
        <f>_xlfn.XLOOKUP(D1095,tblStates[state_code],tblStates[territory_id],"Needs Review - Territory")</f>
        <v>2</v>
      </c>
      <c r="H1095" t="str">
        <f>IF(E1095="","",_xlfn.XLOOKUP(E1095,tblUsers[user_id],tblUsers[job_title],"Owner Not Found"))</f>
        <v>SMB Account Executive</v>
      </c>
      <c r="I1095" t="str">
        <f>IF(E1095="","",_xlfn.XLOOKUP(E1095,tblUsers[user_id],tblUsers[segment],"Owner Not Found"))</f>
        <v>SMB</v>
      </c>
      <c r="J1095">
        <f>IF(E1095="","",_xlfn.XLOOKUP(E1095,tblUsers[user_id],tblUsers[territory_id],"Owner Not Found"))</f>
        <v>2</v>
      </c>
      <c r="K1095" t="str">
        <f t="shared" si="35"/>
        <v>Routing Compatible</v>
      </c>
    </row>
    <row r="1096" spans="1:11">
      <c r="A1096" t="s">
        <v>5010</v>
      </c>
      <c r="B1096" t="s">
        <v>5012</v>
      </c>
      <c r="C1096" t="s">
        <v>30</v>
      </c>
      <c r="D1096" t="s">
        <v>64</v>
      </c>
      <c r="E1096" t="s">
        <v>55</v>
      </c>
      <c r="F1096" t="str">
        <f t="shared" si="34"/>
        <v>MM</v>
      </c>
      <c r="G1096">
        <f>_xlfn.XLOOKUP(D1096,tblStates[state_code],tblStates[territory_id],"Needs Review - Territory")</f>
        <v>3</v>
      </c>
      <c r="H1096" t="str">
        <f>IF(E1096="","",_xlfn.XLOOKUP(E1096,tblUsers[user_id],tblUsers[job_title],"Owner Not Found"))</f>
        <v>Mid-Market Account Executive</v>
      </c>
      <c r="I1096" t="str">
        <f>IF(E1096="","",_xlfn.XLOOKUP(E1096,tblUsers[user_id],tblUsers[segment],"Owner Not Found"))</f>
        <v>MM</v>
      </c>
      <c r="J1096">
        <f>IF(E1096="","",_xlfn.XLOOKUP(E1096,tblUsers[user_id],tblUsers[territory_id],"Owner Not Found"))</f>
        <v>3</v>
      </c>
      <c r="K1096" t="str">
        <f t="shared" si="35"/>
        <v>Routing Compatible</v>
      </c>
    </row>
    <row r="1097" spans="1:11">
      <c r="A1097" t="s">
        <v>5013</v>
      </c>
      <c r="B1097" t="s">
        <v>5015</v>
      </c>
      <c r="C1097" t="s">
        <v>24</v>
      </c>
      <c r="D1097" t="s">
        <v>226</v>
      </c>
      <c r="E1097" t="s">
        <v>69</v>
      </c>
      <c r="F1097" t="str">
        <f t="shared" si="34"/>
        <v>SMB</v>
      </c>
      <c r="G1097">
        <f>_xlfn.XLOOKUP(D1097,tblStates[state_code],tblStates[territory_id],"Needs Review - Territory")</f>
        <v>3</v>
      </c>
      <c r="H1097" t="str">
        <f>IF(E1097="","",_xlfn.XLOOKUP(E1097,tblUsers[user_id],tblUsers[job_title],"Owner Not Found"))</f>
        <v>SMB Account Executive</v>
      </c>
      <c r="I1097" t="str">
        <f>IF(E1097="","",_xlfn.XLOOKUP(E1097,tblUsers[user_id],tblUsers[segment],"Owner Not Found"))</f>
        <v>SMB</v>
      </c>
      <c r="J1097">
        <f>IF(E1097="","",_xlfn.XLOOKUP(E1097,tblUsers[user_id],tblUsers[territory_id],"Owner Not Found"))</f>
        <v>3</v>
      </c>
      <c r="K1097" t="str">
        <f t="shared" si="35"/>
        <v>Routing Compatible</v>
      </c>
    </row>
    <row r="1098" spans="1:11">
      <c r="A1098" t="s">
        <v>5016</v>
      </c>
      <c r="B1098" t="s">
        <v>5018</v>
      </c>
      <c r="C1098" t="s">
        <v>24</v>
      </c>
      <c r="D1098" t="s">
        <v>16</v>
      </c>
      <c r="E1098" t="s">
        <v>91</v>
      </c>
      <c r="F1098" t="str">
        <f t="shared" si="34"/>
        <v>SMB</v>
      </c>
      <c r="G1098">
        <f>_xlfn.XLOOKUP(D1098,tblStates[state_code],tblStates[territory_id],"Needs Review - Territory")</f>
        <v>1</v>
      </c>
      <c r="H1098" t="str">
        <f>IF(E1098="","",_xlfn.XLOOKUP(E1098,tblUsers[user_id],tblUsers[job_title],"Owner Not Found"))</f>
        <v>SMB Account Executive</v>
      </c>
      <c r="I1098" t="str">
        <f>IF(E1098="","",_xlfn.XLOOKUP(E1098,tblUsers[user_id],tblUsers[segment],"Owner Not Found"))</f>
        <v>SMB</v>
      </c>
      <c r="J1098">
        <f>IF(E1098="","",_xlfn.XLOOKUP(E1098,tblUsers[user_id],tblUsers[territory_id],"Owner Not Found"))</f>
        <v>1</v>
      </c>
      <c r="K1098" t="str">
        <f t="shared" si="35"/>
        <v>Routing Compatible</v>
      </c>
    </row>
    <row r="1099" spans="1:11">
      <c r="A1099" t="s">
        <v>5019</v>
      </c>
      <c r="B1099" t="s">
        <v>5021</v>
      </c>
      <c r="C1099" t="s">
        <v>30</v>
      </c>
      <c r="D1099" t="s">
        <v>41</v>
      </c>
      <c r="E1099" t="s">
        <v>82</v>
      </c>
      <c r="F1099" t="str">
        <f t="shared" si="34"/>
        <v>MM</v>
      </c>
      <c r="G1099">
        <f>_xlfn.XLOOKUP(D1099,tblStates[state_code],tblStates[territory_id],"Needs Review - Territory")</f>
        <v>2</v>
      </c>
      <c r="H1099" t="str">
        <f>IF(E1099="","",_xlfn.XLOOKUP(E1099,tblUsers[user_id],tblUsers[job_title],"Owner Not Found"))</f>
        <v>Mid-Market Account Executive</v>
      </c>
      <c r="I1099" t="str">
        <f>IF(E1099="","",_xlfn.XLOOKUP(E1099,tblUsers[user_id],tblUsers[segment],"Owner Not Found"))</f>
        <v>MM</v>
      </c>
      <c r="J1099">
        <f>IF(E1099="","",_xlfn.XLOOKUP(E1099,tblUsers[user_id],tblUsers[territory_id],"Owner Not Found"))</f>
        <v>2</v>
      </c>
      <c r="K1099" t="str">
        <f t="shared" si="35"/>
        <v>Routing Compatible</v>
      </c>
    </row>
    <row r="1100" spans="1:11">
      <c r="A1100" t="s">
        <v>5022</v>
      </c>
      <c r="B1100" t="s">
        <v>5023</v>
      </c>
      <c r="C1100" t="s">
        <v>30</v>
      </c>
      <c r="D1100" t="s">
        <v>212</v>
      </c>
      <c r="E1100" t="s">
        <v>55</v>
      </c>
      <c r="F1100" t="str">
        <f t="shared" si="34"/>
        <v>MM</v>
      </c>
      <c r="G1100">
        <f>_xlfn.XLOOKUP(D1100,tblStates[state_code],tblStates[territory_id],"Needs Review - Territory")</f>
        <v>3</v>
      </c>
      <c r="H1100" t="str">
        <f>IF(E1100="","",_xlfn.XLOOKUP(E1100,tblUsers[user_id],tblUsers[job_title],"Owner Not Found"))</f>
        <v>Mid-Market Account Executive</v>
      </c>
      <c r="I1100" t="str">
        <f>IF(E1100="","",_xlfn.XLOOKUP(E1100,tblUsers[user_id],tblUsers[segment],"Owner Not Found"))</f>
        <v>MM</v>
      </c>
      <c r="J1100">
        <f>IF(E1100="","",_xlfn.XLOOKUP(E1100,tblUsers[user_id],tblUsers[territory_id],"Owner Not Found"))</f>
        <v>3</v>
      </c>
      <c r="K1100" t="str">
        <f t="shared" si="35"/>
        <v>Routing Compatible</v>
      </c>
    </row>
    <row r="1101" spans="1:11">
      <c r="A1101" t="s">
        <v>5024</v>
      </c>
      <c r="B1101" t="s">
        <v>5026</v>
      </c>
      <c r="C1101" t="s">
        <v>24</v>
      </c>
      <c r="D1101" t="s">
        <v>1042</v>
      </c>
      <c r="E1101" t="s">
        <v>91</v>
      </c>
      <c r="F1101" t="str">
        <f t="shared" si="34"/>
        <v>SMB</v>
      </c>
      <c r="G1101">
        <f>_xlfn.XLOOKUP(D1101,tblStates[state_code],tblStates[territory_id],"Needs Review - Territory")</f>
        <v>1</v>
      </c>
      <c r="H1101" t="str">
        <f>IF(E1101="","",_xlfn.XLOOKUP(E1101,tblUsers[user_id],tblUsers[job_title],"Owner Not Found"))</f>
        <v>SMB Account Executive</v>
      </c>
      <c r="I1101" t="str">
        <f>IF(E1101="","",_xlfn.XLOOKUP(E1101,tblUsers[user_id],tblUsers[segment],"Owner Not Found"))</f>
        <v>SMB</v>
      </c>
      <c r="J1101">
        <f>IF(E1101="","",_xlfn.XLOOKUP(E1101,tblUsers[user_id],tblUsers[territory_id],"Owner Not Found"))</f>
        <v>1</v>
      </c>
      <c r="K1101" t="str">
        <f t="shared" si="35"/>
        <v>Routing Compatible</v>
      </c>
    </row>
    <row r="1102" spans="1:11">
      <c r="A1102" t="s">
        <v>5027</v>
      </c>
      <c r="B1102" t="s">
        <v>5029</v>
      </c>
      <c r="C1102" t="s">
        <v>24</v>
      </c>
      <c r="D1102" t="s">
        <v>635</v>
      </c>
      <c r="F1102" t="str">
        <f t="shared" si="34"/>
        <v>SMB</v>
      </c>
      <c r="G1102">
        <f>_xlfn.XLOOKUP(D1102,tblStates[state_code],tblStates[territory_id],"Needs Review - Territory")</f>
        <v>4</v>
      </c>
      <c r="H1102" t="str">
        <f>IF(E1102="","",_xlfn.XLOOKUP(E1102,tblUsers[user_id],tblUsers[job_title],"Owner Not Found"))</f>
        <v/>
      </c>
      <c r="I1102" t="str">
        <f>IF(E1102="","",_xlfn.XLOOKUP(E1102,tblUsers[user_id],tblUsers[segment],"Owner Not Found"))</f>
        <v/>
      </c>
      <c r="J1102" t="str">
        <f>IF(E1102="","",_xlfn.XLOOKUP(E1102,tblUsers[user_id],tblUsers[territory_id],"Owner Not Found"))</f>
        <v/>
      </c>
      <c r="K1102" t="str">
        <f t="shared" si="35"/>
        <v>Unassigned</v>
      </c>
    </row>
    <row r="1103" spans="1:11">
      <c r="A1103" t="s">
        <v>5030</v>
      </c>
      <c r="B1103" t="s">
        <v>5032</v>
      </c>
      <c r="C1103" t="s">
        <v>24</v>
      </c>
      <c r="D1103" t="s">
        <v>41</v>
      </c>
      <c r="E1103" t="s">
        <v>25</v>
      </c>
      <c r="F1103" t="str">
        <f t="shared" si="34"/>
        <v>SMB</v>
      </c>
      <c r="G1103">
        <f>_xlfn.XLOOKUP(D1103,tblStates[state_code],tblStates[territory_id],"Needs Review - Territory")</f>
        <v>2</v>
      </c>
      <c r="H1103" t="str">
        <f>IF(E1103="","",_xlfn.XLOOKUP(E1103,tblUsers[user_id],tblUsers[job_title],"Owner Not Found"))</f>
        <v>SMB Account Executive</v>
      </c>
      <c r="I1103" t="str">
        <f>IF(E1103="","",_xlfn.XLOOKUP(E1103,tblUsers[user_id],tblUsers[segment],"Owner Not Found"))</f>
        <v>SMB</v>
      </c>
      <c r="J1103">
        <f>IF(E1103="","",_xlfn.XLOOKUP(E1103,tblUsers[user_id],tblUsers[territory_id],"Owner Not Found"))</f>
        <v>2</v>
      </c>
      <c r="K1103" t="str">
        <f t="shared" si="35"/>
        <v>Routing Compatible</v>
      </c>
    </row>
    <row r="1104" spans="1:11">
      <c r="A1104" t="s">
        <v>5033</v>
      </c>
      <c r="B1104" t="s">
        <v>5035</v>
      </c>
      <c r="C1104" t="s">
        <v>24</v>
      </c>
      <c r="D1104" t="s">
        <v>140</v>
      </c>
      <c r="E1104" t="s">
        <v>25</v>
      </c>
      <c r="F1104" t="str">
        <f t="shared" si="34"/>
        <v>SMB</v>
      </c>
      <c r="G1104">
        <f>_xlfn.XLOOKUP(D1104,tblStates[state_code],tblStates[territory_id],"Needs Review - Territory")</f>
        <v>2</v>
      </c>
      <c r="H1104" t="str">
        <f>IF(E1104="","",_xlfn.XLOOKUP(E1104,tblUsers[user_id],tblUsers[job_title],"Owner Not Found"))</f>
        <v>SMB Account Executive</v>
      </c>
      <c r="I1104" t="str">
        <f>IF(E1104="","",_xlfn.XLOOKUP(E1104,tblUsers[user_id],tblUsers[segment],"Owner Not Found"))</f>
        <v>SMB</v>
      </c>
      <c r="J1104">
        <f>IF(E1104="","",_xlfn.XLOOKUP(E1104,tblUsers[user_id],tblUsers[territory_id],"Owner Not Found"))</f>
        <v>2</v>
      </c>
      <c r="K1104" t="str">
        <f t="shared" si="35"/>
        <v>Routing Compatible</v>
      </c>
    </row>
    <row r="1105" spans="1:11">
      <c r="A1105" t="s">
        <v>5036</v>
      </c>
      <c r="B1105" t="s">
        <v>5038</v>
      </c>
      <c r="C1105" t="s">
        <v>24</v>
      </c>
      <c r="D1105" t="s">
        <v>638</v>
      </c>
      <c r="E1105" t="s">
        <v>69</v>
      </c>
      <c r="F1105" t="str">
        <f t="shared" si="34"/>
        <v>SMB</v>
      </c>
      <c r="G1105">
        <f>_xlfn.XLOOKUP(D1105,tblStates[state_code],tblStates[territory_id],"Needs Review - Territory")</f>
        <v>3</v>
      </c>
      <c r="H1105" t="str">
        <f>IF(E1105="","",_xlfn.XLOOKUP(E1105,tblUsers[user_id],tblUsers[job_title],"Owner Not Found"))</f>
        <v>SMB Account Executive</v>
      </c>
      <c r="I1105" t="str">
        <f>IF(E1105="","",_xlfn.XLOOKUP(E1105,tblUsers[user_id],tblUsers[segment],"Owner Not Found"))</f>
        <v>SMB</v>
      </c>
      <c r="J1105">
        <f>IF(E1105="","",_xlfn.XLOOKUP(E1105,tblUsers[user_id],tblUsers[territory_id],"Owner Not Found"))</f>
        <v>3</v>
      </c>
      <c r="K1105" t="str">
        <f t="shared" si="35"/>
        <v>Routing Compatible</v>
      </c>
    </row>
    <row r="1106" spans="1:11">
      <c r="A1106" t="s">
        <v>5039</v>
      </c>
      <c r="B1106" t="s">
        <v>5041</v>
      </c>
      <c r="C1106" t="s">
        <v>24</v>
      </c>
      <c r="D1106" t="s">
        <v>404</v>
      </c>
      <c r="E1106" t="s">
        <v>25</v>
      </c>
      <c r="F1106" t="str">
        <f t="shared" si="34"/>
        <v>SMB</v>
      </c>
      <c r="G1106">
        <f>_xlfn.XLOOKUP(D1106,tblStates[state_code],tblStates[territory_id],"Needs Review - Territory")</f>
        <v>2</v>
      </c>
      <c r="H1106" t="str">
        <f>IF(E1106="","",_xlfn.XLOOKUP(E1106,tblUsers[user_id],tblUsers[job_title],"Owner Not Found"))</f>
        <v>SMB Account Executive</v>
      </c>
      <c r="I1106" t="str">
        <f>IF(E1106="","",_xlfn.XLOOKUP(E1106,tblUsers[user_id],tblUsers[segment],"Owner Not Found"))</f>
        <v>SMB</v>
      </c>
      <c r="J1106">
        <f>IF(E1106="","",_xlfn.XLOOKUP(E1106,tblUsers[user_id],tblUsers[territory_id],"Owner Not Found"))</f>
        <v>2</v>
      </c>
      <c r="K1106" t="str">
        <f t="shared" si="35"/>
        <v>Routing Compatible</v>
      </c>
    </row>
    <row r="1107" spans="1:11">
      <c r="A1107" t="s">
        <v>5042</v>
      </c>
      <c r="B1107" t="s">
        <v>5044</v>
      </c>
      <c r="C1107" t="s">
        <v>30</v>
      </c>
      <c r="D1107" t="s">
        <v>50</v>
      </c>
      <c r="E1107" t="s">
        <v>36</v>
      </c>
      <c r="F1107" t="str">
        <f t="shared" si="34"/>
        <v>MM</v>
      </c>
      <c r="G1107">
        <f>_xlfn.XLOOKUP(D1107,tblStates[state_code],tblStates[territory_id],"Needs Review - Territory")</f>
        <v>4</v>
      </c>
      <c r="H1107" t="str">
        <f>IF(E1107="","",_xlfn.XLOOKUP(E1107,tblUsers[user_id],tblUsers[job_title],"Owner Not Found"))</f>
        <v>Mid-Market Account Executive</v>
      </c>
      <c r="I1107" t="str">
        <f>IF(E1107="","",_xlfn.XLOOKUP(E1107,tblUsers[user_id],tblUsers[segment],"Owner Not Found"))</f>
        <v>MM</v>
      </c>
      <c r="J1107">
        <f>IF(E1107="","",_xlfn.XLOOKUP(E1107,tblUsers[user_id],tblUsers[territory_id],"Owner Not Found"))</f>
        <v>4</v>
      </c>
      <c r="K1107" t="str">
        <f t="shared" si="35"/>
        <v>Routing Compatible</v>
      </c>
    </row>
    <row r="1108" spans="1:11">
      <c r="A1108" t="s">
        <v>5045</v>
      </c>
      <c r="B1108" t="s">
        <v>5047</v>
      </c>
      <c r="C1108" t="s">
        <v>30</v>
      </c>
      <c r="D1108" t="s">
        <v>140</v>
      </c>
      <c r="E1108" t="s">
        <v>82</v>
      </c>
      <c r="F1108" t="str">
        <f t="shared" si="34"/>
        <v>MM</v>
      </c>
      <c r="G1108">
        <f>_xlfn.XLOOKUP(D1108,tblStates[state_code],tblStates[territory_id],"Needs Review - Territory")</f>
        <v>2</v>
      </c>
      <c r="H1108" t="str">
        <f>IF(E1108="","",_xlfn.XLOOKUP(E1108,tblUsers[user_id],tblUsers[job_title],"Owner Not Found"))</f>
        <v>Mid-Market Account Executive</v>
      </c>
      <c r="I1108" t="str">
        <f>IF(E1108="","",_xlfn.XLOOKUP(E1108,tblUsers[user_id],tblUsers[segment],"Owner Not Found"))</f>
        <v>MM</v>
      </c>
      <c r="J1108">
        <f>IF(E1108="","",_xlfn.XLOOKUP(E1108,tblUsers[user_id],tblUsers[territory_id],"Owner Not Found"))</f>
        <v>2</v>
      </c>
      <c r="K1108" t="str">
        <f t="shared" si="35"/>
        <v>Routing Compatible</v>
      </c>
    </row>
    <row r="1109" spans="1:11">
      <c r="A1109" t="s">
        <v>5048</v>
      </c>
      <c r="B1109" t="s">
        <v>5050</v>
      </c>
      <c r="C1109" t="s">
        <v>30</v>
      </c>
      <c r="D1109" t="s">
        <v>205</v>
      </c>
      <c r="E1109" t="s">
        <v>36</v>
      </c>
      <c r="F1109" t="str">
        <f t="shared" si="34"/>
        <v>MM</v>
      </c>
      <c r="G1109">
        <f>_xlfn.XLOOKUP(D1109,tblStates[state_code],tblStates[territory_id],"Needs Review - Territory")</f>
        <v>4</v>
      </c>
      <c r="H1109" t="str">
        <f>IF(E1109="","",_xlfn.XLOOKUP(E1109,tblUsers[user_id],tblUsers[job_title],"Owner Not Found"))</f>
        <v>Mid-Market Account Executive</v>
      </c>
      <c r="I1109" t="str">
        <f>IF(E1109="","",_xlfn.XLOOKUP(E1109,tblUsers[user_id],tblUsers[segment],"Owner Not Found"))</f>
        <v>MM</v>
      </c>
      <c r="J1109">
        <f>IF(E1109="","",_xlfn.XLOOKUP(E1109,tblUsers[user_id],tblUsers[territory_id],"Owner Not Found"))</f>
        <v>4</v>
      </c>
      <c r="K1109" t="str">
        <f t="shared" si="35"/>
        <v>Routing Compatible</v>
      </c>
    </row>
    <row r="1110" spans="1:11">
      <c r="A1110" t="s">
        <v>5051</v>
      </c>
      <c r="B1110" t="s">
        <v>5053</v>
      </c>
      <c r="C1110" t="s">
        <v>24</v>
      </c>
      <c r="D1110" t="s">
        <v>54</v>
      </c>
      <c r="E1110" t="s">
        <v>69</v>
      </c>
      <c r="F1110" t="str">
        <f t="shared" si="34"/>
        <v>SMB</v>
      </c>
      <c r="G1110">
        <f>_xlfn.XLOOKUP(D1110,tblStates[state_code],tblStates[territory_id],"Needs Review - Territory")</f>
        <v>3</v>
      </c>
      <c r="H1110" t="str">
        <f>IF(E1110="","",_xlfn.XLOOKUP(E1110,tblUsers[user_id],tblUsers[job_title],"Owner Not Found"))</f>
        <v>SMB Account Executive</v>
      </c>
      <c r="I1110" t="str">
        <f>IF(E1110="","",_xlfn.XLOOKUP(E1110,tblUsers[user_id],tblUsers[segment],"Owner Not Found"))</f>
        <v>SMB</v>
      </c>
      <c r="J1110">
        <f>IF(E1110="","",_xlfn.XLOOKUP(E1110,tblUsers[user_id],tblUsers[territory_id],"Owner Not Found"))</f>
        <v>3</v>
      </c>
      <c r="K1110" t="str">
        <f t="shared" si="35"/>
        <v>Routing Compatible</v>
      </c>
    </row>
    <row r="1111" spans="1:11">
      <c r="A1111" t="s">
        <v>5054</v>
      </c>
      <c r="B1111" t="s">
        <v>5056</v>
      </c>
      <c r="C1111" t="s">
        <v>30</v>
      </c>
      <c r="D1111" t="s">
        <v>54</v>
      </c>
      <c r="E1111" t="s">
        <v>55</v>
      </c>
      <c r="F1111" t="str">
        <f t="shared" si="34"/>
        <v>MM</v>
      </c>
      <c r="G1111">
        <f>_xlfn.XLOOKUP(D1111,tblStates[state_code],tblStates[territory_id],"Needs Review - Territory")</f>
        <v>3</v>
      </c>
      <c r="H1111" t="str">
        <f>IF(E1111="","",_xlfn.XLOOKUP(E1111,tblUsers[user_id],tblUsers[job_title],"Owner Not Found"))</f>
        <v>Mid-Market Account Executive</v>
      </c>
      <c r="I1111" t="str">
        <f>IF(E1111="","",_xlfn.XLOOKUP(E1111,tblUsers[user_id],tblUsers[segment],"Owner Not Found"))</f>
        <v>MM</v>
      </c>
      <c r="J1111">
        <f>IF(E1111="","",_xlfn.XLOOKUP(E1111,tblUsers[user_id],tblUsers[territory_id],"Owner Not Found"))</f>
        <v>3</v>
      </c>
      <c r="K1111" t="str">
        <f t="shared" si="35"/>
        <v>Routing Compatible</v>
      </c>
    </row>
    <row r="1112" spans="1:11">
      <c r="A1112" t="s">
        <v>5057</v>
      </c>
      <c r="B1112" t="s">
        <v>5059</v>
      </c>
      <c r="C1112" t="s">
        <v>24</v>
      </c>
      <c r="D1112" t="s">
        <v>249</v>
      </c>
      <c r="E1112" t="s">
        <v>59</v>
      </c>
      <c r="F1112" t="str">
        <f t="shared" si="34"/>
        <v>SMB</v>
      </c>
      <c r="G1112">
        <f>_xlfn.XLOOKUP(D1112,tblStates[state_code],tblStates[territory_id],"Needs Review - Territory")</f>
        <v>4</v>
      </c>
      <c r="H1112" t="str">
        <f>IF(E1112="","",_xlfn.XLOOKUP(E1112,tblUsers[user_id],tblUsers[job_title],"Owner Not Found"))</f>
        <v>SMB Account Executive</v>
      </c>
      <c r="I1112" t="str">
        <f>IF(E1112="","",_xlfn.XLOOKUP(E1112,tblUsers[user_id],tblUsers[segment],"Owner Not Found"))</f>
        <v>SMB</v>
      </c>
      <c r="J1112">
        <f>IF(E1112="","",_xlfn.XLOOKUP(E1112,tblUsers[user_id],tblUsers[territory_id],"Owner Not Found"))</f>
        <v>4</v>
      </c>
      <c r="K1112" t="str">
        <f t="shared" si="35"/>
        <v>Routing Compatible</v>
      </c>
    </row>
    <row r="1113" spans="1:11">
      <c r="A1113" t="s">
        <v>5060</v>
      </c>
      <c r="B1113" t="s">
        <v>5062</v>
      </c>
      <c r="C1113" t="s">
        <v>24</v>
      </c>
      <c r="D1113" t="s">
        <v>16</v>
      </c>
      <c r="E1113" t="s">
        <v>91</v>
      </c>
      <c r="F1113" t="str">
        <f t="shared" si="34"/>
        <v>SMB</v>
      </c>
      <c r="G1113">
        <f>_xlfn.XLOOKUP(D1113,tblStates[state_code],tblStates[territory_id],"Needs Review - Territory")</f>
        <v>1</v>
      </c>
      <c r="H1113" t="str">
        <f>IF(E1113="","",_xlfn.XLOOKUP(E1113,tblUsers[user_id],tblUsers[job_title],"Owner Not Found"))</f>
        <v>SMB Account Executive</v>
      </c>
      <c r="I1113" t="str">
        <f>IF(E1113="","",_xlfn.XLOOKUP(E1113,tblUsers[user_id],tblUsers[segment],"Owner Not Found"))</f>
        <v>SMB</v>
      </c>
      <c r="J1113">
        <f>IF(E1113="","",_xlfn.XLOOKUP(E1113,tblUsers[user_id],tblUsers[territory_id],"Owner Not Found"))</f>
        <v>1</v>
      </c>
      <c r="K1113" t="str">
        <f t="shared" si="35"/>
        <v>Routing Compatible</v>
      </c>
    </row>
    <row r="1114" spans="1:11">
      <c r="A1114" t="s">
        <v>5063</v>
      </c>
      <c r="B1114" t="s">
        <v>5065</v>
      </c>
      <c r="C1114" t="s">
        <v>24</v>
      </c>
      <c r="D1114" t="s">
        <v>64</v>
      </c>
      <c r="E1114" t="s">
        <v>69</v>
      </c>
      <c r="F1114" t="str">
        <f t="shared" si="34"/>
        <v>SMB</v>
      </c>
      <c r="G1114">
        <f>_xlfn.XLOOKUP(D1114,tblStates[state_code],tblStates[territory_id],"Needs Review - Territory")</f>
        <v>3</v>
      </c>
      <c r="H1114" t="str">
        <f>IF(E1114="","",_xlfn.XLOOKUP(E1114,tblUsers[user_id],tblUsers[job_title],"Owner Not Found"))</f>
        <v>SMB Account Executive</v>
      </c>
      <c r="I1114" t="str">
        <f>IF(E1114="","",_xlfn.XLOOKUP(E1114,tblUsers[user_id],tblUsers[segment],"Owner Not Found"))</f>
        <v>SMB</v>
      </c>
      <c r="J1114">
        <f>IF(E1114="","",_xlfn.XLOOKUP(E1114,tblUsers[user_id],tblUsers[territory_id],"Owner Not Found"))</f>
        <v>3</v>
      </c>
      <c r="K1114" t="str">
        <f t="shared" si="35"/>
        <v>Routing Compatible</v>
      </c>
    </row>
    <row r="1115" spans="1:11">
      <c r="A1115" t="s">
        <v>5066</v>
      </c>
      <c r="B1115" t="s">
        <v>5068</v>
      </c>
      <c r="C1115" t="s">
        <v>24</v>
      </c>
      <c r="D1115" t="s">
        <v>178</v>
      </c>
      <c r="E1115" t="s">
        <v>59</v>
      </c>
      <c r="F1115" t="str">
        <f t="shared" si="34"/>
        <v>SMB</v>
      </c>
      <c r="G1115">
        <f>_xlfn.XLOOKUP(D1115,tblStates[state_code],tblStates[territory_id],"Needs Review - Territory")</f>
        <v>4</v>
      </c>
      <c r="H1115" t="str">
        <f>IF(E1115="","",_xlfn.XLOOKUP(E1115,tblUsers[user_id],tblUsers[job_title],"Owner Not Found"))</f>
        <v>SMB Account Executive</v>
      </c>
      <c r="I1115" t="str">
        <f>IF(E1115="","",_xlfn.XLOOKUP(E1115,tblUsers[user_id],tblUsers[segment],"Owner Not Found"))</f>
        <v>SMB</v>
      </c>
      <c r="J1115">
        <f>IF(E1115="","",_xlfn.XLOOKUP(E1115,tblUsers[user_id],tblUsers[territory_id],"Owner Not Found"))</f>
        <v>4</v>
      </c>
      <c r="K1115" t="str">
        <f t="shared" si="35"/>
        <v>Routing Compatible</v>
      </c>
    </row>
    <row r="1116" spans="1:11">
      <c r="A1116" t="s">
        <v>5069</v>
      </c>
      <c r="B1116" t="s">
        <v>5071</v>
      </c>
      <c r="C1116" t="s">
        <v>30</v>
      </c>
      <c r="D1116" t="s">
        <v>50</v>
      </c>
      <c r="E1116" t="s">
        <v>36</v>
      </c>
      <c r="F1116" t="str">
        <f t="shared" si="34"/>
        <v>MM</v>
      </c>
      <c r="G1116">
        <f>_xlfn.XLOOKUP(D1116,tblStates[state_code],tblStates[territory_id],"Needs Review - Territory")</f>
        <v>4</v>
      </c>
      <c r="H1116" t="str">
        <f>IF(E1116="","",_xlfn.XLOOKUP(E1116,tblUsers[user_id],tblUsers[job_title],"Owner Not Found"))</f>
        <v>Mid-Market Account Executive</v>
      </c>
      <c r="I1116" t="str">
        <f>IF(E1116="","",_xlfn.XLOOKUP(E1116,tblUsers[user_id],tblUsers[segment],"Owner Not Found"))</f>
        <v>MM</v>
      </c>
      <c r="J1116">
        <f>IF(E1116="","",_xlfn.XLOOKUP(E1116,tblUsers[user_id],tblUsers[territory_id],"Owner Not Found"))</f>
        <v>4</v>
      </c>
      <c r="K1116" t="str">
        <f t="shared" si="35"/>
        <v>Routing Compatible</v>
      </c>
    </row>
    <row r="1117" spans="1:11">
      <c r="A1117" t="s">
        <v>5072</v>
      </c>
      <c r="B1117" t="s">
        <v>5074</v>
      </c>
      <c r="C1117" t="s">
        <v>24</v>
      </c>
      <c r="D1117" t="s">
        <v>192</v>
      </c>
      <c r="E1117" t="s">
        <v>91</v>
      </c>
      <c r="F1117" t="str">
        <f t="shared" si="34"/>
        <v>SMB</v>
      </c>
      <c r="G1117">
        <f>_xlfn.XLOOKUP(D1117,tblStates[state_code],tblStates[territory_id],"Needs Review - Territory")</f>
        <v>1</v>
      </c>
      <c r="H1117" t="str">
        <f>IF(E1117="","",_xlfn.XLOOKUP(E1117,tblUsers[user_id],tblUsers[job_title],"Owner Not Found"))</f>
        <v>SMB Account Executive</v>
      </c>
      <c r="I1117" t="str">
        <f>IF(E1117="","",_xlfn.XLOOKUP(E1117,tblUsers[user_id],tblUsers[segment],"Owner Not Found"))</f>
        <v>SMB</v>
      </c>
      <c r="J1117">
        <f>IF(E1117="","",_xlfn.XLOOKUP(E1117,tblUsers[user_id],tblUsers[territory_id],"Owner Not Found"))</f>
        <v>1</v>
      </c>
      <c r="K1117" t="str">
        <f t="shared" si="35"/>
        <v>Routing Compatible</v>
      </c>
    </row>
    <row r="1118" spans="1:11">
      <c r="A1118" t="s">
        <v>5075</v>
      </c>
      <c r="B1118" t="s">
        <v>5077</v>
      </c>
      <c r="C1118" t="s">
        <v>17</v>
      </c>
      <c r="D1118" t="s">
        <v>50</v>
      </c>
      <c r="E1118" t="s">
        <v>36</v>
      </c>
      <c r="F1118" t="str">
        <f t="shared" si="34"/>
        <v>MM</v>
      </c>
      <c r="G1118">
        <f>_xlfn.XLOOKUP(D1118,tblStates[state_code],tblStates[territory_id],"Needs Review - Territory")</f>
        <v>4</v>
      </c>
      <c r="H1118" t="str">
        <f>IF(E1118="","",_xlfn.XLOOKUP(E1118,tblUsers[user_id],tblUsers[job_title],"Owner Not Found"))</f>
        <v>Mid-Market Account Executive</v>
      </c>
      <c r="I1118" t="str">
        <f>IF(E1118="","",_xlfn.XLOOKUP(E1118,tblUsers[user_id],tblUsers[segment],"Owner Not Found"))</f>
        <v>MM</v>
      </c>
      <c r="J1118">
        <f>IF(E1118="","",_xlfn.XLOOKUP(E1118,tblUsers[user_id],tblUsers[territory_id],"Owner Not Found"))</f>
        <v>4</v>
      </c>
      <c r="K1118" t="str">
        <f t="shared" si="35"/>
        <v>Routing Compatible</v>
      </c>
    </row>
    <row r="1119" spans="1:11">
      <c r="A1119" t="s">
        <v>5078</v>
      </c>
      <c r="B1119" t="s">
        <v>5080</v>
      </c>
      <c r="C1119" t="s">
        <v>24</v>
      </c>
      <c r="D1119" t="s">
        <v>178</v>
      </c>
      <c r="E1119" t="s">
        <v>59</v>
      </c>
      <c r="F1119" t="str">
        <f t="shared" si="34"/>
        <v>SMB</v>
      </c>
      <c r="G1119">
        <f>_xlfn.XLOOKUP(D1119,tblStates[state_code],tblStates[territory_id],"Needs Review - Territory")</f>
        <v>4</v>
      </c>
      <c r="H1119" t="str">
        <f>IF(E1119="","",_xlfn.XLOOKUP(E1119,tblUsers[user_id],tblUsers[job_title],"Owner Not Found"))</f>
        <v>SMB Account Executive</v>
      </c>
      <c r="I1119" t="str">
        <f>IF(E1119="","",_xlfn.XLOOKUP(E1119,tblUsers[user_id],tblUsers[segment],"Owner Not Found"))</f>
        <v>SMB</v>
      </c>
      <c r="J1119">
        <f>IF(E1119="","",_xlfn.XLOOKUP(E1119,tblUsers[user_id],tblUsers[territory_id],"Owner Not Found"))</f>
        <v>4</v>
      </c>
      <c r="K1119" t="str">
        <f t="shared" si="35"/>
        <v>Routing Compatible</v>
      </c>
    </row>
    <row r="1120" spans="1:11">
      <c r="A1120" t="s">
        <v>5081</v>
      </c>
      <c r="B1120" t="s">
        <v>5083</v>
      </c>
      <c r="C1120" t="s">
        <v>30</v>
      </c>
      <c r="D1120" t="s">
        <v>1042</v>
      </c>
      <c r="E1120" t="s">
        <v>18</v>
      </c>
      <c r="F1120" t="str">
        <f t="shared" si="34"/>
        <v>MM</v>
      </c>
      <c r="G1120">
        <f>_xlfn.XLOOKUP(D1120,tblStates[state_code],tblStates[territory_id],"Needs Review - Territory")</f>
        <v>1</v>
      </c>
      <c r="H1120" t="str">
        <f>IF(E1120="","",_xlfn.XLOOKUP(E1120,tblUsers[user_id],tblUsers[job_title],"Owner Not Found"))</f>
        <v>Mid-Market Account Executive</v>
      </c>
      <c r="I1120" t="str">
        <f>IF(E1120="","",_xlfn.XLOOKUP(E1120,tblUsers[user_id],tblUsers[segment],"Owner Not Found"))</f>
        <v>MM</v>
      </c>
      <c r="J1120">
        <f>IF(E1120="","",_xlfn.XLOOKUP(E1120,tblUsers[user_id],tblUsers[territory_id],"Owner Not Found"))</f>
        <v>1</v>
      </c>
      <c r="K1120" t="str">
        <f t="shared" si="35"/>
        <v>Routing Compatible</v>
      </c>
    </row>
    <row r="1121" spans="1:11">
      <c r="A1121" t="s">
        <v>5084</v>
      </c>
      <c r="B1121" t="s">
        <v>5086</v>
      </c>
      <c r="C1121" t="s">
        <v>30</v>
      </c>
      <c r="D1121" t="s">
        <v>41</v>
      </c>
      <c r="E1121" t="s">
        <v>82</v>
      </c>
      <c r="F1121" t="str">
        <f t="shared" si="34"/>
        <v>MM</v>
      </c>
      <c r="G1121">
        <f>_xlfn.XLOOKUP(D1121,tblStates[state_code],tblStates[territory_id],"Needs Review - Territory")</f>
        <v>2</v>
      </c>
      <c r="H1121" t="str">
        <f>IF(E1121="","",_xlfn.XLOOKUP(E1121,tblUsers[user_id],tblUsers[job_title],"Owner Not Found"))</f>
        <v>Mid-Market Account Executive</v>
      </c>
      <c r="I1121" t="str">
        <f>IF(E1121="","",_xlfn.XLOOKUP(E1121,tblUsers[user_id],tblUsers[segment],"Owner Not Found"))</f>
        <v>MM</v>
      </c>
      <c r="J1121">
        <f>IF(E1121="","",_xlfn.XLOOKUP(E1121,tblUsers[user_id],tblUsers[territory_id],"Owner Not Found"))</f>
        <v>2</v>
      </c>
      <c r="K1121" t="str">
        <f t="shared" si="35"/>
        <v>Routing Compatible</v>
      </c>
    </row>
    <row r="1122" spans="1:11">
      <c r="A1122" t="s">
        <v>5087</v>
      </c>
      <c r="B1122" t="s">
        <v>5089</v>
      </c>
      <c r="C1122" t="s">
        <v>30</v>
      </c>
      <c r="D1122" t="s">
        <v>127</v>
      </c>
      <c r="E1122" t="s">
        <v>82</v>
      </c>
      <c r="F1122" t="str">
        <f t="shared" si="34"/>
        <v>MM</v>
      </c>
      <c r="G1122">
        <f>_xlfn.XLOOKUP(D1122,tblStates[state_code],tblStates[territory_id],"Needs Review - Territory")</f>
        <v>2</v>
      </c>
      <c r="H1122" t="str">
        <f>IF(E1122="","",_xlfn.XLOOKUP(E1122,tblUsers[user_id],tblUsers[job_title],"Owner Not Found"))</f>
        <v>Mid-Market Account Executive</v>
      </c>
      <c r="I1122" t="str">
        <f>IF(E1122="","",_xlfn.XLOOKUP(E1122,tblUsers[user_id],tblUsers[segment],"Owner Not Found"))</f>
        <v>MM</v>
      </c>
      <c r="J1122">
        <f>IF(E1122="","",_xlfn.XLOOKUP(E1122,tblUsers[user_id],tblUsers[territory_id],"Owner Not Found"))</f>
        <v>2</v>
      </c>
      <c r="K1122" t="str">
        <f t="shared" si="35"/>
        <v>Routing Compatible</v>
      </c>
    </row>
    <row r="1123" spans="1:11">
      <c r="A1123" t="s">
        <v>5090</v>
      </c>
      <c r="B1123" t="s">
        <v>5092</v>
      </c>
      <c r="C1123" t="s">
        <v>17</v>
      </c>
      <c r="D1123" t="s">
        <v>205</v>
      </c>
      <c r="E1123" t="s">
        <v>36</v>
      </c>
      <c r="F1123" t="str">
        <f t="shared" si="34"/>
        <v>MM</v>
      </c>
      <c r="G1123">
        <f>_xlfn.XLOOKUP(D1123,tblStates[state_code],tblStates[territory_id],"Needs Review - Territory")</f>
        <v>4</v>
      </c>
      <c r="H1123" t="str">
        <f>IF(E1123="","",_xlfn.XLOOKUP(E1123,tblUsers[user_id],tblUsers[job_title],"Owner Not Found"))</f>
        <v>Mid-Market Account Executive</v>
      </c>
      <c r="I1123" t="str">
        <f>IF(E1123="","",_xlfn.XLOOKUP(E1123,tblUsers[user_id],tblUsers[segment],"Owner Not Found"))</f>
        <v>MM</v>
      </c>
      <c r="J1123">
        <f>IF(E1123="","",_xlfn.XLOOKUP(E1123,tblUsers[user_id],tblUsers[territory_id],"Owner Not Found"))</f>
        <v>4</v>
      </c>
      <c r="K1123" t="str">
        <f t="shared" si="35"/>
        <v>Routing Compatible</v>
      </c>
    </row>
    <row r="1124" spans="1:11">
      <c r="A1124" t="s">
        <v>5093</v>
      </c>
      <c r="B1124" t="s">
        <v>5095</v>
      </c>
      <c r="C1124" t="s">
        <v>24</v>
      </c>
      <c r="D1124" t="s">
        <v>171</v>
      </c>
      <c r="E1124" t="s">
        <v>91</v>
      </c>
      <c r="F1124" t="str">
        <f t="shared" si="34"/>
        <v>SMB</v>
      </c>
      <c r="G1124">
        <f>_xlfn.XLOOKUP(D1124,tblStates[state_code],tblStates[territory_id],"Needs Review - Territory")</f>
        <v>1</v>
      </c>
      <c r="H1124" t="str">
        <f>IF(E1124="","",_xlfn.XLOOKUP(E1124,tblUsers[user_id],tblUsers[job_title],"Owner Not Found"))</f>
        <v>SMB Account Executive</v>
      </c>
      <c r="I1124" t="str">
        <f>IF(E1124="","",_xlfn.XLOOKUP(E1124,tblUsers[user_id],tblUsers[segment],"Owner Not Found"))</f>
        <v>SMB</v>
      </c>
      <c r="J1124">
        <f>IF(E1124="","",_xlfn.XLOOKUP(E1124,tblUsers[user_id],tblUsers[territory_id],"Owner Not Found"))</f>
        <v>1</v>
      </c>
      <c r="K1124" t="str">
        <f t="shared" si="35"/>
        <v>Routing Compatible</v>
      </c>
    </row>
    <row r="1125" spans="1:11">
      <c r="A1125" t="s">
        <v>5096</v>
      </c>
      <c r="B1125" t="s">
        <v>5098</v>
      </c>
      <c r="C1125" t="s">
        <v>24</v>
      </c>
      <c r="D1125" t="s">
        <v>140</v>
      </c>
      <c r="E1125" t="s">
        <v>25</v>
      </c>
      <c r="F1125" t="str">
        <f t="shared" si="34"/>
        <v>SMB</v>
      </c>
      <c r="G1125">
        <f>_xlfn.XLOOKUP(D1125,tblStates[state_code],tblStates[territory_id],"Needs Review - Territory")</f>
        <v>2</v>
      </c>
      <c r="H1125" t="str">
        <f>IF(E1125="","",_xlfn.XLOOKUP(E1125,tblUsers[user_id],tblUsers[job_title],"Owner Not Found"))</f>
        <v>SMB Account Executive</v>
      </c>
      <c r="I1125" t="str">
        <f>IF(E1125="","",_xlfn.XLOOKUP(E1125,tblUsers[user_id],tblUsers[segment],"Owner Not Found"))</f>
        <v>SMB</v>
      </c>
      <c r="J1125">
        <f>IF(E1125="","",_xlfn.XLOOKUP(E1125,tblUsers[user_id],tblUsers[territory_id],"Owner Not Found"))</f>
        <v>2</v>
      </c>
      <c r="K1125" t="str">
        <f t="shared" si="35"/>
        <v>Routing Compatible</v>
      </c>
    </row>
    <row r="1126" spans="1:11">
      <c r="A1126" t="s">
        <v>5099</v>
      </c>
      <c r="B1126" t="s">
        <v>5101</v>
      </c>
      <c r="C1126" t="s">
        <v>24</v>
      </c>
      <c r="D1126" t="s">
        <v>638</v>
      </c>
      <c r="E1126" t="s">
        <v>69</v>
      </c>
      <c r="F1126" t="str">
        <f t="shared" si="34"/>
        <v>SMB</v>
      </c>
      <c r="G1126">
        <f>_xlfn.XLOOKUP(D1126,tblStates[state_code],tblStates[territory_id],"Needs Review - Territory")</f>
        <v>3</v>
      </c>
      <c r="H1126" t="str">
        <f>IF(E1126="","",_xlfn.XLOOKUP(E1126,tblUsers[user_id],tblUsers[job_title],"Owner Not Found"))</f>
        <v>SMB Account Executive</v>
      </c>
      <c r="I1126" t="str">
        <f>IF(E1126="","",_xlfn.XLOOKUP(E1126,tblUsers[user_id],tblUsers[segment],"Owner Not Found"))</f>
        <v>SMB</v>
      </c>
      <c r="J1126">
        <f>IF(E1126="","",_xlfn.XLOOKUP(E1126,tblUsers[user_id],tblUsers[territory_id],"Owner Not Found"))</f>
        <v>3</v>
      </c>
      <c r="K1126" t="str">
        <f t="shared" si="35"/>
        <v>Routing Compatible</v>
      </c>
    </row>
    <row r="1127" spans="1:11">
      <c r="A1127" t="s">
        <v>5102</v>
      </c>
      <c r="B1127" t="s">
        <v>5104</v>
      </c>
      <c r="C1127" t="s">
        <v>30</v>
      </c>
      <c r="D1127" t="s">
        <v>366</v>
      </c>
      <c r="E1127" t="s">
        <v>18</v>
      </c>
      <c r="F1127" t="str">
        <f t="shared" si="34"/>
        <v>MM</v>
      </c>
      <c r="G1127">
        <f>_xlfn.XLOOKUP(D1127,tblStates[state_code],tblStates[territory_id],"Needs Review - Territory")</f>
        <v>1</v>
      </c>
      <c r="H1127" t="str">
        <f>IF(E1127="","",_xlfn.XLOOKUP(E1127,tblUsers[user_id],tblUsers[job_title],"Owner Not Found"))</f>
        <v>Mid-Market Account Executive</v>
      </c>
      <c r="I1127" t="str">
        <f>IF(E1127="","",_xlfn.XLOOKUP(E1127,tblUsers[user_id],tblUsers[segment],"Owner Not Found"))</f>
        <v>MM</v>
      </c>
      <c r="J1127">
        <f>IF(E1127="","",_xlfn.XLOOKUP(E1127,tblUsers[user_id],tblUsers[territory_id],"Owner Not Found"))</f>
        <v>1</v>
      </c>
      <c r="K1127" t="str">
        <f t="shared" si="35"/>
        <v>Routing Compatible</v>
      </c>
    </row>
    <row r="1128" spans="1:11">
      <c r="A1128" t="s">
        <v>5105</v>
      </c>
      <c r="B1128" t="s">
        <v>5107</v>
      </c>
      <c r="C1128" t="s">
        <v>24</v>
      </c>
      <c r="D1128" t="s">
        <v>50</v>
      </c>
      <c r="E1128" t="s">
        <v>59</v>
      </c>
      <c r="F1128" t="str">
        <f t="shared" si="34"/>
        <v>SMB</v>
      </c>
      <c r="G1128">
        <f>_xlfn.XLOOKUP(D1128,tblStates[state_code],tblStates[territory_id],"Needs Review - Territory")</f>
        <v>4</v>
      </c>
      <c r="H1128" t="str">
        <f>IF(E1128="","",_xlfn.XLOOKUP(E1128,tblUsers[user_id],tblUsers[job_title],"Owner Not Found"))</f>
        <v>SMB Account Executive</v>
      </c>
      <c r="I1128" t="str">
        <f>IF(E1128="","",_xlfn.XLOOKUP(E1128,tblUsers[user_id],tblUsers[segment],"Owner Not Found"))</f>
        <v>SMB</v>
      </c>
      <c r="J1128">
        <f>IF(E1128="","",_xlfn.XLOOKUP(E1128,tblUsers[user_id],tblUsers[territory_id],"Owner Not Found"))</f>
        <v>4</v>
      </c>
      <c r="K1128" t="str">
        <f t="shared" si="35"/>
        <v>Routing Compatible</v>
      </c>
    </row>
    <row r="1129" spans="1:11">
      <c r="A1129" t="s">
        <v>5108</v>
      </c>
      <c r="B1129" t="s">
        <v>5110</v>
      </c>
      <c r="C1129" t="s">
        <v>17</v>
      </c>
      <c r="D1129" t="s">
        <v>154</v>
      </c>
      <c r="E1129" t="s">
        <v>82</v>
      </c>
      <c r="F1129" t="str">
        <f t="shared" si="34"/>
        <v>MM</v>
      </c>
      <c r="G1129">
        <f>_xlfn.XLOOKUP(D1129,tblStates[state_code],tblStates[territory_id],"Needs Review - Territory")</f>
        <v>2</v>
      </c>
      <c r="H1129" t="str">
        <f>IF(E1129="","",_xlfn.XLOOKUP(E1129,tblUsers[user_id],tblUsers[job_title],"Owner Not Found"))</f>
        <v>Mid-Market Account Executive</v>
      </c>
      <c r="I1129" t="str">
        <f>IF(E1129="","",_xlfn.XLOOKUP(E1129,tblUsers[user_id],tblUsers[segment],"Owner Not Found"))</f>
        <v>MM</v>
      </c>
      <c r="J1129">
        <f>IF(E1129="","",_xlfn.XLOOKUP(E1129,tblUsers[user_id],tblUsers[territory_id],"Owner Not Found"))</f>
        <v>2</v>
      </c>
      <c r="K1129" t="str">
        <f t="shared" si="35"/>
        <v>Routing Compatible</v>
      </c>
    </row>
    <row r="1130" spans="1:11">
      <c r="A1130" t="s">
        <v>5111</v>
      </c>
      <c r="B1130" t="s">
        <v>5113</v>
      </c>
      <c r="C1130" t="s">
        <v>30</v>
      </c>
      <c r="D1130" t="s">
        <v>140</v>
      </c>
      <c r="E1130" t="s">
        <v>36</v>
      </c>
      <c r="F1130" t="str">
        <f t="shared" si="34"/>
        <v>MM</v>
      </c>
      <c r="G1130">
        <f>_xlfn.XLOOKUP(D1130,tblStates[state_code],tblStates[territory_id],"Needs Review - Territory")</f>
        <v>2</v>
      </c>
      <c r="H1130" t="str">
        <f>IF(E1130="","",_xlfn.XLOOKUP(E1130,tblUsers[user_id],tblUsers[job_title],"Owner Not Found"))</f>
        <v>Mid-Market Account Executive</v>
      </c>
      <c r="I1130" t="str">
        <f>IF(E1130="","",_xlfn.XLOOKUP(E1130,tblUsers[user_id],tblUsers[segment],"Owner Not Found"))</f>
        <v>MM</v>
      </c>
      <c r="J1130">
        <f>IF(E1130="","",_xlfn.XLOOKUP(E1130,tblUsers[user_id],tblUsers[territory_id],"Owner Not Found"))</f>
        <v>4</v>
      </c>
      <c r="K1130" t="str">
        <f t="shared" si="35"/>
        <v>Wrong AE Territory</v>
      </c>
    </row>
    <row r="1131" spans="1:11">
      <c r="A1131" t="s">
        <v>5114</v>
      </c>
      <c r="B1131" t="s">
        <v>5116</v>
      </c>
      <c r="C1131" t="s">
        <v>30</v>
      </c>
      <c r="D1131" t="s">
        <v>50</v>
      </c>
      <c r="E1131" t="s">
        <v>36</v>
      </c>
      <c r="F1131" t="str">
        <f t="shared" si="34"/>
        <v>MM</v>
      </c>
      <c r="G1131">
        <f>_xlfn.XLOOKUP(D1131,tblStates[state_code],tblStates[territory_id],"Needs Review - Territory")</f>
        <v>4</v>
      </c>
      <c r="H1131" t="str">
        <f>IF(E1131="","",_xlfn.XLOOKUP(E1131,tblUsers[user_id],tblUsers[job_title],"Owner Not Found"))</f>
        <v>Mid-Market Account Executive</v>
      </c>
      <c r="I1131" t="str">
        <f>IF(E1131="","",_xlfn.XLOOKUP(E1131,tblUsers[user_id],tblUsers[segment],"Owner Not Found"))</f>
        <v>MM</v>
      </c>
      <c r="J1131">
        <f>IF(E1131="","",_xlfn.XLOOKUP(E1131,tblUsers[user_id],tblUsers[territory_id],"Owner Not Found"))</f>
        <v>4</v>
      </c>
      <c r="K1131" t="str">
        <f t="shared" si="35"/>
        <v>Routing Compatible</v>
      </c>
    </row>
    <row r="1132" spans="1:11">
      <c r="A1132" t="s">
        <v>5117</v>
      </c>
      <c r="B1132" t="s">
        <v>5119</v>
      </c>
      <c r="C1132" t="s">
        <v>24</v>
      </c>
      <c r="D1132" t="s">
        <v>638</v>
      </c>
      <c r="E1132" t="s">
        <v>69</v>
      </c>
      <c r="F1132" t="str">
        <f t="shared" si="34"/>
        <v>SMB</v>
      </c>
      <c r="G1132">
        <f>_xlfn.XLOOKUP(D1132,tblStates[state_code],tblStates[territory_id],"Needs Review - Territory")</f>
        <v>3</v>
      </c>
      <c r="H1132" t="str">
        <f>IF(E1132="","",_xlfn.XLOOKUP(E1132,tblUsers[user_id],tblUsers[job_title],"Owner Not Found"))</f>
        <v>SMB Account Executive</v>
      </c>
      <c r="I1132" t="str">
        <f>IF(E1132="","",_xlfn.XLOOKUP(E1132,tblUsers[user_id],tblUsers[segment],"Owner Not Found"))</f>
        <v>SMB</v>
      </c>
      <c r="J1132">
        <f>IF(E1132="","",_xlfn.XLOOKUP(E1132,tblUsers[user_id],tblUsers[territory_id],"Owner Not Found"))</f>
        <v>3</v>
      </c>
      <c r="K1132" t="str">
        <f t="shared" si="35"/>
        <v>Routing Compatible</v>
      </c>
    </row>
    <row r="1133" spans="1:11">
      <c r="A1133" t="s">
        <v>5120</v>
      </c>
      <c r="B1133" t="s">
        <v>5122</v>
      </c>
      <c r="C1133" t="s">
        <v>24</v>
      </c>
      <c r="D1133" t="s">
        <v>54</v>
      </c>
      <c r="E1133" t="s">
        <v>69</v>
      </c>
      <c r="F1133" t="str">
        <f t="shared" si="34"/>
        <v>SMB</v>
      </c>
      <c r="G1133">
        <f>_xlfn.XLOOKUP(D1133,tblStates[state_code],tblStates[territory_id],"Needs Review - Territory")</f>
        <v>3</v>
      </c>
      <c r="H1133" t="str">
        <f>IF(E1133="","",_xlfn.XLOOKUP(E1133,tblUsers[user_id],tblUsers[job_title],"Owner Not Found"))</f>
        <v>SMB Account Executive</v>
      </c>
      <c r="I1133" t="str">
        <f>IF(E1133="","",_xlfn.XLOOKUP(E1133,tblUsers[user_id],tblUsers[segment],"Owner Not Found"))</f>
        <v>SMB</v>
      </c>
      <c r="J1133">
        <f>IF(E1133="","",_xlfn.XLOOKUP(E1133,tblUsers[user_id],tblUsers[territory_id],"Owner Not Found"))</f>
        <v>3</v>
      </c>
      <c r="K1133" t="str">
        <f t="shared" si="35"/>
        <v>Routing Compatible</v>
      </c>
    </row>
    <row r="1134" spans="1:11">
      <c r="A1134" t="s">
        <v>5123</v>
      </c>
      <c r="B1134" t="s">
        <v>5125</v>
      </c>
      <c r="C1134" t="s">
        <v>24</v>
      </c>
      <c r="D1134" t="s">
        <v>285</v>
      </c>
      <c r="E1134" t="s">
        <v>59</v>
      </c>
      <c r="F1134" t="str">
        <f t="shared" si="34"/>
        <v>SMB</v>
      </c>
      <c r="G1134">
        <f>_xlfn.XLOOKUP(D1134,tblStates[state_code],tblStates[territory_id],"Needs Review - Territory")</f>
        <v>4</v>
      </c>
      <c r="H1134" t="str">
        <f>IF(E1134="","",_xlfn.XLOOKUP(E1134,tblUsers[user_id],tblUsers[job_title],"Owner Not Found"))</f>
        <v>SMB Account Executive</v>
      </c>
      <c r="I1134" t="str">
        <f>IF(E1134="","",_xlfn.XLOOKUP(E1134,tblUsers[user_id],tblUsers[segment],"Owner Not Found"))</f>
        <v>SMB</v>
      </c>
      <c r="J1134">
        <f>IF(E1134="","",_xlfn.XLOOKUP(E1134,tblUsers[user_id],tblUsers[territory_id],"Owner Not Found"))</f>
        <v>4</v>
      </c>
      <c r="K1134" t="str">
        <f t="shared" si="35"/>
        <v>Routing Compatible</v>
      </c>
    </row>
    <row r="1135" spans="1:11">
      <c r="A1135" t="s">
        <v>5126</v>
      </c>
      <c r="B1135" t="s">
        <v>5128</v>
      </c>
      <c r="C1135" t="s">
        <v>24</v>
      </c>
      <c r="D1135" t="s">
        <v>140</v>
      </c>
      <c r="E1135" t="s">
        <v>69</v>
      </c>
      <c r="F1135" t="str">
        <f t="shared" si="34"/>
        <v>SMB</v>
      </c>
      <c r="G1135">
        <f>_xlfn.XLOOKUP(D1135,tblStates[state_code],tblStates[territory_id],"Needs Review - Territory")</f>
        <v>2</v>
      </c>
      <c r="H1135" t="str">
        <f>IF(E1135="","",_xlfn.XLOOKUP(E1135,tblUsers[user_id],tblUsers[job_title],"Owner Not Found"))</f>
        <v>SMB Account Executive</v>
      </c>
      <c r="I1135" t="str">
        <f>IF(E1135="","",_xlfn.XLOOKUP(E1135,tblUsers[user_id],tblUsers[segment],"Owner Not Found"))</f>
        <v>SMB</v>
      </c>
      <c r="J1135">
        <f>IF(E1135="","",_xlfn.XLOOKUP(E1135,tblUsers[user_id],tblUsers[territory_id],"Owner Not Found"))</f>
        <v>3</v>
      </c>
      <c r="K1135" t="str">
        <f t="shared" si="35"/>
        <v>Wrong AE Territory</v>
      </c>
    </row>
    <row r="1136" spans="1:11">
      <c r="A1136" t="s">
        <v>5129</v>
      </c>
      <c r="B1136" t="s">
        <v>5131</v>
      </c>
      <c r="C1136" t="s">
        <v>24</v>
      </c>
      <c r="D1136" t="s">
        <v>68</v>
      </c>
      <c r="E1136" t="s">
        <v>69</v>
      </c>
      <c r="F1136" t="str">
        <f t="shared" si="34"/>
        <v>SMB</v>
      </c>
      <c r="G1136">
        <f>_xlfn.XLOOKUP(D1136,tblStates[state_code],tblStates[territory_id],"Needs Review - Territory")</f>
        <v>3</v>
      </c>
      <c r="H1136" t="str">
        <f>IF(E1136="","",_xlfn.XLOOKUP(E1136,tblUsers[user_id],tblUsers[job_title],"Owner Not Found"))</f>
        <v>SMB Account Executive</v>
      </c>
      <c r="I1136" t="str">
        <f>IF(E1136="","",_xlfn.XLOOKUP(E1136,tblUsers[user_id],tblUsers[segment],"Owner Not Found"))</f>
        <v>SMB</v>
      </c>
      <c r="J1136">
        <f>IF(E1136="","",_xlfn.XLOOKUP(E1136,tblUsers[user_id],tblUsers[territory_id],"Owner Not Found"))</f>
        <v>3</v>
      </c>
      <c r="K1136" t="str">
        <f t="shared" si="35"/>
        <v>Routing Compatible</v>
      </c>
    </row>
    <row r="1137" spans="1:11">
      <c r="A1137" t="s">
        <v>5132</v>
      </c>
      <c r="B1137" t="s">
        <v>5134</v>
      </c>
      <c r="C1137" t="s">
        <v>24</v>
      </c>
      <c r="D1137" t="s">
        <v>178</v>
      </c>
      <c r="E1137" t="s">
        <v>59</v>
      </c>
      <c r="F1137" t="str">
        <f t="shared" si="34"/>
        <v>SMB</v>
      </c>
      <c r="G1137">
        <f>_xlfn.XLOOKUP(D1137,tblStates[state_code],tblStates[territory_id],"Needs Review - Territory")</f>
        <v>4</v>
      </c>
      <c r="H1137" t="str">
        <f>IF(E1137="","",_xlfn.XLOOKUP(E1137,tblUsers[user_id],tblUsers[job_title],"Owner Not Found"))</f>
        <v>SMB Account Executive</v>
      </c>
      <c r="I1137" t="str">
        <f>IF(E1137="","",_xlfn.XLOOKUP(E1137,tblUsers[user_id],tblUsers[segment],"Owner Not Found"))</f>
        <v>SMB</v>
      </c>
      <c r="J1137">
        <f>IF(E1137="","",_xlfn.XLOOKUP(E1137,tblUsers[user_id],tblUsers[territory_id],"Owner Not Found"))</f>
        <v>4</v>
      </c>
      <c r="K1137" t="str">
        <f t="shared" si="35"/>
        <v>Routing Compatible</v>
      </c>
    </row>
    <row r="1138" spans="1:11">
      <c r="A1138" t="s">
        <v>5135</v>
      </c>
      <c r="B1138" t="s">
        <v>5137</v>
      </c>
      <c r="C1138" t="s">
        <v>24</v>
      </c>
      <c r="D1138" t="s">
        <v>23</v>
      </c>
      <c r="E1138" t="s">
        <v>25</v>
      </c>
      <c r="F1138" t="str">
        <f t="shared" si="34"/>
        <v>SMB</v>
      </c>
      <c r="G1138">
        <f>_xlfn.XLOOKUP(D1138,tblStates[state_code],tblStates[territory_id],"Needs Review - Territory")</f>
        <v>2</v>
      </c>
      <c r="H1138" t="str">
        <f>IF(E1138="","",_xlfn.XLOOKUP(E1138,tblUsers[user_id],tblUsers[job_title],"Owner Not Found"))</f>
        <v>SMB Account Executive</v>
      </c>
      <c r="I1138" t="str">
        <f>IF(E1138="","",_xlfn.XLOOKUP(E1138,tblUsers[user_id],tblUsers[segment],"Owner Not Found"))</f>
        <v>SMB</v>
      </c>
      <c r="J1138">
        <f>IF(E1138="","",_xlfn.XLOOKUP(E1138,tblUsers[user_id],tblUsers[territory_id],"Owner Not Found"))</f>
        <v>2</v>
      </c>
      <c r="K1138" t="str">
        <f t="shared" si="35"/>
        <v>Routing Compatible</v>
      </c>
    </row>
    <row r="1139" spans="1:11">
      <c r="A1139" t="s">
        <v>5138</v>
      </c>
      <c r="B1139" t="s">
        <v>5140</v>
      </c>
      <c r="C1139" t="s">
        <v>24</v>
      </c>
      <c r="D1139" t="s">
        <v>54</v>
      </c>
      <c r="E1139" t="s">
        <v>69</v>
      </c>
      <c r="F1139" t="str">
        <f t="shared" si="34"/>
        <v>SMB</v>
      </c>
      <c r="G1139">
        <f>_xlfn.XLOOKUP(D1139,tblStates[state_code],tblStates[territory_id],"Needs Review - Territory")</f>
        <v>3</v>
      </c>
      <c r="H1139" t="str">
        <f>IF(E1139="","",_xlfn.XLOOKUP(E1139,tblUsers[user_id],tblUsers[job_title],"Owner Not Found"))</f>
        <v>SMB Account Executive</v>
      </c>
      <c r="I1139" t="str">
        <f>IF(E1139="","",_xlfn.XLOOKUP(E1139,tblUsers[user_id],tblUsers[segment],"Owner Not Found"))</f>
        <v>SMB</v>
      </c>
      <c r="J1139">
        <f>IF(E1139="","",_xlfn.XLOOKUP(E1139,tblUsers[user_id],tblUsers[territory_id],"Owner Not Found"))</f>
        <v>3</v>
      </c>
      <c r="K1139" t="str">
        <f t="shared" si="35"/>
        <v>Routing Compatible</v>
      </c>
    </row>
    <row r="1140" spans="1:11">
      <c r="A1140" t="s">
        <v>5141</v>
      </c>
      <c r="B1140" t="s">
        <v>5143</v>
      </c>
      <c r="C1140" t="s">
        <v>17</v>
      </c>
      <c r="D1140" t="s">
        <v>116</v>
      </c>
      <c r="E1140" t="s">
        <v>82</v>
      </c>
      <c r="F1140" t="str">
        <f t="shared" si="34"/>
        <v>MM</v>
      </c>
      <c r="G1140">
        <f>_xlfn.XLOOKUP(D1140,tblStates[state_code],tblStates[territory_id],"Needs Review - Territory")</f>
        <v>2</v>
      </c>
      <c r="H1140" t="str">
        <f>IF(E1140="","",_xlfn.XLOOKUP(E1140,tblUsers[user_id],tblUsers[job_title],"Owner Not Found"))</f>
        <v>Mid-Market Account Executive</v>
      </c>
      <c r="I1140" t="str">
        <f>IF(E1140="","",_xlfn.XLOOKUP(E1140,tblUsers[user_id],tblUsers[segment],"Owner Not Found"))</f>
        <v>MM</v>
      </c>
      <c r="J1140">
        <f>IF(E1140="","",_xlfn.XLOOKUP(E1140,tblUsers[user_id],tblUsers[territory_id],"Owner Not Found"))</f>
        <v>2</v>
      </c>
      <c r="K1140" t="str">
        <f t="shared" si="35"/>
        <v>Routing Compatible</v>
      </c>
    </row>
    <row r="1141" spans="1:11">
      <c r="A1141" t="s">
        <v>5144</v>
      </c>
      <c r="B1141" t="s">
        <v>5146</v>
      </c>
      <c r="C1141" t="s">
        <v>30</v>
      </c>
      <c r="D1141" t="s">
        <v>415</v>
      </c>
      <c r="E1141" t="s">
        <v>55</v>
      </c>
      <c r="F1141" t="str">
        <f t="shared" si="34"/>
        <v>MM</v>
      </c>
      <c r="G1141">
        <f>_xlfn.XLOOKUP(D1141,tblStates[state_code],tblStates[territory_id],"Needs Review - Territory")</f>
        <v>3</v>
      </c>
      <c r="H1141" t="str">
        <f>IF(E1141="","",_xlfn.XLOOKUP(E1141,tblUsers[user_id],tblUsers[job_title],"Owner Not Found"))</f>
        <v>Mid-Market Account Executive</v>
      </c>
      <c r="I1141" t="str">
        <f>IF(E1141="","",_xlfn.XLOOKUP(E1141,tblUsers[user_id],tblUsers[segment],"Owner Not Found"))</f>
        <v>MM</v>
      </c>
      <c r="J1141">
        <f>IF(E1141="","",_xlfn.XLOOKUP(E1141,tblUsers[user_id],tblUsers[territory_id],"Owner Not Found"))</f>
        <v>3</v>
      </c>
      <c r="K1141" t="str">
        <f t="shared" si="35"/>
        <v>Routing Compatible</v>
      </c>
    </row>
    <row r="1142" spans="1:11">
      <c r="A1142" t="s">
        <v>5147</v>
      </c>
      <c r="B1142" t="s">
        <v>5149</v>
      </c>
      <c r="C1142" t="s">
        <v>24</v>
      </c>
      <c r="D1142" t="s">
        <v>140</v>
      </c>
      <c r="E1142" t="s">
        <v>25</v>
      </c>
      <c r="F1142" t="str">
        <f t="shared" si="34"/>
        <v>SMB</v>
      </c>
      <c r="G1142">
        <f>_xlfn.XLOOKUP(D1142,tblStates[state_code],tblStates[territory_id],"Needs Review - Territory")</f>
        <v>2</v>
      </c>
      <c r="H1142" t="str">
        <f>IF(E1142="","",_xlfn.XLOOKUP(E1142,tblUsers[user_id],tblUsers[job_title],"Owner Not Found"))</f>
        <v>SMB Account Executive</v>
      </c>
      <c r="I1142" t="str">
        <f>IF(E1142="","",_xlfn.XLOOKUP(E1142,tblUsers[user_id],tblUsers[segment],"Owner Not Found"))</f>
        <v>SMB</v>
      </c>
      <c r="J1142">
        <f>IF(E1142="","",_xlfn.XLOOKUP(E1142,tblUsers[user_id],tblUsers[territory_id],"Owner Not Found"))</f>
        <v>2</v>
      </c>
      <c r="K1142" t="str">
        <f t="shared" si="35"/>
        <v>Routing Compatible</v>
      </c>
    </row>
    <row r="1143" spans="1:11">
      <c r="A1143" t="s">
        <v>5150</v>
      </c>
      <c r="B1143" t="s">
        <v>5152</v>
      </c>
      <c r="C1143" t="s">
        <v>24</v>
      </c>
      <c r="E1143" t="s">
        <v>59</v>
      </c>
      <c r="F1143" t="str">
        <f t="shared" si="34"/>
        <v>SMB</v>
      </c>
      <c r="G1143" t="str">
        <f>_xlfn.XLOOKUP(D1143,tblStates[state_code],tblStates[territory_id],"Needs Review - Territory")</f>
        <v>Needs Review - Territory</v>
      </c>
      <c r="H1143" t="str">
        <f>IF(E1143="","",_xlfn.XLOOKUP(E1143,tblUsers[user_id],tblUsers[job_title],"Owner Not Found"))</f>
        <v>SMB Account Executive</v>
      </c>
      <c r="I1143" t="str">
        <f>IF(E1143="","",_xlfn.XLOOKUP(E1143,tblUsers[user_id],tblUsers[segment],"Owner Not Found"))</f>
        <v>SMB</v>
      </c>
      <c r="J1143">
        <f>IF(E1143="","",_xlfn.XLOOKUP(E1143,tblUsers[user_id],tblUsers[territory_id],"Owner Not Found"))</f>
        <v>4</v>
      </c>
      <c r="K1143" t="str">
        <f t="shared" si="35"/>
        <v>Needs Review - Territory</v>
      </c>
    </row>
    <row r="1144" spans="1:11">
      <c r="A1144" t="s">
        <v>5153</v>
      </c>
      <c r="B1144" t="s">
        <v>5155</v>
      </c>
      <c r="C1144" t="s">
        <v>24</v>
      </c>
      <c r="D1144" t="s">
        <v>50</v>
      </c>
      <c r="E1144" t="s">
        <v>69</v>
      </c>
      <c r="F1144" t="str">
        <f t="shared" si="34"/>
        <v>SMB</v>
      </c>
      <c r="G1144">
        <f>_xlfn.XLOOKUP(D1144,tblStates[state_code],tblStates[territory_id],"Needs Review - Territory")</f>
        <v>4</v>
      </c>
      <c r="H1144" t="str">
        <f>IF(E1144="","",_xlfn.XLOOKUP(E1144,tblUsers[user_id],tblUsers[job_title],"Owner Not Found"))</f>
        <v>SMB Account Executive</v>
      </c>
      <c r="I1144" t="str">
        <f>IF(E1144="","",_xlfn.XLOOKUP(E1144,tblUsers[user_id],tblUsers[segment],"Owner Not Found"))</f>
        <v>SMB</v>
      </c>
      <c r="J1144">
        <f>IF(E1144="","",_xlfn.XLOOKUP(E1144,tblUsers[user_id],tblUsers[territory_id],"Owner Not Found"))</f>
        <v>3</v>
      </c>
      <c r="K1144" t="str">
        <f t="shared" si="35"/>
        <v>Wrong AE Territory</v>
      </c>
    </row>
    <row r="1145" spans="1:11">
      <c r="A1145" t="s">
        <v>5156</v>
      </c>
      <c r="B1145" t="s">
        <v>5158</v>
      </c>
      <c r="C1145" t="s">
        <v>24</v>
      </c>
      <c r="D1145" t="s">
        <v>16</v>
      </c>
      <c r="E1145" t="s">
        <v>18</v>
      </c>
      <c r="F1145" t="str">
        <f t="shared" si="34"/>
        <v>SMB</v>
      </c>
      <c r="G1145">
        <f>_xlfn.XLOOKUP(D1145,tblStates[state_code],tblStates[territory_id],"Needs Review - Territory")</f>
        <v>1</v>
      </c>
      <c r="H1145" t="str">
        <f>IF(E1145="","",_xlfn.XLOOKUP(E1145,tblUsers[user_id],tblUsers[job_title],"Owner Not Found"))</f>
        <v>Mid-Market Account Executive</v>
      </c>
      <c r="I1145" t="str">
        <f>IF(E1145="","",_xlfn.XLOOKUP(E1145,tblUsers[user_id],tblUsers[segment],"Owner Not Found"))</f>
        <v>MM</v>
      </c>
      <c r="J1145">
        <f>IF(E1145="","",_xlfn.XLOOKUP(E1145,tblUsers[user_id],tblUsers[territory_id],"Owner Not Found"))</f>
        <v>1</v>
      </c>
      <c r="K1145" t="str">
        <f t="shared" si="35"/>
        <v>Wrong Segment</v>
      </c>
    </row>
    <row r="1146" spans="1:11">
      <c r="A1146" t="s">
        <v>5159</v>
      </c>
      <c r="B1146" t="s">
        <v>5161</v>
      </c>
      <c r="C1146" t="s">
        <v>24</v>
      </c>
      <c r="D1146" t="s">
        <v>81</v>
      </c>
      <c r="E1146" t="s">
        <v>25</v>
      </c>
      <c r="F1146" t="str">
        <f t="shared" si="34"/>
        <v>SMB</v>
      </c>
      <c r="G1146">
        <f>_xlfn.XLOOKUP(D1146,tblStates[state_code],tblStates[territory_id],"Needs Review - Territory")</f>
        <v>2</v>
      </c>
      <c r="H1146" t="str">
        <f>IF(E1146="","",_xlfn.XLOOKUP(E1146,tblUsers[user_id],tblUsers[job_title],"Owner Not Found"))</f>
        <v>SMB Account Executive</v>
      </c>
      <c r="I1146" t="str">
        <f>IF(E1146="","",_xlfn.XLOOKUP(E1146,tblUsers[user_id],tblUsers[segment],"Owner Not Found"))</f>
        <v>SMB</v>
      </c>
      <c r="J1146">
        <f>IF(E1146="","",_xlfn.XLOOKUP(E1146,tblUsers[user_id],tblUsers[territory_id],"Owner Not Found"))</f>
        <v>2</v>
      </c>
      <c r="K1146" t="str">
        <f t="shared" si="35"/>
        <v>Routing Compatible</v>
      </c>
    </row>
    <row r="1147" spans="1:11">
      <c r="A1147" t="s">
        <v>5162</v>
      </c>
      <c r="B1147" t="s">
        <v>5164</v>
      </c>
      <c r="C1147" t="s">
        <v>24</v>
      </c>
      <c r="D1147" t="s">
        <v>440</v>
      </c>
      <c r="E1147" t="s">
        <v>69</v>
      </c>
      <c r="F1147" t="str">
        <f t="shared" si="34"/>
        <v>SMB</v>
      </c>
      <c r="G1147">
        <f>_xlfn.XLOOKUP(D1147,tblStates[state_code],tblStates[territory_id],"Needs Review - Territory")</f>
        <v>3</v>
      </c>
      <c r="H1147" t="str">
        <f>IF(E1147="","",_xlfn.XLOOKUP(E1147,tblUsers[user_id],tblUsers[job_title],"Owner Not Found"))</f>
        <v>SMB Account Executive</v>
      </c>
      <c r="I1147" t="str">
        <f>IF(E1147="","",_xlfn.XLOOKUP(E1147,tblUsers[user_id],tblUsers[segment],"Owner Not Found"))</f>
        <v>SMB</v>
      </c>
      <c r="J1147">
        <f>IF(E1147="","",_xlfn.XLOOKUP(E1147,tblUsers[user_id],tblUsers[territory_id],"Owner Not Found"))</f>
        <v>3</v>
      </c>
      <c r="K1147" t="str">
        <f t="shared" si="35"/>
        <v>Routing Compatible</v>
      </c>
    </row>
    <row r="1148" spans="1:11">
      <c r="A1148" t="s">
        <v>5165</v>
      </c>
      <c r="B1148" t="s">
        <v>5167</v>
      </c>
      <c r="C1148" t="s">
        <v>24</v>
      </c>
      <c r="D1148" t="s">
        <v>54</v>
      </c>
      <c r="E1148" t="s">
        <v>69</v>
      </c>
      <c r="F1148" t="str">
        <f t="shared" si="34"/>
        <v>SMB</v>
      </c>
      <c r="G1148">
        <f>_xlfn.XLOOKUP(D1148,tblStates[state_code],tblStates[territory_id],"Needs Review - Territory")</f>
        <v>3</v>
      </c>
      <c r="H1148" t="str">
        <f>IF(E1148="","",_xlfn.XLOOKUP(E1148,tblUsers[user_id],tblUsers[job_title],"Owner Not Found"))</f>
        <v>SMB Account Executive</v>
      </c>
      <c r="I1148" t="str">
        <f>IF(E1148="","",_xlfn.XLOOKUP(E1148,tblUsers[user_id],tblUsers[segment],"Owner Not Found"))</f>
        <v>SMB</v>
      </c>
      <c r="J1148">
        <f>IF(E1148="","",_xlfn.XLOOKUP(E1148,tblUsers[user_id],tblUsers[territory_id],"Owner Not Found"))</f>
        <v>3</v>
      </c>
      <c r="K1148" t="str">
        <f t="shared" si="35"/>
        <v>Routing Compatible</v>
      </c>
    </row>
    <row r="1149" spans="1:11">
      <c r="A1149" t="s">
        <v>5168</v>
      </c>
      <c r="B1149" t="s">
        <v>5170</v>
      </c>
      <c r="C1149" t="s">
        <v>30</v>
      </c>
      <c r="D1149" t="s">
        <v>16</v>
      </c>
      <c r="E1149" t="s">
        <v>18</v>
      </c>
      <c r="F1149" t="str">
        <f t="shared" si="34"/>
        <v>MM</v>
      </c>
      <c r="G1149">
        <f>_xlfn.XLOOKUP(D1149,tblStates[state_code],tblStates[territory_id],"Needs Review - Territory")</f>
        <v>1</v>
      </c>
      <c r="H1149" t="str">
        <f>IF(E1149="","",_xlfn.XLOOKUP(E1149,tblUsers[user_id],tblUsers[job_title],"Owner Not Found"))</f>
        <v>Mid-Market Account Executive</v>
      </c>
      <c r="I1149" t="str">
        <f>IF(E1149="","",_xlfn.XLOOKUP(E1149,tblUsers[user_id],tblUsers[segment],"Owner Not Found"))</f>
        <v>MM</v>
      </c>
      <c r="J1149">
        <f>IF(E1149="","",_xlfn.XLOOKUP(E1149,tblUsers[user_id],tblUsers[territory_id],"Owner Not Found"))</f>
        <v>1</v>
      </c>
      <c r="K1149" t="str">
        <f t="shared" si="35"/>
        <v>Routing Compatible</v>
      </c>
    </row>
    <row r="1150" spans="1:11">
      <c r="A1150" t="s">
        <v>5171</v>
      </c>
      <c r="B1150" t="s">
        <v>5173</v>
      </c>
      <c r="C1150" t="s">
        <v>24</v>
      </c>
      <c r="D1150" t="s">
        <v>16</v>
      </c>
      <c r="E1150" t="s">
        <v>91</v>
      </c>
      <c r="F1150" t="str">
        <f t="shared" si="34"/>
        <v>SMB</v>
      </c>
      <c r="G1150">
        <f>_xlfn.XLOOKUP(D1150,tblStates[state_code],tblStates[territory_id],"Needs Review - Territory")</f>
        <v>1</v>
      </c>
      <c r="H1150" t="str">
        <f>IF(E1150="","",_xlfn.XLOOKUP(E1150,tblUsers[user_id],tblUsers[job_title],"Owner Not Found"))</f>
        <v>SMB Account Executive</v>
      </c>
      <c r="I1150" t="str">
        <f>IF(E1150="","",_xlfn.XLOOKUP(E1150,tblUsers[user_id],tblUsers[segment],"Owner Not Found"))</f>
        <v>SMB</v>
      </c>
      <c r="J1150">
        <f>IF(E1150="","",_xlfn.XLOOKUP(E1150,tblUsers[user_id],tblUsers[territory_id],"Owner Not Found"))</f>
        <v>1</v>
      </c>
      <c r="K1150" t="str">
        <f t="shared" si="35"/>
        <v>Routing Compatible</v>
      </c>
    </row>
    <row r="1151" spans="1:11">
      <c r="A1151" t="s">
        <v>5174</v>
      </c>
      <c r="B1151" t="s">
        <v>5176</v>
      </c>
      <c r="C1151" t="s">
        <v>24</v>
      </c>
      <c r="D1151" t="s">
        <v>16</v>
      </c>
      <c r="F1151" t="str">
        <f t="shared" si="34"/>
        <v>SMB</v>
      </c>
      <c r="G1151">
        <f>_xlfn.XLOOKUP(D1151,tblStates[state_code],tblStates[territory_id],"Needs Review - Territory")</f>
        <v>1</v>
      </c>
      <c r="H1151" t="str">
        <f>IF(E1151="","",_xlfn.XLOOKUP(E1151,tblUsers[user_id],tblUsers[job_title],"Owner Not Found"))</f>
        <v/>
      </c>
      <c r="I1151" t="str">
        <f>IF(E1151="","",_xlfn.XLOOKUP(E1151,tblUsers[user_id],tblUsers[segment],"Owner Not Found"))</f>
        <v/>
      </c>
      <c r="J1151" t="str">
        <f>IF(E1151="","",_xlfn.XLOOKUP(E1151,tblUsers[user_id],tblUsers[territory_id],"Owner Not Found"))</f>
        <v/>
      </c>
      <c r="K1151" t="str">
        <f t="shared" si="35"/>
        <v>Unassigned</v>
      </c>
    </row>
    <row r="1152" spans="1:11">
      <c r="A1152" t="s">
        <v>5177</v>
      </c>
      <c r="B1152" t="s">
        <v>5179</v>
      </c>
      <c r="C1152" t="s">
        <v>30</v>
      </c>
      <c r="D1152" t="s">
        <v>366</v>
      </c>
      <c r="E1152" t="s">
        <v>18</v>
      </c>
      <c r="F1152" t="str">
        <f t="shared" si="34"/>
        <v>MM</v>
      </c>
      <c r="G1152">
        <f>_xlfn.XLOOKUP(D1152,tblStates[state_code],tblStates[territory_id],"Needs Review - Territory")</f>
        <v>1</v>
      </c>
      <c r="H1152" t="str">
        <f>IF(E1152="","",_xlfn.XLOOKUP(E1152,tblUsers[user_id],tblUsers[job_title],"Owner Not Found"))</f>
        <v>Mid-Market Account Executive</v>
      </c>
      <c r="I1152" t="str">
        <f>IF(E1152="","",_xlfn.XLOOKUP(E1152,tblUsers[user_id],tblUsers[segment],"Owner Not Found"))</f>
        <v>MM</v>
      </c>
      <c r="J1152">
        <f>IF(E1152="","",_xlfn.XLOOKUP(E1152,tblUsers[user_id],tblUsers[territory_id],"Owner Not Found"))</f>
        <v>1</v>
      </c>
      <c r="K1152" t="str">
        <f t="shared" si="35"/>
        <v>Routing Compatible</v>
      </c>
    </row>
    <row r="1153" spans="1:11">
      <c r="A1153" t="s">
        <v>5180</v>
      </c>
      <c r="B1153" t="s">
        <v>5182</v>
      </c>
      <c r="C1153" t="s">
        <v>24</v>
      </c>
      <c r="D1153" t="s">
        <v>171</v>
      </c>
      <c r="E1153" t="s">
        <v>91</v>
      </c>
      <c r="F1153" t="str">
        <f t="shared" si="34"/>
        <v>SMB</v>
      </c>
      <c r="G1153">
        <f>_xlfn.XLOOKUP(D1153,tblStates[state_code],tblStates[territory_id],"Needs Review - Territory")</f>
        <v>1</v>
      </c>
      <c r="H1153" t="str">
        <f>IF(E1153="","",_xlfn.XLOOKUP(E1153,tblUsers[user_id],tblUsers[job_title],"Owner Not Found"))</f>
        <v>SMB Account Executive</v>
      </c>
      <c r="I1153" t="str">
        <f>IF(E1153="","",_xlfn.XLOOKUP(E1153,tblUsers[user_id],tblUsers[segment],"Owner Not Found"))</f>
        <v>SMB</v>
      </c>
      <c r="J1153">
        <f>IF(E1153="","",_xlfn.XLOOKUP(E1153,tblUsers[user_id],tblUsers[territory_id],"Owner Not Found"))</f>
        <v>1</v>
      </c>
      <c r="K1153" t="str">
        <f t="shared" si="35"/>
        <v>Routing Compatible</v>
      </c>
    </row>
    <row r="1154" spans="1:11">
      <c r="A1154" t="s">
        <v>5183</v>
      </c>
      <c r="B1154" t="s">
        <v>5185</v>
      </c>
      <c r="C1154" t="s">
        <v>30</v>
      </c>
      <c r="D1154" t="s">
        <v>295</v>
      </c>
      <c r="E1154" t="s">
        <v>82</v>
      </c>
      <c r="F1154" t="str">
        <f t="shared" si="34"/>
        <v>MM</v>
      </c>
      <c r="G1154">
        <f>_xlfn.XLOOKUP(D1154,tblStates[state_code],tblStates[territory_id],"Needs Review - Territory")</f>
        <v>2</v>
      </c>
      <c r="H1154" t="str">
        <f>IF(E1154="","",_xlfn.XLOOKUP(E1154,tblUsers[user_id],tblUsers[job_title],"Owner Not Found"))</f>
        <v>Mid-Market Account Executive</v>
      </c>
      <c r="I1154" t="str">
        <f>IF(E1154="","",_xlfn.XLOOKUP(E1154,tblUsers[user_id],tblUsers[segment],"Owner Not Found"))</f>
        <v>MM</v>
      </c>
      <c r="J1154">
        <f>IF(E1154="","",_xlfn.XLOOKUP(E1154,tblUsers[user_id],tblUsers[territory_id],"Owner Not Found"))</f>
        <v>2</v>
      </c>
      <c r="K1154" t="str">
        <f t="shared" si="35"/>
        <v>Routing Compatible</v>
      </c>
    </row>
    <row r="1155" spans="1:11">
      <c r="A1155" t="s">
        <v>5186</v>
      </c>
      <c r="B1155" t="s">
        <v>5188</v>
      </c>
      <c r="C1155" t="s">
        <v>24</v>
      </c>
      <c r="D1155" t="s">
        <v>64</v>
      </c>
      <c r="E1155" t="s">
        <v>69</v>
      </c>
      <c r="F1155" t="str">
        <f t="shared" ref="F1155:F1218" si="36">IF(C1155="SMB","SMB",IF(OR(C1155="Mid-Market",C1155="Upper Mid-Market"),"MM","Needs Review - Segment"))</f>
        <v>SMB</v>
      </c>
      <c r="G1155">
        <f>_xlfn.XLOOKUP(D1155,tblStates[state_code],tblStates[territory_id],"Needs Review - Territory")</f>
        <v>3</v>
      </c>
      <c r="H1155" t="str">
        <f>IF(E1155="","",_xlfn.XLOOKUP(E1155,tblUsers[user_id],tblUsers[job_title],"Owner Not Found"))</f>
        <v>SMB Account Executive</v>
      </c>
      <c r="I1155" t="str">
        <f>IF(E1155="","",_xlfn.XLOOKUP(E1155,tblUsers[user_id],tblUsers[segment],"Owner Not Found"))</f>
        <v>SMB</v>
      </c>
      <c r="J1155">
        <f>IF(E1155="","",_xlfn.XLOOKUP(E1155,tblUsers[user_id],tblUsers[territory_id],"Owner Not Found"))</f>
        <v>3</v>
      </c>
      <c r="K1155" t="str">
        <f t="shared" ref="K1155:K1218" si="37">IF(E1155="","Unassigned",IF(F1155="Needs Review - Segment","Needs Review - Segment",IF(G1155="Needs Review - Territory","Needs Review - Territory",IF(I1155&lt;&gt;F1155,"Wrong Segment",IF(AND(ISNUMBER(SEARCH("Account Executive",H1155)),J1155&lt;&gt;G1155),"Wrong AE Territory",IF(OR(ISNUMBER(SEARCH("Account Executive",H1155)),H1155="Sales Development Representative"),"Routing Compatible","Unexpected Owner Role"))))))</f>
        <v>Routing Compatible</v>
      </c>
    </row>
    <row r="1156" spans="1:11">
      <c r="A1156" t="s">
        <v>5189</v>
      </c>
      <c r="B1156" t="s">
        <v>5191</v>
      </c>
      <c r="C1156" t="s">
        <v>24</v>
      </c>
      <c r="D1156" t="s">
        <v>54</v>
      </c>
      <c r="E1156" t="s">
        <v>91</v>
      </c>
      <c r="F1156" t="str">
        <f t="shared" si="36"/>
        <v>SMB</v>
      </c>
      <c r="G1156">
        <f>_xlfn.XLOOKUP(D1156,tblStates[state_code],tblStates[territory_id],"Needs Review - Territory")</f>
        <v>3</v>
      </c>
      <c r="H1156" t="str">
        <f>IF(E1156="","",_xlfn.XLOOKUP(E1156,tblUsers[user_id],tblUsers[job_title],"Owner Not Found"))</f>
        <v>SMB Account Executive</v>
      </c>
      <c r="I1156" t="str">
        <f>IF(E1156="","",_xlfn.XLOOKUP(E1156,tblUsers[user_id],tblUsers[segment],"Owner Not Found"))</f>
        <v>SMB</v>
      </c>
      <c r="J1156">
        <f>IF(E1156="","",_xlfn.XLOOKUP(E1156,tblUsers[user_id],tblUsers[territory_id],"Owner Not Found"))</f>
        <v>1</v>
      </c>
      <c r="K1156" t="str">
        <f t="shared" si="37"/>
        <v>Wrong AE Territory</v>
      </c>
    </row>
    <row r="1157" spans="1:11">
      <c r="A1157" t="s">
        <v>5192</v>
      </c>
      <c r="B1157" t="s">
        <v>5194</v>
      </c>
      <c r="C1157" t="s">
        <v>30</v>
      </c>
      <c r="D1157" t="s">
        <v>23</v>
      </c>
      <c r="E1157" t="s">
        <v>82</v>
      </c>
      <c r="F1157" t="str">
        <f t="shared" si="36"/>
        <v>MM</v>
      </c>
      <c r="G1157">
        <f>_xlfn.XLOOKUP(D1157,tblStates[state_code],tblStates[territory_id],"Needs Review - Territory")</f>
        <v>2</v>
      </c>
      <c r="H1157" t="str">
        <f>IF(E1157="","",_xlfn.XLOOKUP(E1157,tblUsers[user_id],tblUsers[job_title],"Owner Not Found"))</f>
        <v>Mid-Market Account Executive</v>
      </c>
      <c r="I1157" t="str">
        <f>IF(E1157="","",_xlfn.XLOOKUP(E1157,tblUsers[user_id],tblUsers[segment],"Owner Not Found"))</f>
        <v>MM</v>
      </c>
      <c r="J1157">
        <f>IF(E1157="","",_xlfn.XLOOKUP(E1157,tblUsers[user_id],tblUsers[territory_id],"Owner Not Found"))</f>
        <v>2</v>
      </c>
      <c r="K1157" t="str">
        <f t="shared" si="37"/>
        <v>Routing Compatible</v>
      </c>
    </row>
    <row r="1158" spans="1:11">
      <c r="A1158" t="s">
        <v>5195</v>
      </c>
      <c r="B1158" t="s">
        <v>5197</v>
      </c>
      <c r="C1158" t="s">
        <v>24</v>
      </c>
      <c r="D1158" t="s">
        <v>50</v>
      </c>
      <c r="E1158" t="s">
        <v>59</v>
      </c>
      <c r="F1158" t="str">
        <f t="shared" si="36"/>
        <v>SMB</v>
      </c>
      <c r="G1158">
        <f>_xlfn.XLOOKUP(D1158,tblStates[state_code],tblStates[territory_id],"Needs Review - Territory")</f>
        <v>4</v>
      </c>
      <c r="H1158" t="str">
        <f>IF(E1158="","",_xlfn.XLOOKUP(E1158,tblUsers[user_id],tblUsers[job_title],"Owner Not Found"))</f>
        <v>SMB Account Executive</v>
      </c>
      <c r="I1158" t="str">
        <f>IF(E1158="","",_xlfn.XLOOKUP(E1158,tblUsers[user_id],tblUsers[segment],"Owner Not Found"))</f>
        <v>SMB</v>
      </c>
      <c r="J1158">
        <f>IF(E1158="","",_xlfn.XLOOKUP(E1158,tblUsers[user_id],tblUsers[territory_id],"Owner Not Found"))</f>
        <v>4</v>
      </c>
      <c r="K1158" t="str">
        <f t="shared" si="37"/>
        <v>Routing Compatible</v>
      </c>
    </row>
    <row r="1159" spans="1:11">
      <c r="A1159" t="s">
        <v>5198</v>
      </c>
      <c r="B1159" t="s">
        <v>5200</v>
      </c>
      <c r="C1159" t="s">
        <v>24</v>
      </c>
      <c r="D1159" t="s">
        <v>154</v>
      </c>
      <c r="E1159" t="s">
        <v>25</v>
      </c>
      <c r="F1159" t="str">
        <f t="shared" si="36"/>
        <v>SMB</v>
      </c>
      <c r="G1159">
        <f>_xlfn.XLOOKUP(D1159,tblStates[state_code],tblStates[territory_id],"Needs Review - Territory")</f>
        <v>2</v>
      </c>
      <c r="H1159" t="str">
        <f>IF(E1159="","",_xlfn.XLOOKUP(E1159,tblUsers[user_id],tblUsers[job_title],"Owner Not Found"))</f>
        <v>SMB Account Executive</v>
      </c>
      <c r="I1159" t="str">
        <f>IF(E1159="","",_xlfn.XLOOKUP(E1159,tblUsers[user_id],tblUsers[segment],"Owner Not Found"))</f>
        <v>SMB</v>
      </c>
      <c r="J1159">
        <f>IF(E1159="","",_xlfn.XLOOKUP(E1159,tblUsers[user_id],tblUsers[territory_id],"Owner Not Found"))</f>
        <v>2</v>
      </c>
      <c r="K1159" t="str">
        <f t="shared" si="37"/>
        <v>Routing Compatible</v>
      </c>
    </row>
    <row r="1160" spans="1:11">
      <c r="A1160" t="s">
        <v>5201</v>
      </c>
      <c r="B1160" t="s">
        <v>5203</v>
      </c>
      <c r="C1160" t="s">
        <v>30</v>
      </c>
      <c r="D1160" t="s">
        <v>223</v>
      </c>
      <c r="E1160" t="s">
        <v>18</v>
      </c>
      <c r="F1160" t="str">
        <f t="shared" si="36"/>
        <v>MM</v>
      </c>
      <c r="G1160">
        <f>_xlfn.XLOOKUP(D1160,tblStates[state_code],tblStates[territory_id],"Needs Review - Territory")</f>
        <v>1</v>
      </c>
      <c r="H1160" t="str">
        <f>IF(E1160="","",_xlfn.XLOOKUP(E1160,tblUsers[user_id],tblUsers[job_title],"Owner Not Found"))</f>
        <v>Mid-Market Account Executive</v>
      </c>
      <c r="I1160" t="str">
        <f>IF(E1160="","",_xlfn.XLOOKUP(E1160,tblUsers[user_id],tblUsers[segment],"Owner Not Found"))</f>
        <v>MM</v>
      </c>
      <c r="J1160">
        <f>IF(E1160="","",_xlfn.XLOOKUP(E1160,tblUsers[user_id],tblUsers[territory_id],"Owner Not Found"))</f>
        <v>1</v>
      </c>
      <c r="K1160" t="str">
        <f t="shared" si="37"/>
        <v>Routing Compatible</v>
      </c>
    </row>
    <row r="1161" spans="1:11">
      <c r="A1161" t="s">
        <v>5204</v>
      </c>
      <c r="B1161" t="s">
        <v>5206</v>
      </c>
      <c r="C1161" t="s">
        <v>30</v>
      </c>
      <c r="D1161" t="s">
        <v>23</v>
      </c>
      <c r="E1161" t="s">
        <v>82</v>
      </c>
      <c r="F1161" t="str">
        <f t="shared" si="36"/>
        <v>MM</v>
      </c>
      <c r="G1161">
        <f>_xlfn.XLOOKUP(D1161,tblStates[state_code],tblStates[territory_id],"Needs Review - Territory")</f>
        <v>2</v>
      </c>
      <c r="H1161" t="str">
        <f>IF(E1161="","",_xlfn.XLOOKUP(E1161,tblUsers[user_id],tblUsers[job_title],"Owner Not Found"))</f>
        <v>Mid-Market Account Executive</v>
      </c>
      <c r="I1161" t="str">
        <f>IF(E1161="","",_xlfn.XLOOKUP(E1161,tblUsers[user_id],tblUsers[segment],"Owner Not Found"))</f>
        <v>MM</v>
      </c>
      <c r="J1161">
        <f>IF(E1161="","",_xlfn.XLOOKUP(E1161,tblUsers[user_id],tblUsers[territory_id],"Owner Not Found"))</f>
        <v>2</v>
      </c>
      <c r="K1161" t="str">
        <f t="shared" si="37"/>
        <v>Routing Compatible</v>
      </c>
    </row>
    <row r="1162" spans="1:11">
      <c r="A1162" t="s">
        <v>5207</v>
      </c>
      <c r="B1162" t="s">
        <v>5209</v>
      </c>
      <c r="C1162" t="s">
        <v>24</v>
      </c>
      <c r="D1162" t="s">
        <v>90</v>
      </c>
      <c r="E1162" t="s">
        <v>91</v>
      </c>
      <c r="F1162" t="str">
        <f t="shared" si="36"/>
        <v>SMB</v>
      </c>
      <c r="G1162">
        <f>_xlfn.XLOOKUP(D1162,tblStates[state_code],tblStates[territory_id],"Needs Review - Territory")</f>
        <v>1</v>
      </c>
      <c r="H1162" t="str">
        <f>IF(E1162="","",_xlfn.XLOOKUP(E1162,tblUsers[user_id],tblUsers[job_title],"Owner Not Found"))</f>
        <v>SMB Account Executive</v>
      </c>
      <c r="I1162" t="str">
        <f>IF(E1162="","",_xlfn.XLOOKUP(E1162,tblUsers[user_id],tblUsers[segment],"Owner Not Found"))</f>
        <v>SMB</v>
      </c>
      <c r="J1162">
        <f>IF(E1162="","",_xlfn.XLOOKUP(E1162,tblUsers[user_id],tblUsers[territory_id],"Owner Not Found"))</f>
        <v>1</v>
      </c>
      <c r="K1162" t="str">
        <f t="shared" si="37"/>
        <v>Routing Compatible</v>
      </c>
    </row>
    <row r="1163" spans="1:11">
      <c r="A1163" t="s">
        <v>5210</v>
      </c>
      <c r="B1163" t="s">
        <v>5212</v>
      </c>
      <c r="C1163" t="s">
        <v>30</v>
      </c>
      <c r="D1163" t="s">
        <v>366</v>
      </c>
      <c r="E1163" t="s">
        <v>18</v>
      </c>
      <c r="F1163" t="str">
        <f t="shared" si="36"/>
        <v>MM</v>
      </c>
      <c r="G1163">
        <f>_xlfn.XLOOKUP(D1163,tblStates[state_code],tblStates[territory_id],"Needs Review - Territory")</f>
        <v>1</v>
      </c>
      <c r="H1163" t="str">
        <f>IF(E1163="","",_xlfn.XLOOKUP(E1163,tblUsers[user_id],tblUsers[job_title],"Owner Not Found"))</f>
        <v>Mid-Market Account Executive</v>
      </c>
      <c r="I1163" t="str">
        <f>IF(E1163="","",_xlfn.XLOOKUP(E1163,tblUsers[user_id],tblUsers[segment],"Owner Not Found"))</f>
        <v>MM</v>
      </c>
      <c r="J1163">
        <f>IF(E1163="","",_xlfn.XLOOKUP(E1163,tblUsers[user_id],tblUsers[territory_id],"Owner Not Found"))</f>
        <v>1</v>
      </c>
      <c r="K1163" t="str">
        <f t="shared" si="37"/>
        <v>Routing Compatible</v>
      </c>
    </row>
    <row r="1164" spans="1:11">
      <c r="A1164" t="s">
        <v>5213</v>
      </c>
      <c r="B1164" t="s">
        <v>5215</v>
      </c>
      <c r="C1164" t="s">
        <v>30</v>
      </c>
      <c r="D1164" t="s">
        <v>81</v>
      </c>
      <c r="E1164" t="s">
        <v>82</v>
      </c>
      <c r="F1164" t="str">
        <f t="shared" si="36"/>
        <v>MM</v>
      </c>
      <c r="G1164">
        <f>_xlfn.XLOOKUP(D1164,tblStates[state_code],tblStates[territory_id],"Needs Review - Territory")</f>
        <v>2</v>
      </c>
      <c r="H1164" t="str">
        <f>IF(E1164="","",_xlfn.XLOOKUP(E1164,tblUsers[user_id],tblUsers[job_title],"Owner Not Found"))</f>
        <v>Mid-Market Account Executive</v>
      </c>
      <c r="I1164" t="str">
        <f>IF(E1164="","",_xlfn.XLOOKUP(E1164,tblUsers[user_id],tblUsers[segment],"Owner Not Found"))</f>
        <v>MM</v>
      </c>
      <c r="J1164">
        <f>IF(E1164="","",_xlfn.XLOOKUP(E1164,tblUsers[user_id],tblUsers[territory_id],"Owner Not Found"))</f>
        <v>2</v>
      </c>
      <c r="K1164" t="str">
        <f t="shared" si="37"/>
        <v>Routing Compatible</v>
      </c>
    </row>
    <row r="1165" spans="1:11">
      <c r="A1165" t="s">
        <v>5216</v>
      </c>
      <c r="B1165" t="s">
        <v>5218</v>
      </c>
      <c r="C1165" t="s">
        <v>24</v>
      </c>
      <c r="D1165" t="s">
        <v>366</v>
      </c>
      <c r="E1165" t="s">
        <v>91</v>
      </c>
      <c r="F1165" t="str">
        <f t="shared" si="36"/>
        <v>SMB</v>
      </c>
      <c r="G1165">
        <f>_xlfn.XLOOKUP(D1165,tblStates[state_code],tblStates[territory_id],"Needs Review - Territory")</f>
        <v>1</v>
      </c>
      <c r="H1165" t="str">
        <f>IF(E1165="","",_xlfn.XLOOKUP(E1165,tblUsers[user_id],tblUsers[job_title],"Owner Not Found"))</f>
        <v>SMB Account Executive</v>
      </c>
      <c r="I1165" t="str">
        <f>IF(E1165="","",_xlfn.XLOOKUP(E1165,tblUsers[user_id],tblUsers[segment],"Owner Not Found"))</f>
        <v>SMB</v>
      </c>
      <c r="J1165">
        <f>IF(E1165="","",_xlfn.XLOOKUP(E1165,tblUsers[user_id],tblUsers[territory_id],"Owner Not Found"))</f>
        <v>1</v>
      </c>
      <c r="K1165" t="str">
        <f t="shared" si="37"/>
        <v>Routing Compatible</v>
      </c>
    </row>
    <row r="1166" spans="1:11">
      <c r="A1166" t="s">
        <v>5219</v>
      </c>
      <c r="B1166" t="s">
        <v>5221</v>
      </c>
      <c r="C1166" t="s">
        <v>30</v>
      </c>
      <c r="D1166" t="s">
        <v>1079</v>
      </c>
      <c r="E1166" t="s">
        <v>55</v>
      </c>
      <c r="F1166" t="str">
        <f t="shared" si="36"/>
        <v>MM</v>
      </c>
      <c r="G1166">
        <f>_xlfn.XLOOKUP(D1166,tblStates[state_code],tblStates[territory_id],"Needs Review - Territory")</f>
        <v>3</v>
      </c>
      <c r="H1166" t="str">
        <f>IF(E1166="","",_xlfn.XLOOKUP(E1166,tblUsers[user_id],tblUsers[job_title],"Owner Not Found"))</f>
        <v>Mid-Market Account Executive</v>
      </c>
      <c r="I1166" t="str">
        <f>IF(E1166="","",_xlfn.XLOOKUP(E1166,tblUsers[user_id],tblUsers[segment],"Owner Not Found"))</f>
        <v>MM</v>
      </c>
      <c r="J1166">
        <f>IF(E1166="","",_xlfn.XLOOKUP(E1166,tblUsers[user_id],tblUsers[territory_id],"Owner Not Found"))</f>
        <v>3</v>
      </c>
      <c r="K1166" t="str">
        <f t="shared" si="37"/>
        <v>Routing Compatible</v>
      </c>
    </row>
    <row r="1167" spans="1:11">
      <c r="A1167" t="s">
        <v>5222</v>
      </c>
      <c r="B1167" t="s">
        <v>5224</v>
      </c>
      <c r="C1167" t="s">
        <v>24</v>
      </c>
      <c r="D1167" t="s">
        <v>192</v>
      </c>
      <c r="E1167" t="s">
        <v>91</v>
      </c>
      <c r="F1167" t="str">
        <f t="shared" si="36"/>
        <v>SMB</v>
      </c>
      <c r="G1167">
        <f>_xlfn.XLOOKUP(D1167,tblStates[state_code],tblStates[territory_id],"Needs Review - Territory")</f>
        <v>1</v>
      </c>
      <c r="H1167" t="str">
        <f>IF(E1167="","",_xlfn.XLOOKUP(E1167,tblUsers[user_id],tblUsers[job_title],"Owner Not Found"))</f>
        <v>SMB Account Executive</v>
      </c>
      <c r="I1167" t="str">
        <f>IF(E1167="","",_xlfn.XLOOKUP(E1167,tblUsers[user_id],tblUsers[segment],"Owner Not Found"))</f>
        <v>SMB</v>
      </c>
      <c r="J1167">
        <f>IF(E1167="","",_xlfn.XLOOKUP(E1167,tblUsers[user_id],tblUsers[territory_id],"Owner Not Found"))</f>
        <v>1</v>
      </c>
      <c r="K1167" t="str">
        <f t="shared" si="37"/>
        <v>Routing Compatible</v>
      </c>
    </row>
    <row r="1168" spans="1:11">
      <c r="A1168" t="s">
        <v>5225</v>
      </c>
      <c r="B1168" t="s">
        <v>5227</v>
      </c>
      <c r="D1168" t="s">
        <v>81</v>
      </c>
      <c r="F1168" t="str">
        <f t="shared" si="36"/>
        <v>Needs Review - Segment</v>
      </c>
      <c r="G1168">
        <f>_xlfn.XLOOKUP(D1168,tblStates[state_code],tblStates[territory_id],"Needs Review - Territory")</f>
        <v>2</v>
      </c>
      <c r="H1168" t="str">
        <f>IF(E1168="","",_xlfn.XLOOKUP(E1168,tblUsers[user_id],tblUsers[job_title],"Owner Not Found"))</f>
        <v/>
      </c>
      <c r="I1168" t="str">
        <f>IF(E1168="","",_xlfn.XLOOKUP(E1168,tblUsers[user_id],tblUsers[segment],"Owner Not Found"))</f>
        <v/>
      </c>
      <c r="J1168" t="str">
        <f>IF(E1168="","",_xlfn.XLOOKUP(E1168,tblUsers[user_id],tblUsers[territory_id],"Owner Not Found"))</f>
        <v/>
      </c>
      <c r="K1168" t="str">
        <f t="shared" si="37"/>
        <v>Unassigned</v>
      </c>
    </row>
    <row r="1169" spans="1:11">
      <c r="A1169" t="s">
        <v>5228</v>
      </c>
      <c r="B1169" t="s">
        <v>5229</v>
      </c>
      <c r="C1169" t="s">
        <v>30</v>
      </c>
      <c r="D1169" t="s">
        <v>249</v>
      </c>
      <c r="E1169" t="s">
        <v>36</v>
      </c>
      <c r="F1169" t="str">
        <f t="shared" si="36"/>
        <v>MM</v>
      </c>
      <c r="G1169">
        <f>_xlfn.XLOOKUP(D1169,tblStates[state_code],tblStates[territory_id],"Needs Review - Territory")</f>
        <v>4</v>
      </c>
      <c r="H1169" t="str">
        <f>IF(E1169="","",_xlfn.XLOOKUP(E1169,tblUsers[user_id],tblUsers[job_title],"Owner Not Found"))</f>
        <v>Mid-Market Account Executive</v>
      </c>
      <c r="I1169" t="str">
        <f>IF(E1169="","",_xlfn.XLOOKUP(E1169,tblUsers[user_id],tblUsers[segment],"Owner Not Found"))</f>
        <v>MM</v>
      </c>
      <c r="J1169">
        <f>IF(E1169="","",_xlfn.XLOOKUP(E1169,tblUsers[user_id],tblUsers[territory_id],"Owner Not Found"))</f>
        <v>4</v>
      </c>
      <c r="K1169" t="str">
        <f t="shared" si="37"/>
        <v>Routing Compatible</v>
      </c>
    </row>
    <row r="1170" spans="1:11">
      <c r="A1170" t="s">
        <v>5230</v>
      </c>
      <c r="B1170" t="s">
        <v>5232</v>
      </c>
      <c r="C1170" t="s">
        <v>24</v>
      </c>
      <c r="D1170" t="s">
        <v>95</v>
      </c>
      <c r="E1170" t="s">
        <v>91</v>
      </c>
      <c r="F1170" t="str">
        <f t="shared" si="36"/>
        <v>SMB</v>
      </c>
      <c r="G1170">
        <f>_xlfn.XLOOKUP(D1170,tblStates[state_code],tblStates[territory_id],"Needs Review - Territory")</f>
        <v>1</v>
      </c>
      <c r="H1170" t="str">
        <f>IF(E1170="","",_xlfn.XLOOKUP(E1170,tblUsers[user_id],tblUsers[job_title],"Owner Not Found"))</f>
        <v>SMB Account Executive</v>
      </c>
      <c r="I1170" t="str">
        <f>IF(E1170="","",_xlfn.XLOOKUP(E1170,tblUsers[user_id],tblUsers[segment],"Owner Not Found"))</f>
        <v>SMB</v>
      </c>
      <c r="J1170">
        <f>IF(E1170="","",_xlfn.XLOOKUP(E1170,tblUsers[user_id],tblUsers[territory_id],"Owner Not Found"))</f>
        <v>1</v>
      </c>
      <c r="K1170" t="str">
        <f t="shared" si="37"/>
        <v>Routing Compatible</v>
      </c>
    </row>
    <row r="1171" spans="1:11">
      <c r="A1171" t="s">
        <v>5233</v>
      </c>
      <c r="B1171" t="s">
        <v>5235</v>
      </c>
      <c r="C1171" t="s">
        <v>24</v>
      </c>
      <c r="D1171" t="s">
        <v>1034</v>
      </c>
      <c r="E1171" t="s">
        <v>59</v>
      </c>
      <c r="F1171" t="str">
        <f t="shared" si="36"/>
        <v>SMB</v>
      </c>
      <c r="G1171">
        <f>_xlfn.XLOOKUP(D1171,tblStates[state_code],tblStates[territory_id],"Needs Review - Territory")</f>
        <v>4</v>
      </c>
      <c r="H1171" t="str">
        <f>IF(E1171="","",_xlfn.XLOOKUP(E1171,tblUsers[user_id],tblUsers[job_title],"Owner Not Found"))</f>
        <v>SMB Account Executive</v>
      </c>
      <c r="I1171" t="str">
        <f>IF(E1171="","",_xlfn.XLOOKUP(E1171,tblUsers[user_id],tblUsers[segment],"Owner Not Found"))</f>
        <v>SMB</v>
      </c>
      <c r="J1171">
        <f>IF(E1171="","",_xlfn.XLOOKUP(E1171,tblUsers[user_id],tblUsers[territory_id],"Owner Not Found"))</f>
        <v>4</v>
      </c>
      <c r="K1171" t="str">
        <f t="shared" si="37"/>
        <v>Routing Compatible</v>
      </c>
    </row>
    <row r="1172" spans="1:11">
      <c r="A1172" t="s">
        <v>5236</v>
      </c>
      <c r="B1172" t="s">
        <v>5238</v>
      </c>
      <c r="C1172" t="s">
        <v>24</v>
      </c>
      <c r="D1172" t="s">
        <v>366</v>
      </c>
      <c r="E1172" t="s">
        <v>91</v>
      </c>
      <c r="F1172" t="str">
        <f t="shared" si="36"/>
        <v>SMB</v>
      </c>
      <c r="G1172">
        <f>_xlfn.XLOOKUP(D1172,tblStates[state_code],tblStates[territory_id],"Needs Review - Territory")</f>
        <v>1</v>
      </c>
      <c r="H1172" t="str">
        <f>IF(E1172="","",_xlfn.XLOOKUP(E1172,tblUsers[user_id],tblUsers[job_title],"Owner Not Found"))</f>
        <v>SMB Account Executive</v>
      </c>
      <c r="I1172" t="str">
        <f>IF(E1172="","",_xlfn.XLOOKUP(E1172,tblUsers[user_id],tblUsers[segment],"Owner Not Found"))</f>
        <v>SMB</v>
      </c>
      <c r="J1172">
        <f>IF(E1172="","",_xlfn.XLOOKUP(E1172,tblUsers[user_id],tblUsers[territory_id],"Owner Not Found"))</f>
        <v>1</v>
      </c>
      <c r="K1172" t="str">
        <f t="shared" si="37"/>
        <v>Routing Compatible</v>
      </c>
    </row>
    <row r="1173" spans="1:11">
      <c r="A1173" t="s">
        <v>5239</v>
      </c>
      <c r="B1173" t="s">
        <v>5241</v>
      </c>
      <c r="C1173" t="s">
        <v>24</v>
      </c>
      <c r="D1173" t="s">
        <v>154</v>
      </c>
      <c r="E1173" t="s">
        <v>25</v>
      </c>
      <c r="F1173" t="str">
        <f t="shared" si="36"/>
        <v>SMB</v>
      </c>
      <c r="G1173">
        <f>_xlfn.XLOOKUP(D1173,tblStates[state_code],tblStates[territory_id],"Needs Review - Territory")</f>
        <v>2</v>
      </c>
      <c r="H1173" t="str">
        <f>IF(E1173="","",_xlfn.XLOOKUP(E1173,tblUsers[user_id],tblUsers[job_title],"Owner Not Found"))</f>
        <v>SMB Account Executive</v>
      </c>
      <c r="I1173" t="str">
        <f>IF(E1173="","",_xlfn.XLOOKUP(E1173,tblUsers[user_id],tblUsers[segment],"Owner Not Found"))</f>
        <v>SMB</v>
      </c>
      <c r="J1173">
        <f>IF(E1173="","",_xlfn.XLOOKUP(E1173,tblUsers[user_id],tblUsers[territory_id],"Owner Not Found"))</f>
        <v>2</v>
      </c>
      <c r="K1173" t="str">
        <f t="shared" si="37"/>
        <v>Routing Compatible</v>
      </c>
    </row>
    <row r="1174" spans="1:11">
      <c r="A1174" t="s">
        <v>5242</v>
      </c>
      <c r="B1174" t="s">
        <v>5244</v>
      </c>
      <c r="C1174" t="s">
        <v>24</v>
      </c>
      <c r="D1174" t="s">
        <v>116</v>
      </c>
      <c r="E1174" t="s">
        <v>25</v>
      </c>
      <c r="F1174" t="str">
        <f t="shared" si="36"/>
        <v>SMB</v>
      </c>
      <c r="G1174">
        <f>_xlfn.XLOOKUP(D1174,tblStates[state_code],tblStates[territory_id],"Needs Review - Territory")</f>
        <v>2</v>
      </c>
      <c r="H1174" t="str">
        <f>IF(E1174="","",_xlfn.XLOOKUP(E1174,tblUsers[user_id],tblUsers[job_title],"Owner Not Found"))</f>
        <v>SMB Account Executive</v>
      </c>
      <c r="I1174" t="str">
        <f>IF(E1174="","",_xlfn.XLOOKUP(E1174,tblUsers[user_id],tblUsers[segment],"Owner Not Found"))</f>
        <v>SMB</v>
      </c>
      <c r="J1174">
        <f>IF(E1174="","",_xlfn.XLOOKUP(E1174,tblUsers[user_id],tblUsers[territory_id],"Owner Not Found"))</f>
        <v>2</v>
      </c>
      <c r="K1174" t="str">
        <f t="shared" si="37"/>
        <v>Routing Compatible</v>
      </c>
    </row>
    <row r="1175" spans="1:11">
      <c r="A1175" t="s">
        <v>5245</v>
      </c>
      <c r="B1175" t="s">
        <v>5247</v>
      </c>
      <c r="C1175" t="s">
        <v>30</v>
      </c>
      <c r="D1175" t="s">
        <v>154</v>
      </c>
      <c r="E1175" t="s">
        <v>82</v>
      </c>
      <c r="F1175" t="str">
        <f t="shared" si="36"/>
        <v>MM</v>
      </c>
      <c r="G1175">
        <f>_xlfn.XLOOKUP(D1175,tblStates[state_code],tblStates[territory_id],"Needs Review - Territory")</f>
        <v>2</v>
      </c>
      <c r="H1175" t="str">
        <f>IF(E1175="","",_xlfn.XLOOKUP(E1175,tblUsers[user_id],tblUsers[job_title],"Owner Not Found"))</f>
        <v>Mid-Market Account Executive</v>
      </c>
      <c r="I1175" t="str">
        <f>IF(E1175="","",_xlfn.XLOOKUP(E1175,tblUsers[user_id],tblUsers[segment],"Owner Not Found"))</f>
        <v>MM</v>
      </c>
      <c r="J1175">
        <f>IF(E1175="","",_xlfn.XLOOKUP(E1175,tblUsers[user_id],tblUsers[territory_id],"Owner Not Found"))</f>
        <v>2</v>
      </c>
      <c r="K1175" t="str">
        <f t="shared" si="37"/>
        <v>Routing Compatible</v>
      </c>
    </row>
    <row r="1176" spans="1:11">
      <c r="A1176" t="s">
        <v>5248</v>
      </c>
      <c r="B1176" t="s">
        <v>5250</v>
      </c>
      <c r="C1176" t="s">
        <v>24</v>
      </c>
      <c r="D1176" t="s">
        <v>90</v>
      </c>
      <c r="E1176" t="s">
        <v>91</v>
      </c>
      <c r="F1176" t="str">
        <f t="shared" si="36"/>
        <v>SMB</v>
      </c>
      <c r="G1176">
        <f>_xlfn.XLOOKUP(D1176,tblStates[state_code],tblStates[territory_id],"Needs Review - Territory")</f>
        <v>1</v>
      </c>
      <c r="H1176" t="str">
        <f>IF(E1176="","",_xlfn.XLOOKUP(E1176,tblUsers[user_id],tblUsers[job_title],"Owner Not Found"))</f>
        <v>SMB Account Executive</v>
      </c>
      <c r="I1176" t="str">
        <f>IF(E1176="","",_xlfn.XLOOKUP(E1176,tblUsers[user_id],tblUsers[segment],"Owner Not Found"))</f>
        <v>SMB</v>
      </c>
      <c r="J1176">
        <f>IF(E1176="","",_xlfn.XLOOKUP(E1176,tblUsers[user_id],tblUsers[territory_id],"Owner Not Found"))</f>
        <v>1</v>
      </c>
      <c r="K1176" t="str">
        <f t="shared" si="37"/>
        <v>Routing Compatible</v>
      </c>
    </row>
    <row r="1177" spans="1:11">
      <c r="A1177" t="s">
        <v>5251</v>
      </c>
      <c r="B1177" t="s">
        <v>5253</v>
      </c>
      <c r="C1177" t="s">
        <v>24</v>
      </c>
      <c r="D1177" t="s">
        <v>50</v>
      </c>
      <c r="E1177" t="s">
        <v>59</v>
      </c>
      <c r="F1177" t="str">
        <f t="shared" si="36"/>
        <v>SMB</v>
      </c>
      <c r="G1177">
        <f>_xlfn.XLOOKUP(D1177,tblStates[state_code],tblStates[territory_id],"Needs Review - Territory")</f>
        <v>4</v>
      </c>
      <c r="H1177" t="str">
        <f>IF(E1177="","",_xlfn.XLOOKUP(E1177,tblUsers[user_id],tblUsers[job_title],"Owner Not Found"))</f>
        <v>SMB Account Executive</v>
      </c>
      <c r="I1177" t="str">
        <f>IF(E1177="","",_xlfn.XLOOKUP(E1177,tblUsers[user_id],tblUsers[segment],"Owner Not Found"))</f>
        <v>SMB</v>
      </c>
      <c r="J1177">
        <f>IF(E1177="","",_xlfn.XLOOKUP(E1177,tblUsers[user_id],tblUsers[territory_id],"Owner Not Found"))</f>
        <v>4</v>
      </c>
      <c r="K1177" t="str">
        <f t="shared" si="37"/>
        <v>Routing Compatible</v>
      </c>
    </row>
    <row r="1178" spans="1:11">
      <c r="A1178" t="s">
        <v>5254</v>
      </c>
      <c r="B1178" t="s">
        <v>5256</v>
      </c>
      <c r="C1178" t="s">
        <v>24</v>
      </c>
      <c r="D1178" t="s">
        <v>205</v>
      </c>
      <c r="E1178" t="s">
        <v>36</v>
      </c>
      <c r="F1178" t="str">
        <f t="shared" si="36"/>
        <v>SMB</v>
      </c>
      <c r="G1178">
        <f>_xlfn.XLOOKUP(D1178,tblStates[state_code],tblStates[territory_id],"Needs Review - Territory")</f>
        <v>4</v>
      </c>
      <c r="H1178" t="str">
        <f>IF(E1178="","",_xlfn.XLOOKUP(E1178,tblUsers[user_id],tblUsers[job_title],"Owner Not Found"))</f>
        <v>Mid-Market Account Executive</v>
      </c>
      <c r="I1178" t="str">
        <f>IF(E1178="","",_xlfn.XLOOKUP(E1178,tblUsers[user_id],tblUsers[segment],"Owner Not Found"))</f>
        <v>MM</v>
      </c>
      <c r="J1178">
        <f>IF(E1178="","",_xlfn.XLOOKUP(E1178,tblUsers[user_id],tblUsers[territory_id],"Owner Not Found"))</f>
        <v>4</v>
      </c>
      <c r="K1178" t="str">
        <f t="shared" si="37"/>
        <v>Wrong Segment</v>
      </c>
    </row>
    <row r="1179" spans="1:11">
      <c r="A1179" t="s">
        <v>5257</v>
      </c>
      <c r="B1179" t="s">
        <v>5259</v>
      </c>
      <c r="C1179" t="s">
        <v>24</v>
      </c>
      <c r="D1179" t="s">
        <v>249</v>
      </c>
      <c r="E1179" t="s">
        <v>59</v>
      </c>
      <c r="F1179" t="str">
        <f t="shared" si="36"/>
        <v>SMB</v>
      </c>
      <c r="G1179">
        <f>_xlfn.XLOOKUP(D1179,tblStates[state_code],tblStates[territory_id],"Needs Review - Territory")</f>
        <v>4</v>
      </c>
      <c r="H1179" t="str">
        <f>IF(E1179="","",_xlfn.XLOOKUP(E1179,tblUsers[user_id],tblUsers[job_title],"Owner Not Found"))</f>
        <v>SMB Account Executive</v>
      </c>
      <c r="I1179" t="str">
        <f>IF(E1179="","",_xlfn.XLOOKUP(E1179,tblUsers[user_id],tblUsers[segment],"Owner Not Found"))</f>
        <v>SMB</v>
      </c>
      <c r="J1179">
        <f>IF(E1179="","",_xlfn.XLOOKUP(E1179,tblUsers[user_id],tblUsers[territory_id],"Owner Not Found"))</f>
        <v>4</v>
      </c>
      <c r="K1179" t="str">
        <f t="shared" si="37"/>
        <v>Routing Compatible</v>
      </c>
    </row>
    <row r="1180" spans="1:11">
      <c r="A1180" t="s">
        <v>5260</v>
      </c>
      <c r="B1180" t="s">
        <v>5262</v>
      </c>
      <c r="C1180" t="s">
        <v>24</v>
      </c>
      <c r="D1180" t="s">
        <v>116</v>
      </c>
      <c r="E1180" t="s">
        <v>25</v>
      </c>
      <c r="F1180" t="str">
        <f t="shared" si="36"/>
        <v>SMB</v>
      </c>
      <c r="G1180">
        <f>_xlfn.XLOOKUP(D1180,tblStates[state_code],tblStates[territory_id],"Needs Review - Territory")</f>
        <v>2</v>
      </c>
      <c r="H1180" t="str">
        <f>IF(E1180="","",_xlfn.XLOOKUP(E1180,tblUsers[user_id],tblUsers[job_title],"Owner Not Found"))</f>
        <v>SMB Account Executive</v>
      </c>
      <c r="I1180" t="str">
        <f>IF(E1180="","",_xlfn.XLOOKUP(E1180,tblUsers[user_id],tblUsers[segment],"Owner Not Found"))</f>
        <v>SMB</v>
      </c>
      <c r="J1180">
        <f>IF(E1180="","",_xlfn.XLOOKUP(E1180,tblUsers[user_id],tblUsers[territory_id],"Owner Not Found"))</f>
        <v>2</v>
      </c>
      <c r="K1180" t="str">
        <f t="shared" si="37"/>
        <v>Routing Compatible</v>
      </c>
    </row>
    <row r="1181" spans="1:11">
      <c r="A1181" t="s">
        <v>5263</v>
      </c>
      <c r="B1181" t="s">
        <v>5265</v>
      </c>
      <c r="C1181" t="s">
        <v>24</v>
      </c>
      <c r="D1181" t="s">
        <v>50</v>
      </c>
      <c r="E1181" t="s">
        <v>59</v>
      </c>
      <c r="F1181" t="str">
        <f t="shared" si="36"/>
        <v>SMB</v>
      </c>
      <c r="G1181">
        <f>_xlfn.XLOOKUP(D1181,tblStates[state_code],tblStates[territory_id],"Needs Review - Territory")</f>
        <v>4</v>
      </c>
      <c r="H1181" t="str">
        <f>IF(E1181="","",_xlfn.XLOOKUP(E1181,tblUsers[user_id],tblUsers[job_title],"Owner Not Found"))</f>
        <v>SMB Account Executive</v>
      </c>
      <c r="I1181" t="str">
        <f>IF(E1181="","",_xlfn.XLOOKUP(E1181,tblUsers[user_id],tblUsers[segment],"Owner Not Found"))</f>
        <v>SMB</v>
      </c>
      <c r="J1181">
        <f>IF(E1181="","",_xlfn.XLOOKUP(E1181,tblUsers[user_id],tblUsers[territory_id],"Owner Not Found"))</f>
        <v>4</v>
      </c>
      <c r="K1181" t="str">
        <f t="shared" si="37"/>
        <v>Routing Compatible</v>
      </c>
    </row>
    <row r="1182" spans="1:11">
      <c r="A1182" t="s">
        <v>5266</v>
      </c>
      <c r="B1182" t="s">
        <v>5268</v>
      </c>
      <c r="C1182" t="s">
        <v>24</v>
      </c>
      <c r="D1182" t="s">
        <v>50</v>
      </c>
      <c r="E1182" t="s">
        <v>59</v>
      </c>
      <c r="F1182" t="str">
        <f t="shared" si="36"/>
        <v>SMB</v>
      </c>
      <c r="G1182">
        <f>_xlfn.XLOOKUP(D1182,tblStates[state_code],tblStates[territory_id],"Needs Review - Territory")</f>
        <v>4</v>
      </c>
      <c r="H1182" t="str">
        <f>IF(E1182="","",_xlfn.XLOOKUP(E1182,tblUsers[user_id],tblUsers[job_title],"Owner Not Found"))</f>
        <v>SMB Account Executive</v>
      </c>
      <c r="I1182" t="str">
        <f>IF(E1182="","",_xlfn.XLOOKUP(E1182,tblUsers[user_id],tblUsers[segment],"Owner Not Found"))</f>
        <v>SMB</v>
      </c>
      <c r="J1182">
        <f>IF(E1182="","",_xlfn.XLOOKUP(E1182,tblUsers[user_id],tblUsers[territory_id],"Owner Not Found"))</f>
        <v>4</v>
      </c>
      <c r="K1182" t="str">
        <f t="shared" si="37"/>
        <v>Routing Compatible</v>
      </c>
    </row>
    <row r="1183" spans="1:11">
      <c r="A1183" t="s">
        <v>5269</v>
      </c>
      <c r="B1183" t="s">
        <v>5271</v>
      </c>
      <c r="C1183" t="s">
        <v>30</v>
      </c>
      <c r="D1183" t="s">
        <v>366</v>
      </c>
      <c r="E1183" t="s">
        <v>18</v>
      </c>
      <c r="F1183" t="str">
        <f t="shared" si="36"/>
        <v>MM</v>
      </c>
      <c r="G1183">
        <f>_xlfn.XLOOKUP(D1183,tblStates[state_code],tblStates[territory_id],"Needs Review - Territory")</f>
        <v>1</v>
      </c>
      <c r="H1183" t="str">
        <f>IF(E1183="","",_xlfn.XLOOKUP(E1183,tblUsers[user_id],tblUsers[job_title],"Owner Not Found"))</f>
        <v>Mid-Market Account Executive</v>
      </c>
      <c r="I1183" t="str">
        <f>IF(E1183="","",_xlfn.XLOOKUP(E1183,tblUsers[user_id],tblUsers[segment],"Owner Not Found"))</f>
        <v>MM</v>
      </c>
      <c r="J1183">
        <f>IF(E1183="","",_xlfn.XLOOKUP(E1183,tblUsers[user_id],tblUsers[territory_id],"Owner Not Found"))</f>
        <v>1</v>
      </c>
      <c r="K1183" t="str">
        <f t="shared" si="37"/>
        <v>Routing Compatible</v>
      </c>
    </row>
    <row r="1184" spans="1:11">
      <c r="A1184" t="s">
        <v>5272</v>
      </c>
      <c r="B1184" t="s">
        <v>5274</v>
      </c>
      <c r="C1184" t="s">
        <v>24</v>
      </c>
      <c r="D1184" t="s">
        <v>68</v>
      </c>
      <c r="E1184" t="s">
        <v>69</v>
      </c>
      <c r="F1184" t="str">
        <f t="shared" si="36"/>
        <v>SMB</v>
      </c>
      <c r="G1184">
        <f>_xlfn.XLOOKUP(D1184,tblStates[state_code],tblStates[territory_id],"Needs Review - Territory")</f>
        <v>3</v>
      </c>
      <c r="H1184" t="str">
        <f>IF(E1184="","",_xlfn.XLOOKUP(E1184,tblUsers[user_id],tblUsers[job_title],"Owner Not Found"))</f>
        <v>SMB Account Executive</v>
      </c>
      <c r="I1184" t="str">
        <f>IF(E1184="","",_xlfn.XLOOKUP(E1184,tblUsers[user_id],tblUsers[segment],"Owner Not Found"))</f>
        <v>SMB</v>
      </c>
      <c r="J1184">
        <f>IF(E1184="","",_xlfn.XLOOKUP(E1184,tblUsers[user_id],tblUsers[territory_id],"Owner Not Found"))</f>
        <v>3</v>
      </c>
      <c r="K1184" t="str">
        <f t="shared" si="37"/>
        <v>Routing Compatible</v>
      </c>
    </row>
    <row r="1185" spans="1:11">
      <c r="A1185" t="s">
        <v>5275</v>
      </c>
      <c r="B1185" t="s">
        <v>5277</v>
      </c>
      <c r="C1185" t="s">
        <v>24</v>
      </c>
      <c r="D1185" t="s">
        <v>46</v>
      </c>
      <c r="E1185" t="s">
        <v>91</v>
      </c>
      <c r="F1185" t="str">
        <f t="shared" si="36"/>
        <v>SMB</v>
      </c>
      <c r="G1185">
        <f>_xlfn.XLOOKUP(D1185,tblStates[state_code],tblStates[territory_id],"Needs Review - Territory")</f>
        <v>1</v>
      </c>
      <c r="H1185" t="str">
        <f>IF(E1185="","",_xlfn.XLOOKUP(E1185,tblUsers[user_id],tblUsers[job_title],"Owner Not Found"))</f>
        <v>SMB Account Executive</v>
      </c>
      <c r="I1185" t="str">
        <f>IF(E1185="","",_xlfn.XLOOKUP(E1185,tblUsers[user_id],tblUsers[segment],"Owner Not Found"))</f>
        <v>SMB</v>
      </c>
      <c r="J1185">
        <f>IF(E1185="","",_xlfn.XLOOKUP(E1185,tblUsers[user_id],tblUsers[territory_id],"Owner Not Found"))</f>
        <v>1</v>
      </c>
      <c r="K1185" t="str">
        <f t="shared" si="37"/>
        <v>Routing Compatible</v>
      </c>
    </row>
    <row r="1186" spans="1:11">
      <c r="A1186" t="s">
        <v>5278</v>
      </c>
      <c r="B1186" t="s">
        <v>5280</v>
      </c>
      <c r="C1186" t="s">
        <v>24</v>
      </c>
      <c r="D1186" t="s">
        <v>1077</v>
      </c>
      <c r="E1186" t="s">
        <v>69</v>
      </c>
      <c r="F1186" t="str">
        <f t="shared" si="36"/>
        <v>SMB</v>
      </c>
      <c r="G1186">
        <f>_xlfn.XLOOKUP(D1186,tblStates[state_code],tblStates[territory_id],"Needs Review - Territory")</f>
        <v>3</v>
      </c>
      <c r="H1186" t="str">
        <f>IF(E1186="","",_xlfn.XLOOKUP(E1186,tblUsers[user_id],tblUsers[job_title],"Owner Not Found"))</f>
        <v>SMB Account Executive</v>
      </c>
      <c r="I1186" t="str">
        <f>IF(E1186="","",_xlfn.XLOOKUP(E1186,tblUsers[user_id],tblUsers[segment],"Owner Not Found"))</f>
        <v>SMB</v>
      </c>
      <c r="J1186">
        <f>IF(E1186="","",_xlfn.XLOOKUP(E1186,tblUsers[user_id],tblUsers[territory_id],"Owner Not Found"))</f>
        <v>3</v>
      </c>
      <c r="K1186" t="str">
        <f t="shared" si="37"/>
        <v>Routing Compatible</v>
      </c>
    </row>
    <row r="1187" spans="1:11">
      <c r="A1187" t="s">
        <v>5281</v>
      </c>
      <c r="B1187" t="s">
        <v>5283</v>
      </c>
      <c r="C1187" t="s">
        <v>24</v>
      </c>
      <c r="D1187" t="s">
        <v>226</v>
      </c>
      <c r="E1187" t="s">
        <v>69</v>
      </c>
      <c r="F1187" t="str">
        <f t="shared" si="36"/>
        <v>SMB</v>
      </c>
      <c r="G1187">
        <f>_xlfn.XLOOKUP(D1187,tblStates[state_code],tblStates[territory_id],"Needs Review - Territory")</f>
        <v>3</v>
      </c>
      <c r="H1187" t="str">
        <f>IF(E1187="","",_xlfn.XLOOKUP(E1187,tblUsers[user_id],tblUsers[job_title],"Owner Not Found"))</f>
        <v>SMB Account Executive</v>
      </c>
      <c r="I1187" t="str">
        <f>IF(E1187="","",_xlfn.XLOOKUP(E1187,tblUsers[user_id],tblUsers[segment],"Owner Not Found"))</f>
        <v>SMB</v>
      </c>
      <c r="J1187">
        <f>IF(E1187="","",_xlfn.XLOOKUP(E1187,tblUsers[user_id],tblUsers[territory_id],"Owner Not Found"))</f>
        <v>3</v>
      </c>
      <c r="K1187" t="str">
        <f t="shared" si="37"/>
        <v>Routing Compatible</v>
      </c>
    </row>
    <row r="1188" spans="1:11">
      <c r="A1188" t="s">
        <v>5284</v>
      </c>
      <c r="B1188" t="s">
        <v>5286</v>
      </c>
      <c r="C1188" t="s">
        <v>30</v>
      </c>
      <c r="D1188" t="s">
        <v>249</v>
      </c>
      <c r="E1188" t="s">
        <v>36</v>
      </c>
      <c r="F1188" t="str">
        <f t="shared" si="36"/>
        <v>MM</v>
      </c>
      <c r="G1188">
        <f>_xlfn.XLOOKUP(D1188,tblStates[state_code],tblStates[territory_id],"Needs Review - Territory")</f>
        <v>4</v>
      </c>
      <c r="H1188" t="str">
        <f>IF(E1188="","",_xlfn.XLOOKUP(E1188,tblUsers[user_id],tblUsers[job_title],"Owner Not Found"))</f>
        <v>Mid-Market Account Executive</v>
      </c>
      <c r="I1188" t="str">
        <f>IF(E1188="","",_xlfn.XLOOKUP(E1188,tblUsers[user_id],tblUsers[segment],"Owner Not Found"))</f>
        <v>MM</v>
      </c>
      <c r="J1188">
        <f>IF(E1188="","",_xlfn.XLOOKUP(E1188,tblUsers[user_id],tblUsers[territory_id],"Owner Not Found"))</f>
        <v>4</v>
      </c>
      <c r="K1188" t="str">
        <f t="shared" si="37"/>
        <v>Routing Compatible</v>
      </c>
    </row>
    <row r="1189" spans="1:11">
      <c r="A1189" t="s">
        <v>5287</v>
      </c>
      <c r="B1189" t="s">
        <v>5289</v>
      </c>
      <c r="C1189" t="s">
        <v>24</v>
      </c>
      <c r="D1189" t="s">
        <v>140</v>
      </c>
      <c r="E1189" t="s">
        <v>25</v>
      </c>
      <c r="F1189" t="str">
        <f t="shared" si="36"/>
        <v>SMB</v>
      </c>
      <c r="G1189">
        <f>_xlfn.XLOOKUP(D1189,tblStates[state_code],tblStates[territory_id],"Needs Review - Territory")</f>
        <v>2</v>
      </c>
      <c r="H1189" t="str">
        <f>IF(E1189="","",_xlfn.XLOOKUP(E1189,tblUsers[user_id],tblUsers[job_title],"Owner Not Found"))</f>
        <v>SMB Account Executive</v>
      </c>
      <c r="I1189" t="str">
        <f>IF(E1189="","",_xlfn.XLOOKUP(E1189,tblUsers[user_id],tblUsers[segment],"Owner Not Found"))</f>
        <v>SMB</v>
      </c>
      <c r="J1189">
        <f>IF(E1189="","",_xlfn.XLOOKUP(E1189,tblUsers[user_id],tblUsers[territory_id],"Owner Not Found"))</f>
        <v>2</v>
      </c>
      <c r="K1189" t="str">
        <f t="shared" si="37"/>
        <v>Routing Compatible</v>
      </c>
    </row>
    <row r="1190" spans="1:11">
      <c r="A1190" t="s">
        <v>5290</v>
      </c>
      <c r="B1190" t="s">
        <v>5292</v>
      </c>
      <c r="C1190" t="s">
        <v>24</v>
      </c>
      <c r="D1190" t="s">
        <v>205</v>
      </c>
      <c r="E1190" t="s">
        <v>59</v>
      </c>
      <c r="F1190" t="str">
        <f t="shared" si="36"/>
        <v>SMB</v>
      </c>
      <c r="G1190">
        <f>_xlfn.XLOOKUP(D1190,tblStates[state_code],tblStates[territory_id],"Needs Review - Territory")</f>
        <v>4</v>
      </c>
      <c r="H1190" t="str">
        <f>IF(E1190="","",_xlfn.XLOOKUP(E1190,tblUsers[user_id],tblUsers[job_title],"Owner Not Found"))</f>
        <v>SMB Account Executive</v>
      </c>
      <c r="I1190" t="str">
        <f>IF(E1190="","",_xlfn.XLOOKUP(E1190,tblUsers[user_id],tblUsers[segment],"Owner Not Found"))</f>
        <v>SMB</v>
      </c>
      <c r="J1190">
        <f>IF(E1190="","",_xlfn.XLOOKUP(E1190,tblUsers[user_id],tblUsers[territory_id],"Owner Not Found"))</f>
        <v>4</v>
      </c>
      <c r="K1190" t="str">
        <f t="shared" si="37"/>
        <v>Routing Compatible</v>
      </c>
    </row>
    <row r="1191" spans="1:11">
      <c r="A1191" t="s">
        <v>5293</v>
      </c>
      <c r="B1191" t="s">
        <v>5295</v>
      </c>
      <c r="C1191" t="s">
        <v>30</v>
      </c>
      <c r="D1191" t="s">
        <v>171</v>
      </c>
      <c r="F1191" t="str">
        <f t="shared" si="36"/>
        <v>MM</v>
      </c>
      <c r="G1191">
        <f>_xlfn.XLOOKUP(D1191,tblStates[state_code],tblStates[territory_id],"Needs Review - Territory")</f>
        <v>1</v>
      </c>
      <c r="H1191" t="str">
        <f>IF(E1191="","",_xlfn.XLOOKUP(E1191,tblUsers[user_id],tblUsers[job_title],"Owner Not Found"))</f>
        <v/>
      </c>
      <c r="I1191" t="str">
        <f>IF(E1191="","",_xlfn.XLOOKUP(E1191,tblUsers[user_id],tblUsers[segment],"Owner Not Found"))</f>
        <v/>
      </c>
      <c r="J1191" t="str">
        <f>IF(E1191="","",_xlfn.XLOOKUP(E1191,tblUsers[user_id],tblUsers[territory_id],"Owner Not Found"))</f>
        <v/>
      </c>
      <c r="K1191" t="str">
        <f t="shared" si="37"/>
        <v>Unassigned</v>
      </c>
    </row>
    <row r="1192" spans="1:11">
      <c r="A1192" t="s">
        <v>5296</v>
      </c>
      <c r="B1192" t="s">
        <v>5298</v>
      </c>
      <c r="C1192" t="s">
        <v>24</v>
      </c>
      <c r="D1192" t="s">
        <v>323</v>
      </c>
      <c r="E1192" t="s">
        <v>25</v>
      </c>
      <c r="F1192" t="str">
        <f t="shared" si="36"/>
        <v>SMB</v>
      </c>
      <c r="G1192">
        <f>_xlfn.XLOOKUP(D1192,tblStates[state_code],tblStates[territory_id],"Needs Review - Territory")</f>
        <v>2</v>
      </c>
      <c r="H1192" t="str">
        <f>IF(E1192="","",_xlfn.XLOOKUP(E1192,tblUsers[user_id],tblUsers[job_title],"Owner Not Found"))</f>
        <v>SMB Account Executive</v>
      </c>
      <c r="I1192" t="str">
        <f>IF(E1192="","",_xlfn.XLOOKUP(E1192,tblUsers[user_id],tblUsers[segment],"Owner Not Found"))</f>
        <v>SMB</v>
      </c>
      <c r="J1192">
        <f>IF(E1192="","",_xlfn.XLOOKUP(E1192,tblUsers[user_id],tblUsers[territory_id],"Owner Not Found"))</f>
        <v>2</v>
      </c>
      <c r="K1192" t="str">
        <f t="shared" si="37"/>
        <v>Routing Compatible</v>
      </c>
    </row>
    <row r="1193" spans="1:11">
      <c r="A1193" t="s">
        <v>5299</v>
      </c>
      <c r="B1193" t="s">
        <v>5301</v>
      </c>
      <c r="C1193" t="s">
        <v>24</v>
      </c>
      <c r="D1193" t="s">
        <v>54</v>
      </c>
      <c r="E1193" t="s">
        <v>69</v>
      </c>
      <c r="F1193" t="str">
        <f t="shared" si="36"/>
        <v>SMB</v>
      </c>
      <c r="G1193">
        <f>_xlfn.XLOOKUP(D1193,tblStates[state_code],tblStates[territory_id],"Needs Review - Territory")</f>
        <v>3</v>
      </c>
      <c r="H1193" t="str">
        <f>IF(E1193="","",_xlfn.XLOOKUP(E1193,tblUsers[user_id],tblUsers[job_title],"Owner Not Found"))</f>
        <v>SMB Account Executive</v>
      </c>
      <c r="I1193" t="str">
        <f>IF(E1193="","",_xlfn.XLOOKUP(E1193,tblUsers[user_id],tblUsers[segment],"Owner Not Found"))</f>
        <v>SMB</v>
      </c>
      <c r="J1193">
        <f>IF(E1193="","",_xlfn.XLOOKUP(E1193,tblUsers[user_id],tblUsers[territory_id],"Owner Not Found"))</f>
        <v>3</v>
      </c>
      <c r="K1193" t="str">
        <f t="shared" si="37"/>
        <v>Routing Compatible</v>
      </c>
    </row>
    <row r="1194" spans="1:11">
      <c r="A1194" t="s">
        <v>5302</v>
      </c>
      <c r="B1194" t="s">
        <v>5304</v>
      </c>
      <c r="C1194" t="s">
        <v>30</v>
      </c>
      <c r="D1194" t="s">
        <v>178</v>
      </c>
      <c r="E1194" t="s">
        <v>36</v>
      </c>
      <c r="F1194" t="str">
        <f t="shared" si="36"/>
        <v>MM</v>
      </c>
      <c r="G1194">
        <f>_xlfn.XLOOKUP(D1194,tblStates[state_code],tblStates[territory_id],"Needs Review - Territory")</f>
        <v>4</v>
      </c>
      <c r="H1194" t="str">
        <f>IF(E1194="","",_xlfn.XLOOKUP(E1194,tblUsers[user_id],tblUsers[job_title],"Owner Not Found"))</f>
        <v>Mid-Market Account Executive</v>
      </c>
      <c r="I1194" t="str">
        <f>IF(E1194="","",_xlfn.XLOOKUP(E1194,tblUsers[user_id],tblUsers[segment],"Owner Not Found"))</f>
        <v>MM</v>
      </c>
      <c r="J1194">
        <f>IF(E1194="","",_xlfn.XLOOKUP(E1194,tblUsers[user_id],tblUsers[territory_id],"Owner Not Found"))</f>
        <v>4</v>
      </c>
      <c r="K1194" t="str">
        <f t="shared" si="37"/>
        <v>Routing Compatible</v>
      </c>
    </row>
    <row r="1195" spans="1:11">
      <c r="A1195" t="s">
        <v>5305</v>
      </c>
      <c r="B1195" t="s">
        <v>5306</v>
      </c>
      <c r="C1195" t="s">
        <v>24</v>
      </c>
      <c r="D1195" t="s">
        <v>81</v>
      </c>
      <c r="E1195" t="s">
        <v>25</v>
      </c>
      <c r="F1195" t="str">
        <f t="shared" si="36"/>
        <v>SMB</v>
      </c>
      <c r="G1195">
        <f>_xlfn.XLOOKUP(D1195,tblStates[state_code],tblStates[territory_id],"Needs Review - Territory")</f>
        <v>2</v>
      </c>
      <c r="H1195" t="str">
        <f>IF(E1195="","",_xlfn.XLOOKUP(E1195,tblUsers[user_id],tblUsers[job_title],"Owner Not Found"))</f>
        <v>SMB Account Executive</v>
      </c>
      <c r="I1195" t="str">
        <f>IF(E1195="","",_xlfn.XLOOKUP(E1195,tblUsers[user_id],tblUsers[segment],"Owner Not Found"))</f>
        <v>SMB</v>
      </c>
      <c r="J1195">
        <f>IF(E1195="","",_xlfn.XLOOKUP(E1195,tblUsers[user_id],tblUsers[territory_id],"Owner Not Found"))</f>
        <v>2</v>
      </c>
      <c r="K1195" t="str">
        <f t="shared" si="37"/>
        <v>Routing Compatible</v>
      </c>
    </row>
    <row r="1196" spans="1:11">
      <c r="A1196" t="s">
        <v>5307</v>
      </c>
      <c r="B1196" t="s">
        <v>5309</v>
      </c>
      <c r="C1196" t="s">
        <v>24</v>
      </c>
      <c r="D1196" t="s">
        <v>161</v>
      </c>
      <c r="E1196" t="s">
        <v>59</v>
      </c>
      <c r="F1196" t="str">
        <f t="shared" si="36"/>
        <v>SMB</v>
      </c>
      <c r="G1196">
        <f>_xlfn.XLOOKUP(D1196,tblStates[state_code],tblStates[territory_id],"Needs Review - Territory")</f>
        <v>4</v>
      </c>
      <c r="H1196" t="str">
        <f>IF(E1196="","",_xlfn.XLOOKUP(E1196,tblUsers[user_id],tblUsers[job_title],"Owner Not Found"))</f>
        <v>SMB Account Executive</v>
      </c>
      <c r="I1196" t="str">
        <f>IF(E1196="","",_xlfn.XLOOKUP(E1196,tblUsers[user_id],tblUsers[segment],"Owner Not Found"))</f>
        <v>SMB</v>
      </c>
      <c r="J1196">
        <f>IF(E1196="","",_xlfn.XLOOKUP(E1196,tblUsers[user_id],tblUsers[territory_id],"Owner Not Found"))</f>
        <v>4</v>
      </c>
      <c r="K1196" t="str">
        <f t="shared" si="37"/>
        <v>Routing Compatible</v>
      </c>
    </row>
    <row r="1197" spans="1:11">
      <c r="A1197" t="s">
        <v>5310</v>
      </c>
      <c r="B1197" t="s">
        <v>5312</v>
      </c>
      <c r="C1197" t="s">
        <v>30</v>
      </c>
      <c r="D1197" t="s">
        <v>50</v>
      </c>
      <c r="E1197" t="s">
        <v>36</v>
      </c>
      <c r="F1197" t="str">
        <f t="shared" si="36"/>
        <v>MM</v>
      </c>
      <c r="G1197">
        <f>_xlfn.XLOOKUP(D1197,tblStates[state_code],tblStates[territory_id],"Needs Review - Territory")</f>
        <v>4</v>
      </c>
      <c r="H1197" t="str">
        <f>IF(E1197="","",_xlfn.XLOOKUP(E1197,tblUsers[user_id],tblUsers[job_title],"Owner Not Found"))</f>
        <v>Mid-Market Account Executive</v>
      </c>
      <c r="I1197" t="str">
        <f>IF(E1197="","",_xlfn.XLOOKUP(E1197,tblUsers[user_id],tblUsers[segment],"Owner Not Found"))</f>
        <v>MM</v>
      </c>
      <c r="J1197">
        <f>IF(E1197="","",_xlfn.XLOOKUP(E1197,tblUsers[user_id],tblUsers[territory_id],"Owner Not Found"))</f>
        <v>4</v>
      </c>
      <c r="K1197" t="str">
        <f t="shared" si="37"/>
        <v>Routing Compatible</v>
      </c>
    </row>
    <row r="1198" spans="1:11">
      <c r="A1198" t="s">
        <v>5313</v>
      </c>
      <c r="B1198" t="s">
        <v>5315</v>
      </c>
      <c r="C1198" t="s">
        <v>24</v>
      </c>
      <c r="D1198" t="s">
        <v>154</v>
      </c>
      <c r="E1198" t="s">
        <v>82</v>
      </c>
      <c r="F1198" t="str">
        <f t="shared" si="36"/>
        <v>SMB</v>
      </c>
      <c r="G1198">
        <f>_xlfn.XLOOKUP(D1198,tblStates[state_code],tblStates[territory_id],"Needs Review - Territory")</f>
        <v>2</v>
      </c>
      <c r="H1198" t="str">
        <f>IF(E1198="","",_xlfn.XLOOKUP(E1198,tblUsers[user_id],tblUsers[job_title],"Owner Not Found"))</f>
        <v>Mid-Market Account Executive</v>
      </c>
      <c r="I1198" t="str">
        <f>IF(E1198="","",_xlfn.XLOOKUP(E1198,tblUsers[user_id],tblUsers[segment],"Owner Not Found"))</f>
        <v>MM</v>
      </c>
      <c r="J1198">
        <f>IF(E1198="","",_xlfn.XLOOKUP(E1198,tblUsers[user_id],tblUsers[territory_id],"Owner Not Found"))</f>
        <v>2</v>
      </c>
      <c r="K1198" t="str">
        <f t="shared" si="37"/>
        <v>Wrong Segment</v>
      </c>
    </row>
    <row r="1199" spans="1:11">
      <c r="A1199" t="s">
        <v>5316</v>
      </c>
      <c r="B1199" t="s">
        <v>5318</v>
      </c>
      <c r="C1199" t="s">
        <v>24</v>
      </c>
      <c r="D1199" t="s">
        <v>236</v>
      </c>
      <c r="E1199" t="s">
        <v>91</v>
      </c>
      <c r="F1199" t="str">
        <f t="shared" si="36"/>
        <v>SMB</v>
      </c>
      <c r="G1199">
        <f>_xlfn.XLOOKUP(D1199,tblStates[state_code],tblStates[territory_id],"Needs Review - Territory")</f>
        <v>1</v>
      </c>
      <c r="H1199" t="str">
        <f>IF(E1199="","",_xlfn.XLOOKUP(E1199,tblUsers[user_id],tblUsers[job_title],"Owner Not Found"))</f>
        <v>SMB Account Executive</v>
      </c>
      <c r="I1199" t="str">
        <f>IF(E1199="","",_xlfn.XLOOKUP(E1199,tblUsers[user_id],tblUsers[segment],"Owner Not Found"))</f>
        <v>SMB</v>
      </c>
      <c r="J1199">
        <f>IF(E1199="","",_xlfn.XLOOKUP(E1199,tblUsers[user_id],tblUsers[territory_id],"Owner Not Found"))</f>
        <v>1</v>
      </c>
      <c r="K1199" t="str">
        <f t="shared" si="37"/>
        <v>Routing Compatible</v>
      </c>
    </row>
    <row r="1200" spans="1:11">
      <c r="A1200" t="s">
        <v>5319</v>
      </c>
      <c r="B1200" t="s">
        <v>5321</v>
      </c>
      <c r="C1200" t="s">
        <v>24</v>
      </c>
      <c r="D1200" t="s">
        <v>81</v>
      </c>
      <c r="E1200" t="s">
        <v>25</v>
      </c>
      <c r="F1200" t="str">
        <f t="shared" si="36"/>
        <v>SMB</v>
      </c>
      <c r="G1200">
        <f>_xlfn.XLOOKUP(D1200,tblStates[state_code],tblStates[territory_id],"Needs Review - Territory")</f>
        <v>2</v>
      </c>
      <c r="H1200" t="str">
        <f>IF(E1200="","",_xlfn.XLOOKUP(E1200,tblUsers[user_id],tblUsers[job_title],"Owner Not Found"))</f>
        <v>SMB Account Executive</v>
      </c>
      <c r="I1200" t="str">
        <f>IF(E1200="","",_xlfn.XLOOKUP(E1200,tblUsers[user_id],tblUsers[segment],"Owner Not Found"))</f>
        <v>SMB</v>
      </c>
      <c r="J1200">
        <f>IF(E1200="","",_xlfn.XLOOKUP(E1200,tblUsers[user_id],tblUsers[territory_id],"Owner Not Found"))</f>
        <v>2</v>
      </c>
      <c r="K1200" t="str">
        <f t="shared" si="37"/>
        <v>Routing Compatible</v>
      </c>
    </row>
    <row r="1201" spans="1:11">
      <c r="A1201" t="s">
        <v>5322</v>
      </c>
      <c r="B1201" t="s">
        <v>5324</v>
      </c>
      <c r="C1201" t="s">
        <v>24</v>
      </c>
      <c r="D1201" t="s">
        <v>140</v>
      </c>
      <c r="E1201" t="s">
        <v>25</v>
      </c>
      <c r="F1201" t="str">
        <f t="shared" si="36"/>
        <v>SMB</v>
      </c>
      <c r="G1201">
        <f>_xlfn.XLOOKUP(D1201,tblStates[state_code],tblStates[territory_id],"Needs Review - Territory")</f>
        <v>2</v>
      </c>
      <c r="H1201" t="str">
        <f>IF(E1201="","",_xlfn.XLOOKUP(E1201,tblUsers[user_id],tblUsers[job_title],"Owner Not Found"))</f>
        <v>SMB Account Executive</v>
      </c>
      <c r="I1201" t="str">
        <f>IF(E1201="","",_xlfn.XLOOKUP(E1201,tblUsers[user_id],tblUsers[segment],"Owner Not Found"))</f>
        <v>SMB</v>
      </c>
      <c r="J1201">
        <f>IF(E1201="","",_xlfn.XLOOKUP(E1201,tblUsers[user_id],tblUsers[territory_id],"Owner Not Found"))</f>
        <v>2</v>
      </c>
      <c r="K1201" t="str">
        <f t="shared" si="37"/>
        <v>Routing Compatible</v>
      </c>
    </row>
    <row r="1202" spans="1:11">
      <c r="A1202" t="s">
        <v>5325</v>
      </c>
      <c r="B1202" t="s">
        <v>5327</v>
      </c>
      <c r="C1202" t="s">
        <v>24</v>
      </c>
      <c r="D1202" t="s">
        <v>41</v>
      </c>
      <c r="E1202" t="s">
        <v>25</v>
      </c>
      <c r="F1202" t="str">
        <f t="shared" si="36"/>
        <v>SMB</v>
      </c>
      <c r="G1202">
        <f>_xlfn.XLOOKUP(D1202,tblStates[state_code],tblStates[territory_id],"Needs Review - Territory")</f>
        <v>2</v>
      </c>
      <c r="H1202" t="str">
        <f>IF(E1202="","",_xlfn.XLOOKUP(E1202,tblUsers[user_id],tblUsers[job_title],"Owner Not Found"))</f>
        <v>SMB Account Executive</v>
      </c>
      <c r="I1202" t="str">
        <f>IF(E1202="","",_xlfn.XLOOKUP(E1202,tblUsers[user_id],tblUsers[segment],"Owner Not Found"))</f>
        <v>SMB</v>
      </c>
      <c r="J1202">
        <f>IF(E1202="","",_xlfn.XLOOKUP(E1202,tblUsers[user_id],tblUsers[territory_id],"Owner Not Found"))</f>
        <v>2</v>
      </c>
      <c r="K1202" t="str">
        <f t="shared" si="37"/>
        <v>Routing Compatible</v>
      </c>
    </row>
    <row r="1203" spans="1:11">
      <c r="A1203" t="s">
        <v>5328</v>
      </c>
      <c r="B1203" t="s">
        <v>5330</v>
      </c>
      <c r="C1203" t="s">
        <v>24</v>
      </c>
      <c r="D1203" t="s">
        <v>127</v>
      </c>
      <c r="E1203" t="s">
        <v>59</v>
      </c>
      <c r="F1203" t="str">
        <f t="shared" si="36"/>
        <v>SMB</v>
      </c>
      <c r="G1203">
        <f>_xlfn.XLOOKUP(D1203,tblStates[state_code],tblStates[territory_id],"Needs Review - Territory")</f>
        <v>2</v>
      </c>
      <c r="H1203" t="str">
        <f>IF(E1203="","",_xlfn.XLOOKUP(E1203,tblUsers[user_id],tblUsers[job_title],"Owner Not Found"))</f>
        <v>SMB Account Executive</v>
      </c>
      <c r="I1203" t="str">
        <f>IF(E1203="","",_xlfn.XLOOKUP(E1203,tblUsers[user_id],tblUsers[segment],"Owner Not Found"))</f>
        <v>SMB</v>
      </c>
      <c r="J1203">
        <f>IF(E1203="","",_xlfn.XLOOKUP(E1203,tblUsers[user_id],tblUsers[territory_id],"Owner Not Found"))</f>
        <v>4</v>
      </c>
      <c r="K1203" t="str">
        <f t="shared" si="37"/>
        <v>Wrong AE Territory</v>
      </c>
    </row>
    <row r="1204" spans="1:11">
      <c r="A1204" t="s">
        <v>5331</v>
      </c>
      <c r="B1204" t="s">
        <v>5333</v>
      </c>
      <c r="C1204" t="s">
        <v>24</v>
      </c>
      <c r="D1204" t="s">
        <v>16</v>
      </c>
      <c r="E1204" t="s">
        <v>91</v>
      </c>
      <c r="F1204" t="str">
        <f t="shared" si="36"/>
        <v>SMB</v>
      </c>
      <c r="G1204">
        <f>_xlfn.XLOOKUP(D1204,tblStates[state_code],tblStates[territory_id],"Needs Review - Territory")</f>
        <v>1</v>
      </c>
      <c r="H1204" t="str">
        <f>IF(E1204="","",_xlfn.XLOOKUP(E1204,tblUsers[user_id],tblUsers[job_title],"Owner Not Found"))</f>
        <v>SMB Account Executive</v>
      </c>
      <c r="I1204" t="str">
        <f>IF(E1204="","",_xlfn.XLOOKUP(E1204,tblUsers[user_id],tblUsers[segment],"Owner Not Found"))</f>
        <v>SMB</v>
      </c>
      <c r="J1204">
        <f>IF(E1204="","",_xlfn.XLOOKUP(E1204,tblUsers[user_id],tblUsers[territory_id],"Owner Not Found"))</f>
        <v>1</v>
      </c>
      <c r="K1204" t="str">
        <f t="shared" si="37"/>
        <v>Routing Compatible</v>
      </c>
    </row>
    <row r="1205" spans="1:11">
      <c r="A1205" t="s">
        <v>5334</v>
      </c>
      <c r="B1205" t="s">
        <v>5336</v>
      </c>
      <c r="C1205" t="s">
        <v>24</v>
      </c>
      <c r="D1205" t="s">
        <v>440</v>
      </c>
      <c r="E1205" t="s">
        <v>69</v>
      </c>
      <c r="F1205" t="str">
        <f t="shared" si="36"/>
        <v>SMB</v>
      </c>
      <c r="G1205">
        <f>_xlfn.XLOOKUP(D1205,tblStates[state_code],tblStates[territory_id],"Needs Review - Territory")</f>
        <v>3</v>
      </c>
      <c r="H1205" t="str">
        <f>IF(E1205="","",_xlfn.XLOOKUP(E1205,tblUsers[user_id],tblUsers[job_title],"Owner Not Found"))</f>
        <v>SMB Account Executive</v>
      </c>
      <c r="I1205" t="str">
        <f>IF(E1205="","",_xlfn.XLOOKUP(E1205,tblUsers[user_id],tblUsers[segment],"Owner Not Found"))</f>
        <v>SMB</v>
      </c>
      <c r="J1205">
        <f>IF(E1205="","",_xlfn.XLOOKUP(E1205,tblUsers[user_id],tblUsers[territory_id],"Owner Not Found"))</f>
        <v>3</v>
      </c>
      <c r="K1205" t="str">
        <f t="shared" si="37"/>
        <v>Routing Compatible</v>
      </c>
    </row>
    <row r="1206" spans="1:11">
      <c r="A1206" t="s">
        <v>5337</v>
      </c>
      <c r="B1206" t="s">
        <v>5339</v>
      </c>
      <c r="C1206" t="s">
        <v>30</v>
      </c>
      <c r="D1206" t="s">
        <v>366</v>
      </c>
      <c r="E1206" t="s">
        <v>18</v>
      </c>
      <c r="F1206" t="str">
        <f t="shared" si="36"/>
        <v>MM</v>
      </c>
      <c r="G1206">
        <f>_xlfn.XLOOKUP(D1206,tblStates[state_code],tblStates[territory_id],"Needs Review - Territory")</f>
        <v>1</v>
      </c>
      <c r="H1206" t="str">
        <f>IF(E1206="","",_xlfn.XLOOKUP(E1206,tblUsers[user_id],tblUsers[job_title],"Owner Not Found"))</f>
        <v>Mid-Market Account Executive</v>
      </c>
      <c r="I1206" t="str">
        <f>IF(E1206="","",_xlfn.XLOOKUP(E1206,tblUsers[user_id],tblUsers[segment],"Owner Not Found"))</f>
        <v>MM</v>
      </c>
      <c r="J1206">
        <f>IF(E1206="","",_xlfn.XLOOKUP(E1206,tblUsers[user_id],tblUsers[territory_id],"Owner Not Found"))</f>
        <v>1</v>
      </c>
      <c r="K1206" t="str">
        <f t="shared" si="37"/>
        <v>Routing Compatible</v>
      </c>
    </row>
    <row r="1207" spans="1:11">
      <c r="A1207" t="s">
        <v>5340</v>
      </c>
      <c r="B1207" t="s">
        <v>5342</v>
      </c>
      <c r="C1207" t="s">
        <v>24</v>
      </c>
      <c r="D1207" t="s">
        <v>50</v>
      </c>
      <c r="E1207" t="s">
        <v>59</v>
      </c>
      <c r="F1207" t="str">
        <f t="shared" si="36"/>
        <v>SMB</v>
      </c>
      <c r="G1207">
        <f>_xlfn.XLOOKUP(D1207,tblStates[state_code],tblStates[territory_id],"Needs Review - Territory")</f>
        <v>4</v>
      </c>
      <c r="H1207" t="str">
        <f>IF(E1207="","",_xlfn.XLOOKUP(E1207,tblUsers[user_id],tblUsers[job_title],"Owner Not Found"))</f>
        <v>SMB Account Executive</v>
      </c>
      <c r="I1207" t="str">
        <f>IF(E1207="","",_xlfn.XLOOKUP(E1207,tblUsers[user_id],tblUsers[segment],"Owner Not Found"))</f>
        <v>SMB</v>
      </c>
      <c r="J1207">
        <f>IF(E1207="","",_xlfn.XLOOKUP(E1207,tblUsers[user_id],tblUsers[territory_id],"Owner Not Found"))</f>
        <v>4</v>
      </c>
      <c r="K1207" t="str">
        <f t="shared" si="37"/>
        <v>Routing Compatible</v>
      </c>
    </row>
    <row r="1208" spans="1:11">
      <c r="A1208" t="s">
        <v>5343</v>
      </c>
      <c r="B1208" t="s">
        <v>5345</v>
      </c>
      <c r="C1208" t="s">
        <v>17</v>
      </c>
      <c r="D1208" t="s">
        <v>81</v>
      </c>
      <c r="E1208" t="s">
        <v>82</v>
      </c>
      <c r="F1208" t="str">
        <f t="shared" si="36"/>
        <v>MM</v>
      </c>
      <c r="G1208">
        <f>_xlfn.XLOOKUP(D1208,tblStates[state_code],tblStates[territory_id],"Needs Review - Territory")</f>
        <v>2</v>
      </c>
      <c r="H1208" t="str">
        <f>IF(E1208="","",_xlfn.XLOOKUP(E1208,tblUsers[user_id],tblUsers[job_title],"Owner Not Found"))</f>
        <v>Mid-Market Account Executive</v>
      </c>
      <c r="I1208" t="str">
        <f>IF(E1208="","",_xlfn.XLOOKUP(E1208,tblUsers[user_id],tblUsers[segment],"Owner Not Found"))</f>
        <v>MM</v>
      </c>
      <c r="J1208">
        <f>IF(E1208="","",_xlfn.XLOOKUP(E1208,tblUsers[user_id],tblUsers[territory_id],"Owner Not Found"))</f>
        <v>2</v>
      </c>
      <c r="K1208" t="str">
        <f t="shared" si="37"/>
        <v>Routing Compatible</v>
      </c>
    </row>
    <row r="1209" spans="1:11">
      <c r="A1209" t="s">
        <v>5346</v>
      </c>
      <c r="B1209" t="s">
        <v>5348</v>
      </c>
      <c r="D1209" t="s">
        <v>16</v>
      </c>
      <c r="F1209" t="str">
        <f t="shared" si="36"/>
        <v>Needs Review - Segment</v>
      </c>
      <c r="G1209">
        <f>_xlfn.XLOOKUP(D1209,tblStates[state_code],tblStates[territory_id],"Needs Review - Territory")</f>
        <v>1</v>
      </c>
      <c r="H1209" t="str">
        <f>IF(E1209="","",_xlfn.XLOOKUP(E1209,tblUsers[user_id],tblUsers[job_title],"Owner Not Found"))</f>
        <v/>
      </c>
      <c r="I1209" t="str">
        <f>IF(E1209="","",_xlfn.XLOOKUP(E1209,tblUsers[user_id],tblUsers[segment],"Owner Not Found"))</f>
        <v/>
      </c>
      <c r="J1209" t="str">
        <f>IF(E1209="","",_xlfn.XLOOKUP(E1209,tblUsers[user_id],tblUsers[territory_id],"Owner Not Found"))</f>
        <v/>
      </c>
      <c r="K1209" t="str">
        <f t="shared" si="37"/>
        <v>Unassigned</v>
      </c>
    </row>
    <row r="1210" spans="1:11">
      <c r="A1210" t="s">
        <v>5349</v>
      </c>
      <c r="B1210" t="s">
        <v>5351</v>
      </c>
      <c r="C1210" t="s">
        <v>24</v>
      </c>
      <c r="D1210" t="s">
        <v>440</v>
      </c>
      <c r="E1210" t="s">
        <v>69</v>
      </c>
      <c r="F1210" t="str">
        <f t="shared" si="36"/>
        <v>SMB</v>
      </c>
      <c r="G1210">
        <f>_xlfn.XLOOKUP(D1210,tblStates[state_code],tblStates[territory_id],"Needs Review - Territory")</f>
        <v>3</v>
      </c>
      <c r="H1210" t="str">
        <f>IF(E1210="","",_xlfn.XLOOKUP(E1210,tblUsers[user_id],tblUsers[job_title],"Owner Not Found"))</f>
        <v>SMB Account Executive</v>
      </c>
      <c r="I1210" t="str">
        <f>IF(E1210="","",_xlfn.XLOOKUP(E1210,tblUsers[user_id],tblUsers[segment],"Owner Not Found"))</f>
        <v>SMB</v>
      </c>
      <c r="J1210">
        <f>IF(E1210="","",_xlfn.XLOOKUP(E1210,tblUsers[user_id],tblUsers[territory_id],"Owner Not Found"))</f>
        <v>3</v>
      </c>
      <c r="K1210" t="str">
        <f t="shared" si="37"/>
        <v>Routing Compatible</v>
      </c>
    </row>
    <row r="1211" spans="1:11">
      <c r="A1211" t="s">
        <v>5352</v>
      </c>
      <c r="B1211" t="s">
        <v>5354</v>
      </c>
      <c r="C1211" t="s">
        <v>30</v>
      </c>
      <c r="D1211" t="s">
        <v>81</v>
      </c>
      <c r="E1211" t="s">
        <v>82</v>
      </c>
      <c r="F1211" t="str">
        <f t="shared" si="36"/>
        <v>MM</v>
      </c>
      <c r="G1211">
        <f>_xlfn.XLOOKUP(D1211,tblStates[state_code],tblStates[territory_id],"Needs Review - Territory")</f>
        <v>2</v>
      </c>
      <c r="H1211" t="str">
        <f>IF(E1211="","",_xlfn.XLOOKUP(E1211,tblUsers[user_id],tblUsers[job_title],"Owner Not Found"))</f>
        <v>Mid-Market Account Executive</v>
      </c>
      <c r="I1211" t="str">
        <f>IF(E1211="","",_xlfn.XLOOKUP(E1211,tblUsers[user_id],tblUsers[segment],"Owner Not Found"))</f>
        <v>MM</v>
      </c>
      <c r="J1211">
        <f>IF(E1211="","",_xlfn.XLOOKUP(E1211,tblUsers[user_id],tblUsers[territory_id],"Owner Not Found"))</f>
        <v>2</v>
      </c>
      <c r="K1211" t="str">
        <f t="shared" si="37"/>
        <v>Routing Compatible</v>
      </c>
    </row>
    <row r="1212" spans="1:11">
      <c r="A1212" t="s">
        <v>5355</v>
      </c>
      <c r="B1212" t="s">
        <v>5357</v>
      </c>
      <c r="C1212" t="s">
        <v>24</v>
      </c>
      <c r="D1212" t="s">
        <v>385</v>
      </c>
      <c r="E1212" t="s">
        <v>91</v>
      </c>
      <c r="F1212" t="str">
        <f t="shared" si="36"/>
        <v>SMB</v>
      </c>
      <c r="G1212">
        <f>_xlfn.XLOOKUP(D1212,tblStates[state_code],tblStates[territory_id],"Needs Review - Territory")</f>
        <v>1</v>
      </c>
      <c r="H1212" t="str">
        <f>IF(E1212="","",_xlfn.XLOOKUP(E1212,tblUsers[user_id],tblUsers[job_title],"Owner Not Found"))</f>
        <v>SMB Account Executive</v>
      </c>
      <c r="I1212" t="str">
        <f>IF(E1212="","",_xlfn.XLOOKUP(E1212,tblUsers[user_id],tblUsers[segment],"Owner Not Found"))</f>
        <v>SMB</v>
      </c>
      <c r="J1212">
        <f>IF(E1212="","",_xlfn.XLOOKUP(E1212,tblUsers[user_id],tblUsers[territory_id],"Owner Not Found"))</f>
        <v>1</v>
      </c>
      <c r="K1212" t="str">
        <f t="shared" si="37"/>
        <v>Routing Compatible</v>
      </c>
    </row>
    <row r="1213" spans="1:11">
      <c r="A1213" t="s">
        <v>5358</v>
      </c>
      <c r="B1213" t="s">
        <v>5360</v>
      </c>
      <c r="C1213" t="s">
        <v>24</v>
      </c>
      <c r="D1213" t="s">
        <v>16</v>
      </c>
      <c r="E1213" t="s">
        <v>91</v>
      </c>
      <c r="F1213" t="str">
        <f t="shared" si="36"/>
        <v>SMB</v>
      </c>
      <c r="G1213">
        <f>_xlfn.XLOOKUP(D1213,tblStates[state_code],tblStates[territory_id],"Needs Review - Territory")</f>
        <v>1</v>
      </c>
      <c r="H1213" t="str">
        <f>IF(E1213="","",_xlfn.XLOOKUP(E1213,tblUsers[user_id],tblUsers[job_title],"Owner Not Found"))</f>
        <v>SMB Account Executive</v>
      </c>
      <c r="I1213" t="str">
        <f>IF(E1213="","",_xlfn.XLOOKUP(E1213,tblUsers[user_id],tblUsers[segment],"Owner Not Found"))</f>
        <v>SMB</v>
      </c>
      <c r="J1213">
        <f>IF(E1213="","",_xlfn.XLOOKUP(E1213,tblUsers[user_id],tblUsers[territory_id],"Owner Not Found"))</f>
        <v>1</v>
      </c>
      <c r="K1213" t="str">
        <f t="shared" si="37"/>
        <v>Routing Compatible</v>
      </c>
    </row>
    <row r="1214" spans="1:11">
      <c r="A1214" t="s">
        <v>5361</v>
      </c>
      <c r="B1214" t="s">
        <v>5363</v>
      </c>
      <c r="C1214" t="s">
        <v>24</v>
      </c>
      <c r="D1214" t="s">
        <v>182</v>
      </c>
      <c r="E1214" t="s">
        <v>59</v>
      </c>
      <c r="F1214" t="str">
        <f t="shared" si="36"/>
        <v>SMB</v>
      </c>
      <c r="G1214">
        <f>_xlfn.XLOOKUP(D1214,tblStates[state_code],tblStates[territory_id],"Needs Review - Territory")</f>
        <v>4</v>
      </c>
      <c r="H1214" t="str">
        <f>IF(E1214="","",_xlfn.XLOOKUP(E1214,tblUsers[user_id],tblUsers[job_title],"Owner Not Found"))</f>
        <v>SMB Account Executive</v>
      </c>
      <c r="I1214" t="str">
        <f>IF(E1214="","",_xlfn.XLOOKUP(E1214,tblUsers[user_id],tblUsers[segment],"Owner Not Found"))</f>
        <v>SMB</v>
      </c>
      <c r="J1214">
        <f>IF(E1214="","",_xlfn.XLOOKUP(E1214,tblUsers[user_id],tblUsers[territory_id],"Owner Not Found"))</f>
        <v>4</v>
      </c>
      <c r="K1214" t="str">
        <f t="shared" si="37"/>
        <v>Routing Compatible</v>
      </c>
    </row>
    <row r="1215" spans="1:11">
      <c r="A1215" t="s">
        <v>5364</v>
      </c>
      <c r="B1215" t="s">
        <v>5366</v>
      </c>
      <c r="C1215" t="s">
        <v>17</v>
      </c>
      <c r="D1215" t="s">
        <v>249</v>
      </c>
      <c r="E1215" t="s">
        <v>36</v>
      </c>
      <c r="F1215" t="str">
        <f t="shared" si="36"/>
        <v>MM</v>
      </c>
      <c r="G1215">
        <f>_xlfn.XLOOKUP(D1215,tblStates[state_code],tblStates[territory_id],"Needs Review - Territory")</f>
        <v>4</v>
      </c>
      <c r="H1215" t="str">
        <f>IF(E1215="","",_xlfn.XLOOKUP(E1215,tblUsers[user_id],tblUsers[job_title],"Owner Not Found"))</f>
        <v>Mid-Market Account Executive</v>
      </c>
      <c r="I1215" t="str">
        <f>IF(E1215="","",_xlfn.XLOOKUP(E1215,tblUsers[user_id],tblUsers[segment],"Owner Not Found"))</f>
        <v>MM</v>
      </c>
      <c r="J1215">
        <f>IF(E1215="","",_xlfn.XLOOKUP(E1215,tblUsers[user_id],tblUsers[territory_id],"Owner Not Found"))</f>
        <v>4</v>
      </c>
      <c r="K1215" t="str">
        <f t="shared" si="37"/>
        <v>Routing Compatible</v>
      </c>
    </row>
    <row r="1216" spans="1:11">
      <c r="A1216" t="s">
        <v>5367</v>
      </c>
      <c r="B1216" t="s">
        <v>5369</v>
      </c>
      <c r="C1216" t="s">
        <v>24</v>
      </c>
      <c r="D1216" t="s">
        <v>16</v>
      </c>
      <c r="E1216" t="s">
        <v>91</v>
      </c>
      <c r="F1216" t="str">
        <f t="shared" si="36"/>
        <v>SMB</v>
      </c>
      <c r="G1216">
        <f>_xlfn.XLOOKUP(D1216,tblStates[state_code],tblStates[territory_id],"Needs Review - Territory")</f>
        <v>1</v>
      </c>
      <c r="H1216" t="str">
        <f>IF(E1216="","",_xlfn.XLOOKUP(E1216,tblUsers[user_id],tblUsers[job_title],"Owner Not Found"))</f>
        <v>SMB Account Executive</v>
      </c>
      <c r="I1216" t="str">
        <f>IF(E1216="","",_xlfn.XLOOKUP(E1216,tblUsers[user_id],tblUsers[segment],"Owner Not Found"))</f>
        <v>SMB</v>
      </c>
      <c r="J1216">
        <f>IF(E1216="","",_xlfn.XLOOKUP(E1216,tblUsers[user_id],tblUsers[territory_id],"Owner Not Found"))</f>
        <v>1</v>
      </c>
      <c r="K1216" t="str">
        <f t="shared" si="37"/>
        <v>Routing Compatible</v>
      </c>
    </row>
    <row r="1217" spans="1:11">
      <c r="A1217" t="s">
        <v>5370</v>
      </c>
      <c r="B1217" t="s">
        <v>5372</v>
      </c>
      <c r="C1217" t="s">
        <v>24</v>
      </c>
      <c r="D1217" t="s">
        <v>249</v>
      </c>
      <c r="E1217" t="s">
        <v>59</v>
      </c>
      <c r="F1217" t="str">
        <f t="shared" si="36"/>
        <v>SMB</v>
      </c>
      <c r="G1217">
        <f>_xlfn.XLOOKUP(D1217,tblStates[state_code],tblStates[territory_id],"Needs Review - Territory")</f>
        <v>4</v>
      </c>
      <c r="H1217" t="str">
        <f>IF(E1217="","",_xlfn.XLOOKUP(E1217,tblUsers[user_id],tblUsers[job_title],"Owner Not Found"))</f>
        <v>SMB Account Executive</v>
      </c>
      <c r="I1217" t="str">
        <f>IF(E1217="","",_xlfn.XLOOKUP(E1217,tblUsers[user_id],tblUsers[segment],"Owner Not Found"))</f>
        <v>SMB</v>
      </c>
      <c r="J1217">
        <f>IF(E1217="","",_xlfn.XLOOKUP(E1217,tblUsers[user_id],tblUsers[territory_id],"Owner Not Found"))</f>
        <v>4</v>
      </c>
      <c r="K1217" t="str">
        <f t="shared" si="37"/>
        <v>Routing Compatible</v>
      </c>
    </row>
    <row r="1218" spans="1:11">
      <c r="A1218" t="s">
        <v>5373</v>
      </c>
      <c r="B1218" t="s">
        <v>5375</v>
      </c>
      <c r="C1218" t="s">
        <v>30</v>
      </c>
      <c r="D1218" t="s">
        <v>120</v>
      </c>
      <c r="E1218" t="s">
        <v>82</v>
      </c>
      <c r="F1218" t="str">
        <f t="shared" si="36"/>
        <v>MM</v>
      </c>
      <c r="G1218">
        <f>_xlfn.XLOOKUP(D1218,tblStates[state_code],tblStates[territory_id],"Needs Review - Territory")</f>
        <v>2</v>
      </c>
      <c r="H1218" t="str">
        <f>IF(E1218="","",_xlfn.XLOOKUP(E1218,tblUsers[user_id],tblUsers[job_title],"Owner Not Found"))</f>
        <v>Mid-Market Account Executive</v>
      </c>
      <c r="I1218" t="str">
        <f>IF(E1218="","",_xlfn.XLOOKUP(E1218,tblUsers[user_id],tblUsers[segment],"Owner Not Found"))</f>
        <v>MM</v>
      </c>
      <c r="J1218">
        <f>IF(E1218="","",_xlfn.XLOOKUP(E1218,tblUsers[user_id],tblUsers[territory_id],"Owner Not Found"))</f>
        <v>2</v>
      </c>
      <c r="K1218" t="str">
        <f t="shared" si="37"/>
        <v>Routing Compatible</v>
      </c>
    </row>
    <row r="1219" spans="1:11">
      <c r="A1219" t="s">
        <v>5376</v>
      </c>
      <c r="B1219" t="s">
        <v>5378</v>
      </c>
      <c r="C1219" t="s">
        <v>30</v>
      </c>
      <c r="D1219" t="s">
        <v>95</v>
      </c>
      <c r="E1219" t="s">
        <v>18</v>
      </c>
      <c r="F1219" t="str">
        <f t="shared" ref="F1219:F1282" si="38">IF(C1219="SMB","SMB",IF(OR(C1219="Mid-Market",C1219="Upper Mid-Market"),"MM","Needs Review - Segment"))</f>
        <v>MM</v>
      </c>
      <c r="G1219">
        <f>_xlfn.XLOOKUP(D1219,tblStates[state_code],tblStates[territory_id],"Needs Review - Territory")</f>
        <v>1</v>
      </c>
      <c r="H1219" t="str">
        <f>IF(E1219="","",_xlfn.XLOOKUP(E1219,tblUsers[user_id],tblUsers[job_title],"Owner Not Found"))</f>
        <v>Mid-Market Account Executive</v>
      </c>
      <c r="I1219" t="str">
        <f>IF(E1219="","",_xlfn.XLOOKUP(E1219,tblUsers[user_id],tblUsers[segment],"Owner Not Found"))</f>
        <v>MM</v>
      </c>
      <c r="J1219">
        <f>IF(E1219="","",_xlfn.XLOOKUP(E1219,tblUsers[user_id],tblUsers[territory_id],"Owner Not Found"))</f>
        <v>1</v>
      </c>
      <c r="K1219" t="str">
        <f t="shared" ref="K1219:K1282" si="39">IF(E1219="","Unassigned",IF(F1219="Needs Review - Segment","Needs Review - Segment",IF(G1219="Needs Review - Territory","Needs Review - Territory",IF(I1219&lt;&gt;F1219,"Wrong Segment",IF(AND(ISNUMBER(SEARCH("Account Executive",H1219)),J1219&lt;&gt;G1219),"Wrong AE Territory",IF(OR(ISNUMBER(SEARCH("Account Executive",H1219)),H1219="Sales Development Representative"),"Routing Compatible","Unexpected Owner Role"))))))</f>
        <v>Routing Compatible</v>
      </c>
    </row>
    <row r="1220" spans="1:11">
      <c r="A1220" t="s">
        <v>5379</v>
      </c>
      <c r="B1220" t="s">
        <v>5380</v>
      </c>
      <c r="C1220" t="s">
        <v>24</v>
      </c>
      <c r="D1220" t="s">
        <v>140</v>
      </c>
      <c r="E1220" t="s">
        <v>25</v>
      </c>
      <c r="F1220" t="str">
        <f t="shared" si="38"/>
        <v>SMB</v>
      </c>
      <c r="G1220">
        <f>_xlfn.XLOOKUP(D1220,tblStates[state_code],tblStates[territory_id],"Needs Review - Territory")</f>
        <v>2</v>
      </c>
      <c r="H1220" t="str">
        <f>IF(E1220="","",_xlfn.XLOOKUP(E1220,tblUsers[user_id],tblUsers[job_title],"Owner Not Found"))</f>
        <v>SMB Account Executive</v>
      </c>
      <c r="I1220" t="str">
        <f>IF(E1220="","",_xlfn.XLOOKUP(E1220,tblUsers[user_id],tblUsers[segment],"Owner Not Found"))</f>
        <v>SMB</v>
      </c>
      <c r="J1220">
        <f>IF(E1220="","",_xlfn.XLOOKUP(E1220,tblUsers[user_id],tblUsers[territory_id],"Owner Not Found"))</f>
        <v>2</v>
      </c>
      <c r="K1220" t="str">
        <f t="shared" si="39"/>
        <v>Routing Compatible</v>
      </c>
    </row>
    <row r="1221" spans="1:11">
      <c r="A1221" t="s">
        <v>5381</v>
      </c>
      <c r="B1221" t="s">
        <v>5383</v>
      </c>
      <c r="C1221" t="s">
        <v>24</v>
      </c>
      <c r="D1221" t="s">
        <v>23</v>
      </c>
      <c r="E1221" t="s">
        <v>69</v>
      </c>
      <c r="F1221" t="str">
        <f t="shared" si="38"/>
        <v>SMB</v>
      </c>
      <c r="G1221">
        <f>_xlfn.XLOOKUP(D1221,tblStates[state_code],tblStates[territory_id],"Needs Review - Territory")</f>
        <v>2</v>
      </c>
      <c r="H1221" t="str">
        <f>IF(E1221="","",_xlfn.XLOOKUP(E1221,tblUsers[user_id],tblUsers[job_title],"Owner Not Found"))</f>
        <v>SMB Account Executive</v>
      </c>
      <c r="I1221" t="str">
        <f>IF(E1221="","",_xlfn.XLOOKUP(E1221,tblUsers[user_id],tblUsers[segment],"Owner Not Found"))</f>
        <v>SMB</v>
      </c>
      <c r="J1221">
        <f>IF(E1221="","",_xlfn.XLOOKUP(E1221,tblUsers[user_id],tblUsers[territory_id],"Owner Not Found"))</f>
        <v>3</v>
      </c>
      <c r="K1221" t="str">
        <f t="shared" si="39"/>
        <v>Wrong AE Territory</v>
      </c>
    </row>
    <row r="1222" spans="1:11">
      <c r="A1222" t="s">
        <v>5384</v>
      </c>
      <c r="B1222" t="s">
        <v>5385</v>
      </c>
      <c r="C1222" t="s">
        <v>17</v>
      </c>
      <c r="D1222" t="s">
        <v>23</v>
      </c>
      <c r="E1222" t="s">
        <v>82</v>
      </c>
      <c r="F1222" t="str">
        <f t="shared" si="38"/>
        <v>MM</v>
      </c>
      <c r="G1222">
        <f>_xlfn.XLOOKUP(D1222,tblStates[state_code],tblStates[territory_id],"Needs Review - Territory")</f>
        <v>2</v>
      </c>
      <c r="H1222" t="str">
        <f>IF(E1222="","",_xlfn.XLOOKUP(E1222,tblUsers[user_id],tblUsers[job_title],"Owner Not Found"))</f>
        <v>Mid-Market Account Executive</v>
      </c>
      <c r="I1222" t="str">
        <f>IF(E1222="","",_xlfn.XLOOKUP(E1222,tblUsers[user_id],tblUsers[segment],"Owner Not Found"))</f>
        <v>MM</v>
      </c>
      <c r="J1222">
        <f>IF(E1222="","",_xlfn.XLOOKUP(E1222,tblUsers[user_id],tblUsers[territory_id],"Owner Not Found"))</f>
        <v>2</v>
      </c>
      <c r="K1222" t="str">
        <f t="shared" si="39"/>
        <v>Routing Compatible</v>
      </c>
    </row>
    <row r="1223" spans="1:11">
      <c r="A1223" t="s">
        <v>5386</v>
      </c>
      <c r="B1223" t="s">
        <v>5388</v>
      </c>
      <c r="C1223" t="s">
        <v>24</v>
      </c>
      <c r="D1223" t="s">
        <v>81</v>
      </c>
      <c r="E1223" t="s">
        <v>25</v>
      </c>
      <c r="F1223" t="str">
        <f t="shared" si="38"/>
        <v>SMB</v>
      </c>
      <c r="G1223">
        <f>_xlfn.XLOOKUP(D1223,tblStates[state_code],tblStates[territory_id],"Needs Review - Territory")</f>
        <v>2</v>
      </c>
      <c r="H1223" t="str">
        <f>IF(E1223="","",_xlfn.XLOOKUP(E1223,tblUsers[user_id],tblUsers[job_title],"Owner Not Found"))</f>
        <v>SMB Account Executive</v>
      </c>
      <c r="I1223" t="str">
        <f>IF(E1223="","",_xlfn.XLOOKUP(E1223,tblUsers[user_id],tblUsers[segment],"Owner Not Found"))</f>
        <v>SMB</v>
      </c>
      <c r="J1223">
        <f>IF(E1223="","",_xlfn.XLOOKUP(E1223,tblUsers[user_id],tblUsers[territory_id],"Owner Not Found"))</f>
        <v>2</v>
      </c>
      <c r="K1223" t="str">
        <f t="shared" si="39"/>
        <v>Routing Compatible</v>
      </c>
    </row>
    <row r="1224" spans="1:11">
      <c r="A1224" t="s">
        <v>5389</v>
      </c>
      <c r="B1224" t="s">
        <v>5391</v>
      </c>
      <c r="C1224" t="s">
        <v>17</v>
      </c>
      <c r="D1224" t="s">
        <v>226</v>
      </c>
      <c r="E1224" t="s">
        <v>69</v>
      </c>
      <c r="F1224" t="str">
        <f t="shared" si="38"/>
        <v>MM</v>
      </c>
      <c r="G1224">
        <f>_xlfn.XLOOKUP(D1224,tblStates[state_code],tblStates[territory_id],"Needs Review - Territory")</f>
        <v>3</v>
      </c>
      <c r="H1224" t="str">
        <f>IF(E1224="","",_xlfn.XLOOKUP(E1224,tblUsers[user_id],tblUsers[job_title],"Owner Not Found"))</f>
        <v>SMB Account Executive</v>
      </c>
      <c r="I1224" t="str">
        <f>IF(E1224="","",_xlfn.XLOOKUP(E1224,tblUsers[user_id],tblUsers[segment],"Owner Not Found"))</f>
        <v>SMB</v>
      </c>
      <c r="J1224">
        <f>IF(E1224="","",_xlfn.XLOOKUP(E1224,tblUsers[user_id],tblUsers[territory_id],"Owner Not Found"))</f>
        <v>3</v>
      </c>
      <c r="K1224" t="str">
        <f t="shared" si="39"/>
        <v>Wrong Segment</v>
      </c>
    </row>
    <row r="1225" spans="1:11">
      <c r="A1225" t="s">
        <v>5392</v>
      </c>
      <c r="B1225" t="s">
        <v>5394</v>
      </c>
      <c r="C1225" t="s">
        <v>24</v>
      </c>
      <c r="D1225" t="s">
        <v>16</v>
      </c>
      <c r="E1225" t="s">
        <v>91</v>
      </c>
      <c r="F1225" t="str">
        <f t="shared" si="38"/>
        <v>SMB</v>
      </c>
      <c r="G1225">
        <f>_xlfn.XLOOKUP(D1225,tblStates[state_code],tblStates[territory_id],"Needs Review - Territory")</f>
        <v>1</v>
      </c>
      <c r="H1225" t="str">
        <f>IF(E1225="","",_xlfn.XLOOKUP(E1225,tblUsers[user_id],tblUsers[job_title],"Owner Not Found"))</f>
        <v>SMB Account Executive</v>
      </c>
      <c r="I1225" t="str">
        <f>IF(E1225="","",_xlfn.XLOOKUP(E1225,tblUsers[user_id],tblUsers[segment],"Owner Not Found"))</f>
        <v>SMB</v>
      </c>
      <c r="J1225">
        <f>IF(E1225="","",_xlfn.XLOOKUP(E1225,tblUsers[user_id],tblUsers[territory_id],"Owner Not Found"))</f>
        <v>1</v>
      </c>
      <c r="K1225" t="str">
        <f t="shared" si="39"/>
        <v>Routing Compatible</v>
      </c>
    </row>
    <row r="1226" spans="1:11">
      <c r="A1226" t="s">
        <v>5395</v>
      </c>
      <c r="B1226" t="s">
        <v>5397</v>
      </c>
      <c r="C1226" t="s">
        <v>24</v>
      </c>
      <c r="D1226" t="s">
        <v>99</v>
      </c>
      <c r="E1226" t="s">
        <v>59</v>
      </c>
      <c r="F1226" t="str">
        <f t="shared" si="38"/>
        <v>SMB</v>
      </c>
      <c r="G1226">
        <f>_xlfn.XLOOKUP(D1226,tblStates[state_code],tblStates[territory_id],"Needs Review - Territory")</f>
        <v>4</v>
      </c>
      <c r="H1226" t="str">
        <f>IF(E1226="","",_xlfn.XLOOKUP(E1226,tblUsers[user_id],tblUsers[job_title],"Owner Not Found"))</f>
        <v>SMB Account Executive</v>
      </c>
      <c r="I1226" t="str">
        <f>IF(E1226="","",_xlfn.XLOOKUP(E1226,tblUsers[user_id],tblUsers[segment],"Owner Not Found"))</f>
        <v>SMB</v>
      </c>
      <c r="J1226">
        <f>IF(E1226="","",_xlfn.XLOOKUP(E1226,tblUsers[user_id],tblUsers[territory_id],"Owner Not Found"))</f>
        <v>4</v>
      </c>
      <c r="K1226" t="str">
        <f t="shared" si="39"/>
        <v>Routing Compatible</v>
      </c>
    </row>
    <row r="1227" spans="1:11">
      <c r="A1227" t="s">
        <v>5398</v>
      </c>
      <c r="B1227" t="s">
        <v>5400</v>
      </c>
      <c r="C1227" t="s">
        <v>24</v>
      </c>
      <c r="D1227" t="s">
        <v>140</v>
      </c>
      <c r="E1227" t="s">
        <v>25</v>
      </c>
      <c r="F1227" t="str">
        <f t="shared" si="38"/>
        <v>SMB</v>
      </c>
      <c r="G1227">
        <f>_xlfn.XLOOKUP(D1227,tblStates[state_code],tblStates[territory_id],"Needs Review - Territory")</f>
        <v>2</v>
      </c>
      <c r="H1227" t="str">
        <f>IF(E1227="","",_xlfn.XLOOKUP(E1227,tblUsers[user_id],tblUsers[job_title],"Owner Not Found"))</f>
        <v>SMB Account Executive</v>
      </c>
      <c r="I1227" t="str">
        <f>IF(E1227="","",_xlfn.XLOOKUP(E1227,tblUsers[user_id],tblUsers[segment],"Owner Not Found"))</f>
        <v>SMB</v>
      </c>
      <c r="J1227">
        <f>IF(E1227="","",_xlfn.XLOOKUP(E1227,tblUsers[user_id],tblUsers[territory_id],"Owner Not Found"))</f>
        <v>2</v>
      </c>
      <c r="K1227" t="str">
        <f t="shared" si="39"/>
        <v>Routing Compatible</v>
      </c>
    </row>
    <row r="1228" spans="1:11">
      <c r="A1228" t="s">
        <v>5401</v>
      </c>
      <c r="B1228" t="s">
        <v>5403</v>
      </c>
      <c r="D1228" t="s">
        <v>41</v>
      </c>
      <c r="F1228" t="str">
        <f t="shared" si="38"/>
        <v>Needs Review - Segment</v>
      </c>
      <c r="G1228">
        <f>_xlfn.XLOOKUP(D1228,tblStates[state_code],tblStates[territory_id],"Needs Review - Territory")</f>
        <v>2</v>
      </c>
      <c r="H1228" t="str">
        <f>IF(E1228="","",_xlfn.XLOOKUP(E1228,tblUsers[user_id],tblUsers[job_title],"Owner Not Found"))</f>
        <v/>
      </c>
      <c r="I1228" t="str">
        <f>IF(E1228="","",_xlfn.XLOOKUP(E1228,tblUsers[user_id],tblUsers[segment],"Owner Not Found"))</f>
        <v/>
      </c>
      <c r="J1228" t="str">
        <f>IF(E1228="","",_xlfn.XLOOKUP(E1228,tblUsers[user_id],tblUsers[territory_id],"Owner Not Found"))</f>
        <v/>
      </c>
      <c r="K1228" t="str">
        <f t="shared" si="39"/>
        <v>Unassigned</v>
      </c>
    </row>
    <row r="1229" spans="1:11">
      <c r="A1229" t="s">
        <v>5404</v>
      </c>
      <c r="B1229" t="s">
        <v>5406</v>
      </c>
      <c r="C1229" t="s">
        <v>30</v>
      </c>
      <c r="D1229" t="s">
        <v>440</v>
      </c>
      <c r="E1229" t="s">
        <v>55</v>
      </c>
      <c r="F1229" t="str">
        <f t="shared" si="38"/>
        <v>MM</v>
      </c>
      <c r="G1229">
        <f>_xlfn.XLOOKUP(D1229,tblStates[state_code],tblStates[territory_id],"Needs Review - Territory")</f>
        <v>3</v>
      </c>
      <c r="H1229" t="str">
        <f>IF(E1229="","",_xlfn.XLOOKUP(E1229,tblUsers[user_id],tblUsers[job_title],"Owner Not Found"))</f>
        <v>Mid-Market Account Executive</v>
      </c>
      <c r="I1229" t="str">
        <f>IF(E1229="","",_xlfn.XLOOKUP(E1229,tblUsers[user_id],tblUsers[segment],"Owner Not Found"))</f>
        <v>MM</v>
      </c>
      <c r="J1229">
        <f>IF(E1229="","",_xlfn.XLOOKUP(E1229,tblUsers[user_id],tblUsers[territory_id],"Owner Not Found"))</f>
        <v>3</v>
      </c>
      <c r="K1229" t="str">
        <f t="shared" si="39"/>
        <v>Routing Compatible</v>
      </c>
    </row>
    <row r="1230" spans="1:11">
      <c r="A1230" t="s">
        <v>5407</v>
      </c>
      <c r="B1230" t="s">
        <v>5409</v>
      </c>
      <c r="C1230" t="s">
        <v>24</v>
      </c>
      <c r="D1230" t="s">
        <v>161</v>
      </c>
      <c r="E1230" t="s">
        <v>59</v>
      </c>
      <c r="F1230" t="str">
        <f t="shared" si="38"/>
        <v>SMB</v>
      </c>
      <c r="G1230">
        <f>_xlfn.XLOOKUP(D1230,tblStates[state_code],tblStates[territory_id],"Needs Review - Territory")</f>
        <v>4</v>
      </c>
      <c r="H1230" t="str">
        <f>IF(E1230="","",_xlfn.XLOOKUP(E1230,tblUsers[user_id],tblUsers[job_title],"Owner Not Found"))</f>
        <v>SMB Account Executive</v>
      </c>
      <c r="I1230" t="str">
        <f>IF(E1230="","",_xlfn.XLOOKUP(E1230,tblUsers[user_id],tblUsers[segment],"Owner Not Found"))</f>
        <v>SMB</v>
      </c>
      <c r="J1230">
        <f>IF(E1230="","",_xlfn.XLOOKUP(E1230,tblUsers[user_id],tblUsers[territory_id],"Owner Not Found"))</f>
        <v>4</v>
      </c>
      <c r="K1230" t="str">
        <f t="shared" si="39"/>
        <v>Routing Compatible</v>
      </c>
    </row>
    <row r="1231" spans="1:11">
      <c r="A1231" t="s">
        <v>5410</v>
      </c>
      <c r="B1231" t="s">
        <v>5412</v>
      </c>
      <c r="C1231" t="s">
        <v>30</v>
      </c>
      <c r="D1231" t="s">
        <v>385</v>
      </c>
      <c r="E1231" t="s">
        <v>18</v>
      </c>
      <c r="F1231" t="str">
        <f t="shared" si="38"/>
        <v>MM</v>
      </c>
      <c r="G1231">
        <f>_xlfn.XLOOKUP(D1231,tblStates[state_code],tblStates[territory_id],"Needs Review - Territory")</f>
        <v>1</v>
      </c>
      <c r="H1231" t="str">
        <f>IF(E1231="","",_xlfn.XLOOKUP(E1231,tblUsers[user_id],tblUsers[job_title],"Owner Not Found"))</f>
        <v>Mid-Market Account Executive</v>
      </c>
      <c r="I1231" t="str">
        <f>IF(E1231="","",_xlfn.XLOOKUP(E1231,tblUsers[user_id],tblUsers[segment],"Owner Not Found"))</f>
        <v>MM</v>
      </c>
      <c r="J1231">
        <f>IF(E1231="","",_xlfn.XLOOKUP(E1231,tblUsers[user_id],tblUsers[territory_id],"Owner Not Found"))</f>
        <v>1</v>
      </c>
      <c r="K1231" t="str">
        <f t="shared" si="39"/>
        <v>Routing Compatible</v>
      </c>
    </row>
    <row r="1232" spans="1:11">
      <c r="A1232" t="s">
        <v>5413</v>
      </c>
      <c r="B1232" t="s">
        <v>5414</v>
      </c>
      <c r="C1232" t="s">
        <v>30</v>
      </c>
      <c r="D1232" t="s">
        <v>140</v>
      </c>
      <c r="E1232" t="s">
        <v>82</v>
      </c>
      <c r="F1232" t="str">
        <f t="shared" si="38"/>
        <v>MM</v>
      </c>
      <c r="G1232">
        <f>_xlfn.XLOOKUP(D1232,tblStates[state_code],tblStates[territory_id],"Needs Review - Territory")</f>
        <v>2</v>
      </c>
      <c r="H1232" t="str">
        <f>IF(E1232="","",_xlfn.XLOOKUP(E1232,tblUsers[user_id],tblUsers[job_title],"Owner Not Found"))</f>
        <v>Mid-Market Account Executive</v>
      </c>
      <c r="I1232" t="str">
        <f>IF(E1232="","",_xlfn.XLOOKUP(E1232,tblUsers[user_id],tblUsers[segment],"Owner Not Found"))</f>
        <v>MM</v>
      </c>
      <c r="J1232">
        <f>IF(E1232="","",_xlfn.XLOOKUP(E1232,tblUsers[user_id],tblUsers[territory_id],"Owner Not Found"))</f>
        <v>2</v>
      </c>
      <c r="K1232" t="str">
        <f t="shared" si="39"/>
        <v>Routing Compatible</v>
      </c>
    </row>
    <row r="1233" spans="1:11">
      <c r="A1233" t="s">
        <v>5415</v>
      </c>
      <c r="B1233" t="s">
        <v>5417</v>
      </c>
      <c r="D1233" t="s">
        <v>249</v>
      </c>
      <c r="F1233" t="str">
        <f t="shared" si="38"/>
        <v>Needs Review - Segment</v>
      </c>
      <c r="G1233">
        <f>_xlfn.XLOOKUP(D1233,tblStates[state_code],tblStates[territory_id],"Needs Review - Territory")</f>
        <v>4</v>
      </c>
      <c r="H1233" t="str">
        <f>IF(E1233="","",_xlfn.XLOOKUP(E1233,tblUsers[user_id],tblUsers[job_title],"Owner Not Found"))</f>
        <v/>
      </c>
      <c r="I1233" t="str">
        <f>IF(E1233="","",_xlfn.XLOOKUP(E1233,tblUsers[user_id],tblUsers[segment],"Owner Not Found"))</f>
        <v/>
      </c>
      <c r="J1233" t="str">
        <f>IF(E1233="","",_xlfn.XLOOKUP(E1233,tblUsers[user_id],tblUsers[territory_id],"Owner Not Found"))</f>
        <v/>
      </c>
      <c r="K1233" t="str">
        <f t="shared" si="39"/>
        <v>Unassigned</v>
      </c>
    </row>
    <row r="1234" spans="1:11">
      <c r="A1234" t="s">
        <v>5418</v>
      </c>
      <c r="B1234" t="s">
        <v>5420</v>
      </c>
      <c r="C1234" t="s">
        <v>24</v>
      </c>
      <c r="D1234" t="s">
        <v>41</v>
      </c>
      <c r="E1234" t="s">
        <v>69</v>
      </c>
      <c r="F1234" t="str">
        <f t="shared" si="38"/>
        <v>SMB</v>
      </c>
      <c r="G1234">
        <f>_xlfn.XLOOKUP(D1234,tblStates[state_code],tblStates[territory_id],"Needs Review - Territory")</f>
        <v>2</v>
      </c>
      <c r="H1234" t="str">
        <f>IF(E1234="","",_xlfn.XLOOKUP(E1234,tblUsers[user_id],tblUsers[job_title],"Owner Not Found"))</f>
        <v>SMB Account Executive</v>
      </c>
      <c r="I1234" t="str">
        <f>IF(E1234="","",_xlfn.XLOOKUP(E1234,tblUsers[user_id],tblUsers[segment],"Owner Not Found"))</f>
        <v>SMB</v>
      </c>
      <c r="J1234">
        <f>IF(E1234="","",_xlfn.XLOOKUP(E1234,tblUsers[user_id],tblUsers[territory_id],"Owner Not Found"))</f>
        <v>3</v>
      </c>
      <c r="K1234" t="str">
        <f t="shared" si="39"/>
        <v>Wrong AE Territory</v>
      </c>
    </row>
    <row r="1235" spans="1:11">
      <c r="A1235" t="s">
        <v>5421</v>
      </c>
      <c r="B1235" t="s">
        <v>5423</v>
      </c>
      <c r="C1235" t="s">
        <v>30</v>
      </c>
      <c r="D1235" t="s">
        <v>50</v>
      </c>
      <c r="E1235" t="s">
        <v>36</v>
      </c>
      <c r="F1235" t="str">
        <f t="shared" si="38"/>
        <v>MM</v>
      </c>
      <c r="G1235">
        <f>_xlfn.XLOOKUP(D1235,tblStates[state_code],tblStates[territory_id],"Needs Review - Territory")</f>
        <v>4</v>
      </c>
      <c r="H1235" t="str">
        <f>IF(E1235="","",_xlfn.XLOOKUP(E1235,tblUsers[user_id],tblUsers[job_title],"Owner Not Found"))</f>
        <v>Mid-Market Account Executive</v>
      </c>
      <c r="I1235" t="str">
        <f>IF(E1235="","",_xlfn.XLOOKUP(E1235,tblUsers[user_id],tblUsers[segment],"Owner Not Found"))</f>
        <v>MM</v>
      </c>
      <c r="J1235">
        <f>IF(E1235="","",_xlfn.XLOOKUP(E1235,tblUsers[user_id],tblUsers[territory_id],"Owner Not Found"))</f>
        <v>4</v>
      </c>
      <c r="K1235" t="str">
        <f t="shared" si="39"/>
        <v>Routing Compatible</v>
      </c>
    </row>
    <row r="1236" spans="1:11">
      <c r="A1236" t="s">
        <v>5424</v>
      </c>
      <c r="B1236" t="s">
        <v>5426</v>
      </c>
      <c r="C1236" t="s">
        <v>24</v>
      </c>
      <c r="D1236" t="s">
        <v>385</v>
      </c>
      <c r="E1236" t="s">
        <v>91</v>
      </c>
      <c r="F1236" t="str">
        <f t="shared" si="38"/>
        <v>SMB</v>
      </c>
      <c r="G1236">
        <f>_xlfn.XLOOKUP(D1236,tblStates[state_code],tblStates[territory_id],"Needs Review - Territory")</f>
        <v>1</v>
      </c>
      <c r="H1236" t="str">
        <f>IF(E1236="","",_xlfn.XLOOKUP(E1236,tblUsers[user_id],tblUsers[job_title],"Owner Not Found"))</f>
        <v>SMB Account Executive</v>
      </c>
      <c r="I1236" t="str">
        <f>IF(E1236="","",_xlfn.XLOOKUP(E1236,tblUsers[user_id],tblUsers[segment],"Owner Not Found"))</f>
        <v>SMB</v>
      </c>
      <c r="J1236">
        <f>IF(E1236="","",_xlfn.XLOOKUP(E1236,tblUsers[user_id],tblUsers[territory_id],"Owner Not Found"))</f>
        <v>1</v>
      </c>
      <c r="K1236" t="str">
        <f t="shared" si="39"/>
        <v>Routing Compatible</v>
      </c>
    </row>
    <row r="1237" spans="1:11">
      <c r="A1237" t="s">
        <v>5427</v>
      </c>
      <c r="B1237" t="s">
        <v>5429</v>
      </c>
      <c r="C1237" t="s">
        <v>30</v>
      </c>
      <c r="D1237" t="s">
        <v>236</v>
      </c>
      <c r="E1237" t="s">
        <v>18</v>
      </c>
      <c r="F1237" t="str">
        <f t="shared" si="38"/>
        <v>MM</v>
      </c>
      <c r="G1237">
        <f>_xlfn.XLOOKUP(D1237,tblStates[state_code],tblStates[territory_id],"Needs Review - Territory")</f>
        <v>1</v>
      </c>
      <c r="H1237" t="str">
        <f>IF(E1237="","",_xlfn.XLOOKUP(E1237,tblUsers[user_id],tblUsers[job_title],"Owner Not Found"))</f>
        <v>Mid-Market Account Executive</v>
      </c>
      <c r="I1237" t="str">
        <f>IF(E1237="","",_xlfn.XLOOKUP(E1237,tblUsers[user_id],tblUsers[segment],"Owner Not Found"))</f>
        <v>MM</v>
      </c>
      <c r="J1237">
        <f>IF(E1237="","",_xlfn.XLOOKUP(E1237,tblUsers[user_id],tblUsers[territory_id],"Owner Not Found"))</f>
        <v>1</v>
      </c>
      <c r="K1237" t="str">
        <f t="shared" si="39"/>
        <v>Routing Compatible</v>
      </c>
    </row>
    <row r="1238" spans="1:11">
      <c r="A1238" t="s">
        <v>5430</v>
      </c>
      <c r="B1238" t="s">
        <v>5432</v>
      </c>
      <c r="C1238" t="s">
        <v>24</v>
      </c>
      <c r="D1238" t="s">
        <v>178</v>
      </c>
      <c r="E1238" t="s">
        <v>59</v>
      </c>
      <c r="F1238" t="str">
        <f t="shared" si="38"/>
        <v>SMB</v>
      </c>
      <c r="G1238">
        <f>_xlfn.XLOOKUP(D1238,tblStates[state_code],tblStates[territory_id],"Needs Review - Territory")</f>
        <v>4</v>
      </c>
      <c r="H1238" t="str">
        <f>IF(E1238="","",_xlfn.XLOOKUP(E1238,tblUsers[user_id],tblUsers[job_title],"Owner Not Found"))</f>
        <v>SMB Account Executive</v>
      </c>
      <c r="I1238" t="str">
        <f>IF(E1238="","",_xlfn.XLOOKUP(E1238,tblUsers[user_id],tblUsers[segment],"Owner Not Found"))</f>
        <v>SMB</v>
      </c>
      <c r="J1238">
        <f>IF(E1238="","",_xlfn.XLOOKUP(E1238,tblUsers[user_id],tblUsers[territory_id],"Owner Not Found"))</f>
        <v>4</v>
      </c>
      <c r="K1238" t="str">
        <f t="shared" si="39"/>
        <v>Routing Compatible</v>
      </c>
    </row>
    <row r="1239" spans="1:11">
      <c r="A1239" t="s">
        <v>5433</v>
      </c>
      <c r="B1239" t="s">
        <v>5435</v>
      </c>
      <c r="C1239" t="s">
        <v>24</v>
      </c>
      <c r="D1239" t="s">
        <v>81</v>
      </c>
      <c r="E1239" t="s">
        <v>25</v>
      </c>
      <c r="F1239" t="str">
        <f t="shared" si="38"/>
        <v>SMB</v>
      </c>
      <c r="G1239">
        <f>_xlfn.XLOOKUP(D1239,tblStates[state_code],tblStates[territory_id],"Needs Review - Territory")</f>
        <v>2</v>
      </c>
      <c r="H1239" t="str">
        <f>IF(E1239="","",_xlfn.XLOOKUP(E1239,tblUsers[user_id],tblUsers[job_title],"Owner Not Found"))</f>
        <v>SMB Account Executive</v>
      </c>
      <c r="I1239" t="str">
        <f>IF(E1239="","",_xlfn.XLOOKUP(E1239,tblUsers[user_id],tblUsers[segment],"Owner Not Found"))</f>
        <v>SMB</v>
      </c>
      <c r="J1239">
        <f>IF(E1239="","",_xlfn.XLOOKUP(E1239,tblUsers[user_id],tblUsers[territory_id],"Owner Not Found"))</f>
        <v>2</v>
      </c>
      <c r="K1239" t="str">
        <f t="shared" si="39"/>
        <v>Routing Compatible</v>
      </c>
    </row>
    <row r="1240" spans="1:11">
      <c r="A1240" t="s">
        <v>5436</v>
      </c>
      <c r="B1240" t="s">
        <v>5438</v>
      </c>
      <c r="C1240" t="s">
        <v>24</v>
      </c>
      <c r="D1240" t="s">
        <v>50</v>
      </c>
      <c r="E1240" t="s">
        <v>59</v>
      </c>
      <c r="F1240" t="str">
        <f t="shared" si="38"/>
        <v>SMB</v>
      </c>
      <c r="G1240">
        <f>_xlfn.XLOOKUP(D1240,tblStates[state_code],tblStates[territory_id],"Needs Review - Territory")</f>
        <v>4</v>
      </c>
      <c r="H1240" t="str">
        <f>IF(E1240="","",_xlfn.XLOOKUP(E1240,tblUsers[user_id],tblUsers[job_title],"Owner Not Found"))</f>
        <v>SMB Account Executive</v>
      </c>
      <c r="I1240" t="str">
        <f>IF(E1240="","",_xlfn.XLOOKUP(E1240,tblUsers[user_id],tblUsers[segment],"Owner Not Found"))</f>
        <v>SMB</v>
      </c>
      <c r="J1240">
        <f>IF(E1240="","",_xlfn.XLOOKUP(E1240,tblUsers[user_id],tblUsers[territory_id],"Owner Not Found"))</f>
        <v>4</v>
      </c>
      <c r="K1240" t="str">
        <f t="shared" si="39"/>
        <v>Routing Compatible</v>
      </c>
    </row>
    <row r="1241" spans="1:11">
      <c r="A1241" t="s">
        <v>5439</v>
      </c>
      <c r="B1241" t="s">
        <v>5441</v>
      </c>
      <c r="C1241" t="s">
        <v>24</v>
      </c>
      <c r="D1241" t="s">
        <v>116</v>
      </c>
      <c r="E1241" t="s">
        <v>25</v>
      </c>
      <c r="F1241" t="str">
        <f t="shared" si="38"/>
        <v>SMB</v>
      </c>
      <c r="G1241">
        <f>_xlfn.XLOOKUP(D1241,tblStates[state_code],tblStates[territory_id],"Needs Review - Territory")</f>
        <v>2</v>
      </c>
      <c r="H1241" t="str">
        <f>IF(E1241="","",_xlfn.XLOOKUP(E1241,tblUsers[user_id],tblUsers[job_title],"Owner Not Found"))</f>
        <v>SMB Account Executive</v>
      </c>
      <c r="I1241" t="str">
        <f>IF(E1241="","",_xlfn.XLOOKUP(E1241,tblUsers[user_id],tblUsers[segment],"Owner Not Found"))</f>
        <v>SMB</v>
      </c>
      <c r="J1241">
        <f>IF(E1241="","",_xlfn.XLOOKUP(E1241,tblUsers[user_id],tblUsers[territory_id],"Owner Not Found"))</f>
        <v>2</v>
      </c>
      <c r="K1241" t="str">
        <f t="shared" si="39"/>
        <v>Routing Compatible</v>
      </c>
    </row>
    <row r="1242" spans="1:11">
      <c r="A1242" t="s">
        <v>5442</v>
      </c>
      <c r="B1242" t="s">
        <v>5444</v>
      </c>
      <c r="C1242" t="s">
        <v>30</v>
      </c>
      <c r="D1242" t="s">
        <v>415</v>
      </c>
      <c r="E1242" t="s">
        <v>55</v>
      </c>
      <c r="F1242" t="str">
        <f t="shared" si="38"/>
        <v>MM</v>
      </c>
      <c r="G1242">
        <f>_xlfn.XLOOKUP(D1242,tblStates[state_code],tblStates[territory_id],"Needs Review - Territory")</f>
        <v>3</v>
      </c>
      <c r="H1242" t="str">
        <f>IF(E1242="","",_xlfn.XLOOKUP(E1242,tblUsers[user_id],tblUsers[job_title],"Owner Not Found"))</f>
        <v>Mid-Market Account Executive</v>
      </c>
      <c r="I1242" t="str">
        <f>IF(E1242="","",_xlfn.XLOOKUP(E1242,tblUsers[user_id],tblUsers[segment],"Owner Not Found"))</f>
        <v>MM</v>
      </c>
      <c r="J1242">
        <f>IF(E1242="","",_xlfn.XLOOKUP(E1242,tblUsers[user_id],tblUsers[territory_id],"Owner Not Found"))</f>
        <v>3</v>
      </c>
      <c r="K1242" t="str">
        <f t="shared" si="39"/>
        <v>Routing Compatible</v>
      </c>
    </row>
    <row r="1243" spans="1:11">
      <c r="A1243" t="s">
        <v>5445</v>
      </c>
      <c r="B1243" t="s">
        <v>5447</v>
      </c>
      <c r="D1243" t="s">
        <v>205</v>
      </c>
      <c r="F1243" t="str">
        <f t="shared" si="38"/>
        <v>Needs Review - Segment</v>
      </c>
      <c r="G1243">
        <f>_xlfn.XLOOKUP(D1243,tblStates[state_code],tblStates[territory_id],"Needs Review - Territory")</f>
        <v>4</v>
      </c>
      <c r="H1243" t="str">
        <f>IF(E1243="","",_xlfn.XLOOKUP(E1243,tblUsers[user_id],tblUsers[job_title],"Owner Not Found"))</f>
        <v/>
      </c>
      <c r="I1243" t="str">
        <f>IF(E1243="","",_xlfn.XLOOKUP(E1243,tblUsers[user_id],tblUsers[segment],"Owner Not Found"))</f>
        <v/>
      </c>
      <c r="J1243" t="str">
        <f>IF(E1243="","",_xlfn.XLOOKUP(E1243,tblUsers[user_id],tblUsers[territory_id],"Owner Not Found"))</f>
        <v/>
      </c>
      <c r="K1243" t="str">
        <f t="shared" si="39"/>
        <v>Unassigned</v>
      </c>
    </row>
    <row r="1244" spans="1:11">
      <c r="A1244" t="s">
        <v>5448</v>
      </c>
      <c r="B1244" t="s">
        <v>5450</v>
      </c>
      <c r="C1244" t="s">
        <v>24</v>
      </c>
      <c r="D1244" t="s">
        <v>638</v>
      </c>
      <c r="E1244" t="s">
        <v>69</v>
      </c>
      <c r="F1244" t="str">
        <f t="shared" si="38"/>
        <v>SMB</v>
      </c>
      <c r="G1244">
        <f>_xlfn.XLOOKUP(D1244,tblStates[state_code],tblStates[territory_id],"Needs Review - Territory")</f>
        <v>3</v>
      </c>
      <c r="H1244" t="str">
        <f>IF(E1244="","",_xlfn.XLOOKUP(E1244,tblUsers[user_id],tblUsers[job_title],"Owner Not Found"))</f>
        <v>SMB Account Executive</v>
      </c>
      <c r="I1244" t="str">
        <f>IF(E1244="","",_xlfn.XLOOKUP(E1244,tblUsers[user_id],tblUsers[segment],"Owner Not Found"))</f>
        <v>SMB</v>
      </c>
      <c r="J1244">
        <f>IF(E1244="","",_xlfn.XLOOKUP(E1244,tblUsers[user_id],tblUsers[territory_id],"Owner Not Found"))</f>
        <v>3</v>
      </c>
      <c r="K1244" t="str">
        <f t="shared" si="39"/>
        <v>Routing Compatible</v>
      </c>
    </row>
    <row r="1245" spans="1:11">
      <c r="A1245" t="s">
        <v>5451</v>
      </c>
      <c r="B1245" t="s">
        <v>5453</v>
      </c>
      <c r="C1245" t="s">
        <v>17</v>
      </c>
      <c r="D1245" t="s">
        <v>95</v>
      </c>
      <c r="E1245" t="s">
        <v>18</v>
      </c>
      <c r="F1245" t="str">
        <f t="shared" si="38"/>
        <v>MM</v>
      </c>
      <c r="G1245">
        <f>_xlfn.XLOOKUP(D1245,tblStates[state_code],tblStates[territory_id],"Needs Review - Territory")</f>
        <v>1</v>
      </c>
      <c r="H1245" t="str">
        <f>IF(E1245="","",_xlfn.XLOOKUP(E1245,tblUsers[user_id],tblUsers[job_title],"Owner Not Found"))</f>
        <v>Mid-Market Account Executive</v>
      </c>
      <c r="I1245" t="str">
        <f>IF(E1245="","",_xlfn.XLOOKUP(E1245,tblUsers[user_id],tblUsers[segment],"Owner Not Found"))</f>
        <v>MM</v>
      </c>
      <c r="J1245">
        <f>IF(E1245="","",_xlfn.XLOOKUP(E1245,tblUsers[user_id],tblUsers[territory_id],"Owner Not Found"))</f>
        <v>1</v>
      </c>
      <c r="K1245" t="str">
        <f t="shared" si="39"/>
        <v>Routing Compatible</v>
      </c>
    </row>
    <row r="1246" spans="1:11">
      <c r="A1246" t="s">
        <v>5454</v>
      </c>
      <c r="B1246" t="s">
        <v>5456</v>
      </c>
      <c r="C1246" t="s">
        <v>30</v>
      </c>
      <c r="D1246" t="s">
        <v>635</v>
      </c>
      <c r="E1246" t="s">
        <v>36</v>
      </c>
      <c r="F1246" t="str">
        <f t="shared" si="38"/>
        <v>MM</v>
      </c>
      <c r="G1246">
        <f>_xlfn.XLOOKUP(D1246,tblStates[state_code],tblStates[territory_id],"Needs Review - Territory")</f>
        <v>4</v>
      </c>
      <c r="H1246" t="str">
        <f>IF(E1246="","",_xlfn.XLOOKUP(E1246,tblUsers[user_id],tblUsers[job_title],"Owner Not Found"))</f>
        <v>Mid-Market Account Executive</v>
      </c>
      <c r="I1246" t="str">
        <f>IF(E1246="","",_xlfn.XLOOKUP(E1246,tblUsers[user_id],tblUsers[segment],"Owner Not Found"))</f>
        <v>MM</v>
      </c>
      <c r="J1246">
        <f>IF(E1246="","",_xlfn.XLOOKUP(E1246,tblUsers[user_id],tblUsers[territory_id],"Owner Not Found"))</f>
        <v>4</v>
      </c>
      <c r="K1246" t="str">
        <f t="shared" si="39"/>
        <v>Routing Compatible</v>
      </c>
    </row>
    <row r="1247" spans="1:11">
      <c r="A1247" t="s">
        <v>5457</v>
      </c>
      <c r="B1247" t="s">
        <v>5459</v>
      </c>
      <c r="C1247" t="s">
        <v>24</v>
      </c>
      <c r="D1247" t="s">
        <v>323</v>
      </c>
      <c r="E1247" t="s">
        <v>25</v>
      </c>
      <c r="F1247" t="str">
        <f t="shared" si="38"/>
        <v>SMB</v>
      </c>
      <c r="G1247">
        <f>_xlfn.XLOOKUP(D1247,tblStates[state_code],tblStates[territory_id],"Needs Review - Territory")</f>
        <v>2</v>
      </c>
      <c r="H1247" t="str">
        <f>IF(E1247="","",_xlfn.XLOOKUP(E1247,tblUsers[user_id],tblUsers[job_title],"Owner Not Found"))</f>
        <v>SMB Account Executive</v>
      </c>
      <c r="I1247" t="str">
        <f>IF(E1247="","",_xlfn.XLOOKUP(E1247,tblUsers[user_id],tblUsers[segment],"Owner Not Found"))</f>
        <v>SMB</v>
      </c>
      <c r="J1247">
        <f>IF(E1247="","",_xlfn.XLOOKUP(E1247,tblUsers[user_id],tblUsers[territory_id],"Owner Not Found"))</f>
        <v>2</v>
      </c>
      <c r="K1247" t="str">
        <f t="shared" si="39"/>
        <v>Routing Compatible</v>
      </c>
    </row>
    <row r="1248" spans="1:11">
      <c r="A1248" t="s">
        <v>5460</v>
      </c>
      <c r="B1248" t="s">
        <v>5462</v>
      </c>
      <c r="C1248" t="s">
        <v>24</v>
      </c>
      <c r="D1248" t="s">
        <v>16</v>
      </c>
      <c r="E1248" t="s">
        <v>91</v>
      </c>
      <c r="F1248" t="str">
        <f t="shared" si="38"/>
        <v>SMB</v>
      </c>
      <c r="G1248">
        <f>_xlfn.XLOOKUP(D1248,tblStates[state_code],tblStates[territory_id],"Needs Review - Territory")</f>
        <v>1</v>
      </c>
      <c r="H1248" t="str">
        <f>IF(E1248="","",_xlfn.XLOOKUP(E1248,tblUsers[user_id],tblUsers[job_title],"Owner Not Found"))</f>
        <v>SMB Account Executive</v>
      </c>
      <c r="I1248" t="str">
        <f>IF(E1248="","",_xlfn.XLOOKUP(E1248,tblUsers[user_id],tblUsers[segment],"Owner Not Found"))</f>
        <v>SMB</v>
      </c>
      <c r="J1248">
        <f>IF(E1248="","",_xlfn.XLOOKUP(E1248,tblUsers[user_id],tblUsers[territory_id],"Owner Not Found"))</f>
        <v>1</v>
      </c>
      <c r="K1248" t="str">
        <f t="shared" si="39"/>
        <v>Routing Compatible</v>
      </c>
    </row>
    <row r="1249" spans="1:11">
      <c r="A1249" t="s">
        <v>5463</v>
      </c>
      <c r="B1249" t="s">
        <v>5465</v>
      </c>
      <c r="C1249" t="s">
        <v>17</v>
      </c>
      <c r="D1249" t="s">
        <v>140</v>
      </c>
      <c r="E1249" t="s">
        <v>82</v>
      </c>
      <c r="F1249" t="str">
        <f t="shared" si="38"/>
        <v>MM</v>
      </c>
      <c r="G1249">
        <f>_xlfn.XLOOKUP(D1249,tblStates[state_code],tblStates[territory_id],"Needs Review - Territory")</f>
        <v>2</v>
      </c>
      <c r="H1249" t="str">
        <f>IF(E1249="","",_xlfn.XLOOKUP(E1249,tblUsers[user_id],tblUsers[job_title],"Owner Not Found"))</f>
        <v>Mid-Market Account Executive</v>
      </c>
      <c r="I1249" t="str">
        <f>IF(E1249="","",_xlfn.XLOOKUP(E1249,tblUsers[user_id],tblUsers[segment],"Owner Not Found"))</f>
        <v>MM</v>
      </c>
      <c r="J1249">
        <f>IF(E1249="","",_xlfn.XLOOKUP(E1249,tblUsers[user_id],tblUsers[territory_id],"Owner Not Found"))</f>
        <v>2</v>
      </c>
      <c r="K1249" t="str">
        <f t="shared" si="39"/>
        <v>Routing Compatible</v>
      </c>
    </row>
    <row r="1250" spans="1:11">
      <c r="A1250" t="s">
        <v>5466</v>
      </c>
      <c r="B1250" t="s">
        <v>5468</v>
      </c>
      <c r="C1250" t="s">
        <v>30</v>
      </c>
      <c r="D1250" t="s">
        <v>50</v>
      </c>
      <c r="E1250" t="s">
        <v>36</v>
      </c>
      <c r="F1250" t="str">
        <f t="shared" si="38"/>
        <v>MM</v>
      </c>
      <c r="G1250">
        <f>_xlfn.XLOOKUP(D1250,tblStates[state_code],tblStates[territory_id],"Needs Review - Territory")</f>
        <v>4</v>
      </c>
      <c r="H1250" t="str">
        <f>IF(E1250="","",_xlfn.XLOOKUP(E1250,tblUsers[user_id],tblUsers[job_title],"Owner Not Found"))</f>
        <v>Mid-Market Account Executive</v>
      </c>
      <c r="I1250" t="str">
        <f>IF(E1250="","",_xlfn.XLOOKUP(E1250,tblUsers[user_id],tblUsers[segment],"Owner Not Found"))</f>
        <v>MM</v>
      </c>
      <c r="J1250">
        <f>IF(E1250="","",_xlfn.XLOOKUP(E1250,tblUsers[user_id],tblUsers[territory_id],"Owner Not Found"))</f>
        <v>4</v>
      </c>
      <c r="K1250" t="str">
        <f t="shared" si="39"/>
        <v>Routing Compatible</v>
      </c>
    </row>
    <row r="1251" spans="1:11">
      <c r="A1251" t="s">
        <v>5469</v>
      </c>
      <c r="B1251" t="s">
        <v>5471</v>
      </c>
      <c r="C1251" t="s">
        <v>24</v>
      </c>
      <c r="D1251" t="s">
        <v>54</v>
      </c>
      <c r="E1251" t="s">
        <v>25</v>
      </c>
      <c r="F1251" t="str">
        <f t="shared" si="38"/>
        <v>SMB</v>
      </c>
      <c r="G1251">
        <f>_xlfn.XLOOKUP(D1251,tblStates[state_code],tblStates[territory_id],"Needs Review - Territory")</f>
        <v>3</v>
      </c>
      <c r="H1251" t="str">
        <f>IF(E1251="","",_xlfn.XLOOKUP(E1251,tblUsers[user_id],tblUsers[job_title],"Owner Not Found"))</f>
        <v>SMB Account Executive</v>
      </c>
      <c r="I1251" t="str">
        <f>IF(E1251="","",_xlfn.XLOOKUP(E1251,tblUsers[user_id],tblUsers[segment],"Owner Not Found"))</f>
        <v>SMB</v>
      </c>
      <c r="J1251">
        <f>IF(E1251="","",_xlfn.XLOOKUP(E1251,tblUsers[user_id],tblUsers[territory_id],"Owner Not Found"))</f>
        <v>2</v>
      </c>
      <c r="K1251" t="str">
        <f t="shared" si="39"/>
        <v>Wrong AE Territory</v>
      </c>
    </row>
    <row r="1252" spans="1:11">
      <c r="A1252" t="s">
        <v>5472</v>
      </c>
      <c r="B1252" t="s">
        <v>5474</v>
      </c>
      <c r="C1252" t="s">
        <v>24</v>
      </c>
      <c r="D1252" t="s">
        <v>50</v>
      </c>
      <c r="E1252" t="s">
        <v>59</v>
      </c>
      <c r="F1252" t="str">
        <f t="shared" si="38"/>
        <v>SMB</v>
      </c>
      <c r="G1252">
        <f>_xlfn.XLOOKUP(D1252,tblStates[state_code],tblStates[territory_id],"Needs Review - Territory")</f>
        <v>4</v>
      </c>
      <c r="H1252" t="str">
        <f>IF(E1252="","",_xlfn.XLOOKUP(E1252,tblUsers[user_id],tblUsers[job_title],"Owner Not Found"))</f>
        <v>SMB Account Executive</v>
      </c>
      <c r="I1252" t="str">
        <f>IF(E1252="","",_xlfn.XLOOKUP(E1252,tblUsers[user_id],tblUsers[segment],"Owner Not Found"))</f>
        <v>SMB</v>
      </c>
      <c r="J1252">
        <f>IF(E1252="","",_xlfn.XLOOKUP(E1252,tblUsers[user_id],tblUsers[territory_id],"Owner Not Found"))</f>
        <v>4</v>
      </c>
      <c r="K1252" t="str">
        <f t="shared" si="39"/>
        <v>Routing Compatible</v>
      </c>
    </row>
    <row r="1253" spans="1:11">
      <c r="A1253" t="s">
        <v>5475</v>
      </c>
      <c r="B1253" t="s">
        <v>5477</v>
      </c>
      <c r="C1253" t="s">
        <v>24</v>
      </c>
      <c r="D1253" t="s">
        <v>140</v>
      </c>
      <c r="E1253" t="s">
        <v>82</v>
      </c>
      <c r="F1253" t="str">
        <f t="shared" si="38"/>
        <v>SMB</v>
      </c>
      <c r="G1253">
        <f>_xlfn.XLOOKUP(D1253,tblStates[state_code],tblStates[territory_id],"Needs Review - Territory")</f>
        <v>2</v>
      </c>
      <c r="H1253" t="str">
        <f>IF(E1253="","",_xlfn.XLOOKUP(E1253,tblUsers[user_id],tblUsers[job_title],"Owner Not Found"))</f>
        <v>Mid-Market Account Executive</v>
      </c>
      <c r="I1253" t="str">
        <f>IF(E1253="","",_xlfn.XLOOKUP(E1253,tblUsers[user_id],tblUsers[segment],"Owner Not Found"))</f>
        <v>MM</v>
      </c>
      <c r="J1253">
        <f>IF(E1253="","",_xlfn.XLOOKUP(E1253,tblUsers[user_id],tblUsers[territory_id],"Owner Not Found"))</f>
        <v>2</v>
      </c>
      <c r="K1253" t="str">
        <f t="shared" si="39"/>
        <v>Wrong Segment</v>
      </c>
    </row>
    <row r="1254" spans="1:11">
      <c r="A1254" t="s">
        <v>5478</v>
      </c>
      <c r="B1254" t="s">
        <v>5480</v>
      </c>
      <c r="C1254" t="s">
        <v>30</v>
      </c>
      <c r="D1254" t="s">
        <v>171</v>
      </c>
      <c r="E1254" t="s">
        <v>18</v>
      </c>
      <c r="F1254" t="str">
        <f t="shared" si="38"/>
        <v>MM</v>
      </c>
      <c r="G1254">
        <f>_xlfn.XLOOKUP(D1254,tblStates[state_code],tblStates[territory_id],"Needs Review - Territory")</f>
        <v>1</v>
      </c>
      <c r="H1254" t="str">
        <f>IF(E1254="","",_xlfn.XLOOKUP(E1254,tblUsers[user_id],tblUsers[job_title],"Owner Not Found"))</f>
        <v>Mid-Market Account Executive</v>
      </c>
      <c r="I1254" t="str">
        <f>IF(E1254="","",_xlfn.XLOOKUP(E1254,tblUsers[user_id],tblUsers[segment],"Owner Not Found"))</f>
        <v>MM</v>
      </c>
      <c r="J1254">
        <f>IF(E1254="","",_xlfn.XLOOKUP(E1254,tblUsers[user_id],tblUsers[territory_id],"Owner Not Found"))</f>
        <v>1</v>
      </c>
      <c r="K1254" t="str">
        <f t="shared" si="39"/>
        <v>Routing Compatible</v>
      </c>
    </row>
    <row r="1255" spans="1:11">
      <c r="A1255" t="s">
        <v>5481</v>
      </c>
      <c r="B1255" t="s">
        <v>5483</v>
      </c>
      <c r="C1255" t="s">
        <v>24</v>
      </c>
      <c r="D1255" t="s">
        <v>50</v>
      </c>
      <c r="E1255" t="s">
        <v>59</v>
      </c>
      <c r="F1255" t="str">
        <f t="shared" si="38"/>
        <v>SMB</v>
      </c>
      <c r="G1255">
        <f>_xlfn.XLOOKUP(D1255,tblStates[state_code],tblStates[territory_id],"Needs Review - Territory")</f>
        <v>4</v>
      </c>
      <c r="H1255" t="str">
        <f>IF(E1255="","",_xlfn.XLOOKUP(E1255,tblUsers[user_id],tblUsers[job_title],"Owner Not Found"))</f>
        <v>SMB Account Executive</v>
      </c>
      <c r="I1255" t="str">
        <f>IF(E1255="","",_xlfn.XLOOKUP(E1255,tblUsers[user_id],tblUsers[segment],"Owner Not Found"))</f>
        <v>SMB</v>
      </c>
      <c r="J1255">
        <f>IF(E1255="","",_xlfn.XLOOKUP(E1255,tblUsers[user_id],tblUsers[territory_id],"Owner Not Found"))</f>
        <v>4</v>
      </c>
      <c r="K1255" t="str">
        <f t="shared" si="39"/>
        <v>Routing Compatible</v>
      </c>
    </row>
    <row r="1256" spans="1:11">
      <c r="A1256" t="s">
        <v>5484</v>
      </c>
      <c r="B1256" t="s">
        <v>5486</v>
      </c>
      <c r="C1256" t="s">
        <v>17</v>
      </c>
      <c r="D1256" t="s">
        <v>154</v>
      </c>
      <c r="E1256" t="s">
        <v>82</v>
      </c>
      <c r="F1256" t="str">
        <f t="shared" si="38"/>
        <v>MM</v>
      </c>
      <c r="G1256">
        <f>_xlfn.XLOOKUP(D1256,tblStates[state_code],tblStates[territory_id],"Needs Review - Territory")</f>
        <v>2</v>
      </c>
      <c r="H1256" t="str">
        <f>IF(E1256="","",_xlfn.XLOOKUP(E1256,tblUsers[user_id],tblUsers[job_title],"Owner Not Found"))</f>
        <v>Mid-Market Account Executive</v>
      </c>
      <c r="I1256" t="str">
        <f>IF(E1256="","",_xlfn.XLOOKUP(E1256,tblUsers[user_id],tblUsers[segment],"Owner Not Found"))</f>
        <v>MM</v>
      </c>
      <c r="J1256">
        <f>IF(E1256="","",_xlfn.XLOOKUP(E1256,tblUsers[user_id],tblUsers[territory_id],"Owner Not Found"))</f>
        <v>2</v>
      </c>
      <c r="K1256" t="str">
        <f t="shared" si="39"/>
        <v>Routing Compatible</v>
      </c>
    </row>
    <row r="1257" spans="1:11">
      <c r="A1257" t="s">
        <v>5487</v>
      </c>
      <c r="B1257" t="s">
        <v>5489</v>
      </c>
      <c r="C1257" t="s">
        <v>30</v>
      </c>
      <c r="D1257" t="s">
        <v>16</v>
      </c>
      <c r="E1257" t="s">
        <v>18</v>
      </c>
      <c r="F1257" t="str">
        <f t="shared" si="38"/>
        <v>MM</v>
      </c>
      <c r="G1257">
        <f>_xlfn.XLOOKUP(D1257,tblStates[state_code],tblStates[territory_id],"Needs Review - Territory")</f>
        <v>1</v>
      </c>
      <c r="H1257" t="str">
        <f>IF(E1257="","",_xlfn.XLOOKUP(E1257,tblUsers[user_id],tblUsers[job_title],"Owner Not Found"))</f>
        <v>Mid-Market Account Executive</v>
      </c>
      <c r="I1257" t="str">
        <f>IF(E1257="","",_xlfn.XLOOKUP(E1257,tblUsers[user_id],tblUsers[segment],"Owner Not Found"))</f>
        <v>MM</v>
      </c>
      <c r="J1257">
        <f>IF(E1257="","",_xlfn.XLOOKUP(E1257,tblUsers[user_id],tblUsers[territory_id],"Owner Not Found"))</f>
        <v>1</v>
      </c>
      <c r="K1257" t="str">
        <f t="shared" si="39"/>
        <v>Routing Compatible</v>
      </c>
    </row>
    <row r="1258" spans="1:11">
      <c r="A1258" t="s">
        <v>5490</v>
      </c>
      <c r="B1258" t="s">
        <v>5492</v>
      </c>
      <c r="C1258" t="s">
        <v>30</v>
      </c>
      <c r="D1258" t="s">
        <v>236</v>
      </c>
      <c r="E1258" t="s">
        <v>18</v>
      </c>
      <c r="F1258" t="str">
        <f t="shared" si="38"/>
        <v>MM</v>
      </c>
      <c r="G1258">
        <f>_xlfn.XLOOKUP(D1258,tblStates[state_code],tblStates[territory_id],"Needs Review - Territory")</f>
        <v>1</v>
      </c>
      <c r="H1258" t="str">
        <f>IF(E1258="","",_xlfn.XLOOKUP(E1258,tblUsers[user_id],tblUsers[job_title],"Owner Not Found"))</f>
        <v>Mid-Market Account Executive</v>
      </c>
      <c r="I1258" t="str">
        <f>IF(E1258="","",_xlfn.XLOOKUP(E1258,tblUsers[user_id],tblUsers[segment],"Owner Not Found"))</f>
        <v>MM</v>
      </c>
      <c r="J1258">
        <f>IF(E1258="","",_xlfn.XLOOKUP(E1258,tblUsers[user_id],tblUsers[territory_id],"Owner Not Found"))</f>
        <v>1</v>
      </c>
      <c r="K1258" t="str">
        <f t="shared" si="39"/>
        <v>Routing Compatible</v>
      </c>
    </row>
    <row r="1259" spans="1:11">
      <c r="A1259" t="s">
        <v>5493</v>
      </c>
      <c r="B1259" t="s">
        <v>5495</v>
      </c>
      <c r="C1259" t="s">
        <v>30</v>
      </c>
      <c r="D1259" t="s">
        <v>35</v>
      </c>
      <c r="E1259" t="s">
        <v>36</v>
      </c>
      <c r="F1259" t="str">
        <f t="shared" si="38"/>
        <v>MM</v>
      </c>
      <c r="G1259">
        <f>_xlfn.XLOOKUP(D1259,tblStates[state_code],tblStates[territory_id],"Needs Review - Territory")</f>
        <v>4</v>
      </c>
      <c r="H1259" t="str">
        <f>IF(E1259="","",_xlfn.XLOOKUP(E1259,tblUsers[user_id],tblUsers[job_title],"Owner Not Found"))</f>
        <v>Mid-Market Account Executive</v>
      </c>
      <c r="I1259" t="str">
        <f>IF(E1259="","",_xlfn.XLOOKUP(E1259,tblUsers[user_id],tblUsers[segment],"Owner Not Found"))</f>
        <v>MM</v>
      </c>
      <c r="J1259">
        <f>IF(E1259="","",_xlfn.XLOOKUP(E1259,tblUsers[user_id],tblUsers[territory_id],"Owner Not Found"))</f>
        <v>4</v>
      </c>
      <c r="K1259" t="str">
        <f t="shared" si="39"/>
        <v>Routing Compatible</v>
      </c>
    </row>
    <row r="1260" spans="1:11">
      <c r="A1260" t="s">
        <v>5496</v>
      </c>
      <c r="B1260" t="s">
        <v>5498</v>
      </c>
      <c r="C1260" t="s">
        <v>30</v>
      </c>
      <c r="D1260" t="s">
        <v>68</v>
      </c>
      <c r="E1260" t="s">
        <v>55</v>
      </c>
      <c r="F1260" t="str">
        <f t="shared" si="38"/>
        <v>MM</v>
      </c>
      <c r="G1260">
        <f>_xlfn.XLOOKUP(D1260,tblStates[state_code],tblStates[territory_id],"Needs Review - Territory")</f>
        <v>3</v>
      </c>
      <c r="H1260" t="str">
        <f>IF(E1260="","",_xlfn.XLOOKUP(E1260,tblUsers[user_id],tblUsers[job_title],"Owner Not Found"))</f>
        <v>Mid-Market Account Executive</v>
      </c>
      <c r="I1260" t="str">
        <f>IF(E1260="","",_xlfn.XLOOKUP(E1260,tblUsers[user_id],tblUsers[segment],"Owner Not Found"))</f>
        <v>MM</v>
      </c>
      <c r="J1260">
        <f>IF(E1260="","",_xlfn.XLOOKUP(E1260,tblUsers[user_id],tblUsers[territory_id],"Owner Not Found"))</f>
        <v>3</v>
      </c>
      <c r="K1260" t="str">
        <f t="shared" si="39"/>
        <v>Routing Compatible</v>
      </c>
    </row>
    <row r="1261" spans="1:11">
      <c r="A1261" t="s">
        <v>5499</v>
      </c>
      <c r="B1261" t="s">
        <v>5501</v>
      </c>
      <c r="C1261" t="s">
        <v>24</v>
      </c>
      <c r="D1261" t="s">
        <v>1077</v>
      </c>
      <c r="F1261" t="str">
        <f t="shared" si="38"/>
        <v>SMB</v>
      </c>
      <c r="G1261">
        <f>_xlfn.XLOOKUP(D1261,tblStates[state_code],tblStates[territory_id],"Needs Review - Territory")</f>
        <v>3</v>
      </c>
      <c r="H1261" t="str">
        <f>IF(E1261="","",_xlfn.XLOOKUP(E1261,tblUsers[user_id],tblUsers[job_title],"Owner Not Found"))</f>
        <v/>
      </c>
      <c r="I1261" t="str">
        <f>IF(E1261="","",_xlfn.XLOOKUP(E1261,tblUsers[user_id],tblUsers[segment],"Owner Not Found"))</f>
        <v/>
      </c>
      <c r="J1261" t="str">
        <f>IF(E1261="","",_xlfn.XLOOKUP(E1261,tblUsers[user_id],tblUsers[territory_id],"Owner Not Found"))</f>
        <v/>
      </c>
      <c r="K1261" t="str">
        <f t="shared" si="39"/>
        <v>Unassigned</v>
      </c>
    </row>
    <row r="1262" spans="1:11">
      <c r="A1262" t="s">
        <v>5502</v>
      </c>
      <c r="B1262" t="s">
        <v>5504</v>
      </c>
      <c r="C1262" t="s">
        <v>24</v>
      </c>
      <c r="D1262" t="s">
        <v>295</v>
      </c>
      <c r="E1262" t="s">
        <v>25</v>
      </c>
      <c r="F1262" t="str">
        <f t="shared" si="38"/>
        <v>SMB</v>
      </c>
      <c r="G1262">
        <f>_xlfn.XLOOKUP(D1262,tblStates[state_code],tblStates[territory_id],"Needs Review - Territory")</f>
        <v>2</v>
      </c>
      <c r="H1262" t="str">
        <f>IF(E1262="","",_xlfn.XLOOKUP(E1262,tblUsers[user_id],tblUsers[job_title],"Owner Not Found"))</f>
        <v>SMB Account Executive</v>
      </c>
      <c r="I1262" t="str">
        <f>IF(E1262="","",_xlfn.XLOOKUP(E1262,tblUsers[user_id],tblUsers[segment],"Owner Not Found"))</f>
        <v>SMB</v>
      </c>
      <c r="J1262">
        <f>IF(E1262="","",_xlfn.XLOOKUP(E1262,tblUsers[user_id],tblUsers[territory_id],"Owner Not Found"))</f>
        <v>2</v>
      </c>
      <c r="K1262" t="str">
        <f t="shared" si="39"/>
        <v>Routing Compatible</v>
      </c>
    </row>
    <row r="1263" spans="1:11">
      <c r="A1263" t="s">
        <v>5505</v>
      </c>
      <c r="B1263" t="s">
        <v>5507</v>
      </c>
      <c r="C1263" t="s">
        <v>24</v>
      </c>
      <c r="D1263" t="s">
        <v>1042</v>
      </c>
      <c r="E1263" t="s">
        <v>91</v>
      </c>
      <c r="F1263" t="str">
        <f t="shared" si="38"/>
        <v>SMB</v>
      </c>
      <c r="G1263">
        <f>_xlfn.XLOOKUP(D1263,tblStates[state_code],tblStates[territory_id],"Needs Review - Territory")</f>
        <v>1</v>
      </c>
      <c r="H1263" t="str">
        <f>IF(E1263="","",_xlfn.XLOOKUP(E1263,tblUsers[user_id],tblUsers[job_title],"Owner Not Found"))</f>
        <v>SMB Account Executive</v>
      </c>
      <c r="I1263" t="str">
        <f>IF(E1263="","",_xlfn.XLOOKUP(E1263,tblUsers[user_id],tblUsers[segment],"Owner Not Found"))</f>
        <v>SMB</v>
      </c>
      <c r="J1263">
        <f>IF(E1263="","",_xlfn.XLOOKUP(E1263,tblUsers[user_id],tblUsers[territory_id],"Owner Not Found"))</f>
        <v>1</v>
      </c>
      <c r="K1263" t="str">
        <f t="shared" si="39"/>
        <v>Routing Compatible</v>
      </c>
    </row>
    <row r="1264" spans="1:11">
      <c r="A1264" t="s">
        <v>5508</v>
      </c>
      <c r="B1264" t="s">
        <v>5510</v>
      </c>
      <c r="C1264" t="s">
        <v>24</v>
      </c>
      <c r="D1264" t="s">
        <v>23</v>
      </c>
      <c r="E1264" t="s">
        <v>25</v>
      </c>
      <c r="F1264" t="str">
        <f t="shared" si="38"/>
        <v>SMB</v>
      </c>
      <c r="G1264">
        <f>_xlfn.XLOOKUP(D1264,tblStates[state_code],tblStates[territory_id],"Needs Review - Territory")</f>
        <v>2</v>
      </c>
      <c r="H1264" t="str">
        <f>IF(E1264="","",_xlfn.XLOOKUP(E1264,tblUsers[user_id],tblUsers[job_title],"Owner Not Found"))</f>
        <v>SMB Account Executive</v>
      </c>
      <c r="I1264" t="str">
        <f>IF(E1264="","",_xlfn.XLOOKUP(E1264,tblUsers[user_id],tblUsers[segment],"Owner Not Found"))</f>
        <v>SMB</v>
      </c>
      <c r="J1264">
        <f>IF(E1264="","",_xlfn.XLOOKUP(E1264,tblUsers[user_id],tblUsers[territory_id],"Owner Not Found"))</f>
        <v>2</v>
      </c>
      <c r="K1264" t="str">
        <f t="shared" si="39"/>
        <v>Routing Compatible</v>
      </c>
    </row>
    <row r="1265" spans="1:11">
      <c r="A1265" t="s">
        <v>5511</v>
      </c>
      <c r="B1265" t="s">
        <v>5513</v>
      </c>
      <c r="C1265" t="s">
        <v>30</v>
      </c>
      <c r="D1265" t="s">
        <v>385</v>
      </c>
      <c r="E1265" t="s">
        <v>18</v>
      </c>
      <c r="F1265" t="str">
        <f t="shared" si="38"/>
        <v>MM</v>
      </c>
      <c r="G1265">
        <f>_xlfn.XLOOKUP(D1265,tblStates[state_code],tblStates[territory_id],"Needs Review - Territory")</f>
        <v>1</v>
      </c>
      <c r="H1265" t="str">
        <f>IF(E1265="","",_xlfn.XLOOKUP(E1265,tblUsers[user_id],tblUsers[job_title],"Owner Not Found"))</f>
        <v>Mid-Market Account Executive</v>
      </c>
      <c r="I1265" t="str">
        <f>IF(E1265="","",_xlfn.XLOOKUP(E1265,tblUsers[user_id],tblUsers[segment],"Owner Not Found"))</f>
        <v>MM</v>
      </c>
      <c r="J1265">
        <f>IF(E1265="","",_xlfn.XLOOKUP(E1265,tblUsers[user_id],tblUsers[territory_id],"Owner Not Found"))</f>
        <v>1</v>
      </c>
      <c r="K1265" t="str">
        <f t="shared" si="39"/>
        <v>Routing Compatible</v>
      </c>
    </row>
    <row r="1266" spans="1:11">
      <c r="A1266" t="s">
        <v>5514</v>
      </c>
      <c r="B1266" t="s">
        <v>5516</v>
      </c>
      <c r="C1266" t="s">
        <v>17</v>
      </c>
      <c r="D1266" t="s">
        <v>223</v>
      </c>
      <c r="E1266" t="s">
        <v>18</v>
      </c>
      <c r="F1266" t="str">
        <f t="shared" si="38"/>
        <v>MM</v>
      </c>
      <c r="G1266">
        <f>_xlfn.XLOOKUP(D1266,tblStates[state_code],tblStates[territory_id],"Needs Review - Territory")</f>
        <v>1</v>
      </c>
      <c r="H1266" t="str">
        <f>IF(E1266="","",_xlfn.XLOOKUP(E1266,tblUsers[user_id],tblUsers[job_title],"Owner Not Found"))</f>
        <v>Mid-Market Account Executive</v>
      </c>
      <c r="I1266" t="str">
        <f>IF(E1266="","",_xlfn.XLOOKUP(E1266,tblUsers[user_id],tblUsers[segment],"Owner Not Found"))</f>
        <v>MM</v>
      </c>
      <c r="J1266">
        <f>IF(E1266="","",_xlfn.XLOOKUP(E1266,tblUsers[user_id],tblUsers[territory_id],"Owner Not Found"))</f>
        <v>1</v>
      </c>
      <c r="K1266" t="str">
        <f t="shared" si="39"/>
        <v>Routing Compatible</v>
      </c>
    </row>
    <row r="1267" spans="1:11">
      <c r="A1267" t="s">
        <v>5517</v>
      </c>
      <c r="B1267" t="s">
        <v>5519</v>
      </c>
      <c r="C1267" t="s">
        <v>30</v>
      </c>
      <c r="D1267" t="s">
        <v>1039</v>
      </c>
      <c r="E1267" t="s">
        <v>18</v>
      </c>
      <c r="F1267" t="str">
        <f t="shared" si="38"/>
        <v>MM</v>
      </c>
      <c r="G1267">
        <f>_xlfn.XLOOKUP(D1267,tblStates[state_code],tblStates[territory_id],"Needs Review - Territory")</f>
        <v>1</v>
      </c>
      <c r="H1267" t="str">
        <f>IF(E1267="","",_xlfn.XLOOKUP(E1267,tblUsers[user_id],tblUsers[job_title],"Owner Not Found"))</f>
        <v>Mid-Market Account Executive</v>
      </c>
      <c r="I1267" t="str">
        <f>IF(E1267="","",_xlfn.XLOOKUP(E1267,tblUsers[user_id],tblUsers[segment],"Owner Not Found"))</f>
        <v>MM</v>
      </c>
      <c r="J1267">
        <f>IF(E1267="","",_xlfn.XLOOKUP(E1267,tblUsers[user_id],tblUsers[territory_id],"Owner Not Found"))</f>
        <v>1</v>
      </c>
      <c r="K1267" t="str">
        <f t="shared" si="39"/>
        <v>Routing Compatible</v>
      </c>
    </row>
    <row r="1268" spans="1:11">
      <c r="A1268" t="s">
        <v>5520</v>
      </c>
      <c r="B1268" t="s">
        <v>5522</v>
      </c>
      <c r="C1268" t="s">
        <v>24</v>
      </c>
      <c r="D1268" t="s">
        <v>95</v>
      </c>
      <c r="E1268" t="s">
        <v>91</v>
      </c>
      <c r="F1268" t="str">
        <f t="shared" si="38"/>
        <v>SMB</v>
      </c>
      <c r="G1268">
        <f>_xlfn.XLOOKUP(D1268,tblStates[state_code],tblStates[territory_id],"Needs Review - Territory")</f>
        <v>1</v>
      </c>
      <c r="H1268" t="str">
        <f>IF(E1268="","",_xlfn.XLOOKUP(E1268,tblUsers[user_id],tblUsers[job_title],"Owner Not Found"))</f>
        <v>SMB Account Executive</v>
      </c>
      <c r="I1268" t="str">
        <f>IF(E1268="","",_xlfn.XLOOKUP(E1268,tblUsers[user_id],tblUsers[segment],"Owner Not Found"))</f>
        <v>SMB</v>
      </c>
      <c r="J1268">
        <f>IF(E1268="","",_xlfn.XLOOKUP(E1268,tblUsers[user_id],tblUsers[territory_id],"Owner Not Found"))</f>
        <v>1</v>
      </c>
      <c r="K1268" t="str">
        <f t="shared" si="39"/>
        <v>Routing Compatible</v>
      </c>
    </row>
    <row r="1269" spans="1:11">
      <c r="A1269" t="s">
        <v>5523</v>
      </c>
      <c r="B1269" t="s">
        <v>5525</v>
      </c>
      <c r="C1269" t="s">
        <v>24</v>
      </c>
      <c r="D1269" t="s">
        <v>216</v>
      </c>
      <c r="E1269" t="s">
        <v>91</v>
      </c>
      <c r="F1269" t="str">
        <f t="shared" si="38"/>
        <v>SMB</v>
      </c>
      <c r="G1269">
        <f>_xlfn.XLOOKUP(D1269,tblStates[state_code],tblStates[territory_id],"Needs Review - Territory")</f>
        <v>1</v>
      </c>
      <c r="H1269" t="str">
        <f>IF(E1269="","",_xlfn.XLOOKUP(E1269,tblUsers[user_id],tblUsers[job_title],"Owner Not Found"))</f>
        <v>SMB Account Executive</v>
      </c>
      <c r="I1269" t="str">
        <f>IF(E1269="","",_xlfn.XLOOKUP(E1269,tblUsers[user_id],tblUsers[segment],"Owner Not Found"))</f>
        <v>SMB</v>
      </c>
      <c r="J1269">
        <f>IF(E1269="","",_xlfn.XLOOKUP(E1269,tblUsers[user_id],tblUsers[territory_id],"Owner Not Found"))</f>
        <v>1</v>
      </c>
      <c r="K1269" t="str">
        <f t="shared" si="39"/>
        <v>Routing Compatible</v>
      </c>
    </row>
    <row r="1270" spans="1:11">
      <c r="A1270" t="s">
        <v>5526</v>
      </c>
      <c r="B1270" t="s">
        <v>5528</v>
      </c>
      <c r="C1270" t="s">
        <v>24</v>
      </c>
      <c r="D1270" t="s">
        <v>223</v>
      </c>
      <c r="E1270" t="s">
        <v>91</v>
      </c>
      <c r="F1270" t="str">
        <f t="shared" si="38"/>
        <v>SMB</v>
      </c>
      <c r="G1270">
        <f>_xlfn.XLOOKUP(D1270,tblStates[state_code],tblStates[territory_id],"Needs Review - Territory")</f>
        <v>1</v>
      </c>
      <c r="H1270" t="str">
        <f>IF(E1270="","",_xlfn.XLOOKUP(E1270,tblUsers[user_id],tblUsers[job_title],"Owner Not Found"))</f>
        <v>SMB Account Executive</v>
      </c>
      <c r="I1270" t="str">
        <f>IF(E1270="","",_xlfn.XLOOKUP(E1270,tblUsers[user_id],tblUsers[segment],"Owner Not Found"))</f>
        <v>SMB</v>
      </c>
      <c r="J1270">
        <f>IF(E1270="","",_xlfn.XLOOKUP(E1270,tblUsers[user_id],tblUsers[territory_id],"Owner Not Found"))</f>
        <v>1</v>
      </c>
      <c r="K1270" t="str">
        <f t="shared" si="39"/>
        <v>Routing Compatible</v>
      </c>
    </row>
    <row r="1271" spans="1:11">
      <c r="A1271" t="s">
        <v>5529</v>
      </c>
      <c r="B1271" t="s">
        <v>5531</v>
      </c>
      <c r="C1271" t="s">
        <v>24</v>
      </c>
      <c r="D1271" t="s">
        <v>249</v>
      </c>
      <c r="E1271" t="s">
        <v>59</v>
      </c>
      <c r="F1271" t="str">
        <f t="shared" si="38"/>
        <v>SMB</v>
      </c>
      <c r="G1271">
        <f>_xlfn.XLOOKUP(D1271,tblStates[state_code],tblStates[territory_id],"Needs Review - Territory")</f>
        <v>4</v>
      </c>
      <c r="H1271" t="str">
        <f>IF(E1271="","",_xlfn.XLOOKUP(E1271,tblUsers[user_id],tblUsers[job_title],"Owner Not Found"))</f>
        <v>SMB Account Executive</v>
      </c>
      <c r="I1271" t="str">
        <f>IF(E1271="","",_xlfn.XLOOKUP(E1271,tblUsers[user_id],tblUsers[segment],"Owner Not Found"))</f>
        <v>SMB</v>
      </c>
      <c r="J1271">
        <f>IF(E1271="","",_xlfn.XLOOKUP(E1271,tblUsers[user_id],tblUsers[territory_id],"Owner Not Found"))</f>
        <v>4</v>
      </c>
      <c r="K1271" t="str">
        <f t="shared" si="39"/>
        <v>Routing Compatible</v>
      </c>
    </row>
    <row r="1272" spans="1:11">
      <c r="A1272" t="s">
        <v>5532</v>
      </c>
      <c r="B1272" t="s">
        <v>5533</v>
      </c>
      <c r="C1272" t="s">
        <v>30</v>
      </c>
      <c r="D1272" t="s">
        <v>16</v>
      </c>
      <c r="E1272" t="s">
        <v>18</v>
      </c>
      <c r="F1272" t="str">
        <f t="shared" si="38"/>
        <v>MM</v>
      </c>
      <c r="G1272">
        <f>_xlfn.XLOOKUP(D1272,tblStates[state_code],tblStates[territory_id],"Needs Review - Territory")</f>
        <v>1</v>
      </c>
      <c r="H1272" t="str">
        <f>IF(E1272="","",_xlfn.XLOOKUP(E1272,tblUsers[user_id],tblUsers[job_title],"Owner Not Found"))</f>
        <v>Mid-Market Account Executive</v>
      </c>
      <c r="I1272" t="str">
        <f>IF(E1272="","",_xlfn.XLOOKUP(E1272,tblUsers[user_id],tblUsers[segment],"Owner Not Found"))</f>
        <v>MM</v>
      </c>
      <c r="J1272">
        <f>IF(E1272="","",_xlfn.XLOOKUP(E1272,tblUsers[user_id],tblUsers[territory_id],"Owner Not Found"))</f>
        <v>1</v>
      </c>
      <c r="K1272" t="str">
        <f t="shared" si="39"/>
        <v>Routing Compatible</v>
      </c>
    </row>
    <row r="1273" spans="1:11">
      <c r="A1273" t="s">
        <v>5534</v>
      </c>
      <c r="B1273" t="s">
        <v>5536</v>
      </c>
      <c r="C1273" t="s">
        <v>24</v>
      </c>
      <c r="D1273" t="s">
        <v>1077</v>
      </c>
      <c r="E1273" t="s">
        <v>69</v>
      </c>
      <c r="F1273" t="str">
        <f t="shared" si="38"/>
        <v>SMB</v>
      </c>
      <c r="G1273">
        <f>_xlfn.XLOOKUP(D1273,tblStates[state_code],tblStates[territory_id],"Needs Review - Territory")</f>
        <v>3</v>
      </c>
      <c r="H1273" t="str">
        <f>IF(E1273="","",_xlfn.XLOOKUP(E1273,tblUsers[user_id],tblUsers[job_title],"Owner Not Found"))</f>
        <v>SMB Account Executive</v>
      </c>
      <c r="I1273" t="str">
        <f>IF(E1273="","",_xlfn.XLOOKUP(E1273,tblUsers[user_id],tblUsers[segment],"Owner Not Found"))</f>
        <v>SMB</v>
      </c>
      <c r="J1273">
        <f>IF(E1273="","",_xlfn.XLOOKUP(E1273,tblUsers[user_id],tblUsers[territory_id],"Owner Not Found"))</f>
        <v>3</v>
      </c>
      <c r="K1273" t="str">
        <f t="shared" si="39"/>
        <v>Routing Compatible</v>
      </c>
    </row>
    <row r="1274" spans="1:11">
      <c r="A1274" t="s">
        <v>5537</v>
      </c>
      <c r="B1274" t="s">
        <v>5539</v>
      </c>
      <c r="C1274" t="s">
        <v>24</v>
      </c>
      <c r="D1274" t="s">
        <v>50</v>
      </c>
      <c r="E1274" t="s">
        <v>59</v>
      </c>
      <c r="F1274" t="str">
        <f t="shared" si="38"/>
        <v>SMB</v>
      </c>
      <c r="G1274">
        <f>_xlfn.XLOOKUP(D1274,tblStates[state_code],tblStates[territory_id],"Needs Review - Territory")</f>
        <v>4</v>
      </c>
      <c r="H1274" t="str">
        <f>IF(E1274="","",_xlfn.XLOOKUP(E1274,tblUsers[user_id],tblUsers[job_title],"Owner Not Found"))</f>
        <v>SMB Account Executive</v>
      </c>
      <c r="I1274" t="str">
        <f>IF(E1274="","",_xlfn.XLOOKUP(E1274,tblUsers[user_id],tblUsers[segment],"Owner Not Found"))</f>
        <v>SMB</v>
      </c>
      <c r="J1274">
        <f>IF(E1274="","",_xlfn.XLOOKUP(E1274,tblUsers[user_id],tblUsers[territory_id],"Owner Not Found"))</f>
        <v>4</v>
      </c>
      <c r="K1274" t="str">
        <f t="shared" si="39"/>
        <v>Routing Compatible</v>
      </c>
    </row>
    <row r="1275" spans="1:11">
      <c r="A1275" t="s">
        <v>5540</v>
      </c>
      <c r="B1275" t="s">
        <v>5542</v>
      </c>
      <c r="C1275" t="s">
        <v>30</v>
      </c>
      <c r="D1275" t="s">
        <v>16</v>
      </c>
      <c r="E1275" t="s">
        <v>18</v>
      </c>
      <c r="F1275" t="str">
        <f t="shared" si="38"/>
        <v>MM</v>
      </c>
      <c r="G1275">
        <f>_xlfn.XLOOKUP(D1275,tblStates[state_code],tblStates[territory_id],"Needs Review - Territory")</f>
        <v>1</v>
      </c>
      <c r="H1275" t="str">
        <f>IF(E1275="","",_xlfn.XLOOKUP(E1275,tblUsers[user_id],tblUsers[job_title],"Owner Not Found"))</f>
        <v>Mid-Market Account Executive</v>
      </c>
      <c r="I1275" t="str">
        <f>IF(E1275="","",_xlfn.XLOOKUP(E1275,tblUsers[user_id],tblUsers[segment],"Owner Not Found"))</f>
        <v>MM</v>
      </c>
      <c r="J1275">
        <f>IF(E1275="","",_xlfn.XLOOKUP(E1275,tblUsers[user_id],tblUsers[territory_id],"Owner Not Found"))</f>
        <v>1</v>
      </c>
      <c r="K1275" t="str">
        <f t="shared" si="39"/>
        <v>Routing Compatible</v>
      </c>
    </row>
    <row r="1276" spans="1:11">
      <c r="A1276" t="s">
        <v>5543</v>
      </c>
      <c r="B1276" t="s">
        <v>5545</v>
      </c>
      <c r="C1276" t="s">
        <v>24</v>
      </c>
      <c r="D1276" t="s">
        <v>404</v>
      </c>
      <c r="E1276" t="s">
        <v>25</v>
      </c>
      <c r="F1276" t="str">
        <f t="shared" si="38"/>
        <v>SMB</v>
      </c>
      <c r="G1276">
        <f>_xlfn.XLOOKUP(D1276,tblStates[state_code],tblStates[territory_id],"Needs Review - Territory")</f>
        <v>2</v>
      </c>
      <c r="H1276" t="str">
        <f>IF(E1276="","",_xlfn.XLOOKUP(E1276,tblUsers[user_id],tblUsers[job_title],"Owner Not Found"))</f>
        <v>SMB Account Executive</v>
      </c>
      <c r="I1276" t="str">
        <f>IF(E1276="","",_xlfn.XLOOKUP(E1276,tblUsers[user_id],tblUsers[segment],"Owner Not Found"))</f>
        <v>SMB</v>
      </c>
      <c r="J1276">
        <f>IF(E1276="","",_xlfn.XLOOKUP(E1276,tblUsers[user_id],tblUsers[territory_id],"Owner Not Found"))</f>
        <v>2</v>
      </c>
      <c r="K1276" t="str">
        <f t="shared" si="39"/>
        <v>Routing Compatible</v>
      </c>
    </row>
    <row r="1277" spans="1:11">
      <c r="A1277" t="s">
        <v>5546</v>
      </c>
      <c r="B1277" t="s">
        <v>5547</v>
      </c>
      <c r="C1277" t="s">
        <v>30</v>
      </c>
      <c r="D1277" t="s">
        <v>216</v>
      </c>
      <c r="E1277" t="s">
        <v>18</v>
      </c>
      <c r="F1277" t="str">
        <f t="shared" si="38"/>
        <v>MM</v>
      </c>
      <c r="G1277">
        <f>_xlfn.XLOOKUP(D1277,tblStates[state_code],tblStates[territory_id],"Needs Review - Territory")</f>
        <v>1</v>
      </c>
      <c r="H1277" t="str">
        <f>IF(E1277="","",_xlfn.XLOOKUP(E1277,tblUsers[user_id],tblUsers[job_title],"Owner Not Found"))</f>
        <v>Mid-Market Account Executive</v>
      </c>
      <c r="I1277" t="str">
        <f>IF(E1277="","",_xlfn.XLOOKUP(E1277,tblUsers[user_id],tblUsers[segment],"Owner Not Found"))</f>
        <v>MM</v>
      </c>
      <c r="J1277">
        <f>IF(E1277="","",_xlfn.XLOOKUP(E1277,tblUsers[user_id],tblUsers[territory_id],"Owner Not Found"))</f>
        <v>1</v>
      </c>
      <c r="K1277" t="str">
        <f t="shared" si="39"/>
        <v>Routing Compatible</v>
      </c>
    </row>
    <row r="1278" spans="1:11">
      <c r="A1278" t="s">
        <v>5548</v>
      </c>
      <c r="B1278" t="s">
        <v>5550</v>
      </c>
      <c r="C1278" t="s">
        <v>30</v>
      </c>
      <c r="D1278" t="s">
        <v>127</v>
      </c>
      <c r="F1278" t="str">
        <f t="shared" si="38"/>
        <v>MM</v>
      </c>
      <c r="G1278">
        <f>_xlfn.XLOOKUP(D1278,tblStates[state_code],tblStates[territory_id],"Needs Review - Territory")</f>
        <v>2</v>
      </c>
      <c r="H1278" t="str">
        <f>IF(E1278="","",_xlfn.XLOOKUP(E1278,tblUsers[user_id],tblUsers[job_title],"Owner Not Found"))</f>
        <v/>
      </c>
      <c r="I1278" t="str">
        <f>IF(E1278="","",_xlfn.XLOOKUP(E1278,tblUsers[user_id],tblUsers[segment],"Owner Not Found"))</f>
        <v/>
      </c>
      <c r="J1278" t="str">
        <f>IF(E1278="","",_xlfn.XLOOKUP(E1278,tblUsers[user_id],tblUsers[territory_id],"Owner Not Found"))</f>
        <v/>
      </c>
      <c r="K1278" t="str">
        <f t="shared" si="39"/>
        <v>Unassigned</v>
      </c>
    </row>
    <row r="1279" spans="1:11">
      <c r="A1279" t="s">
        <v>5551</v>
      </c>
      <c r="B1279" t="s">
        <v>5553</v>
      </c>
      <c r="C1279" t="s">
        <v>24</v>
      </c>
      <c r="D1279" t="s">
        <v>171</v>
      </c>
      <c r="E1279" t="s">
        <v>91</v>
      </c>
      <c r="F1279" t="str">
        <f t="shared" si="38"/>
        <v>SMB</v>
      </c>
      <c r="G1279">
        <f>_xlfn.XLOOKUP(D1279,tblStates[state_code],tblStates[territory_id],"Needs Review - Territory")</f>
        <v>1</v>
      </c>
      <c r="H1279" t="str">
        <f>IF(E1279="","",_xlfn.XLOOKUP(E1279,tblUsers[user_id],tblUsers[job_title],"Owner Not Found"))</f>
        <v>SMB Account Executive</v>
      </c>
      <c r="I1279" t="str">
        <f>IF(E1279="","",_xlfn.XLOOKUP(E1279,tblUsers[user_id],tblUsers[segment],"Owner Not Found"))</f>
        <v>SMB</v>
      </c>
      <c r="J1279">
        <f>IF(E1279="","",_xlfn.XLOOKUP(E1279,tblUsers[user_id],tblUsers[territory_id],"Owner Not Found"))</f>
        <v>1</v>
      </c>
      <c r="K1279" t="str">
        <f t="shared" si="39"/>
        <v>Routing Compatible</v>
      </c>
    </row>
    <row r="1280" spans="1:11">
      <c r="A1280" t="s">
        <v>5554</v>
      </c>
      <c r="B1280" t="s">
        <v>5556</v>
      </c>
      <c r="C1280" t="s">
        <v>17</v>
      </c>
      <c r="D1280" t="s">
        <v>385</v>
      </c>
      <c r="E1280" t="s">
        <v>18</v>
      </c>
      <c r="F1280" t="str">
        <f t="shared" si="38"/>
        <v>MM</v>
      </c>
      <c r="G1280">
        <f>_xlfn.XLOOKUP(D1280,tblStates[state_code],tblStates[territory_id],"Needs Review - Territory")</f>
        <v>1</v>
      </c>
      <c r="H1280" t="str">
        <f>IF(E1280="","",_xlfn.XLOOKUP(E1280,tblUsers[user_id],tblUsers[job_title],"Owner Not Found"))</f>
        <v>Mid-Market Account Executive</v>
      </c>
      <c r="I1280" t="str">
        <f>IF(E1280="","",_xlfn.XLOOKUP(E1280,tblUsers[user_id],tblUsers[segment],"Owner Not Found"))</f>
        <v>MM</v>
      </c>
      <c r="J1280">
        <f>IF(E1280="","",_xlfn.XLOOKUP(E1280,tblUsers[user_id],tblUsers[territory_id],"Owner Not Found"))</f>
        <v>1</v>
      </c>
      <c r="K1280" t="str">
        <f t="shared" si="39"/>
        <v>Routing Compatible</v>
      </c>
    </row>
    <row r="1281" spans="1:11">
      <c r="A1281" t="s">
        <v>5557</v>
      </c>
      <c r="B1281" t="s">
        <v>5559</v>
      </c>
      <c r="C1281" t="s">
        <v>30</v>
      </c>
      <c r="D1281" t="s">
        <v>50</v>
      </c>
      <c r="E1281" t="s">
        <v>36</v>
      </c>
      <c r="F1281" t="str">
        <f t="shared" si="38"/>
        <v>MM</v>
      </c>
      <c r="G1281">
        <f>_xlfn.XLOOKUP(D1281,tblStates[state_code],tblStates[territory_id],"Needs Review - Territory")</f>
        <v>4</v>
      </c>
      <c r="H1281" t="str">
        <f>IF(E1281="","",_xlfn.XLOOKUP(E1281,tblUsers[user_id],tblUsers[job_title],"Owner Not Found"))</f>
        <v>Mid-Market Account Executive</v>
      </c>
      <c r="I1281" t="str">
        <f>IF(E1281="","",_xlfn.XLOOKUP(E1281,tblUsers[user_id],tblUsers[segment],"Owner Not Found"))</f>
        <v>MM</v>
      </c>
      <c r="J1281">
        <f>IF(E1281="","",_xlfn.XLOOKUP(E1281,tblUsers[user_id],tblUsers[territory_id],"Owner Not Found"))</f>
        <v>4</v>
      </c>
      <c r="K1281" t="str">
        <f t="shared" si="39"/>
        <v>Routing Compatible</v>
      </c>
    </row>
    <row r="1282" spans="1:11">
      <c r="A1282" t="s">
        <v>5560</v>
      </c>
      <c r="B1282" t="s">
        <v>5562</v>
      </c>
      <c r="C1282" t="s">
        <v>30</v>
      </c>
      <c r="D1282" t="s">
        <v>46</v>
      </c>
      <c r="E1282" t="s">
        <v>18</v>
      </c>
      <c r="F1282" t="str">
        <f t="shared" si="38"/>
        <v>MM</v>
      </c>
      <c r="G1282">
        <f>_xlfn.XLOOKUP(D1282,tblStates[state_code],tblStates[territory_id],"Needs Review - Territory")</f>
        <v>1</v>
      </c>
      <c r="H1282" t="str">
        <f>IF(E1282="","",_xlfn.XLOOKUP(E1282,tblUsers[user_id],tblUsers[job_title],"Owner Not Found"))</f>
        <v>Mid-Market Account Executive</v>
      </c>
      <c r="I1282" t="str">
        <f>IF(E1282="","",_xlfn.XLOOKUP(E1282,tblUsers[user_id],tblUsers[segment],"Owner Not Found"))</f>
        <v>MM</v>
      </c>
      <c r="J1282">
        <f>IF(E1282="","",_xlfn.XLOOKUP(E1282,tblUsers[user_id],tblUsers[territory_id],"Owner Not Found"))</f>
        <v>1</v>
      </c>
      <c r="K1282" t="str">
        <f t="shared" si="39"/>
        <v>Routing Compatible</v>
      </c>
    </row>
    <row r="1283" spans="1:11">
      <c r="A1283" t="s">
        <v>5563</v>
      </c>
      <c r="B1283" t="s">
        <v>5565</v>
      </c>
      <c r="C1283" t="s">
        <v>24</v>
      </c>
      <c r="D1283" t="s">
        <v>366</v>
      </c>
      <c r="E1283" t="s">
        <v>91</v>
      </c>
      <c r="F1283" t="str">
        <f t="shared" ref="F1283:F1301" si="40">IF(C1283="SMB","SMB",IF(OR(C1283="Mid-Market",C1283="Upper Mid-Market"),"MM","Needs Review - Segment"))</f>
        <v>SMB</v>
      </c>
      <c r="G1283">
        <f>_xlfn.XLOOKUP(D1283,tblStates[state_code],tblStates[territory_id],"Needs Review - Territory")</f>
        <v>1</v>
      </c>
      <c r="H1283" t="str">
        <f>IF(E1283="","",_xlfn.XLOOKUP(E1283,tblUsers[user_id],tblUsers[job_title],"Owner Not Found"))</f>
        <v>SMB Account Executive</v>
      </c>
      <c r="I1283" t="str">
        <f>IF(E1283="","",_xlfn.XLOOKUP(E1283,tblUsers[user_id],tblUsers[segment],"Owner Not Found"))</f>
        <v>SMB</v>
      </c>
      <c r="J1283">
        <f>IF(E1283="","",_xlfn.XLOOKUP(E1283,tblUsers[user_id],tblUsers[territory_id],"Owner Not Found"))</f>
        <v>1</v>
      </c>
      <c r="K1283" t="str">
        <f t="shared" ref="K1283:K1301" si="41">IF(E1283="","Unassigned",IF(F1283="Needs Review - Segment","Needs Review - Segment",IF(G1283="Needs Review - Territory","Needs Review - Territory",IF(I1283&lt;&gt;F1283,"Wrong Segment",IF(AND(ISNUMBER(SEARCH("Account Executive",H1283)),J1283&lt;&gt;G1283),"Wrong AE Territory",IF(OR(ISNUMBER(SEARCH("Account Executive",H1283)),H1283="Sales Development Representative"),"Routing Compatible","Unexpected Owner Role"))))))</f>
        <v>Routing Compatible</v>
      </c>
    </row>
    <row r="1284" spans="1:11">
      <c r="A1284" t="s">
        <v>5566</v>
      </c>
      <c r="B1284" t="s">
        <v>5568</v>
      </c>
      <c r="C1284" t="s">
        <v>24</v>
      </c>
      <c r="D1284" t="s">
        <v>68</v>
      </c>
      <c r="E1284" t="s">
        <v>69</v>
      </c>
      <c r="F1284" t="str">
        <f t="shared" si="40"/>
        <v>SMB</v>
      </c>
      <c r="G1284">
        <f>_xlfn.XLOOKUP(D1284,tblStates[state_code],tblStates[territory_id],"Needs Review - Territory")</f>
        <v>3</v>
      </c>
      <c r="H1284" t="str">
        <f>IF(E1284="","",_xlfn.XLOOKUP(E1284,tblUsers[user_id],tblUsers[job_title],"Owner Not Found"))</f>
        <v>SMB Account Executive</v>
      </c>
      <c r="I1284" t="str">
        <f>IF(E1284="","",_xlfn.XLOOKUP(E1284,tblUsers[user_id],tblUsers[segment],"Owner Not Found"))</f>
        <v>SMB</v>
      </c>
      <c r="J1284">
        <f>IF(E1284="","",_xlfn.XLOOKUP(E1284,tblUsers[user_id],tblUsers[territory_id],"Owner Not Found"))</f>
        <v>3</v>
      </c>
      <c r="K1284" t="str">
        <f t="shared" si="41"/>
        <v>Routing Compatible</v>
      </c>
    </row>
    <row r="1285" spans="1:11">
      <c r="A1285" t="s">
        <v>5569</v>
      </c>
      <c r="B1285" t="s">
        <v>5571</v>
      </c>
      <c r="D1285" t="s">
        <v>205</v>
      </c>
      <c r="F1285" t="str">
        <f t="shared" si="40"/>
        <v>Needs Review - Segment</v>
      </c>
      <c r="G1285">
        <f>_xlfn.XLOOKUP(D1285,tblStates[state_code],tblStates[territory_id],"Needs Review - Territory")</f>
        <v>4</v>
      </c>
      <c r="H1285" t="str">
        <f>IF(E1285="","",_xlfn.XLOOKUP(E1285,tblUsers[user_id],tblUsers[job_title],"Owner Not Found"))</f>
        <v/>
      </c>
      <c r="I1285" t="str">
        <f>IF(E1285="","",_xlfn.XLOOKUP(E1285,tblUsers[user_id],tblUsers[segment],"Owner Not Found"))</f>
        <v/>
      </c>
      <c r="J1285" t="str">
        <f>IF(E1285="","",_xlfn.XLOOKUP(E1285,tblUsers[user_id],tblUsers[territory_id],"Owner Not Found"))</f>
        <v/>
      </c>
      <c r="K1285" t="str">
        <f t="shared" si="41"/>
        <v>Unassigned</v>
      </c>
    </row>
    <row r="1286" spans="1:11">
      <c r="A1286" t="s">
        <v>5572</v>
      </c>
      <c r="B1286" t="s">
        <v>5574</v>
      </c>
      <c r="C1286" t="s">
        <v>24</v>
      </c>
      <c r="D1286" t="s">
        <v>226</v>
      </c>
      <c r="E1286" t="s">
        <v>69</v>
      </c>
      <c r="F1286" t="str">
        <f t="shared" si="40"/>
        <v>SMB</v>
      </c>
      <c r="G1286">
        <f>_xlfn.XLOOKUP(D1286,tblStates[state_code],tblStates[territory_id],"Needs Review - Territory")</f>
        <v>3</v>
      </c>
      <c r="H1286" t="str">
        <f>IF(E1286="","",_xlfn.XLOOKUP(E1286,tblUsers[user_id],tblUsers[job_title],"Owner Not Found"))</f>
        <v>SMB Account Executive</v>
      </c>
      <c r="I1286" t="str">
        <f>IF(E1286="","",_xlfn.XLOOKUP(E1286,tblUsers[user_id],tblUsers[segment],"Owner Not Found"))</f>
        <v>SMB</v>
      </c>
      <c r="J1286">
        <f>IF(E1286="","",_xlfn.XLOOKUP(E1286,tblUsers[user_id],tblUsers[territory_id],"Owner Not Found"))</f>
        <v>3</v>
      </c>
      <c r="K1286" t="str">
        <f t="shared" si="41"/>
        <v>Routing Compatible</v>
      </c>
    </row>
    <row r="1287" spans="1:11">
      <c r="A1287" t="s">
        <v>5575</v>
      </c>
      <c r="B1287" t="s">
        <v>5577</v>
      </c>
      <c r="C1287" t="s">
        <v>30</v>
      </c>
      <c r="D1287" t="s">
        <v>81</v>
      </c>
      <c r="E1287" t="s">
        <v>82</v>
      </c>
      <c r="F1287" t="str">
        <f t="shared" si="40"/>
        <v>MM</v>
      </c>
      <c r="G1287">
        <f>_xlfn.XLOOKUP(D1287,tblStates[state_code],tblStates[territory_id],"Needs Review - Territory")</f>
        <v>2</v>
      </c>
      <c r="H1287" t="str">
        <f>IF(E1287="","",_xlfn.XLOOKUP(E1287,tblUsers[user_id],tblUsers[job_title],"Owner Not Found"))</f>
        <v>Mid-Market Account Executive</v>
      </c>
      <c r="I1287" t="str">
        <f>IF(E1287="","",_xlfn.XLOOKUP(E1287,tblUsers[user_id],tblUsers[segment],"Owner Not Found"))</f>
        <v>MM</v>
      </c>
      <c r="J1287">
        <f>IF(E1287="","",_xlfn.XLOOKUP(E1287,tblUsers[user_id],tblUsers[territory_id],"Owner Not Found"))</f>
        <v>2</v>
      </c>
      <c r="K1287" t="str">
        <f t="shared" si="41"/>
        <v>Routing Compatible</v>
      </c>
    </row>
    <row r="1288" spans="1:11">
      <c r="A1288" t="s">
        <v>5578</v>
      </c>
      <c r="B1288" t="s">
        <v>5580</v>
      </c>
      <c r="C1288" t="s">
        <v>24</v>
      </c>
      <c r="D1288" t="s">
        <v>178</v>
      </c>
      <c r="E1288" t="s">
        <v>82</v>
      </c>
      <c r="F1288" t="str">
        <f t="shared" si="40"/>
        <v>SMB</v>
      </c>
      <c r="G1288">
        <f>_xlfn.XLOOKUP(D1288,tblStates[state_code],tblStates[territory_id],"Needs Review - Territory")</f>
        <v>4</v>
      </c>
      <c r="H1288" t="str">
        <f>IF(E1288="","",_xlfn.XLOOKUP(E1288,tblUsers[user_id],tblUsers[job_title],"Owner Not Found"))</f>
        <v>Mid-Market Account Executive</v>
      </c>
      <c r="I1288" t="str">
        <f>IF(E1288="","",_xlfn.XLOOKUP(E1288,tblUsers[user_id],tblUsers[segment],"Owner Not Found"))</f>
        <v>MM</v>
      </c>
      <c r="J1288">
        <f>IF(E1288="","",_xlfn.XLOOKUP(E1288,tblUsers[user_id],tblUsers[territory_id],"Owner Not Found"))</f>
        <v>2</v>
      </c>
      <c r="K1288" t="str">
        <f t="shared" si="41"/>
        <v>Wrong Segment</v>
      </c>
    </row>
    <row r="1289" spans="1:11">
      <c r="A1289" t="s">
        <v>5581</v>
      </c>
      <c r="B1289" t="s">
        <v>5583</v>
      </c>
      <c r="C1289" t="s">
        <v>17</v>
      </c>
      <c r="D1289" t="s">
        <v>212</v>
      </c>
      <c r="E1289" t="s">
        <v>55</v>
      </c>
      <c r="F1289" t="str">
        <f t="shared" si="40"/>
        <v>MM</v>
      </c>
      <c r="G1289">
        <f>_xlfn.XLOOKUP(D1289,tblStates[state_code],tblStates[territory_id],"Needs Review - Territory")</f>
        <v>3</v>
      </c>
      <c r="H1289" t="str">
        <f>IF(E1289="","",_xlfn.XLOOKUP(E1289,tblUsers[user_id],tblUsers[job_title],"Owner Not Found"))</f>
        <v>Mid-Market Account Executive</v>
      </c>
      <c r="I1289" t="str">
        <f>IF(E1289="","",_xlfn.XLOOKUP(E1289,tblUsers[user_id],tblUsers[segment],"Owner Not Found"))</f>
        <v>MM</v>
      </c>
      <c r="J1289">
        <f>IF(E1289="","",_xlfn.XLOOKUP(E1289,tblUsers[user_id],tblUsers[territory_id],"Owner Not Found"))</f>
        <v>3</v>
      </c>
      <c r="K1289" t="str">
        <f t="shared" si="41"/>
        <v>Routing Compatible</v>
      </c>
    </row>
    <row r="1290" spans="1:11">
      <c r="A1290" t="s">
        <v>5584</v>
      </c>
      <c r="B1290" t="s">
        <v>5586</v>
      </c>
      <c r="C1290" t="s">
        <v>24</v>
      </c>
      <c r="D1290" t="s">
        <v>178</v>
      </c>
      <c r="E1290" t="s">
        <v>25</v>
      </c>
      <c r="F1290" t="str">
        <f t="shared" si="40"/>
        <v>SMB</v>
      </c>
      <c r="G1290">
        <f>_xlfn.XLOOKUP(D1290,tblStates[state_code],tblStates[territory_id],"Needs Review - Territory")</f>
        <v>4</v>
      </c>
      <c r="H1290" t="str">
        <f>IF(E1290="","",_xlfn.XLOOKUP(E1290,tblUsers[user_id],tblUsers[job_title],"Owner Not Found"))</f>
        <v>SMB Account Executive</v>
      </c>
      <c r="I1290" t="str">
        <f>IF(E1290="","",_xlfn.XLOOKUP(E1290,tblUsers[user_id],tblUsers[segment],"Owner Not Found"))</f>
        <v>SMB</v>
      </c>
      <c r="J1290">
        <f>IF(E1290="","",_xlfn.XLOOKUP(E1290,tblUsers[user_id],tblUsers[territory_id],"Owner Not Found"))</f>
        <v>2</v>
      </c>
      <c r="K1290" t="str">
        <f t="shared" si="41"/>
        <v>Wrong AE Territory</v>
      </c>
    </row>
    <row r="1291" spans="1:11">
      <c r="A1291" t="s">
        <v>5587</v>
      </c>
      <c r="B1291" t="s">
        <v>5589</v>
      </c>
      <c r="C1291" t="s">
        <v>24</v>
      </c>
      <c r="D1291" t="s">
        <v>81</v>
      </c>
      <c r="E1291" t="s">
        <v>25</v>
      </c>
      <c r="F1291" t="str">
        <f t="shared" si="40"/>
        <v>SMB</v>
      </c>
      <c r="G1291">
        <f>_xlfn.XLOOKUP(D1291,tblStates[state_code],tblStates[territory_id],"Needs Review - Territory")</f>
        <v>2</v>
      </c>
      <c r="H1291" t="str">
        <f>IF(E1291="","",_xlfn.XLOOKUP(E1291,tblUsers[user_id],tblUsers[job_title],"Owner Not Found"))</f>
        <v>SMB Account Executive</v>
      </c>
      <c r="I1291" t="str">
        <f>IF(E1291="","",_xlfn.XLOOKUP(E1291,tblUsers[user_id],tblUsers[segment],"Owner Not Found"))</f>
        <v>SMB</v>
      </c>
      <c r="J1291">
        <f>IF(E1291="","",_xlfn.XLOOKUP(E1291,tblUsers[user_id],tblUsers[territory_id],"Owner Not Found"))</f>
        <v>2</v>
      </c>
      <c r="K1291" t="str">
        <f t="shared" si="41"/>
        <v>Routing Compatible</v>
      </c>
    </row>
    <row r="1292" spans="1:11">
      <c r="A1292" t="s">
        <v>5590</v>
      </c>
      <c r="B1292" t="s">
        <v>5592</v>
      </c>
      <c r="C1292" t="s">
        <v>30</v>
      </c>
      <c r="D1292" t="s">
        <v>1042</v>
      </c>
      <c r="E1292" t="s">
        <v>36</v>
      </c>
      <c r="F1292" t="str">
        <f t="shared" si="40"/>
        <v>MM</v>
      </c>
      <c r="G1292">
        <f>_xlfn.XLOOKUP(D1292,tblStates[state_code],tblStates[territory_id],"Needs Review - Territory")</f>
        <v>1</v>
      </c>
      <c r="H1292" t="str">
        <f>IF(E1292="","",_xlfn.XLOOKUP(E1292,tblUsers[user_id],tblUsers[job_title],"Owner Not Found"))</f>
        <v>Mid-Market Account Executive</v>
      </c>
      <c r="I1292" t="str">
        <f>IF(E1292="","",_xlfn.XLOOKUP(E1292,tblUsers[user_id],tblUsers[segment],"Owner Not Found"))</f>
        <v>MM</v>
      </c>
      <c r="J1292">
        <f>IF(E1292="","",_xlfn.XLOOKUP(E1292,tblUsers[user_id],tblUsers[territory_id],"Owner Not Found"))</f>
        <v>4</v>
      </c>
      <c r="K1292" t="str">
        <f t="shared" si="41"/>
        <v>Wrong AE Territory</v>
      </c>
    </row>
    <row r="1293" spans="1:11">
      <c r="A1293" t="s">
        <v>5593</v>
      </c>
      <c r="B1293" t="s">
        <v>5595</v>
      </c>
      <c r="C1293" t="s">
        <v>30</v>
      </c>
      <c r="D1293" t="s">
        <v>339</v>
      </c>
      <c r="E1293" t="s">
        <v>55</v>
      </c>
      <c r="F1293" t="str">
        <f t="shared" si="40"/>
        <v>MM</v>
      </c>
      <c r="G1293">
        <f>_xlfn.XLOOKUP(D1293,tblStates[state_code],tblStates[territory_id],"Needs Review - Territory")</f>
        <v>3</v>
      </c>
      <c r="H1293" t="str">
        <f>IF(E1293="","",_xlfn.XLOOKUP(E1293,tblUsers[user_id],tblUsers[job_title],"Owner Not Found"))</f>
        <v>Mid-Market Account Executive</v>
      </c>
      <c r="I1293" t="str">
        <f>IF(E1293="","",_xlfn.XLOOKUP(E1293,tblUsers[user_id],tblUsers[segment],"Owner Not Found"))</f>
        <v>MM</v>
      </c>
      <c r="J1293">
        <f>IF(E1293="","",_xlfn.XLOOKUP(E1293,tblUsers[user_id],tblUsers[territory_id],"Owner Not Found"))</f>
        <v>3</v>
      </c>
      <c r="K1293" t="str">
        <f t="shared" si="41"/>
        <v>Routing Compatible</v>
      </c>
    </row>
    <row r="1294" spans="1:11">
      <c r="A1294" t="s">
        <v>5596</v>
      </c>
      <c r="B1294" t="s">
        <v>5598</v>
      </c>
      <c r="C1294" t="s">
        <v>24</v>
      </c>
      <c r="D1294" t="s">
        <v>95</v>
      </c>
      <c r="E1294" t="s">
        <v>91</v>
      </c>
      <c r="F1294" t="str">
        <f t="shared" si="40"/>
        <v>SMB</v>
      </c>
      <c r="G1294">
        <f>_xlfn.XLOOKUP(D1294,tblStates[state_code],tblStates[territory_id],"Needs Review - Territory")</f>
        <v>1</v>
      </c>
      <c r="H1294" t="str">
        <f>IF(E1294="","",_xlfn.XLOOKUP(E1294,tblUsers[user_id],tblUsers[job_title],"Owner Not Found"))</f>
        <v>SMB Account Executive</v>
      </c>
      <c r="I1294" t="str">
        <f>IF(E1294="","",_xlfn.XLOOKUP(E1294,tblUsers[user_id],tblUsers[segment],"Owner Not Found"))</f>
        <v>SMB</v>
      </c>
      <c r="J1294">
        <f>IF(E1294="","",_xlfn.XLOOKUP(E1294,tblUsers[user_id],tblUsers[territory_id],"Owner Not Found"))</f>
        <v>1</v>
      </c>
      <c r="K1294" t="str">
        <f t="shared" si="41"/>
        <v>Routing Compatible</v>
      </c>
    </row>
    <row r="1295" spans="1:11">
      <c r="A1295" t="s">
        <v>5599</v>
      </c>
      <c r="B1295" t="s">
        <v>5601</v>
      </c>
      <c r="C1295" t="s">
        <v>24</v>
      </c>
      <c r="D1295" t="s">
        <v>182</v>
      </c>
      <c r="E1295" t="s">
        <v>59</v>
      </c>
      <c r="F1295" t="str">
        <f t="shared" si="40"/>
        <v>SMB</v>
      </c>
      <c r="G1295">
        <f>_xlfn.XLOOKUP(D1295,tblStates[state_code],tblStates[territory_id],"Needs Review - Territory")</f>
        <v>4</v>
      </c>
      <c r="H1295" t="str">
        <f>IF(E1295="","",_xlfn.XLOOKUP(E1295,tblUsers[user_id],tblUsers[job_title],"Owner Not Found"))</f>
        <v>SMB Account Executive</v>
      </c>
      <c r="I1295" t="str">
        <f>IF(E1295="","",_xlfn.XLOOKUP(E1295,tblUsers[user_id],tblUsers[segment],"Owner Not Found"))</f>
        <v>SMB</v>
      </c>
      <c r="J1295">
        <f>IF(E1295="","",_xlfn.XLOOKUP(E1295,tblUsers[user_id],tblUsers[territory_id],"Owner Not Found"))</f>
        <v>4</v>
      </c>
      <c r="K1295" t="str">
        <f t="shared" si="41"/>
        <v>Routing Compatible</v>
      </c>
    </row>
    <row r="1296" spans="1:11">
      <c r="A1296" t="s">
        <v>5602</v>
      </c>
      <c r="B1296" t="s">
        <v>5604</v>
      </c>
      <c r="C1296" t="s">
        <v>30</v>
      </c>
      <c r="D1296" t="s">
        <v>366</v>
      </c>
      <c r="E1296" t="s">
        <v>82</v>
      </c>
      <c r="F1296" t="str">
        <f t="shared" si="40"/>
        <v>MM</v>
      </c>
      <c r="G1296">
        <f>_xlfn.XLOOKUP(D1296,tblStates[state_code],tblStates[territory_id],"Needs Review - Territory")</f>
        <v>1</v>
      </c>
      <c r="H1296" t="str">
        <f>IF(E1296="","",_xlfn.XLOOKUP(E1296,tblUsers[user_id],tblUsers[job_title],"Owner Not Found"))</f>
        <v>Mid-Market Account Executive</v>
      </c>
      <c r="I1296" t="str">
        <f>IF(E1296="","",_xlfn.XLOOKUP(E1296,tblUsers[user_id],tblUsers[segment],"Owner Not Found"))</f>
        <v>MM</v>
      </c>
      <c r="J1296">
        <f>IF(E1296="","",_xlfn.XLOOKUP(E1296,tblUsers[user_id],tblUsers[territory_id],"Owner Not Found"))</f>
        <v>2</v>
      </c>
      <c r="K1296" t="str">
        <f t="shared" si="41"/>
        <v>Wrong AE Territory</v>
      </c>
    </row>
    <row r="1297" spans="1:11">
      <c r="A1297" t="s">
        <v>5605</v>
      </c>
      <c r="B1297" t="s">
        <v>5607</v>
      </c>
      <c r="C1297" t="s">
        <v>24</v>
      </c>
      <c r="D1297" t="s">
        <v>23</v>
      </c>
      <c r="E1297" t="s">
        <v>25</v>
      </c>
      <c r="F1297" t="str">
        <f t="shared" si="40"/>
        <v>SMB</v>
      </c>
      <c r="G1297">
        <f>_xlfn.XLOOKUP(D1297,tblStates[state_code],tblStates[territory_id],"Needs Review - Territory")</f>
        <v>2</v>
      </c>
      <c r="H1297" t="str">
        <f>IF(E1297="","",_xlfn.XLOOKUP(E1297,tblUsers[user_id],tblUsers[job_title],"Owner Not Found"))</f>
        <v>SMB Account Executive</v>
      </c>
      <c r="I1297" t="str">
        <f>IF(E1297="","",_xlfn.XLOOKUP(E1297,tblUsers[user_id],tblUsers[segment],"Owner Not Found"))</f>
        <v>SMB</v>
      </c>
      <c r="J1297">
        <f>IF(E1297="","",_xlfn.XLOOKUP(E1297,tblUsers[user_id],tblUsers[territory_id],"Owner Not Found"))</f>
        <v>2</v>
      </c>
      <c r="K1297" t="str">
        <f t="shared" si="41"/>
        <v>Routing Compatible</v>
      </c>
    </row>
    <row r="1298" spans="1:11">
      <c r="A1298" t="s">
        <v>5608</v>
      </c>
      <c r="B1298" t="s">
        <v>5610</v>
      </c>
      <c r="C1298" t="s">
        <v>30</v>
      </c>
      <c r="D1298" t="s">
        <v>140</v>
      </c>
      <c r="E1298" t="s">
        <v>82</v>
      </c>
      <c r="F1298" t="str">
        <f t="shared" si="40"/>
        <v>MM</v>
      </c>
      <c r="G1298">
        <f>_xlfn.XLOOKUP(D1298,tblStates[state_code],tblStates[territory_id],"Needs Review - Territory")</f>
        <v>2</v>
      </c>
      <c r="H1298" t="str">
        <f>IF(E1298="","",_xlfn.XLOOKUP(E1298,tblUsers[user_id],tblUsers[job_title],"Owner Not Found"))</f>
        <v>Mid-Market Account Executive</v>
      </c>
      <c r="I1298" t="str">
        <f>IF(E1298="","",_xlfn.XLOOKUP(E1298,tblUsers[user_id],tblUsers[segment],"Owner Not Found"))</f>
        <v>MM</v>
      </c>
      <c r="J1298">
        <f>IF(E1298="","",_xlfn.XLOOKUP(E1298,tblUsers[user_id],tblUsers[territory_id],"Owner Not Found"))</f>
        <v>2</v>
      </c>
      <c r="K1298" t="str">
        <f t="shared" si="41"/>
        <v>Routing Compatible</v>
      </c>
    </row>
    <row r="1299" spans="1:11">
      <c r="A1299" t="s">
        <v>5611</v>
      </c>
      <c r="B1299" t="s">
        <v>5613</v>
      </c>
      <c r="C1299" t="s">
        <v>30</v>
      </c>
      <c r="D1299" t="s">
        <v>178</v>
      </c>
      <c r="E1299" t="s">
        <v>36</v>
      </c>
      <c r="F1299" t="str">
        <f t="shared" si="40"/>
        <v>MM</v>
      </c>
      <c r="G1299">
        <f>_xlfn.XLOOKUP(D1299,tblStates[state_code],tblStates[territory_id],"Needs Review - Territory")</f>
        <v>4</v>
      </c>
      <c r="H1299" t="str">
        <f>IF(E1299="","",_xlfn.XLOOKUP(E1299,tblUsers[user_id],tblUsers[job_title],"Owner Not Found"))</f>
        <v>Mid-Market Account Executive</v>
      </c>
      <c r="I1299" t="str">
        <f>IF(E1299="","",_xlfn.XLOOKUP(E1299,tblUsers[user_id],tblUsers[segment],"Owner Not Found"))</f>
        <v>MM</v>
      </c>
      <c r="J1299">
        <f>IF(E1299="","",_xlfn.XLOOKUP(E1299,tblUsers[user_id],tblUsers[territory_id],"Owner Not Found"))</f>
        <v>4</v>
      </c>
      <c r="K1299" t="str">
        <f t="shared" si="41"/>
        <v>Routing Compatible</v>
      </c>
    </row>
    <row r="1300" spans="1:11">
      <c r="A1300" t="s">
        <v>5614</v>
      </c>
      <c r="B1300" t="s">
        <v>5615</v>
      </c>
      <c r="C1300" t="s">
        <v>17</v>
      </c>
      <c r="D1300" t="s">
        <v>81</v>
      </c>
      <c r="E1300" t="s">
        <v>82</v>
      </c>
      <c r="F1300" t="str">
        <f t="shared" si="40"/>
        <v>MM</v>
      </c>
      <c r="G1300">
        <f>_xlfn.XLOOKUP(D1300,tblStates[state_code],tblStates[territory_id],"Needs Review - Territory")</f>
        <v>2</v>
      </c>
      <c r="H1300" t="str">
        <f>IF(E1300="","",_xlfn.XLOOKUP(E1300,tblUsers[user_id],tblUsers[job_title],"Owner Not Found"))</f>
        <v>Mid-Market Account Executive</v>
      </c>
      <c r="I1300" t="str">
        <f>IF(E1300="","",_xlfn.XLOOKUP(E1300,tblUsers[user_id],tblUsers[segment],"Owner Not Found"))</f>
        <v>MM</v>
      </c>
      <c r="J1300">
        <f>IF(E1300="","",_xlfn.XLOOKUP(E1300,tblUsers[user_id],tblUsers[territory_id],"Owner Not Found"))</f>
        <v>2</v>
      </c>
      <c r="K1300" t="str">
        <f t="shared" si="41"/>
        <v>Routing Compatible</v>
      </c>
    </row>
    <row r="1301" spans="1:11">
      <c r="A1301" t="s">
        <v>5616</v>
      </c>
      <c r="B1301" t="s">
        <v>5618</v>
      </c>
      <c r="C1301" t="s">
        <v>24</v>
      </c>
      <c r="D1301" t="s">
        <v>635</v>
      </c>
      <c r="E1301" t="s">
        <v>59</v>
      </c>
      <c r="F1301" t="str">
        <f t="shared" si="40"/>
        <v>SMB</v>
      </c>
      <c r="G1301">
        <f>_xlfn.XLOOKUP(D1301,tblStates[state_code],tblStates[territory_id],"Needs Review - Territory")</f>
        <v>4</v>
      </c>
      <c r="H1301" t="str">
        <f>IF(E1301="","",_xlfn.XLOOKUP(E1301,tblUsers[user_id],tblUsers[job_title],"Owner Not Found"))</f>
        <v>SMB Account Executive</v>
      </c>
      <c r="I1301" t="str">
        <f>IF(E1301="","",_xlfn.XLOOKUP(E1301,tblUsers[user_id],tblUsers[segment],"Owner Not Found"))</f>
        <v>SMB</v>
      </c>
      <c r="J1301">
        <f>IF(E1301="","",_xlfn.XLOOKUP(E1301,tblUsers[user_id],tblUsers[territory_id],"Owner Not Found"))</f>
        <v>4</v>
      </c>
      <c r="K1301" t="str">
        <f t="shared" si="41"/>
        <v>Routing Compatible</v>
      </c>
    </row>
  </sheetData>
  <conditionalFormatting sqref="K1:K1048576">
    <cfRule type="containsText" dxfId="21" priority="1" operator="containsText" text="Needs Review - Territory">
      <formula>NOT(ISERROR(SEARCH("Needs Review - Territory",K1)))</formula>
    </cfRule>
    <cfRule type="containsText" dxfId="20" priority="2" operator="containsText" text="Needs Review - Segment">
      <formula>NOT(ISERROR(SEARCH("Needs Review - Segment",K1)))</formula>
    </cfRule>
    <cfRule type="containsText" dxfId="19" priority="3" operator="containsText" text="Wrong Segment">
      <formula>NOT(ISERROR(SEARCH("Wrong Segment",K1)))</formula>
    </cfRule>
    <cfRule type="containsText" dxfId="18" priority="4" operator="containsText" text="Wrong AE Territory">
      <formula>NOT(ISERROR(SEARCH("Wrong AE Territory",K1)))</formula>
    </cfRule>
    <cfRule type="cellIs" dxfId="17" priority="5" operator="equal">
      <formula>"Unassigned"</formula>
    </cfRule>
    <cfRule type="containsText" dxfId="16" priority="6" operator="containsText" text="Routing Compatible">
      <formula>NOT(ISERROR(SEARCH("Routing Compatible",K1)))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4A86-8005-45CB-A5A9-A37E40C5F378}">
  <dimension ref="A1:Q426"/>
  <sheetViews>
    <sheetView zoomScale="80" zoomScaleNormal="80" workbookViewId="0">
      <pane ySplit="1" topLeftCell="A2" activePane="bottomLeft" state="frozen"/>
      <selection pane="bottomLeft" activeCell="E23" sqref="E23"/>
    </sheetView>
  </sheetViews>
  <sheetFormatPr defaultRowHeight="15"/>
  <cols>
    <col min="1" max="1" width="16.7109375" bestFit="1" customWidth="1"/>
    <col min="2" max="2" width="51.7109375" customWidth="1"/>
    <col min="3" max="3" width="13.7109375" bestFit="1" customWidth="1"/>
    <col min="4" max="4" width="12.140625" bestFit="1" customWidth="1"/>
    <col min="5" max="5" width="21.85546875" bestFit="1" customWidth="1"/>
    <col min="6" max="6" width="18.28515625" bestFit="1" customWidth="1"/>
    <col min="7" max="7" width="11.42578125" style="26" bestFit="1" customWidth="1"/>
    <col min="8" max="8" width="22.7109375" bestFit="1" customWidth="1"/>
    <col min="9" max="9" width="19.85546875" style="27" bestFit="1" customWidth="1"/>
    <col min="10" max="10" width="31.7109375" bestFit="1" customWidth="1"/>
    <col min="11" max="11" width="16.28515625" bestFit="1" customWidth="1"/>
    <col min="12" max="12" width="25.28515625" bestFit="1" customWidth="1"/>
    <col min="13" max="13" width="17.7109375" bestFit="1" customWidth="1"/>
    <col min="14" max="14" width="45.7109375" bestFit="1" customWidth="1"/>
    <col min="16" max="16" width="30.28515625" bestFit="1" customWidth="1"/>
    <col min="17" max="17" width="6.5703125" bestFit="1" customWidth="1"/>
  </cols>
  <sheetData>
    <row r="1" spans="1:17">
      <c r="A1" t="s">
        <v>6265</v>
      </c>
      <c r="B1" t="s">
        <v>6266</v>
      </c>
      <c r="C1" t="s">
        <v>1226</v>
      </c>
      <c r="D1" t="s">
        <v>1232</v>
      </c>
      <c r="E1" t="s">
        <v>6267</v>
      </c>
      <c r="F1" t="s">
        <v>6268</v>
      </c>
      <c r="G1" s="26" t="s">
        <v>6269</v>
      </c>
      <c r="H1" t="s">
        <v>6270</v>
      </c>
      <c r="I1" s="27" t="s">
        <v>6271</v>
      </c>
      <c r="J1" t="s">
        <v>6272</v>
      </c>
      <c r="K1" t="s">
        <v>6273</v>
      </c>
      <c r="L1" t="s">
        <v>6274</v>
      </c>
      <c r="M1" t="s">
        <v>6275</v>
      </c>
      <c r="N1" t="s">
        <v>6276</v>
      </c>
      <c r="P1" t="s">
        <v>1240</v>
      </c>
      <c r="Q1" t="s">
        <v>1249</v>
      </c>
    </row>
    <row r="2" spans="1:17">
      <c r="A2" t="s">
        <v>5659</v>
      </c>
      <c r="B2" t="s">
        <v>5660</v>
      </c>
      <c r="C2" s="14" t="s">
        <v>554</v>
      </c>
      <c r="D2" s="14" t="s">
        <v>25</v>
      </c>
      <c r="E2" t="s">
        <v>1295</v>
      </c>
      <c r="F2" t="s">
        <v>5663</v>
      </c>
      <c r="G2" s="26">
        <v>5646</v>
      </c>
      <c r="H2" s="27">
        <v>45563</v>
      </c>
      <c r="I2" s="27">
        <v>45528</v>
      </c>
      <c r="K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  <c r="P2" t="s">
        <v>6277</v>
      </c>
      <c r="Q2" s="28">
        <f>COUNTIFS(tblPipelineAudit[Stage],"&lt;&gt;Closed Won",tblPipelineAudit[Stage],"&lt;&gt;Closed Lost")</f>
        <v>160</v>
      </c>
    </row>
    <row r="3" spans="1:17">
      <c r="A3" t="s">
        <v>1394</v>
      </c>
      <c r="B3" t="s">
        <v>5667</v>
      </c>
      <c r="C3" s="14" t="s">
        <v>494</v>
      </c>
      <c r="D3" s="14" t="s">
        <v>36</v>
      </c>
      <c r="E3" t="s">
        <v>1339</v>
      </c>
      <c r="F3" t="s">
        <v>5669</v>
      </c>
      <c r="G3" s="26">
        <v>27832</v>
      </c>
      <c r="H3" s="27">
        <v>46323</v>
      </c>
      <c r="I3" s="27">
        <v>46267</v>
      </c>
      <c r="J3" t="s">
        <v>5671</v>
      </c>
      <c r="K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  <c r="P3" t="s">
        <v>6278</v>
      </c>
      <c r="Q3" s="28">
        <f>COUNTIF(tblPipelineAudit[Pipeline Health],"Healthy")</f>
        <v>107</v>
      </c>
    </row>
    <row r="4" spans="1:17">
      <c r="A4" t="s">
        <v>5672</v>
      </c>
      <c r="B4" t="s">
        <v>5673</v>
      </c>
      <c r="C4" s="14" t="s">
        <v>240</v>
      </c>
      <c r="D4" s="14" t="s">
        <v>55</v>
      </c>
      <c r="E4" t="s">
        <v>1281</v>
      </c>
      <c r="F4" t="s">
        <v>5663</v>
      </c>
      <c r="G4" s="26">
        <v>27660</v>
      </c>
      <c r="H4" s="27">
        <v>45420</v>
      </c>
      <c r="I4" s="27">
        <v>45420</v>
      </c>
      <c r="K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  <c r="P4" t="s">
        <v>6279</v>
      </c>
      <c r="Q4" s="28">
        <f>COUNTIF(tblPipelineAudit[Pipeline Health],"Overdue")</f>
        <v>24</v>
      </c>
    </row>
    <row r="5" spans="1:17">
      <c r="A5" t="s">
        <v>2333</v>
      </c>
      <c r="B5" t="s">
        <v>5674</v>
      </c>
      <c r="C5" s="14" t="s">
        <v>134</v>
      </c>
      <c r="D5" s="14" t="s">
        <v>25</v>
      </c>
      <c r="E5" t="s">
        <v>1295</v>
      </c>
      <c r="F5" t="s">
        <v>5675</v>
      </c>
      <c r="G5" s="26">
        <v>19536</v>
      </c>
      <c r="H5" s="27">
        <v>46021.37096064815</v>
      </c>
      <c r="I5" s="27">
        <v>46046.37096064815</v>
      </c>
      <c r="K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  <c r="P5" t="s">
        <v>6280</v>
      </c>
      <c r="Q5" s="28">
        <f>COUNTIF(tblPipelineAudit[Pipeline Health],"Stale")</f>
        <v>24</v>
      </c>
    </row>
    <row r="6" spans="1:17">
      <c r="A6" t="s">
        <v>1724</v>
      </c>
      <c r="B6" t="s">
        <v>5678</v>
      </c>
      <c r="C6" s="14" t="s">
        <v>73</v>
      </c>
      <c r="D6" s="14" t="s">
        <v>36</v>
      </c>
      <c r="E6" t="s">
        <v>1271</v>
      </c>
      <c r="F6" t="s">
        <v>5669</v>
      </c>
      <c r="G6" s="26">
        <v>87824</v>
      </c>
      <c r="H6" s="27">
        <v>46334</v>
      </c>
      <c r="I6" s="27">
        <v>46279</v>
      </c>
      <c r="J6" t="s">
        <v>5671</v>
      </c>
      <c r="K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14</v>
      </c>
      <c r="M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  <c r="P6" t="s">
        <v>6281</v>
      </c>
      <c r="Q6" s="28">
        <f>COUNTIF(tblPipelineAudit[Pipeline Health],"Stale + Overdue")</f>
        <v>5</v>
      </c>
    </row>
    <row r="7" spans="1:17">
      <c r="A7" t="s">
        <v>1664</v>
      </c>
      <c r="B7" t="s">
        <v>5680</v>
      </c>
      <c r="C7" s="14" t="s">
        <v>434</v>
      </c>
      <c r="D7" s="14" t="s">
        <v>82</v>
      </c>
      <c r="E7" t="s">
        <v>1413</v>
      </c>
      <c r="F7" t="s">
        <v>5681</v>
      </c>
      <c r="G7" s="26">
        <v>99200</v>
      </c>
      <c r="H7" s="27">
        <v>46337</v>
      </c>
      <c r="I7" s="27">
        <v>46267</v>
      </c>
      <c r="J7" t="s">
        <v>5682</v>
      </c>
      <c r="K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7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  <c r="P7" t="s">
        <v>6282</v>
      </c>
      <c r="Q7" s="28">
        <f>COUNTIF(tblPipelineAudit[Pipeline Health],"Overdue")+COUNTIF(tblPipelineAudit[Pipeline Health],"Stale")+COUNTIF(tblPipelineAudit[Pipeline Health],"Stale + Overdue")</f>
        <v>53</v>
      </c>
    </row>
    <row r="8" spans="1:17">
      <c r="A8" t="s">
        <v>2119</v>
      </c>
      <c r="B8" t="s">
        <v>5683</v>
      </c>
      <c r="C8" s="14" t="s">
        <v>567</v>
      </c>
      <c r="D8" s="14" t="s">
        <v>69</v>
      </c>
      <c r="E8" t="s">
        <v>1413</v>
      </c>
      <c r="F8" t="s">
        <v>5669</v>
      </c>
      <c r="G8" s="26">
        <v>9012</v>
      </c>
      <c r="H8" s="27">
        <v>46333</v>
      </c>
      <c r="I8" s="27">
        <v>46285</v>
      </c>
      <c r="J8" t="s">
        <v>5671</v>
      </c>
      <c r="K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8">
        <f>IF(OR(tblPipelineAudit[[#This Row],[Stage]]="Closed Won",tblPipelineAudit[[#This Row],[Stage]]="Closed Lost"),"",IF(tblPipelineAudit[[#This Row],[Last Activity Date]]="","",MAX(0,DATE(2026,9,28)-tblPipelineAudit[[#This Row],[Last Activity Date]])))</f>
        <v>8</v>
      </c>
      <c r="M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  <c r="P8" t="s">
        <v>6283</v>
      </c>
      <c r="Q8" s="28" cm="1">
        <f t="array" ref="Q8">SUMPRODUCT((tblPipelineAudit[Stage]&lt;&gt;"Closed Won")*(tblPipelineAudit[Stage]&lt;&gt;"Closed Lost")*(tblPipelineAudit[Critical Field Gap]&lt;&gt;"No Gap")*(LEN(tblPipelineAudit[Critical Field Gap])&gt;0))</f>
        <v>30</v>
      </c>
    </row>
    <row r="9" spans="1:17">
      <c r="A9" t="s">
        <v>1503</v>
      </c>
      <c r="B9" t="s">
        <v>5684</v>
      </c>
      <c r="C9" s="14" t="s">
        <v>948</v>
      </c>
      <c r="D9" s="14" t="s">
        <v>36</v>
      </c>
      <c r="E9" t="s">
        <v>1288</v>
      </c>
      <c r="F9" t="s">
        <v>5663</v>
      </c>
      <c r="G9" s="26">
        <v>35986</v>
      </c>
      <c r="H9" s="27">
        <v>45965.56858796296</v>
      </c>
      <c r="I9" s="27">
        <v>45932.56858796296</v>
      </c>
      <c r="K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  <c r="P9" t="s">
        <v>6284</v>
      </c>
      <c r="Q9" s="28">
        <f>COUNTIFS(tblPipelineAudit[Stage],"&lt;&gt;Closed Won",tblPipelineAudit[Stage],"&lt;&gt;Closed Lost",tblPipelineAudit[Critical Field Gap],"*Missing Source*")</f>
        <v>19</v>
      </c>
    </row>
    <row r="10" spans="1:17">
      <c r="A10" t="s">
        <v>1429</v>
      </c>
      <c r="B10" t="s">
        <v>5685</v>
      </c>
      <c r="C10" s="14" t="s">
        <v>213</v>
      </c>
      <c r="D10" s="14" t="s">
        <v>18</v>
      </c>
      <c r="E10" t="s">
        <v>1413</v>
      </c>
      <c r="F10" t="s">
        <v>5686</v>
      </c>
      <c r="G10" s="26">
        <v>72756</v>
      </c>
      <c r="H10" s="27">
        <v>46328</v>
      </c>
      <c r="I10" s="27">
        <v>46269</v>
      </c>
      <c r="J10" t="s">
        <v>5687</v>
      </c>
      <c r="K1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1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  <c r="P10" t="s">
        <v>6285</v>
      </c>
      <c r="Q10" s="28">
        <f>COUNTIFS(tblPipelineAudit[Stage],"&lt;&gt;Closed Won",tblPipelineAudit[Stage],"&lt;&gt;Closed Lost",tblPipelineAudit[Critical Field Gap],"*Missing Next Step*")</f>
        <v>9</v>
      </c>
    </row>
    <row r="11" spans="1:17">
      <c r="A11" t="s">
        <v>5689</v>
      </c>
      <c r="B11" t="s">
        <v>5690</v>
      </c>
      <c r="C11" s="14" t="s">
        <v>500</v>
      </c>
      <c r="D11" s="14" t="s">
        <v>25</v>
      </c>
      <c r="F11" t="s">
        <v>5691</v>
      </c>
      <c r="G11" s="26">
        <v>19920</v>
      </c>
      <c r="H11" s="27">
        <v>46335</v>
      </c>
      <c r="I11" s="27">
        <v>46267</v>
      </c>
      <c r="J11" t="s">
        <v>5692</v>
      </c>
      <c r="K1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1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  <c r="P11" t="s">
        <v>6286</v>
      </c>
      <c r="Q11" s="28">
        <f>COUNTIFS(tblPipelineAudit[Stage],"&lt;&gt;Closed Won",tblPipelineAudit[Stage],"&lt;&gt;Closed Lost",tblPipelineAudit[Critical Field Gap],"*Missing Owner*")</f>
        <v>3</v>
      </c>
    </row>
    <row r="12" spans="1:17">
      <c r="A12" t="s">
        <v>5694</v>
      </c>
      <c r="B12" t="s">
        <v>5695</v>
      </c>
      <c r="C12" s="14" t="s">
        <v>363</v>
      </c>
      <c r="D12" s="14" t="s">
        <v>18</v>
      </c>
      <c r="E12" t="s">
        <v>1271</v>
      </c>
      <c r="F12" t="s">
        <v>5691</v>
      </c>
      <c r="G12" s="26">
        <v>63882</v>
      </c>
      <c r="H12" s="27">
        <v>46340</v>
      </c>
      <c r="I12" s="27">
        <v>46286</v>
      </c>
      <c r="J12" t="s">
        <v>5692</v>
      </c>
      <c r="K1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2">
        <f>IF(OR(tblPipelineAudit[[#This Row],[Stage]]="Closed Won",tblPipelineAudit[[#This Row],[Stage]]="Closed Lost"),"",IF(tblPipelineAudit[[#This Row],[Last Activity Date]]="","",MAX(0,DATE(2026,9,28)-tblPipelineAudit[[#This Row],[Last Activity Date]])))</f>
        <v>7</v>
      </c>
      <c r="M1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3" spans="1:17">
      <c r="A13" t="s">
        <v>2237</v>
      </c>
      <c r="B13" t="s">
        <v>5696</v>
      </c>
      <c r="C13" s="14" t="s">
        <v>672</v>
      </c>
      <c r="D13" s="14" t="s">
        <v>59</v>
      </c>
      <c r="E13" t="s">
        <v>1281</v>
      </c>
      <c r="F13" t="s">
        <v>5663</v>
      </c>
      <c r="G13" s="26">
        <v>19240</v>
      </c>
      <c r="H13" s="27">
        <v>45082.327245370368</v>
      </c>
      <c r="I13" s="27">
        <v>45079.327245370368</v>
      </c>
      <c r="K1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4" spans="1:17">
      <c r="A14" t="s">
        <v>5697</v>
      </c>
      <c r="B14" t="s">
        <v>5698</v>
      </c>
      <c r="C14" s="14" t="s">
        <v>786</v>
      </c>
      <c r="D14" s="14" t="s">
        <v>69</v>
      </c>
      <c r="E14" t="s">
        <v>1288</v>
      </c>
      <c r="F14" t="s">
        <v>5681</v>
      </c>
      <c r="G14" s="26">
        <v>16380</v>
      </c>
      <c r="H14" s="27">
        <v>46319</v>
      </c>
      <c r="I14" s="27">
        <v>46279</v>
      </c>
      <c r="J14" t="s">
        <v>5699</v>
      </c>
      <c r="K1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4">
        <f>IF(OR(tblPipelineAudit[[#This Row],[Stage]]="Closed Won",tblPipelineAudit[[#This Row],[Stage]]="Closed Lost"),"",IF(tblPipelineAudit[[#This Row],[Last Activity Date]]="","",MAX(0,DATE(2026,9,28)-tblPipelineAudit[[#This Row],[Last Activity Date]])))</f>
        <v>14</v>
      </c>
      <c r="M1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5" spans="1:17">
      <c r="A15" t="s">
        <v>1713</v>
      </c>
      <c r="B15" t="s">
        <v>5700</v>
      </c>
      <c r="C15" s="14" t="s">
        <v>539</v>
      </c>
      <c r="D15" s="14" t="s">
        <v>69</v>
      </c>
      <c r="E15" t="s">
        <v>1271</v>
      </c>
      <c r="F15" t="s">
        <v>5691</v>
      </c>
      <c r="G15" s="26">
        <v>32046</v>
      </c>
      <c r="H15" s="27">
        <v>46309</v>
      </c>
      <c r="I15" s="27">
        <v>46273</v>
      </c>
      <c r="J15" t="s">
        <v>5692</v>
      </c>
      <c r="K1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5">
        <f>IF(OR(tblPipelineAudit[[#This Row],[Stage]]="Closed Won",tblPipelineAudit[[#This Row],[Stage]]="Closed Lost"),"",IF(tblPipelineAudit[[#This Row],[Last Activity Date]]="","",MAX(0,DATE(2026,9,28)-tblPipelineAudit[[#This Row],[Last Activity Date]])))</f>
        <v>20</v>
      </c>
      <c r="M1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6" spans="1:17">
      <c r="A16" t="s">
        <v>1346</v>
      </c>
      <c r="B16" t="s">
        <v>5701</v>
      </c>
      <c r="C16" s="14" t="s">
        <v>282</v>
      </c>
      <c r="D16" s="14" t="s">
        <v>36</v>
      </c>
      <c r="E16" t="s">
        <v>1339</v>
      </c>
      <c r="F16" t="s">
        <v>5675</v>
      </c>
      <c r="G16" s="26">
        <v>62628</v>
      </c>
      <c r="H16" s="27">
        <v>46115.851840277777</v>
      </c>
      <c r="I16" s="27">
        <v>46103.851840277777</v>
      </c>
      <c r="K1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" spans="1:14">
      <c r="A17" t="s">
        <v>2098</v>
      </c>
      <c r="B17" t="s">
        <v>5667</v>
      </c>
      <c r="C17" s="14" t="s">
        <v>494</v>
      </c>
      <c r="D17" s="14" t="s">
        <v>36</v>
      </c>
      <c r="E17" t="s">
        <v>1288</v>
      </c>
      <c r="F17" t="s">
        <v>5675</v>
      </c>
      <c r="G17" s="26">
        <v>40446</v>
      </c>
      <c r="H17" s="27">
        <v>45310.743263888886</v>
      </c>
      <c r="I17" s="27">
        <v>45305.743263888886</v>
      </c>
      <c r="K1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" spans="1:14">
      <c r="A18" t="s">
        <v>5704</v>
      </c>
      <c r="B18" t="s">
        <v>5705</v>
      </c>
      <c r="C18" s="14" t="s">
        <v>279</v>
      </c>
      <c r="D18" s="14" t="s">
        <v>25</v>
      </c>
      <c r="E18" t="s">
        <v>1355</v>
      </c>
      <c r="F18" t="s">
        <v>5663</v>
      </c>
      <c r="G18" s="26">
        <v>14672</v>
      </c>
      <c r="H18" s="27">
        <v>45962</v>
      </c>
      <c r="I18" s="27">
        <v>45955</v>
      </c>
      <c r="K1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" spans="1:14">
      <c r="A19" t="s">
        <v>5707</v>
      </c>
      <c r="B19" t="s">
        <v>5708</v>
      </c>
      <c r="C19" s="14" t="s">
        <v>476</v>
      </c>
      <c r="D19" s="14" t="s">
        <v>82</v>
      </c>
      <c r="E19" t="s">
        <v>1288</v>
      </c>
      <c r="F19" t="s">
        <v>5663</v>
      </c>
      <c r="G19" s="26">
        <v>17480</v>
      </c>
      <c r="H19" s="27">
        <v>46257.841354166667</v>
      </c>
      <c r="I19" s="27">
        <v>46227.841354166667</v>
      </c>
      <c r="K1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0" spans="1:14">
      <c r="A20" t="s">
        <v>5710</v>
      </c>
      <c r="B20" t="s">
        <v>5711</v>
      </c>
      <c r="C20" s="14" t="s">
        <v>262</v>
      </c>
      <c r="D20" s="14" t="s">
        <v>36</v>
      </c>
      <c r="E20" t="s">
        <v>1355</v>
      </c>
      <c r="F20" t="s">
        <v>5681</v>
      </c>
      <c r="G20" s="26">
        <v>28350</v>
      </c>
      <c r="H20" s="27">
        <v>46352</v>
      </c>
      <c r="I20" s="27">
        <v>46281</v>
      </c>
      <c r="J20" t="s">
        <v>5713</v>
      </c>
      <c r="K2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0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2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1" spans="1:14">
      <c r="A21" t="s">
        <v>5714</v>
      </c>
      <c r="B21" t="s">
        <v>5715</v>
      </c>
      <c r="C21" s="14" t="s">
        <v>723</v>
      </c>
      <c r="D21" s="14" t="s">
        <v>36</v>
      </c>
      <c r="E21" t="s">
        <v>1288</v>
      </c>
      <c r="F21" t="s">
        <v>5663</v>
      </c>
      <c r="G21" s="26">
        <v>86680</v>
      </c>
      <c r="H21" s="27">
        <v>46220.579224537039</v>
      </c>
      <c r="I21" s="27">
        <v>46190.579224537039</v>
      </c>
      <c r="K2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" spans="1:14">
      <c r="A22" t="s">
        <v>5717</v>
      </c>
      <c r="B22" t="s">
        <v>5718</v>
      </c>
      <c r="C22" s="14" t="s">
        <v>276</v>
      </c>
      <c r="D22" s="14" t="s">
        <v>55</v>
      </c>
      <c r="E22" t="s">
        <v>1317</v>
      </c>
      <c r="F22" t="s">
        <v>5663</v>
      </c>
      <c r="G22" s="26">
        <v>11136</v>
      </c>
      <c r="H22" s="27">
        <v>46234.350532407407</v>
      </c>
      <c r="I22" s="27">
        <v>46232.350532407407</v>
      </c>
      <c r="K2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" spans="1:14">
      <c r="A23" t="s">
        <v>2492</v>
      </c>
      <c r="B23" t="s">
        <v>5720</v>
      </c>
      <c r="C23" s="14" t="s">
        <v>100</v>
      </c>
      <c r="D23" s="14" t="s">
        <v>59</v>
      </c>
      <c r="E23" t="s">
        <v>1339</v>
      </c>
      <c r="F23" t="s">
        <v>5675</v>
      </c>
      <c r="G23" s="26">
        <v>23472</v>
      </c>
      <c r="H23" s="27">
        <v>46005.876608796294</v>
      </c>
      <c r="I23" s="27">
        <v>45985.876608796294</v>
      </c>
      <c r="K2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" spans="1:14">
      <c r="A24" t="s">
        <v>5722</v>
      </c>
      <c r="B24" t="s">
        <v>5723</v>
      </c>
      <c r="C24" s="14" t="s">
        <v>645</v>
      </c>
      <c r="D24" s="14" t="s">
        <v>59</v>
      </c>
      <c r="E24" t="s">
        <v>1271</v>
      </c>
      <c r="F24" t="s">
        <v>5725</v>
      </c>
      <c r="G24" s="26">
        <v>18620</v>
      </c>
      <c r="H24" s="27">
        <v>46296</v>
      </c>
      <c r="I24" s="27">
        <v>46283</v>
      </c>
      <c r="J24" t="s">
        <v>5726</v>
      </c>
      <c r="K2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4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2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5" spans="1:14">
      <c r="A25" t="s">
        <v>1930</v>
      </c>
      <c r="B25" t="s">
        <v>5727</v>
      </c>
      <c r="C25" s="14" t="s">
        <v>954</v>
      </c>
      <c r="D25" s="14" t="s">
        <v>55</v>
      </c>
      <c r="E25" t="s">
        <v>1317</v>
      </c>
      <c r="F25" t="s">
        <v>5675</v>
      </c>
      <c r="G25" s="26">
        <v>42136</v>
      </c>
      <c r="H25" s="27">
        <v>45802.529513888891</v>
      </c>
      <c r="I25" s="27">
        <v>45802.529513888891</v>
      </c>
      <c r="K2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" spans="1:14">
      <c r="A26" t="s">
        <v>1965</v>
      </c>
      <c r="B26" t="s">
        <v>5729</v>
      </c>
      <c r="C26" s="14" t="s">
        <v>488</v>
      </c>
      <c r="D26" s="14" t="s">
        <v>36</v>
      </c>
      <c r="E26" t="s">
        <v>1355</v>
      </c>
      <c r="F26" t="s">
        <v>5663</v>
      </c>
      <c r="G26" s="26">
        <v>84040</v>
      </c>
      <c r="H26" s="27">
        <v>44871.99622685185</v>
      </c>
      <c r="I26" s="27">
        <v>44841.99622685185</v>
      </c>
      <c r="K2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" spans="1:14">
      <c r="A27" t="s">
        <v>2027</v>
      </c>
      <c r="B27" t="s">
        <v>5730</v>
      </c>
      <c r="C27" s="14" t="s">
        <v>832</v>
      </c>
      <c r="D27" s="14" t="s">
        <v>55</v>
      </c>
      <c r="E27" t="s">
        <v>1288</v>
      </c>
      <c r="F27" t="s">
        <v>5663</v>
      </c>
      <c r="G27" s="26">
        <v>55624</v>
      </c>
      <c r="H27" s="27">
        <v>45087.191504629627</v>
      </c>
      <c r="I27" s="27">
        <v>45070.191504629627</v>
      </c>
      <c r="K2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" spans="1:14">
      <c r="A28" t="s">
        <v>2018</v>
      </c>
      <c r="B28" t="s">
        <v>5731</v>
      </c>
      <c r="C28" s="14" t="s">
        <v>589</v>
      </c>
      <c r="D28" s="14" t="s">
        <v>59</v>
      </c>
      <c r="E28" t="s">
        <v>1271</v>
      </c>
      <c r="F28" t="s">
        <v>5691</v>
      </c>
      <c r="G28" s="26">
        <v>21308</v>
      </c>
      <c r="H28" s="27">
        <v>46348</v>
      </c>
      <c r="I28" s="27">
        <v>46265</v>
      </c>
      <c r="K2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8">
        <f>IF(OR(tblPipelineAudit[[#This Row],[Stage]]="Closed Won",tblPipelineAudit[[#This Row],[Stage]]="Closed Lost"),"",IF(tblPipelineAudit[[#This Row],[Last Activity Date]]="","",MAX(0,DATE(2026,9,28)-tblPipelineAudit[[#This Row],[Last Activity Date]])))</f>
        <v>28</v>
      </c>
      <c r="M2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29" spans="1:14">
      <c r="A29" t="s">
        <v>5732</v>
      </c>
      <c r="B29" t="s">
        <v>5733</v>
      </c>
      <c r="C29" s="14" t="s">
        <v>419</v>
      </c>
      <c r="D29" s="14" t="s">
        <v>18</v>
      </c>
      <c r="E29" t="s">
        <v>1281</v>
      </c>
      <c r="F29" t="s">
        <v>5663</v>
      </c>
      <c r="G29" s="26">
        <v>17658</v>
      </c>
      <c r="H29" s="27">
        <v>46223.283148148148</v>
      </c>
      <c r="I29" s="27">
        <v>46223.283148148148</v>
      </c>
      <c r="K2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" spans="1:14">
      <c r="A30" t="s">
        <v>2110</v>
      </c>
      <c r="B30" t="s">
        <v>5736</v>
      </c>
      <c r="C30" s="14" t="s">
        <v>600</v>
      </c>
      <c r="D30" s="14" t="s">
        <v>25</v>
      </c>
      <c r="E30" t="s">
        <v>1295</v>
      </c>
      <c r="F30" t="s">
        <v>5691</v>
      </c>
      <c r="G30" s="26">
        <v>18312</v>
      </c>
      <c r="H30" s="27">
        <v>46331</v>
      </c>
      <c r="I30" s="27">
        <v>46233</v>
      </c>
      <c r="J30" t="s">
        <v>5692</v>
      </c>
      <c r="K3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0">
        <f>IF(OR(tblPipelineAudit[[#This Row],[Stage]]="Closed Won",tblPipelineAudit[[#This Row],[Stage]]="Closed Lost"),"",IF(tblPipelineAudit[[#This Row],[Last Activity Date]]="","",MAX(0,DATE(2026,9,28)-tblPipelineAudit[[#This Row],[Last Activity Date]])))</f>
        <v>60</v>
      </c>
      <c r="M3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1" spans="1:14">
      <c r="A31" t="s">
        <v>5737</v>
      </c>
      <c r="B31" t="s">
        <v>5738</v>
      </c>
      <c r="C31" s="14" t="s">
        <v>620</v>
      </c>
      <c r="D31" s="14" t="s">
        <v>69</v>
      </c>
      <c r="E31" t="s">
        <v>1288</v>
      </c>
      <c r="F31" t="s">
        <v>5740</v>
      </c>
      <c r="G31" s="26">
        <v>16362</v>
      </c>
      <c r="H31" s="27">
        <v>46249</v>
      </c>
      <c r="I31" s="27">
        <v>46264</v>
      </c>
      <c r="J31" t="s">
        <v>5741</v>
      </c>
      <c r="K3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44</v>
      </c>
      <c r="L3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29</v>
      </c>
      <c r="M3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2" spans="1:14">
      <c r="A32" t="s">
        <v>5742</v>
      </c>
      <c r="B32" t="s">
        <v>5743</v>
      </c>
      <c r="C32" s="14" t="s">
        <v>626</v>
      </c>
      <c r="D32" s="14" t="s">
        <v>18</v>
      </c>
      <c r="E32" t="s">
        <v>1281</v>
      </c>
      <c r="F32" t="s">
        <v>5663</v>
      </c>
      <c r="G32" s="26">
        <v>37772</v>
      </c>
      <c r="H32" s="27">
        <v>45741</v>
      </c>
      <c r="I32" s="27">
        <v>45749</v>
      </c>
      <c r="K3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3" spans="1:14">
      <c r="A33" t="s">
        <v>5745</v>
      </c>
      <c r="B33" t="s">
        <v>5723</v>
      </c>
      <c r="C33" s="14" t="s">
        <v>645</v>
      </c>
      <c r="D33" s="14" t="s">
        <v>59</v>
      </c>
      <c r="E33" t="s">
        <v>1271</v>
      </c>
      <c r="F33" t="s">
        <v>5681</v>
      </c>
      <c r="G33" s="26">
        <v>25290</v>
      </c>
      <c r="H33" s="27">
        <v>46358</v>
      </c>
      <c r="I33" s="27">
        <v>46282</v>
      </c>
      <c r="J33" t="s">
        <v>5682</v>
      </c>
      <c r="K3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3">
        <f>IF(OR(tblPipelineAudit[[#This Row],[Stage]]="Closed Won",tblPipelineAudit[[#This Row],[Stage]]="Closed Lost"),"",IF(tblPipelineAudit[[#This Row],[Last Activity Date]]="","",MAX(0,DATE(2026,9,28)-tblPipelineAudit[[#This Row],[Last Activity Date]])))</f>
        <v>11</v>
      </c>
      <c r="M3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4" spans="1:14">
      <c r="A34" t="s">
        <v>5746</v>
      </c>
      <c r="B34" t="s">
        <v>5747</v>
      </c>
      <c r="C34" s="14" t="s">
        <v>909</v>
      </c>
      <c r="D34" s="14" t="s">
        <v>25</v>
      </c>
      <c r="E34" t="s">
        <v>1295</v>
      </c>
      <c r="F34" t="s">
        <v>5740</v>
      </c>
      <c r="G34" s="26">
        <v>29490</v>
      </c>
      <c r="H34" s="27">
        <v>46317</v>
      </c>
      <c r="I34" s="27">
        <v>46284</v>
      </c>
      <c r="J34" t="s">
        <v>5749</v>
      </c>
      <c r="K3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4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3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" spans="1:14">
      <c r="A35" t="s">
        <v>5750</v>
      </c>
      <c r="B35" t="s">
        <v>5751</v>
      </c>
      <c r="C35" s="14" t="s">
        <v>314</v>
      </c>
      <c r="D35" s="14" t="s">
        <v>82</v>
      </c>
      <c r="F35" t="s">
        <v>5725</v>
      </c>
      <c r="G35" s="26">
        <v>8088</v>
      </c>
      <c r="H35" s="27">
        <v>46291</v>
      </c>
      <c r="I35" s="27">
        <v>46280</v>
      </c>
      <c r="J35" t="s">
        <v>5753</v>
      </c>
      <c r="K3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2</v>
      </c>
      <c r="L35">
        <f>IF(OR(tblPipelineAudit[[#This Row],[Stage]]="Closed Won",tblPipelineAudit[[#This Row],[Stage]]="Closed Lost"),"",IF(tblPipelineAudit[[#This Row],[Last Activity Date]]="","",MAX(0,DATE(2026,9,28)-tblPipelineAudit[[#This Row],[Last Activity Date]])))</f>
        <v>13</v>
      </c>
      <c r="M3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36" spans="1:14">
      <c r="A36" t="s">
        <v>5754</v>
      </c>
      <c r="B36" t="s">
        <v>5698</v>
      </c>
      <c r="C36" s="14" t="s">
        <v>786</v>
      </c>
      <c r="D36" s="14" t="s">
        <v>69</v>
      </c>
      <c r="E36" t="s">
        <v>1288</v>
      </c>
      <c r="F36" t="s">
        <v>5681</v>
      </c>
      <c r="G36" s="26">
        <v>22344</v>
      </c>
      <c r="H36" s="27">
        <v>46244</v>
      </c>
      <c r="I36" s="27">
        <v>46283</v>
      </c>
      <c r="J36" t="s">
        <v>5713</v>
      </c>
      <c r="K3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49</v>
      </c>
      <c r="L3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3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7" spans="1:14">
      <c r="A37" t="s">
        <v>5755</v>
      </c>
      <c r="B37" t="s">
        <v>5756</v>
      </c>
      <c r="C37" s="14" t="s">
        <v>843</v>
      </c>
      <c r="D37" s="14" t="s">
        <v>36</v>
      </c>
      <c r="E37" t="s">
        <v>1295</v>
      </c>
      <c r="F37" t="s">
        <v>5663</v>
      </c>
      <c r="G37" s="26">
        <v>29376</v>
      </c>
      <c r="H37" s="27">
        <v>45448</v>
      </c>
      <c r="I37" s="27">
        <v>45443</v>
      </c>
      <c r="K3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" spans="1:14">
      <c r="A38" t="s">
        <v>2326</v>
      </c>
      <c r="B38" t="s">
        <v>5758</v>
      </c>
      <c r="C38" s="14" t="s">
        <v>26</v>
      </c>
      <c r="D38" s="14" t="s">
        <v>18</v>
      </c>
      <c r="E38" t="s">
        <v>1295</v>
      </c>
      <c r="F38" t="s">
        <v>5675</v>
      </c>
      <c r="G38" s="26">
        <v>33528</v>
      </c>
      <c r="H38" s="27">
        <v>45556.429930555554</v>
      </c>
      <c r="I38" s="27">
        <v>45569.429930555554</v>
      </c>
      <c r="K3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9" spans="1:14">
      <c r="A39" t="s">
        <v>5759</v>
      </c>
      <c r="B39" t="s">
        <v>5760</v>
      </c>
      <c r="C39" s="14" t="s">
        <v>382</v>
      </c>
      <c r="D39" s="14" t="s">
        <v>18</v>
      </c>
      <c r="E39" t="s">
        <v>1355</v>
      </c>
      <c r="F39" t="s">
        <v>5663</v>
      </c>
      <c r="G39" s="26">
        <v>26432</v>
      </c>
      <c r="H39" s="27">
        <v>45415.844108796293</v>
      </c>
      <c r="I39" s="27">
        <v>45398.844108796293</v>
      </c>
      <c r="K3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0" spans="1:14">
      <c r="A40" t="s">
        <v>5762</v>
      </c>
      <c r="B40" t="s">
        <v>5763</v>
      </c>
      <c r="C40" s="14" t="s">
        <v>739</v>
      </c>
      <c r="D40" s="14" t="s">
        <v>36</v>
      </c>
      <c r="E40" t="s">
        <v>1271</v>
      </c>
      <c r="F40" t="s">
        <v>5663</v>
      </c>
      <c r="G40" s="26">
        <v>86112</v>
      </c>
      <c r="H40" s="27">
        <v>46239</v>
      </c>
      <c r="I40" s="27">
        <v>46232</v>
      </c>
      <c r="K4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" spans="1:14">
      <c r="A41" t="s">
        <v>5764</v>
      </c>
      <c r="B41" t="s">
        <v>5765</v>
      </c>
      <c r="C41" s="14" t="s">
        <v>158</v>
      </c>
      <c r="D41" s="14" t="s">
        <v>59</v>
      </c>
      <c r="E41" t="s">
        <v>1355</v>
      </c>
      <c r="F41" t="s">
        <v>5686</v>
      </c>
      <c r="G41" s="26">
        <v>10524</v>
      </c>
      <c r="H41" s="27">
        <v>46366</v>
      </c>
      <c r="I41" s="27">
        <v>46272</v>
      </c>
      <c r="J41" t="s">
        <v>5767</v>
      </c>
      <c r="K4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4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2" spans="1:14">
      <c r="A42" t="s">
        <v>2369</v>
      </c>
      <c r="B42" t="s">
        <v>5768</v>
      </c>
      <c r="C42" s="14" t="s">
        <v>715</v>
      </c>
      <c r="D42" s="14" t="s">
        <v>55</v>
      </c>
      <c r="E42" t="s">
        <v>1271</v>
      </c>
      <c r="F42" t="s">
        <v>5675</v>
      </c>
      <c r="G42" s="26">
        <v>26942</v>
      </c>
      <c r="H42" s="27">
        <v>44987.470277777778</v>
      </c>
      <c r="I42" s="27">
        <v>44968.470277777778</v>
      </c>
      <c r="K4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3" spans="1:14">
      <c r="A43" t="s">
        <v>5770</v>
      </c>
      <c r="B43" t="s">
        <v>5771</v>
      </c>
      <c r="C43" s="14" t="s">
        <v>834</v>
      </c>
      <c r="D43" s="14" t="s">
        <v>36</v>
      </c>
      <c r="E43" t="s">
        <v>1295</v>
      </c>
      <c r="F43" t="s">
        <v>5663</v>
      </c>
      <c r="G43" s="26">
        <v>57780</v>
      </c>
      <c r="H43" s="27">
        <v>46148.740358796298</v>
      </c>
      <c r="I43" s="27">
        <v>46114.740358796298</v>
      </c>
      <c r="K4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4" spans="1:14">
      <c r="A44" t="s">
        <v>5772</v>
      </c>
      <c r="B44" t="s">
        <v>5727</v>
      </c>
      <c r="C44" s="14" t="s">
        <v>954</v>
      </c>
      <c r="D44" s="14" t="s">
        <v>55</v>
      </c>
      <c r="E44" t="s">
        <v>1317</v>
      </c>
      <c r="F44" t="s">
        <v>5669</v>
      </c>
      <c r="G44" s="26">
        <v>31314</v>
      </c>
      <c r="H44" s="27">
        <v>46301</v>
      </c>
      <c r="I44" s="27">
        <v>46267</v>
      </c>
      <c r="J44" t="s">
        <v>5774</v>
      </c>
      <c r="K4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4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4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5" spans="1:14">
      <c r="A45" t="s">
        <v>2168</v>
      </c>
      <c r="B45" t="s">
        <v>5775</v>
      </c>
      <c r="C45" s="14" t="s">
        <v>918</v>
      </c>
      <c r="D45" s="14" t="s">
        <v>36</v>
      </c>
      <c r="E45" t="s">
        <v>1355</v>
      </c>
      <c r="F45" t="s">
        <v>5663</v>
      </c>
      <c r="G45" s="26">
        <v>83162</v>
      </c>
      <c r="H45" s="27">
        <v>44883.050254629627</v>
      </c>
      <c r="I45" s="27">
        <v>44865.050254629627</v>
      </c>
      <c r="K4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6" spans="1:14">
      <c r="A46" t="s">
        <v>2069</v>
      </c>
      <c r="B46" t="s">
        <v>5776</v>
      </c>
      <c r="C46" s="14" t="s">
        <v>774</v>
      </c>
      <c r="D46" s="14" t="s">
        <v>18</v>
      </c>
      <c r="E46" t="s">
        <v>1271</v>
      </c>
      <c r="F46" t="s">
        <v>5725</v>
      </c>
      <c r="G46" s="26">
        <v>29160</v>
      </c>
      <c r="H46" s="27">
        <v>46292</v>
      </c>
      <c r="I46" s="27">
        <v>46272</v>
      </c>
      <c r="J46" t="s">
        <v>5777</v>
      </c>
      <c r="K4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1</v>
      </c>
      <c r="L4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4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4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7" spans="1:14">
      <c r="A47" t="s">
        <v>5778</v>
      </c>
      <c r="B47" t="s">
        <v>5779</v>
      </c>
      <c r="C47" s="14" t="s">
        <v>780</v>
      </c>
      <c r="D47" s="14" t="s">
        <v>36</v>
      </c>
      <c r="E47" t="s">
        <v>1413</v>
      </c>
      <c r="F47" t="s">
        <v>5663</v>
      </c>
      <c r="G47" s="26">
        <v>41076</v>
      </c>
      <c r="H47" s="27">
        <v>45765</v>
      </c>
      <c r="I47" s="27">
        <v>45746</v>
      </c>
      <c r="K4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8" spans="1:14">
      <c r="A48" t="s">
        <v>2373</v>
      </c>
      <c r="B48" t="s">
        <v>5781</v>
      </c>
      <c r="C48" s="14" t="s">
        <v>360</v>
      </c>
      <c r="D48" s="14" t="s">
        <v>59</v>
      </c>
      <c r="E48" t="s">
        <v>1413</v>
      </c>
      <c r="F48" t="s">
        <v>5675</v>
      </c>
      <c r="G48" s="26">
        <v>11904</v>
      </c>
      <c r="H48" s="27">
        <v>45825.590474537035</v>
      </c>
      <c r="I48" s="27">
        <v>45832.590474537035</v>
      </c>
      <c r="K4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9" spans="1:14">
      <c r="A49" t="s">
        <v>2281</v>
      </c>
      <c r="B49" t="s">
        <v>5782</v>
      </c>
      <c r="C49" s="14" t="s">
        <v>557</v>
      </c>
      <c r="D49" s="14" t="s">
        <v>25</v>
      </c>
      <c r="E49" t="s">
        <v>1413</v>
      </c>
      <c r="F49" t="s">
        <v>5675</v>
      </c>
      <c r="G49" s="26">
        <v>37810</v>
      </c>
      <c r="H49" s="27">
        <v>45089.076851851853</v>
      </c>
      <c r="I49" s="27">
        <v>45089.076851851853</v>
      </c>
      <c r="K4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0" spans="1:14">
      <c r="A50" t="s">
        <v>2031</v>
      </c>
      <c r="B50" t="s">
        <v>5784</v>
      </c>
      <c r="C50" s="14" t="s">
        <v>867</v>
      </c>
      <c r="D50" s="14" t="s">
        <v>18</v>
      </c>
      <c r="E50" t="s">
        <v>1413</v>
      </c>
      <c r="F50" t="s">
        <v>5675</v>
      </c>
      <c r="G50" s="26">
        <v>33762</v>
      </c>
      <c r="H50" s="27">
        <v>45263.126562500001</v>
      </c>
      <c r="I50" s="27">
        <v>45252.126562500001</v>
      </c>
      <c r="K5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1" spans="1:14">
      <c r="A51" t="s">
        <v>1629</v>
      </c>
      <c r="B51" t="s">
        <v>5785</v>
      </c>
      <c r="C51" s="14" t="s">
        <v>891</v>
      </c>
      <c r="D51" s="14" t="s">
        <v>82</v>
      </c>
      <c r="E51" t="s">
        <v>1271</v>
      </c>
      <c r="F51" t="s">
        <v>5675</v>
      </c>
      <c r="G51" s="26">
        <v>38650</v>
      </c>
      <c r="H51" s="27">
        <v>46080.142650462964</v>
      </c>
      <c r="I51" s="27">
        <v>46066.142650462964</v>
      </c>
      <c r="K5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2" spans="1:14">
      <c r="A52" t="s">
        <v>2074</v>
      </c>
      <c r="B52" t="s">
        <v>5786</v>
      </c>
      <c r="C52" s="14" t="s">
        <v>612</v>
      </c>
      <c r="D52" s="14" t="s">
        <v>82</v>
      </c>
      <c r="E52" t="s">
        <v>1295</v>
      </c>
      <c r="F52" t="s">
        <v>5675</v>
      </c>
      <c r="G52" s="26">
        <v>30158</v>
      </c>
      <c r="H52" s="27">
        <v>46276.636111111111</v>
      </c>
      <c r="I52" s="27">
        <v>46264.636111111111</v>
      </c>
      <c r="K5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3" spans="1:14">
      <c r="A53" t="s">
        <v>5787</v>
      </c>
      <c r="B53" t="s">
        <v>5788</v>
      </c>
      <c r="C53" s="14" t="s">
        <v>302</v>
      </c>
      <c r="D53" s="14" t="s">
        <v>36</v>
      </c>
      <c r="E53" t="s">
        <v>1355</v>
      </c>
      <c r="F53" t="s">
        <v>5663</v>
      </c>
      <c r="G53" s="26">
        <v>15184</v>
      </c>
      <c r="H53" s="27">
        <v>45572</v>
      </c>
      <c r="I53" s="27">
        <v>45565</v>
      </c>
      <c r="K5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4" spans="1:14">
      <c r="A54" t="s">
        <v>5790</v>
      </c>
      <c r="B54" t="s">
        <v>5791</v>
      </c>
      <c r="C54" s="14" t="s">
        <v>512</v>
      </c>
      <c r="D54" s="14" t="s">
        <v>25</v>
      </c>
      <c r="E54" t="s">
        <v>1317</v>
      </c>
      <c r="F54" t="s">
        <v>5725</v>
      </c>
      <c r="G54" s="26">
        <v>32130</v>
      </c>
      <c r="H54" s="27">
        <v>46297</v>
      </c>
      <c r="I54" s="27">
        <v>46266</v>
      </c>
      <c r="J54" t="s">
        <v>5777</v>
      </c>
      <c r="K5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54">
        <f>IF(OR(tblPipelineAudit[[#This Row],[Stage]]="Closed Won",tblPipelineAudit[[#This Row],[Stage]]="Closed Lost"),"",IF(tblPipelineAudit[[#This Row],[Last Activity Date]]="","",MAX(0,DATE(2026,9,28)-tblPipelineAudit[[#This Row],[Last Activity Date]])))</f>
        <v>27</v>
      </c>
      <c r="M5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5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55" spans="1:14">
      <c r="A55" t="s">
        <v>2321</v>
      </c>
      <c r="B55" t="s">
        <v>5793</v>
      </c>
      <c r="C55" s="14" t="s">
        <v>675</v>
      </c>
      <c r="D55" s="14" t="s">
        <v>55</v>
      </c>
      <c r="E55" t="s">
        <v>1288</v>
      </c>
      <c r="F55" t="s">
        <v>5675</v>
      </c>
      <c r="G55" s="26">
        <v>51084</v>
      </c>
      <c r="H55" s="27">
        <v>46166.127847222226</v>
      </c>
      <c r="I55" s="27">
        <v>46130.127847222226</v>
      </c>
      <c r="K5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6" spans="1:14">
      <c r="A56" t="s">
        <v>5794</v>
      </c>
      <c r="B56" t="s">
        <v>5795</v>
      </c>
      <c r="C56" s="14" t="s">
        <v>412</v>
      </c>
      <c r="D56" s="14" t="s">
        <v>55</v>
      </c>
      <c r="E56" t="s">
        <v>1413</v>
      </c>
      <c r="F56" t="s">
        <v>5663</v>
      </c>
      <c r="G56" s="26">
        <v>11400</v>
      </c>
      <c r="H56" s="27">
        <v>45728</v>
      </c>
      <c r="I56" s="27">
        <v>45698</v>
      </c>
      <c r="K5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7" spans="1:14">
      <c r="A57" t="s">
        <v>2062</v>
      </c>
      <c r="B57" t="s">
        <v>5797</v>
      </c>
      <c r="C57" s="14" t="s">
        <v>183</v>
      </c>
      <c r="D57" s="14" t="s">
        <v>25</v>
      </c>
      <c r="E57" t="s">
        <v>1317</v>
      </c>
      <c r="F57" t="s">
        <v>5675</v>
      </c>
      <c r="G57" s="26">
        <v>11640</v>
      </c>
      <c r="H57" s="27">
        <v>45255.249502314815</v>
      </c>
      <c r="I57" s="27">
        <v>45220.249502314815</v>
      </c>
      <c r="K5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5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5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5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58" spans="1:14">
      <c r="A58" t="s">
        <v>5798</v>
      </c>
      <c r="B58" t="s">
        <v>5799</v>
      </c>
      <c r="C58" s="14" t="s">
        <v>864</v>
      </c>
      <c r="D58" s="14" t="s">
        <v>59</v>
      </c>
      <c r="E58" t="s">
        <v>1288</v>
      </c>
      <c r="F58" t="s">
        <v>5691</v>
      </c>
      <c r="G58" s="26">
        <v>11508</v>
      </c>
      <c r="H58" s="27">
        <v>46309</v>
      </c>
      <c r="I58" s="27">
        <v>46279</v>
      </c>
      <c r="J58" t="s">
        <v>5801</v>
      </c>
      <c r="K5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58">
        <f>IF(OR(tblPipelineAudit[[#This Row],[Stage]]="Closed Won",tblPipelineAudit[[#This Row],[Stage]]="Closed Lost"),"",IF(tblPipelineAudit[[#This Row],[Last Activity Date]]="","",MAX(0,DATE(2026,9,28)-tblPipelineAudit[[#This Row],[Last Activity Date]])))</f>
        <v>14</v>
      </c>
      <c r="M5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5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59" spans="1:14">
      <c r="A59" t="s">
        <v>5802</v>
      </c>
      <c r="B59" t="s">
        <v>5803</v>
      </c>
      <c r="C59" s="14" t="s">
        <v>103</v>
      </c>
      <c r="D59" s="14" t="s">
        <v>69</v>
      </c>
      <c r="E59" t="s">
        <v>1271</v>
      </c>
      <c r="F59" t="s">
        <v>5681</v>
      </c>
      <c r="G59" s="26">
        <v>32688</v>
      </c>
      <c r="H59" s="27">
        <v>46364</v>
      </c>
      <c r="I59" s="27">
        <v>46269</v>
      </c>
      <c r="J59" t="s">
        <v>5713</v>
      </c>
      <c r="K5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5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5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5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60" spans="1:14">
      <c r="A60" t="s">
        <v>2436</v>
      </c>
      <c r="B60" t="s">
        <v>5804</v>
      </c>
      <c r="C60" s="14" t="s">
        <v>912</v>
      </c>
      <c r="D60" s="14" t="s">
        <v>18</v>
      </c>
      <c r="E60" t="s">
        <v>1288</v>
      </c>
      <c r="F60" t="s">
        <v>5675</v>
      </c>
      <c r="G60" s="26">
        <v>34276</v>
      </c>
      <c r="H60" s="27">
        <v>44853.094270833331</v>
      </c>
      <c r="I60" s="27">
        <v>44851.094270833331</v>
      </c>
      <c r="K6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1" spans="1:14">
      <c r="A61" t="s">
        <v>5805</v>
      </c>
      <c r="B61" t="s">
        <v>5806</v>
      </c>
      <c r="C61" s="14" t="s">
        <v>983</v>
      </c>
      <c r="D61" s="14" t="s">
        <v>25</v>
      </c>
      <c r="E61" t="s">
        <v>1271</v>
      </c>
      <c r="F61" t="s">
        <v>5686</v>
      </c>
      <c r="G61" s="26">
        <v>10848</v>
      </c>
      <c r="H61" s="27">
        <v>46348</v>
      </c>
      <c r="I61" s="27">
        <v>46272</v>
      </c>
      <c r="J61" t="s">
        <v>5767</v>
      </c>
      <c r="K6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6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6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6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62" spans="1:14">
      <c r="A62" t="s">
        <v>2452</v>
      </c>
      <c r="B62" t="s">
        <v>5673</v>
      </c>
      <c r="C62" s="14" t="s">
        <v>240</v>
      </c>
      <c r="D62" s="14" t="s">
        <v>55</v>
      </c>
      <c r="E62" t="s">
        <v>1355</v>
      </c>
      <c r="F62" t="s">
        <v>5675</v>
      </c>
      <c r="G62" s="26">
        <v>54208</v>
      </c>
      <c r="H62" s="27">
        <v>44977.16646990741</v>
      </c>
      <c r="I62" s="27">
        <v>44977.16646990741</v>
      </c>
      <c r="K6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3" spans="1:14">
      <c r="A63" t="s">
        <v>1955</v>
      </c>
      <c r="B63" t="s">
        <v>5771</v>
      </c>
      <c r="C63" s="14" t="s">
        <v>834</v>
      </c>
      <c r="D63" s="14" t="s">
        <v>36</v>
      </c>
      <c r="E63" t="s">
        <v>1295</v>
      </c>
      <c r="F63" t="s">
        <v>5663</v>
      </c>
      <c r="G63" s="26">
        <v>49680</v>
      </c>
      <c r="H63" s="27">
        <v>46282</v>
      </c>
      <c r="I63" s="27">
        <v>46277</v>
      </c>
      <c r="K6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4" spans="1:14">
      <c r="A64" t="s">
        <v>1862</v>
      </c>
      <c r="B64" t="s">
        <v>5807</v>
      </c>
      <c r="C64" s="14" t="s">
        <v>815</v>
      </c>
      <c r="D64" s="14" t="s">
        <v>59</v>
      </c>
      <c r="E64" t="s">
        <v>1339</v>
      </c>
      <c r="F64" t="s">
        <v>5675</v>
      </c>
      <c r="G64" s="26">
        <v>17298</v>
      </c>
      <c r="H64" s="27">
        <v>45435.088171296295</v>
      </c>
      <c r="I64" s="27">
        <v>45433.088171296295</v>
      </c>
      <c r="K6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5" spans="1:14">
      <c r="A65" t="s">
        <v>5808</v>
      </c>
      <c r="B65" t="s">
        <v>5809</v>
      </c>
      <c r="C65" s="14" t="s">
        <v>876</v>
      </c>
      <c r="D65" s="14" t="s">
        <v>82</v>
      </c>
      <c r="E65" t="s">
        <v>1413</v>
      </c>
      <c r="F65" t="s">
        <v>5663</v>
      </c>
      <c r="G65" s="26">
        <v>11130</v>
      </c>
      <c r="H65" s="27">
        <v>46116.287094907406</v>
      </c>
      <c r="I65" s="27">
        <v>46116.287094907406</v>
      </c>
      <c r="K6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6" spans="1:14">
      <c r="A66" t="s">
        <v>5810</v>
      </c>
      <c r="B66" t="s">
        <v>5811</v>
      </c>
      <c r="C66" s="14" t="s">
        <v>389</v>
      </c>
      <c r="D66" s="14" t="s">
        <v>69</v>
      </c>
      <c r="E66" t="s">
        <v>1295</v>
      </c>
      <c r="F66" t="s">
        <v>5669</v>
      </c>
      <c r="G66" s="26">
        <v>41958</v>
      </c>
      <c r="H66" s="27">
        <v>46277</v>
      </c>
      <c r="I66" s="27">
        <v>46278</v>
      </c>
      <c r="J66" t="s">
        <v>5774</v>
      </c>
      <c r="K6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16</v>
      </c>
      <c r="L6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15</v>
      </c>
      <c r="M6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6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67" spans="1:14">
      <c r="A67" t="s">
        <v>5813</v>
      </c>
      <c r="B67" t="s">
        <v>5814</v>
      </c>
      <c r="C67" s="14" t="s">
        <v>873</v>
      </c>
      <c r="D67" s="14" t="s">
        <v>59</v>
      </c>
      <c r="F67" t="s">
        <v>5663</v>
      </c>
      <c r="G67" s="26">
        <v>11868</v>
      </c>
      <c r="H67" s="27">
        <v>45964.60974537037</v>
      </c>
      <c r="I67" s="27">
        <v>45977.60974537037</v>
      </c>
      <c r="K6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8" spans="1:14">
      <c r="A68" t="s">
        <v>1589</v>
      </c>
      <c r="B68" t="s">
        <v>5816</v>
      </c>
      <c r="C68" s="14" t="s">
        <v>292</v>
      </c>
      <c r="D68" s="14" t="s">
        <v>82</v>
      </c>
      <c r="E68" t="s">
        <v>1295</v>
      </c>
      <c r="F68" t="s">
        <v>5675</v>
      </c>
      <c r="G68" s="26">
        <v>38192</v>
      </c>
      <c r="H68" s="27">
        <v>45337.18959490741</v>
      </c>
      <c r="I68" s="27">
        <v>45367.18959490741</v>
      </c>
      <c r="K6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69" spans="1:14">
      <c r="A69" t="s">
        <v>5817</v>
      </c>
      <c r="B69" t="s">
        <v>5818</v>
      </c>
      <c r="C69" s="14" t="s">
        <v>998</v>
      </c>
      <c r="D69" s="14" t="s">
        <v>18</v>
      </c>
      <c r="E69" t="s">
        <v>1413</v>
      </c>
      <c r="F69" t="s">
        <v>5663</v>
      </c>
      <c r="G69" s="26">
        <v>50868</v>
      </c>
      <c r="H69" s="27">
        <v>46242.026597222219</v>
      </c>
      <c r="I69" s="27">
        <v>46240.026597222219</v>
      </c>
      <c r="K6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6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6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6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70" spans="1:14">
      <c r="A70" t="s">
        <v>5820</v>
      </c>
      <c r="B70" t="s">
        <v>5821</v>
      </c>
      <c r="C70" s="14" t="s">
        <v>957</v>
      </c>
      <c r="D70" s="14" t="s">
        <v>25</v>
      </c>
      <c r="E70" t="s">
        <v>1271</v>
      </c>
      <c r="F70" t="s">
        <v>5686</v>
      </c>
      <c r="G70" s="26">
        <v>9876</v>
      </c>
      <c r="H70" s="27">
        <v>46336</v>
      </c>
      <c r="I70" s="27">
        <v>46266</v>
      </c>
      <c r="J70" t="s">
        <v>5687</v>
      </c>
      <c r="K7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7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27</v>
      </c>
      <c r="M7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7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71" spans="1:14">
      <c r="A71" t="s">
        <v>5822</v>
      </c>
      <c r="B71" t="s">
        <v>5823</v>
      </c>
      <c r="C71" s="14" t="s">
        <v>561</v>
      </c>
      <c r="D71" s="14" t="s">
        <v>69</v>
      </c>
      <c r="E71" t="s">
        <v>1317</v>
      </c>
      <c r="F71" t="s">
        <v>5663</v>
      </c>
      <c r="G71" s="26">
        <v>17556</v>
      </c>
      <c r="H71" s="27">
        <v>46230.15047453704</v>
      </c>
      <c r="I71" s="27">
        <v>46212.15047453704</v>
      </c>
      <c r="K7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7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7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7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72" spans="1:14">
      <c r="A72" t="s">
        <v>5824</v>
      </c>
      <c r="B72" t="s">
        <v>5825</v>
      </c>
      <c r="C72" s="14" t="s">
        <v>936</v>
      </c>
      <c r="D72" s="14" t="s">
        <v>36</v>
      </c>
      <c r="E72" t="s">
        <v>1317</v>
      </c>
      <c r="F72" t="s">
        <v>5686</v>
      </c>
      <c r="G72" s="26">
        <v>30552</v>
      </c>
      <c r="H72" s="27">
        <v>46378</v>
      </c>
      <c r="I72" s="27">
        <v>46264</v>
      </c>
      <c r="K7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72">
        <f>IF(OR(tblPipelineAudit[[#This Row],[Stage]]="Closed Won",tblPipelineAudit[[#This Row],[Stage]]="Closed Lost"),"",IF(tblPipelineAudit[[#This Row],[Last Activity Date]]="","",MAX(0,DATE(2026,9,28)-tblPipelineAudit[[#This Row],[Last Activity Date]])))</f>
        <v>29</v>
      </c>
      <c r="M7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7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73" spans="1:14">
      <c r="A73" t="s">
        <v>5826</v>
      </c>
      <c r="B73" t="s">
        <v>5683</v>
      </c>
      <c r="C73" s="14" t="s">
        <v>567</v>
      </c>
      <c r="D73" s="14" t="s">
        <v>69</v>
      </c>
      <c r="E73" t="s">
        <v>1281</v>
      </c>
      <c r="F73" t="s">
        <v>5691</v>
      </c>
      <c r="G73" s="26">
        <v>16344</v>
      </c>
      <c r="H73" s="27">
        <v>46330</v>
      </c>
      <c r="I73" s="27">
        <v>46267</v>
      </c>
      <c r="J73" t="s">
        <v>5801</v>
      </c>
      <c r="K7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7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7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7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74" spans="1:14">
      <c r="A74" t="s">
        <v>2191</v>
      </c>
      <c r="B74" t="s">
        <v>5827</v>
      </c>
      <c r="C74" s="14" t="s">
        <v>227</v>
      </c>
      <c r="D74" s="14" t="s">
        <v>36</v>
      </c>
      <c r="E74" t="s">
        <v>1288</v>
      </c>
      <c r="F74" t="s">
        <v>5675</v>
      </c>
      <c r="G74" s="26">
        <v>86416</v>
      </c>
      <c r="H74" s="27">
        <v>46133.40353009259</v>
      </c>
      <c r="I74" s="27">
        <v>46129.40353009259</v>
      </c>
      <c r="K7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7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7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7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75" spans="1:14">
      <c r="A75" t="s">
        <v>5828</v>
      </c>
      <c r="B75" t="s">
        <v>5829</v>
      </c>
      <c r="C75" s="14" t="s">
        <v>636</v>
      </c>
      <c r="D75" s="14" t="s">
        <v>55</v>
      </c>
      <c r="E75" t="s">
        <v>1295</v>
      </c>
      <c r="F75" t="s">
        <v>5663</v>
      </c>
      <c r="G75" s="26">
        <v>7896</v>
      </c>
      <c r="H75" s="27">
        <v>45926</v>
      </c>
      <c r="I75" s="27">
        <v>45908</v>
      </c>
      <c r="K7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7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7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7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76" spans="1:14">
      <c r="A76" t="s">
        <v>5831</v>
      </c>
      <c r="B76" t="s">
        <v>5723</v>
      </c>
      <c r="C76" s="14" t="s">
        <v>645</v>
      </c>
      <c r="D76" s="14" t="s">
        <v>59</v>
      </c>
      <c r="F76" t="s">
        <v>5669</v>
      </c>
      <c r="G76" s="26">
        <v>29736</v>
      </c>
      <c r="H76" s="27">
        <v>46311</v>
      </c>
      <c r="I76" s="27">
        <v>46283</v>
      </c>
      <c r="J76" t="s">
        <v>5774</v>
      </c>
      <c r="K7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7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7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7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77" spans="1:14">
      <c r="A77" t="s">
        <v>1821</v>
      </c>
      <c r="B77" t="s">
        <v>5832</v>
      </c>
      <c r="C77" s="14" t="s">
        <v>861</v>
      </c>
      <c r="D77" s="14" t="s">
        <v>91</v>
      </c>
      <c r="E77" t="s">
        <v>1339</v>
      </c>
      <c r="F77" t="s">
        <v>5675</v>
      </c>
      <c r="G77" s="26">
        <v>24668</v>
      </c>
      <c r="H77" s="27">
        <v>45825.729849537034</v>
      </c>
      <c r="I77" s="27">
        <v>45825.729849537034</v>
      </c>
      <c r="K7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7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7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7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78" spans="1:14">
      <c r="A78" t="s">
        <v>5833</v>
      </c>
      <c r="B78" t="s">
        <v>5834</v>
      </c>
      <c r="C78" s="14" t="s">
        <v>626</v>
      </c>
      <c r="D78" s="14" t="s">
        <v>18</v>
      </c>
      <c r="E78" t="s">
        <v>1281</v>
      </c>
      <c r="F78" t="s">
        <v>5663</v>
      </c>
      <c r="G78" s="26">
        <v>5670</v>
      </c>
      <c r="H78" s="27">
        <v>45320</v>
      </c>
      <c r="I78" s="27">
        <v>45304</v>
      </c>
      <c r="K7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7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7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7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79" spans="1:14">
      <c r="A79" t="s">
        <v>5835</v>
      </c>
      <c r="B79" t="s">
        <v>5836</v>
      </c>
      <c r="C79" s="14" t="s">
        <v>832</v>
      </c>
      <c r="D79" s="14" t="s">
        <v>55</v>
      </c>
      <c r="E79" t="s">
        <v>1288</v>
      </c>
      <c r="F79" t="s">
        <v>5663</v>
      </c>
      <c r="G79" s="26">
        <v>5586</v>
      </c>
      <c r="H79" s="27">
        <v>45555</v>
      </c>
      <c r="I79" s="27">
        <v>45555</v>
      </c>
      <c r="K7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7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7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7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80" spans="1:14">
      <c r="A80" t="s">
        <v>1653</v>
      </c>
      <c r="B80" t="s">
        <v>5837</v>
      </c>
      <c r="C80" s="14" t="s">
        <v>606</v>
      </c>
      <c r="D80" s="14" t="s">
        <v>55</v>
      </c>
      <c r="E80" t="s">
        <v>1355</v>
      </c>
      <c r="F80" t="s">
        <v>5675</v>
      </c>
      <c r="G80" s="26">
        <v>34428</v>
      </c>
      <c r="H80" s="27">
        <v>45162.339247685188</v>
      </c>
      <c r="I80" s="27">
        <v>45158.339247685188</v>
      </c>
      <c r="K8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8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8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8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81" spans="1:14">
      <c r="A81" t="s">
        <v>5838</v>
      </c>
      <c r="B81" t="s">
        <v>5758</v>
      </c>
      <c r="C81" s="14" t="s">
        <v>26</v>
      </c>
      <c r="D81" s="14" t="s">
        <v>18</v>
      </c>
      <c r="F81" t="s">
        <v>5686</v>
      </c>
      <c r="G81" s="26">
        <v>72960</v>
      </c>
      <c r="H81" s="27">
        <v>46367</v>
      </c>
      <c r="I81" s="27">
        <v>46283</v>
      </c>
      <c r="J81" t="s">
        <v>5767</v>
      </c>
      <c r="K8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81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8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8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82" spans="1:14">
      <c r="A82" t="s">
        <v>2396</v>
      </c>
      <c r="B82" t="s">
        <v>5839</v>
      </c>
      <c r="C82" s="14" t="s">
        <v>199</v>
      </c>
      <c r="D82" s="14" t="s">
        <v>91</v>
      </c>
      <c r="E82" t="s">
        <v>1288</v>
      </c>
      <c r="F82" t="s">
        <v>5675</v>
      </c>
      <c r="G82" s="26">
        <v>24150</v>
      </c>
      <c r="H82" s="27">
        <v>45972.963136574072</v>
      </c>
      <c r="I82" s="27">
        <v>45975.963136574072</v>
      </c>
      <c r="K8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8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8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8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83" spans="1:14">
      <c r="A83" t="s">
        <v>5840</v>
      </c>
      <c r="B83" t="s">
        <v>5841</v>
      </c>
      <c r="C83" s="14" t="s">
        <v>425</v>
      </c>
      <c r="D83" s="14" t="s">
        <v>91</v>
      </c>
      <c r="E83" t="s">
        <v>1288</v>
      </c>
      <c r="F83" t="s">
        <v>5663</v>
      </c>
      <c r="G83" s="26">
        <v>13244</v>
      </c>
      <c r="H83" s="27">
        <v>45500</v>
      </c>
      <c r="I83" s="27">
        <v>45498</v>
      </c>
      <c r="K8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8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8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8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84" spans="1:14">
      <c r="A84" t="s">
        <v>5842</v>
      </c>
      <c r="B84" t="s">
        <v>5843</v>
      </c>
      <c r="C84" s="14" t="s">
        <v>479</v>
      </c>
      <c r="D84" s="14" t="s">
        <v>55</v>
      </c>
      <c r="E84" t="s">
        <v>1317</v>
      </c>
      <c r="F84" t="s">
        <v>5740</v>
      </c>
      <c r="G84" s="26">
        <v>28200</v>
      </c>
      <c r="H84" s="27">
        <v>46318</v>
      </c>
      <c r="I84" s="27">
        <v>46251</v>
      </c>
      <c r="J84" t="s">
        <v>5845</v>
      </c>
      <c r="K8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84">
        <f>IF(OR(tblPipelineAudit[[#This Row],[Stage]]="Closed Won",tblPipelineAudit[[#This Row],[Stage]]="Closed Lost"),"",IF(tblPipelineAudit[[#This Row],[Last Activity Date]]="","",MAX(0,DATE(2026,9,28)-tblPipelineAudit[[#This Row],[Last Activity Date]])))</f>
        <v>42</v>
      </c>
      <c r="M8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8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85" spans="1:14">
      <c r="A85" t="s">
        <v>1415</v>
      </c>
      <c r="B85" t="s">
        <v>5846</v>
      </c>
      <c r="C85" s="14" t="s">
        <v>1028</v>
      </c>
      <c r="D85" s="14" t="s">
        <v>91</v>
      </c>
      <c r="E85" t="s">
        <v>1413</v>
      </c>
      <c r="F85" t="s">
        <v>5675</v>
      </c>
      <c r="G85" s="26">
        <v>15138</v>
      </c>
      <c r="H85" s="27">
        <v>45475.012835648151</v>
      </c>
      <c r="I85" s="27">
        <v>45456.012835648151</v>
      </c>
      <c r="K8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8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8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8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86" spans="1:14">
      <c r="A86" t="s">
        <v>5847</v>
      </c>
      <c r="B86" t="s">
        <v>5848</v>
      </c>
      <c r="C86" s="14" t="s">
        <v>777</v>
      </c>
      <c r="D86" s="14" t="s">
        <v>25</v>
      </c>
      <c r="E86" t="s">
        <v>1288</v>
      </c>
      <c r="F86" t="s">
        <v>5669</v>
      </c>
      <c r="G86" s="26">
        <v>23424</v>
      </c>
      <c r="H86" s="27">
        <v>46305</v>
      </c>
      <c r="I86" s="27">
        <v>46269</v>
      </c>
      <c r="J86" t="s">
        <v>5850</v>
      </c>
      <c r="K8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8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8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8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87" spans="1:14">
      <c r="A87" t="s">
        <v>1709</v>
      </c>
      <c r="B87" t="s">
        <v>5851</v>
      </c>
      <c r="C87" s="14" t="s">
        <v>142</v>
      </c>
      <c r="D87" s="14" t="s">
        <v>59</v>
      </c>
      <c r="E87" t="s">
        <v>1413</v>
      </c>
      <c r="F87" t="s">
        <v>5663</v>
      </c>
      <c r="G87" s="26">
        <v>9480</v>
      </c>
      <c r="H87" s="27">
        <v>45039.487673611111</v>
      </c>
      <c r="I87" s="27">
        <v>45053.487673611111</v>
      </c>
      <c r="K8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8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8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8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88" spans="1:14">
      <c r="A88" t="s">
        <v>1829</v>
      </c>
      <c r="B88" t="s">
        <v>5852</v>
      </c>
      <c r="C88" s="14" t="s">
        <v>128</v>
      </c>
      <c r="D88" s="14" t="s">
        <v>55</v>
      </c>
      <c r="E88" t="s">
        <v>1288</v>
      </c>
      <c r="F88" t="s">
        <v>5740</v>
      </c>
      <c r="G88" s="26">
        <v>55260</v>
      </c>
      <c r="H88" s="27">
        <v>46296</v>
      </c>
      <c r="I88" s="27">
        <v>46275</v>
      </c>
      <c r="J88" t="s">
        <v>5749</v>
      </c>
      <c r="K8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88">
        <f>IF(OR(tblPipelineAudit[[#This Row],[Stage]]="Closed Won",tblPipelineAudit[[#This Row],[Stage]]="Closed Lost"),"",IF(tblPipelineAudit[[#This Row],[Last Activity Date]]="","",MAX(0,DATE(2026,9,28)-tblPipelineAudit[[#This Row],[Last Activity Date]])))</f>
        <v>18</v>
      </c>
      <c r="M8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8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89" spans="1:14">
      <c r="A89" t="s">
        <v>5853</v>
      </c>
      <c r="B89" t="s">
        <v>5854</v>
      </c>
      <c r="C89" s="14" t="s">
        <v>706</v>
      </c>
      <c r="D89" s="14" t="s">
        <v>55</v>
      </c>
      <c r="E89" t="s">
        <v>1295</v>
      </c>
      <c r="F89" t="s">
        <v>5686</v>
      </c>
      <c r="G89" s="26">
        <v>82026</v>
      </c>
      <c r="H89" s="27">
        <v>46330</v>
      </c>
      <c r="I89" s="27">
        <v>46267</v>
      </c>
      <c r="J89" t="s">
        <v>5687</v>
      </c>
      <c r="K8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8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8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8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90" spans="1:14">
      <c r="A90" t="s">
        <v>5855</v>
      </c>
      <c r="B90" t="s">
        <v>5856</v>
      </c>
      <c r="C90" s="14" t="s">
        <v>395</v>
      </c>
      <c r="D90" s="14" t="s">
        <v>25</v>
      </c>
      <c r="F90" t="s">
        <v>5740</v>
      </c>
      <c r="G90" s="26">
        <v>8280</v>
      </c>
      <c r="H90" s="27">
        <v>46294</v>
      </c>
      <c r="I90" s="27">
        <v>46281</v>
      </c>
      <c r="J90" t="s">
        <v>5741</v>
      </c>
      <c r="K9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90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9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9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91" spans="1:14">
      <c r="A91" t="s">
        <v>1556</v>
      </c>
      <c r="B91" t="s">
        <v>5857</v>
      </c>
      <c r="C91" s="14" t="s">
        <v>51</v>
      </c>
      <c r="D91" s="14" t="s">
        <v>55</v>
      </c>
      <c r="E91" t="s">
        <v>1317</v>
      </c>
      <c r="F91" t="s">
        <v>5675</v>
      </c>
      <c r="G91" s="26">
        <v>79120</v>
      </c>
      <c r="H91" s="27">
        <v>45484.83116898148</v>
      </c>
      <c r="I91" s="27">
        <v>45510.83116898148</v>
      </c>
      <c r="K9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2" spans="1:14">
      <c r="A92" t="s">
        <v>5858</v>
      </c>
      <c r="B92" t="s">
        <v>5859</v>
      </c>
      <c r="C92" s="14" t="s">
        <v>766</v>
      </c>
      <c r="D92" s="14" t="s">
        <v>91</v>
      </c>
      <c r="F92" t="s">
        <v>5663</v>
      </c>
      <c r="G92" s="26">
        <v>27900</v>
      </c>
      <c r="H92" s="27">
        <v>46279.513715277775</v>
      </c>
      <c r="I92" s="27">
        <v>46248.513715277775</v>
      </c>
      <c r="K9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3" spans="1:14">
      <c r="A93" t="s">
        <v>1466</v>
      </c>
      <c r="B93" t="s">
        <v>5715</v>
      </c>
      <c r="C93" s="14" t="s">
        <v>723</v>
      </c>
      <c r="D93" s="14" t="s">
        <v>36</v>
      </c>
      <c r="E93" t="s">
        <v>1317</v>
      </c>
      <c r="F93" t="s">
        <v>5663</v>
      </c>
      <c r="G93" s="26">
        <v>89148</v>
      </c>
      <c r="H93" s="27">
        <v>45446.941435185188</v>
      </c>
      <c r="I93" s="27">
        <v>45445.941435185188</v>
      </c>
      <c r="K9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4" spans="1:14">
      <c r="A94" t="s">
        <v>1923</v>
      </c>
      <c r="B94" t="s">
        <v>5821</v>
      </c>
      <c r="C94" s="14" t="s">
        <v>957</v>
      </c>
      <c r="D94" s="14" t="s">
        <v>25</v>
      </c>
      <c r="E94" t="s">
        <v>1271</v>
      </c>
      <c r="F94" t="s">
        <v>5675</v>
      </c>
      <c r="G94" s="26">
        <v>22944</v>
      </c>
      <c r="H94" s="27">
        <v>45511.573414351849</v>
      </c>
      <c r="I94" s="27">
        <v>45496.573414351849</v>
      </c>
      <c r="K9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5" spans="1:14">
      <c r="A95" t="s">
        <v>2090</v>
      </c>
      <c r="B95" t="s">
        <v>5860</v>
      </c>
      <c r="C95" s="14" t="s">
        <v>465</v>
      </c>
      <c r="D95" s="14" t="s">
        <v>18</v>
      </c>
      <c r="E95" t="s">
        <v>1339</v>
      </c>
      <c r="F95" t="s">
        <v>5675</v>
      </c>
      <c r="G95" s="26">
        <v>45250</v>
      </c>
      <c r="H95" s="27">
        <v>45924.439432870371</v>
      </c>
      <c r="I95" s="27">
        <v>45924.439432870371</v>
      </c>
      <c r="K9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6" spans="1:14">
      <c r="A96" t="s">
        <v>5861</v>
      </c>
      <c r="B96" t="s">
        <v>5856</v>
      </c>
      <c r="C96" s="14" t="s">
        <v>395</v>
      </c>
      <c r="D96" s="14" t="s">
        <v>25</v>
      </c>
      <c r="F96" t="s">
        <v>5686</v>
      </c>
      <c r="G96" s="26">
        <v>38892</v>
      </c>
      <c r="H96" s="27">
        <v>46372</v>
      </c>
      <c r="I96" s="27">
        <v>46281</v>
      </c>
      <c r="J96" t="s">
        <v>5862</v>
      </c>
      <c r="K9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9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9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9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97" spans="1:14">
      <c r="A97" t="s">
        <v>2561</v>
      </c>
      <c r="B97" t="s">
        <v>5863</v>
      </c>
      <c r="C97" s="14" t="s">
        <v>342</v>
      </c>
      <c r="D97" s="14" t="s">
        <v>69</v>
      </c>
      <c r="E97" t="s">
        <v>1295</v>
      </c>
      <c r="F97" t="s">
        <v>5675</v>
      </c>
      <c r="G97" s="26">
        <v>33132</v>
      </c>
      <c r="H97" s="27">
        <v>45563.79314814815</v>
      </c>
      <c r="I97" s="27">
        <v>45542.79314814815</v>
      </c>
      <c r="K9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8" spans="1:14">
      <c r="A98" t="s">
        <v>5864</v>
      </c>
      <c r="B98" t="s">
        <v>5865</v>
      </c>
      <c r="C98" s="14" t="s">
        <v>852</v>
      </c>
      <c r="D98" s="14" t="s">
        <v>69</v>
      </c>
      <c r="E98" t="s">
        <v>1271</v>
      </c>
      <c r="F98" t="s">
        <v>5663</v>
      </c>
      <c r="G98" s="26">
        <v>17620</v>
      </c>
      <c r="H98" s="27">
        <v>46247.214398148149</v>
      </c>
      <c r="I98" s="27">
        <v>46259.214398148149</v>
      </c>
      <c r="K9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99" spans="1:14">
      <c r="A99" t="s">
        <v>2206</v>
      </c>
      <c r="B99" t="s">
        <v>5867</v>
      </c>
      <c r="C99" s="14" t="s">
        <v>951</v>
      </c>
      <c r="D99" s="14" t="s">
        <v>59</v>
      </c>
      <c r="E99" t="s">
        <v>1413</v>
      </c>
      <c r="F99" t="s">
        <v>5675</v>
      </c>
      <c r="G99" s="26">
        <v>21720</v>
      </c>
      <c r="H99" s="27">
        <v>45882.330069444448</v>
      </c>
      <c r="I99" s="27">
        <v>45866.330069444448</v>
      </c>
      <c r="K9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9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9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9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0" spans="1:14">
      <c r="A100" t="s">
        <v>2568</v>
      </c>
      <c r="B100" t="s">
        <v>5868</v>
      </c>
      <c r="C100" s="14" t="s">
        <v>809</v>
      </c>
      <c r="D100" s="14" t="s">
        <v>82</v>
      </c>
      <c r="E100" t="s">
        <v>1339</v>
      </c>
      <c r="F100" t="s">
        <v>5675</v>
      </c>
      <c r="G100" s="26">
        <v>39560</v>
      </c>
      <c r="H100" s="27">
        <v>46085.834953703707</v>
      </c>
      <c r="I100" s="27">
        <v>46099.834953703707</v>
      </c>
      <c r="K10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1" spans="1:14">
      <c r="A101" t="s">
        <v>2365</v>
      </c>
      <c r="B101" t="s">
        <v>5779</v>
      </c>
      <c r="C101" s="14" t="s">
        <v>780</v>
      </c>
      <c r="D101" s="14" t="s">
        <v>36</v>
      </c>
      <c r="E101" t="s">
        <v>1413</v>
      </c>
      <c r="F101" t="s">
        <v>5663</v>
      </c>
      <c r="G101" s="26">
        <v>37840</v>
      </c>
      <c r="H101" s="27">
        <v>45463.003321759257</v>
      </c>
      <c r="I101" s="27">
        <v>45458.003321759257</v>
      </c>
      <c r="K10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2" spans="1:14">
      <c r="A102" t="s">
        <v>2309</v>
      </c>
      <c r="B102" t="s">
        <v>5854</v>
      </c>
      <c r="C102" s="14" t="s">
        <v>706</v>
      </c>
      <c r="D102" s="14" t="s">
        <v>55</v>
      </c>
      <c r="E102" t="s">
        <v>1295</v>
      </c>
      <c r="F102" t="s">
        <v>5725</v>
      </c>
      <c r="G102" s="26">
        <v>87138</v>
      </c>
      <c r="H102" s="27">
        <v>46295</v>
      </c>
      <c r="I102" s="27">
        <v>46272</v>
      </c>
      <c r="J102" t="s">
        <v>5777</v>
      </c>
      <c r="K10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02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10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0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03" spans="1:14">
      <c r="A103" t="s">
        <v>5869</v>
      </c>
      <c r="B103" t="s">
        <v>5870</v>
      </c>
      <c r="C103" s="14" t="s">
        <v>422</v>
      </c>
      <c r="D103" s="14" t="s">
        <v>91</v>
      </c>
      <c r="F103" t="s">
        <v>5663</v>
      </c>
      <c r="G103" s="26">
        <v>11088</v>
      </c>
      <c r="H103" s="27">
        <v>45373</v>
      </c>
      <c r="I103" s="27">
        <v>45386</v>
      </c>
      <c r="K10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4" spans="1:14">
      <c r="A104" t="s">
        <v>5872</v>
      </c>
      <c r="B104" t="s">
        <v>5873</v>
      </c>
      <c r="C104" s="14" t="s">
        <v>509</v>
      </c>
      <c r="D104" s="14" t="s">
        <v>59</v>
      </c>
      <c r="E104" t="s">
        <v>1295</v>
      </c>
      <c r="F104" t="s">
        <v>5663</v>
      </c>
      <c r="G104" s="26">
        <v>5676</v>
      </c>
      <c r="H104" s="27">
        <v>46099</v>
      </c>
      <c r="I104" s="27">
        <v>46093</v>
      </c>
      <c r="K10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5" spans="1:14">
      <c r="A105" t="s">
        <v>5874</v>
      </c>
      <c r="B105" t="s">
        <v>5821</v>
      </c>
      <c r="C105" s="14" t="s">
        <v>957</v>
      </c>
      <c r="D105" s="14"/>
      <c r="E105" t="s">
        <v>1271</v>
      </c>
      <c r="F105" t="s">
        <v>5740</v>
      </c>
      <c r="G105" s="26">
        <v>27780</v>
      </c>
      <c r="H105" s="27">
        <v>46295</v>
      </c>
      <c r="I105" s="27">
        <v>46284</v>
      </c>
      <c r="J105" t="s">
        <v>5749</v>
      </c>
      <c r="K10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05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10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0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Owner</v>
      </c>
    </row>
    <row r="106" spans="1:14">
      <c r="A106" t="s">
        <v>2221</v>
      </c>
      <c r="B106" t="s">
        <v>5803</v>
      </c>
      <c r="C106" s="14" t="s">
        <v>103</v>
      </c>
      <c r="D106" s="14" t="s">
        <v>69</v>
      </c>
      <c r="E106" t="s">
        <v>1295</v>
      </c>
      <c r="F106" t="s">
        <v>5675</v>
      </c>
      <c r="G106" s="26">
        <v>9348</v>
      </c>
      <c r="H106" s="27">
        <v>46068.699884259258</v>
      </c>
      <c r="I106" s="27">
        <v>46065.699884259258</v>
      </c>
      <c r="K10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7" spans="1:14">
      <c r="A107" t="s">
        <v>2521</v>
      </c>
      <c r="B107" t="s">
        <v>5785</v>
      </c>
      <c r="C107" s="14" t="s">
        <v>891</v>
      </c>
      <c r="D107" s="14" t="s">
        <v>82</v>
      </c>
      <c r="E107" t="s">
        <v>1339</v>
      </c>
      <c r="F107" t="s">
        <v>5675</v>
      </c>
      <c r="G107" s="26">
        <v>44050</v>
      </c>
      <c r="H107" s="27">
        <v>46056.920717592591</v>
      </c>
      <c r="I107" s="27">
        <v>46059.920717592591</v>
      </c>
      <c r="K10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08" spans="1:14">
      <c r="A108" t="s">
        <v>5875</v>
      </c>
      <c r="B108" t="s">
        <v>5876</v>
      </c>
      <c r="C108" s="14" t="s">
        <v>296</v>
      </c>
      <c r="D108" s="14" t="s">
        <v>36</v>
      </c>
      <c r="E108" t="s">
        <v>1271</v>
      </c>
      <c r="F108" t="s">
        <v>5681</v>
      </c>
      <c r="G108" s="26">
        <v>49100</v>
      </c>
      <c r="H108" s="27">
        <v>46348</v>
      </c>
      <c r="I108" s="27">
        <v>46276</v>
      </c>
      <c r="J108" t="s">
        <v>5713</v>
      </c>
      <c r="K10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08">
        <f>IF(OR(tblPipelineAudit[[#This Row],[Stage]]="Closed Won",tblPipelineAudit[[#This Row],[Stage]]="Closed Lost"),"",IF(tblPipelineAudit[[#This Row],[Last Activity Date]]="","",MAX(0,DATE(2026,9,28)-tblPipelineAudit[[#This Row],[Last Activity Date]])))</f>
        <v>17</v>
      </c>
      <c r="M10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0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09" spans="1:14">
      <c r="A109" t="s">
        <v>2553</v>
      </c>
      <c r="B109" t="s">
        <v>5878</v>
      </c>
      <c r="C109" s="14" t="s">
        <v>311</v>
      </c>
      <c r="D109" s="14" t="s">
        <v>36</v>
      </c>
      <c r="E109" t="s">
        <v>1355</v>
      </c>
      <c r="F109" t="s">
        <v>5675</v>
      </c>
      <c r="G109" s="26">
        <v>62436</v>
      </c>
      <c r="H109" s="27">
        <v>45746.56454861111</v>
      </c>
      <c r="I109" s="27">
        <v>45746.56454861111</v>
      </c>
      <c r="K10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0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0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0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10" spans="1:14">
      <c r="A110" t="s">
        <v>1369</v>
      </c>
      <c r="B110" t="s">
        <v>5879</v>
      </c>
      <c r="C110" s="14" t="s">
        <v>577</v>
      </c>
      <c r="D110" s="14" t="s">
        <v>59</v>
      </c>
      <c r="E110" t="s">
        <v>1295</v>
      </c>
      <c r="F110" t="s">
        <v>5675</v>
      </c>
      <c r="G110" s="26">
        <v>31552</v>
      </c>
      <c r="H110" s="27">
        <v>45573.680138888885</v>
      </c>
      <c r="I110" s="27">
        <v>45567.680138888885</v>
      </c>
      <c r="K11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1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1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1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11" spans="1:14">
      <c r="A111" t="s">
        <v>5880</v>
      </c>
      <c r="B111" t="s">
        <v>5881</v>
      </c>
      <c r="C111" s="14" t="s">
        <v>533</v>
      </c>
      <c r="D111" s="14" t="s">
        <v>18</v>
      </c>
      <c r="E111" t="s">
        <v>1339</v>
      </c>
      <c r="F111" t="s">
        <v>5686</v>
      </c>
      <c r="G111" s="26">
        <v>26010</v>
      </c>
      <c r="H111" s="27">
        <v>46352</v>
      </c>
      <c r="I111" s="27">
        <v>46287</v>
      </c>
      <c r="J111" t="s">
        <v>5862</v>
      </c>
      <c r="K11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1">
        <f>IF(OR(tblPipelineAudit[[#This Row],[Stage]]="Closed Won",tblPipelineAudit[[#This Row],[Stage]]="Closed Lost"),"",IF(tblPipelineAudit[[#This Row],[Last Activity Date]]="","",MAX(0,DATE(2026,9,28)-tblPipelineAudit[[#This Row],[Last Activity Date]])))</f>
        <v>6</v>
      </c>
      <c r="M11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1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12" spans="1:14">
      <c r="A112" t="s">
        <v>5883</v>
      </c>
      <c r="B112" t="s">
        <v>5884</v>
      </c>
      <c r="C112" s="14" t="s">
        <v>137</v>
      </c>
      <c r="D112" s="14" t="s">
        <v>82</v>
      </c>
      <c r="E112" t="s">
        <v>1317</v>
      </c>
      <c r="F112" t="s">
        <v>5725</v>
      </c>
      <c r="G112" s="26">
        <v>73520</v>
      </c>
      <c r="H112" s="27">
        <v>46302</v>
      </c>
      <c r="I112" s="27">
        <v>46289</v>
      </c>
      <c r="J112" t="s">
        <v>5753</v>
      </c>
      <c r="K11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2">
        <f>IF(OR(tblPipelineAudit[[#This Row],[Stage]]="Closed Won",tblPipelineAudit[[#This Row],[Stage]]="Closed Lost"),"",IF(tblPipelineAudit[[#This Row],[Last Activity Date]]="","",MAX(0,DATE(2026,9,28)-tblPipelineAudit[[#This Row],[Last Activity Date]])))</f>
        <v>4</v>
      </c>
      <c r="M11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1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13" spans="1:14">
      <c r="A113" t="s">
        <v>1576</v>
      </c>
      <c r="B113" t="s">
        <v>5886</v>
      </c>
      <c r="C113" s="14" t="s">
        <v>209</v>
      </c>
      <c r="D113" s="14" t="s">
        <v>55</v>
      </c>
      <c r="E113" t="s">
        <v>1295</v>
      </c>
      <c r="F113" t="s">
        <v>5675</v>
      </c>
      <c r="G113" s="26">
        <v>63648</v>
      </c>
      <c r="H113" s="27">
        <v>45859.751689814817</v>
      </c>
      <c r="I113" s="27">
        <v>45828.751689814817</v>
      </c>
      <c r="K11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1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1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1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14" spans="1:14">
      <c r="A114" t="s">
        <v>1536</v>
      </c>
      <c r="B114" t="s">
        <v>5887</v>
      </c>
      <c r="C114" s="14" t="s">
        <v>772</v>
      </c>
      <c r="D114" s="14" t="s">
        <v>91</v>
      </c>
      <c r="E114" t="s">
        <v>1295</v>
      </c>
      <c r="F114" t="s">
        <v>5681</v>
      </c>
      <c r="G114" s="26">
        <v>11568</v>
      </c>
      <c r="H114" s="27">
        <v>46355</v>
      </c>
      <c r="I114" s="27">
        <v>46274</v>
      </c>
      <c r="J114" t="s">
        <v>5713</v>
      </c>
      <c r="K11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4">
        <f>IF(OR(tblPipelineAudit[[#This Row],[Stage]]="Closed Won",tblPipelineAudit[[#This Row],[Stage]]="Closed Lost"),"",IF(tblPipelineAudit[[#This Row],[Last Activity Date]]="","",MAX(0,DATE(2026,9,28)-tblPipelineAudit[[#This Row],[Last Activity Date]])))</f>
        <v>19</v>
      </c>
      <c r="M11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1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15" spans="1:14">
      <c r="A115" t="s">
        <v>5888</v>
      </c>
      <c r="B115" t="s">
        <v>5889</v>
      </c>
      <c r="C115" s="14" t="s">
        <v>92</v>
      </c>
      <c r="D115" s="14" t="s">
        <v>91</v>
      </c>
      <c r="E115" t="s">
        <v>1413</v>
      </c>
      <c r="F115" t="s">
        <v>5669</v>
      </c>
      <c r="G115" s="26">
        <v>25636</v>
      </c>
      <c r="H115" s="27">
        <v>46300</v>
      </c>
      <c r="I115" s="27">
        <v>46280</v>
      </c>
      <c r="J115" t="s">
        <v>5671</v>
      </c>
      <c r="K11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5">
        <f>IF(OR(tblPipelineAudit[[#This Row],[Stage]]="Closed Won",tblPipelineAudit[[#This Row],[Stage]]="Closed Lost"),"",IF(tblPipelineAudit[[#This Row],[Last Activity Date]]="","",MAX(0,DATE(2026,9,28)-tblPipelineAudit[[#This Row],[Last Activity Date]])))</f>
        <v>13</v>
      </c>
      <c r="M11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1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16" spans="1:14">
      <c r="A116" t="s">
        <v>2358</v>
      </c>
      <c r="B116" t="s">
        <v>5890</v>
      </c>
      <c r="C116" s="14" t="s">
        <v>1025</v>
      </c>
      <c r="D116" s="14" t="s">
        <v>18</v>
      </c>
      <c r="E116" t="s">
        <v>1288</v>
      </c>
      <c r="F116" t="s">
        <v>5663</v>
      </c>
      <c r="G116" s="26">
        <v>77440</v>
      </c>
      <c r="H116" s="27">
        <v>45553.077314814815</v>
      </c>
      <c r="I116" s="27">
        <v>45552.077314814815</v>
      </c>
      <c r="K11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1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1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1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17" spans="1:14">
      <c r="A117" t="s">
        <v>1408</v>
      </c>
      <c r="B117" t="s">
        <v>5884</v>
      </c>
      <c r="C117" s="14" t="s">
        <v>137</v>
      </c>
      <c r="D117" s="14" t="s">
        <v>82</v>
      </c>
      <c r="F117" t="s">
        <v>5663</v>
      </c>
      <c r="G117" s="26">
        <v>44608</v>
      </c>
      <c r="H117" s="27">
        <v>45221.169074074074</v>
      </c>
      <c r="I117" s="27">
        <v>45216.169074074074</v>
      </c>
      <c r="K11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1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1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1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18" spans="1:14">
      <c r="A118" t="s">
        <v>5891</v>
      </c>
      <c r="B118" t="s">
        <v>5892</v>
      </c>
      <c r="C118" s="14" t="s">
        <v>885</v>
      </c>
      <c r="D118" s="14" t="s">
        <v>25</v>
      </c>
      <c r="E118" t="s">
        <v>1288</v>
      </c>
      <c r="F118" t="s">
        <v>5740</v>
      </c>
      <c r="G118" s="26">
        <v>21888</v>
      </c>
      <c r="H118" s="27">
        <v>46297</v>
      </c>
      <c r="I118" s="27">
        <v>46243</v>
      </c>
      <c r="K11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8">
        <f>IF(OR(tblPipelineAudit[[#This Row],[Stage]]="Closed Won",tblPipelineAudit[[#This Row],[Stage]]="Closed Lost"),"",IF(tblPipelineAudit[[#This Row],[Last Activity Date]]="","",MAX(0,DATE(2026,9,28)-tblPipelineAudit[[#This Row],[Last Activity Date]])))</f>
        <v>50</v>
      </c>
      <c r="M11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11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119" spans="1:14">
      <c r="A119" t="s">
        <v>5893</v>
      </c>
      <c r="B119" t="s">
        <v>5894</v>
      </c>
      <c r="C119" s="14" t="s">
        <v>651</v>
      </c>
      <c r="D119" s="14" t="s">
        <v>25</v>
      </c>
      <c r="E119" t="s">
        <v>1271</v>
      </c>
      <c r="F119" t="s">
        <v>5681</v>
      </c>
      <c r="G119" s="26">
        <v>38850</v>
      </c>
      <c r="H119" s="27">
        <v>46332</v>
      </c>
      <c r="I119" s="27">
        <v>46277</v>
      </c>
      <c r="J119" t="s">
        <v>5699</v>
      </c>
      <c r="K11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19">
        <f>IF(OR(tblPipelineAudit[[#This Row],[Stage]]="Closed Won",tblPipelineAudit[[#This Row],[Stage]]="Closed Lost"),"",IF(tblPipelineAudit[[#This Row],[Last Activity Date]]="","",MAX(0,DATE(2026,9,28)-tblPipelineAudit[[#This Row],[Last Activity Date]])))</f>
        <v>16</v>
      </c>
      <c r="M11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1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20" spans="1:14">
      <c r="A120" t="s">
        <v>5896</v>
      </c>
      <c r="B120" t="s">
        <v>5897</v>
      </c>
      <c r="C120" s="14" t="s">
        <v>530</v>
      </c>
      <c r="D120" s="14" t="s">
        <v>25</v>
      </c>
      <c r="E120" t="s">
        <v>1288</v>
      </c>
      <c r="F120" t="s">
        <v>5725</v>
      </c>
      <c r="G120" s="26">
        <v>18520</v>
      </c>
      <c r="H120" s="27">
        <v>46255</v>
      </c>
      <c r="I120" s="27">
        <v>46265</v>
      </c>
      <c r="J120" t="s">
        <v>5726</v>
      </c>
      <c r="K12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38</v>
      </c>
      <c r="L12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28</v>
      </c>
      <c r="M12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2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21" spans="1:14">
      <c r="A121" t="s">
        <v>5899</v>
      </c>
      <c r="B121" t="s">
        <v>5900</v>
      </c>
      <c r="C121" s="14" t="s">
        <v>680</v>
      </c>
      <c r="D121" s="14" t="s">
        <v>82</v>
      </c>
      <c r="F121" t="s">
        <v>5669</v>
      </c>
      <c r="G121" s="26">
        <v>65520</v>
      </c>
      <c r="H121" s="27">
        <v>46324</v>
      </c>
      <c r="I121" s="27">
        <v>46269</v>
      </c>
      <c r="J121" t="s">
        <v>5671</v>
      </c>
      <c r="K12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2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12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2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122" spans="1:14">
      <c r="A122" t="s">
        <v>1817</v>
      </c>
      <c r="B122" t="s">
        <v>5901</v>
      </c>
      <c r="C122" s="14" t="s">
        <v>56</v>
      </c>
      <c r="D122" s="14" t="s">
        <v>59</v>
      </c>
      <c r="E122" t="s">
        <v>1339</v>
      </c>
      <c r="F122" t="s">
        <v>5691</v>
      </c>
      <c r="G122" s="26">
        <v>28692</v>
      </c>
      <c r="H122" s="27">
        <v>46348</v>
      </c>
      <c r="I122" s="27">
        <v>46283</v>
      </c>
      <c r="K12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22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12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2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123" spans="1:14">
      <c r="A123" t="s">
        <v>5902</v>
      </c>
      <c r="B123" t="s">
        <v>5903</v>
      </c>
      <c r="C123" s="14" t="s">
        <v>240</v>
      </c>
      <c r="D123" s="14" t="s">
        <v>55</v>
      </c>
      <c r="E123" t="s">
        <v>1281</v>
      </c>
      <c r="F123" t="s">
        <v>5663</v>
      </c>
      <c r="G123" s="26">
        <v>25424</v>
      </c>
      <c r="H123" s="27">
        <v>45615</v>
      </c>
      <c r="I123" s="27">
        <v>45643</v>
      </c>
      <c r="K12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2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2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2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24" spans="1:14">
      <c r="A124" t="s">
        <v>5904</v>
      </c>
      <c r="B124" t="s">
        <v>5905</v>
      </c>
      <c r="C124" s="14" t="s">
        <v>345</v>
      </c>
      <c r="D124" s="14" t="s">
        <v>91</v>
      </c>
      <c r="E124" t="s">
        <v>1413</v>
      </c>
      <c r="F124" t="s">
        <v>5740</v>
      </c>
      <c r="G124" s="26">
        <v>11184</v>
      </c>
      <c r="H124" s="27">
        <v>46277</v>
      </c>
      <c r="I124" s="27">
        <v>46238</v>
      </c>
      <c r="J124" t="s">
        <v>5845</v>
      </c>
      <c r="K12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16</v>
      </c>
      <c r="L124">
        <f>IF(OR(tblPipelineAudit[[#This Row],[Stage]]="Closed Won",tblPipelineAudit[[#This Row],[Stage]]="Closed Lost"),"",IF(tblPipelineAudit[[#This Row],[Last Activity Date]]="","",MAX(0,DATE(2026,9,28)-tblPipelineAudit[[#This Row],[Last Activity Date]])))</f>
        <v>55</v>
      </c>
      <c r="M12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 + Overdue</v>
      </c>
      <c r="N12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25" spans="1:14">
      <c r="A125" t="s">
        <v>1999</v>
      </c>
      <c r="B125" t="s">
        <v>5673</v>
      </c>
      <c r="C125" s="14" t="s">
        <v>240</v>
      </c>
      <c r="D125" s="14" t="s">
        <v>55</v>
      </c>
      <c r="E125" t="s">
        <v>1281</v>
      </c>
      <c r="F125" t="s">
        <v>5675</v>
      </c>
      <c r="G125" s="26">
        <v>41400</v>
      </c>
      <c r="H125" s="27">
        <v>45297.692407407405</v>
      </c>
      <c r="I125" s="27">
        <v>45264.692407407405</v>
      </c>
      <c r="K12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2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2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2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26" spans="1:14">
      <c r="A126" t="s">
        <v>1311</v>
      </c>
      <c r="B126" t="s">
        <v>5907</v>
      </c>
      <c r="C126" s="14" t="s">
        <v>977</v>
      </c>
      <c r="D126" s="14" t="s">
        <v>25</v>
      </c>
      <c r="E126" t="s">
        <v>1271</v>
      </c>
      <c r="F126" t="s">
        <v>5740</v>
      </c>
      <c r="G126" s="26">
        <v>15824</v>
      </c>
      <c r="H126" s="27">
        <v>46316</v>
      </c>
      <c r="I126" s="27">
        <v>46285</v>
      </c>
      <c r="J126" t="s">
        <v>5749</v>
      </c>
      <c r="K12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26">
        <f>IF(OR(tblPipelineAudit[[#This Row],[Stage]]="Closed Won",tblPipelineAudit[[#This Row],[Stage]]="Closed Lost"),"",IF(tblPipelineAudit[[#This Row],[Last Activity Date]]="","",MAX(0,DATE(2026,9,28)-tblPipelineAudit[[#This Row],[Last Activity Date]])))</f>
        <v>8</v>
      </c>
      <c r="M12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2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27" spans="1:14">
      <c r="A127" t="s">
        <v>1747</v>
      </c>
      <c r="B127" t="s">
        <v>5908</v>
      </c>
      <c r="C127" s="14" t="s">
        <v>803</v>
      </c>
      <c r="D127" s="14" t="s">
        <v>18</v>
      </c>
      <c r="E127" t="s">
        <v>1355</v>
      </c>
      <c r="F127" t="s">
        <v>5675</v>
      </c>
      <c r="G127" s="26">
        <v>40650</v>
      </c>
      <c r="H127" s="27">
        <v>46205.372731481482</v>
      </c>
      <c r="I127" s="27">
        <v>46210.372731481482</v>
      </c>
      <c r="K12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2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2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2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28" spans="1:14">
      <c r="A128" t="s">
        <v>1742</v>
      </c>
      <c r="B128" t="s">
        <v>5909</v>
      </c>
      <c r="C128" s="14" t="s">
        <v>265</v>
      </c>
      <c r="D128" s="14" t="s">
        <v>82</v>
      </c>
      <c r="E128" t="s">
        <v>1317</v>
      </c>
      <c r="F128" t="s">
        <v>5675</v>
      </c>
      <c r="G128" s="26">
        <v>63648</v>
      </c>
      <c r="H128" s="27">
        <v>46054.226030092592</v>
      </c>
      <c r="I128" s="27">
        <v>46033.226030092592</v>
      </c>
      <c r="K12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2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2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2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29" spans="1:14">
      <c r="A129" t="s">
        <v>2252</v>
      </c>
      <c r="B129" t="s">
        <v>5797</v>
      </c>
      <c r="C129" s="14" t="s">
        <v>183</v>
      </c>
      <c r="D129" s="14" t="s">
        <v>25</v>
      </c>
      <c r="F129" t="s">
        <v>5675</v>
      </c>
      <c r="G129" s="26">
        <v>27540</v>
      </c>
      <c r="H129" s="27">
        <v>45227.146631944444</v>
      </c>
      <c r="I129" s="27">
        <v>45224.146631944444</v>
      </c>
      <c r="K12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2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2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2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0" spans="1:14">
      <c r="A130" t="s">
        <v>5910</v>
      </c>
      <c r="B130" t="s">
        <v>5736</v>
      </c>
      <c r="C130" s="14" t="s">
        <v>600</v>
      </c>
      <c r="D130" s="14" t="s">
        <v>25</v>
      </c>
      <c r="E130" t="s">
        <v>1295</v>
      </c>
      <c r="F130" t="s">
        <v>5686</v>
      </c>
      <c r="G130" s="26">
        <v>38600</v>
      </c>
      <c r="H130" s="27">
        <v>46326</v>
      </c>
      <c r="I130" s="27">
        <v>46269</v>
      </c>
      <c r="J130" t="s">
        <v>5687</v>
      </c>
      <c r="K13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3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13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3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31" spans="1:14">
      <c r="A131" t="s">
        <v>5911</v>
      </c>
      <c r="B131" t="s">
        <v>5912</v>
      </c>
      <c r="C131" s="14" t="s">
        <v>942</v>
      </c>
      <c r="D131" s="14" t="s">
        <v>55</v>
      </c>
      <c r="E131" t="s">
        <v>1413</v>
      </c>
      <c r="F131" t="s">
        <v>5663</v>
      </c>
      <c r="G131" s="26">
        <v>35834</v>
      </c>
      <c r="H131" s="27">
        <v>45664</v>
      </c>
      <c r="I131" s="27">
        <v>45663</v>
      </c>
      <c r="K13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2" spans="1:14">
      <c r="A132" t="s">
        <v>1571</v>
      </c>
      <c r="B132" t="s">
        <v>5678</v>
      </c>
      <c r="C132" s="14" t="s">
        <v>73</v>
      </c>
      <c r="D132" s="14" t="s">
        <v>36</v>
      </c>
      <c r="E132" t="s">
        <v>1317</v>
      </c>
      <c r="F132" t="s">
        <v>5691</v>
      </c>
      <c r="G132" s="26">
        <v>49200</v>
      </c>
      <c r="H132" s="27">
        <v>46342</v>
      </c>
      <c r="I132" s="27">
        <v>46281</v>
      </c>
      <c r="J132" t="s">
        <v>5801</v>
      </c>
      <c r="K13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32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13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3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33" spans="1:14">
      <c r="A133" t="s">
        <v>5913</v>
      </c>
      <c r="B133" t="s">
        <v>5914</v>
      </c>
      <c r="C133" s="14" t="s">
        <v>165</v>
      </c>
      <c r="D133" s="14" t="s">
        <v>25</v>
      </c>
      <c r="E133" t="s">
        <v>1295</v>
      </c>
      <c r="F133" t="s">
        <v>5663</v>
      </c>
      <c r="G133" s="26">
        <v>18720</v>
      </c>
      <c r="H133" s="27">
        <v>46000.616377314815</v>
      </c>
      <c r="I133" s="27">
        <v>46007.616377314815</v>
      </c>
      <c r="K13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4" spans="1:14">
      <c r="A134" t="s">
        <v>2175</v>
      </c>
      <c r="B134" t="s">
        <v>5912</v>
      </c>
      <c r="C134" s="14" t="s">
        <v>942</v>
      </c>
      <c r="D134" s="14" t="s">
        <v>55</v>
      </c>
      <c r="E134" t="s">
        <v>1281</v>
      </c>
      <c r="F134" t="s">
        <v>5663</v>
      </c>
      <c r="G134" s="26">
        <v>62208</v>
      </c>
      <c r="H134" s="27">
        <v>45035.75854166667</v>
      </c>
      <c r="I134" s="27">
        <v>45014.75854166667</v>
      </c>
      <c r="K13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5" spans="1:14">
      <c r="A135" t="s">
        <v>5916</v>
      </c>
      <c r="B135" t="s">
        <v>5917</v>
      </c>
      <c r="C135" s="14" t="s">
        <v>623</v>
      </c>
      <c r="D135" s="14" t="s">
        <v>91</v>
      </c>
      <c r="E135" t="s">
        <v>1317</v>
      </c>
      <c r="F135" t="s">
        <v>5740</v>
      </c>
      <c r="G135" s="26">
        <v>14148</v>
      </c>
      <c r="H135" s="27">
        <v>46319</v>
      </c>
      <c r="I135" s="27">
        <v>46273</v>
      </c>
      <c r="J135" t="s">
        <v>5845</v>
      </c>
      <c r="K13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35">
        <f>IF(OR(tblPipelineAudit[[#This Row],[Stage]]="Closed Won",tblPipelineAudit[[#This Row],[Stage]]="Closed Lost"),"",IF(tblPipelineAudit[[#This Row],[Last Activity Date]]="","",MAX(0,DATE(2026,9,28)-tblPipelineAudit[[#This Row],[Last Activity Date]])))</f>
        <v>20</v>
      </c>
      <c r="M13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3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36" spans="1:14">
      <c r="A136" t="s">
        <v>1719</v>
      </c>
      <c r="B136" t="s">
        <v>5918</v>
      </c>
      <c r="C136" s="14" t="s">
        <v>509</v>
      </c>
      <c r="D136" s="14" t="s">
        <v>59</v>
      </c>
      <c r="E136" t="s">
        <v>1295</v>
      </c>
      <c r="F136" t="s">
        <v>5663</v>
      </c>
      <c r="G136" s="26">
        <v>15030</v>
      </c>
      <c r="H136" s="27">
        <v>45380.489317129628</v>
      </c>
      <c r="I136" s="27">
        <v>45389.489317129628</v>
      </c>
      <c r="K13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7" spans="1:14">
      <c r="A137" t="s">
        <v>5919</v>
      </c>
      <c r="B137" t="s">
        <v>5920</v>
      </c>
      <c r="C137" s="14" t="s">
        <v>945</v>
      </c>
      <c r="D137" s="14" t="s">
        <v>82</v>
      </c>
      <c r="E137" t="s">
        <v>1355</v>
      </c>
      <c r="F137" t="s">
        <v>5663</v>
      </c>
      <c r="G137" s="26">
        <v>33012</v>
      </c>
      <c r="H137" s="27">
        <v>46070</v>
      </c>
      <c r="I137" s="27">
        <v>46034</v>
      </c>
      <c r="K13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8" spans="1:14">
      <c r="A138" t="s">
        <v>5921</v>
      </c>
      <c r="B138" t="s">
        <v>5922</v>
      </c>
      <c r="C138" s="14" t="s">
        <v>748</v>
      </c>
      <c r="D138" s="14" t="s">
        <v>36</v>
      </c>
      <c r="E138" t="s">
        <v>1288</v>
      </c>
      <c r="F138" t="s">
        <v>5663</v>
      </c>
      <c r="G138" s="26">
        <v>53186</v>
      </c>
      <c r="H138" s="27">
        <v>46060.803912037038</v>
      </c>
      <c r="I138" s="27">
        <v>46048.803912037038</v>
      </c>
      <c r="K13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3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3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3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39" spans="1:14">
      <c r="A139" t="s">
        <v>2377</v>
      </c>
      <c r="B139" t="s">
        <v>5923</v>
      </c>
      <c r="C139" s="14" t="s">
        <v>876</v>
      </c>
      <c r="D139" s="14" t="s">
        <v>82</v>
      </c>
      <c r="E139" t="s">
        <v>1413</v>
      </c>
      <c r="F139" t="s">
        <v>5740</v>
      </c>
      <c r="G139" s="26">
        <v>32676</v>
      </c>
      <c r="H139" s="27">
        <v>46258</v>
      </c>
      <c r="I139" s="27">
        <v>46266</v>
      </c>
      <c r="J139" t="s">
        <v>5741</v>
      </c>
      <c r="K13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35</v>
      </c>
      <c r="L13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27</v>
      </c>
      <c r="M13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3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40" spans="1:14">
      <c r="A140" t="s">
        <v>2443</v>
      </c>
      <c r="B140" t="s">
        <v>5924</v>
      </c>
      <c r="C140" s="14" t="s">
        <v>246</v>
      </c>
      <c r="D140" s="14" t="s">
        <v>36</v>
      </c>
      <c r="E140" t="s">
        <v>1288</v>
      </c>
      <c r="F140" t="s">
        <v>5725</v>
      </c>
      <c r="G140" s="26">
        <v>82368</v>
      </c>
      <c r="H140" s="27">
        <v>46298</v>
      </c>
      <c r="I140" s="27">
        <v>46288</v>
      </c>
      <c r="J140" t="s">
        <v>5726</v>
      </c>
      <c r="K14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40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14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4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41" spans="1:14">
      <c r="A141" t="s">
        <v>5925</v>
      </c>
      <c r="B141" t="s">
        <v>5797</v>
      </c>
      <c r="C141" s="14" t="s">
        <v>183</v>
      </c>
      <c r="D141" s="14" t="s">
        <v>25</v>
      </c>
      <c r="E141" t="s">
        <v>1317</v>
      </c>
      <c r="F141" t="s">
        <v>5686</v>
      </c>
      <c r="G141" s="26">
        <v>15024</v>
      </c>
      <c r="H141" s="27">
        <v>46351</v>
      </c>
      <c r="I141" s="27">
        <v>46286</v>
      </c>
      <c r="J141" t="s">
        <v>5687</v>
      </c>
      <c r="K14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41">
        <f>IF(OR(tblPipelineAudit[[#This Row],[Stage]]="Closed Won",tblPipelineAudit[[#This Row],[Stage]]="Closed Lost"),"",IF(tblPipelineAudit[[#This Row],[Last Activity Date]]="","",MAX(0,DATE(2026,9,28)-tblPipelineAudit[[#This Row],[Last Activity Date]])))</f>
        <v>7</v>
      </c>
      <c r="M14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4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42" spans="1:14">
      <c r="A142" t="s">
        <v>1382</v>
      </c>
      <c r="B142" t="s">
        <v>5926</v>
      </c>
      <c r="C142" s="14" t="s">
        <v>230</v>
      </c>
      <c r="D142" s="14" t="s">
        <v>91</v>
      </c>
      <c r="E142" t="s">
        <v>1288</v>
      </c>
      <c r="F142" t="s">
        <v>5681</v>
      </c>
      <c r="G142" s="26">
        <v>31314</v>
      </c>
      <c r="H142" s="27">
        <v>46362</v>
      </c>
      <c r="I142" s="27">
        <v>46289</v>
      </c>
      <c r="J142" t="s">
        <v>5682</v>
      </c>
      <c r="K14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42">
        <f>IF(OR(tblPipelineAudit[[#This Row],[Stage]]="Closed Won",tblPipelineAudit[[#This Row],[Stage]]="Closed Lost"),"",IF(tblPipelineAudit[[#This Row],[Last Activity Date]]="","",MAX(0,DATE(2026,9,28)-tblPipelineAudit[[#This Row],[Last Activity Date]])))</f>
        <v>4</v>
      </c>
      <c r="M14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4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43" spans="1:14">
      <c r="A143" t="s">
        <v>1561</v>
      </c>
      <c r="B143" t="s">
        <v>5927</v>
      </c>
      <c r="C143" s="14" t="s">
        <v>382</v>
      </c>
      <c r="D143" s="14" t="s">
        <v>18</v>
      </c>
      <c r="E143" t="s">
        <v>1355</v>
      </c>
      <c r="F143" t="s">
        <v>5675</v>
      </c>
      <c r="G143" s="26">
        <v>67104</v>
      </c>
      <c r="H143" s="27">
        <v>45504.457916666666</v>
      </c>
      <c r="I143" s="27">
        <v>45516.457916666666</v>
      </c>
      <c r="K14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4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4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4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44" spans="1:14">
      <c r="A144" t="s">
        <v>5928</v>
      </c>
      <c r="B144" t="s">
        <v>5781</v>
      </c>
      <c r="C144" s="14" t="s">
        <v>360</v>
      </c>
      <c r="D144" s="14" t="s">
        <v>59</v>
      </c>
      <c r="E144" t="s">
        <v>1413</v>
      </c>
      <c r="F144" t="s">
        <v>5663</v>
      </c>
      <c r="G144" s="26">
        <v>28650</v>
      </c>
      <c r="H144" s="27">
        <v>45817.626736111109</v>
      </c>
      <c r="I144" s="27">
        <v>45814.626736111109</v>
      </c>
      <c r="K14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4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4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4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45" spans="1:14">
      <c r="A145" t="s">
        <v>2114</v>
      </c>
      <c r="B145" t="s">
        <v>5775</v>
      </c>
      <c r="C145" s="14" t="s">
        <v>918</v>
      </c>
      <c r="D145" s="14" t="s">
        <v>36</v>
      </c>
      <c r="E145" t="s">
        <v>1413</v>
      </c>
      <c r="F145" t="s">
        <v>5663</v>
      </c>
      <c r="G145" s="26">
        <v>83420</v>
      </c>
      <c r="H145" s="27">
        <v>44901.677152777775</v>
      </c>
      <c r="I145" s="27">
        <v>44898.677152777775</v>
      </c>
      <c r="K14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4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4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4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46" spans="1:14">
      <c r="A146" t="s">
        <v>5929</v>
      </c>
      <c r="B146" t="s">
        <v>5930</v>
      </c>
      <c r="C146" s="14" t="s">
        <v>453</v>
      </c>
      <c r="D146" s="14" t="s">
        <v>59</v>
      </c>
      <c r="F146" t="s">
        <v>5681</v>
      </c>
      <c r="G146" s="26">
        <v>34632</v>
      </c>
      <c r="H146" s="27">
        <v>46323</v>
      </c>
      <c r="I146" s="27">
        <v>46272</v>
      </c>
      <c r="K14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4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14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4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Source; Missing Next Step</v>
      </c>
    </row>
    <row r="147" spans="1:14">
      <c r="A147" t="s">
        <v>2537</v>
      </c>
      <c r="B147" t="s">
        <v>5931</v>
      </c>
      <c r="C147" s="14" t="s">
        <v>789</v>
      </c>
      <c r="D147" s="14" t="s">
        <v>59</v>
      </c>
      <c r="E147" t="s">
        <v>1288</v>
      </c>
      <c r="F147" t="s">
        <v>5675</v>
      </c>
      <c r="G147" s="26">
        <v>27584</v>
      </c>
      <c r="H147" s="27">
        <v>46025.729641203703</v>
      </c>
      <c r="I147" s="27">
        <v>46023.729641203703</v>
      </c>
      <c r="K14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4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4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4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48" spans="1:14">
      <c r="A148" t="s">
        <v>5932</v>
      </c>
      <c r="B148" t="s">
        <v>5933</v>
      </c>
      <c r="C148" s="14" t="s">
        <v>963</v>
      </c>
      <c r="D148" s="14" t="s">
        <v>36</v>
      </c>
      <c r="E148" t="s">
        <v>1413</v>
      </c>
      <c r="F148" t="s">
        <v>5686</v>
      </c>
      <c r="G148" s="26">
        <v>32606</v>
      </c>
      <c r="H148" s="27">
        <v>46338</v>
      </c>
      <c r="I148" s="27">
        <v>46268</v>
      </c>
      <c r="J148" t="s">
        <v>5687</v>
      </c>
      <c r="K14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48">
        <f>IF(OR(tblPipelineAudit[[#This Row],[Stage]]="Closed Won",tblPipelineAudit[[#This Row],[Stage]]="Closed Lost"),"",IF(tblPipelineAudit[[#This Row],[Last Activity Date]]="","",MAX(0,DATE(2026,9,28)-tblPipelineAudit[[#This Row],[Last Activity Date]])))</f>
        <v>25</v>
      </c>
      <c r="M14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4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49" spans="1:14">
      <c r="A149" t="s">
        <v>1324</v>
      </c>
      <c r="B149" t="s">
        <v>5935</v>
      </c>
      <c r="C149" s="14" t="s">
        <v>703</v>
      </c>
      <c r="D149" s="14" t="s">
        <v>25</v>
      </c>
      <c r="E149" t="s">
        <v>1288</v>
      </c>
      <c r="F149" t="s">
        <v>5675</v>
      </c>
      <c r="G149" s="26">
        <v>11616</v>
      </c>
      <c r="H149" s="27">
        <v>45613.728043981479</v>
      </c>
      <c r="I149" s="27">
        <v>45599.728043981479</v>
      </c>
      <c r="K14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4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4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4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0" spans="1:14">
      <c r="A150" t="s">
        <v>2513</v>
      </c>
      <c r="B150" t="s">
        <v>5786</v>
      </c>
      <c r="C150" s="14" t="s">
        <v>612</v>
      </c>
      <c r="D150" s="14" t="s">
        <v>82</v>
      </c>
      <c r="E150" t="s">
        <v>1288</v>
      </c>
      <c r="F150" t="s">
        <v>5740</v>
      </c>
      <c r="G150" s="26">
        <v>52380</v>
      </c>
      <c r="H150" s="27">
        <v>46281</v>
      </c>
      <c r="I150" s="27">
        <v>46271</v>
      </c>
      <c r="J150" t="s">
        <v>5749</v>
      </c>
      <c r="K15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12</v>
      </c>
      <c r="L15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22</v>
      </c>
      <c r="M15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5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51" spans="1:14">
      <c r="A151" t="s">
        <v>1350</v>
      </c>
      <c r="B151" t="s">
        <v>5936</v>
      </c>
      <c r="C151" s="14" t="s">
        <v>975</v>
      </c>
      <c r="D151" s="14" t="s">
        <v>25</v>
      </c>
      <c r="E151" t="s">
        <v>1317</v>
      </c>
      <c r="F151" t="s">
        <v>5663</v>
      </c>
      <c r="G151" s="26">
        <v>24930</v>
      </c>
      <c r="H151" s="27">
        <v>45706.744942129626</v>
      </c>
      <c r="I151" s="27">
        <v>45733.744942129626</v>
      </c>
      <c r="K15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2" spans="1:14">
      <c r="A152" t="s">
        <v>5937</v>
      </c>
      <c r="B152" t="s">
        <v>5763</v>
      </c>
      <c r="C152" s="14" t="s">
        <v>739</v>
      </c>
      <c r="D152" s="14" t="s">
        <v>36</v>
      </c>
      <c r="E152" t="s">
        <v>1271</v>
      </c>
      <c r="F152" t="s">
        <v>5663</v>
      </c>
      <c r="G152" s="26">
        <v>90528</v>
      </c>
      <c r="H152" s="27">
        <v>46032</v>
      </c>
      <c r="I152" s="27">
        <v>46059</v>
      </c>
      <c r="K15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3" spans="1:14">
      <c r="A153" t="s">
        <v>5939</v>
      </c>
      <c r="B153" t="s">
        <v>5940</v>
      </c>
      <c r="C153" s="14" t="s">
        <v>906</v>
      </c>
      <c r="D153" s="14" t="s">
        <v>82</v>
      </c>
      <c r="E153" t="s">
        <v>1355</v>
      </c>
      <c r="F153" t="s">
        <v>5681</v>
      </c>
      <c r="G153" s="26">
        <v>82632</v>
      </c>
      <c r="H153" s="27">
        <v>46344</v>
      </c>
      <c r="I153" s="27">
        <v>46270</v>
      </c>
      <c r="J153" t="s">
        <v>5699</v>
      </c>
      <c r="K15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5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23</v>
      </c>
      <c r="M15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5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54" spans="1:14">
      <c r="A154" t="s">
        <v>5941</v>
      </c>
      <c r="B154" t="s">
        <v>5942</v>
      </c>
      <c r="C154" s="14" t="s">
        <v>763</v>
      </c>
      <c r="D154" s="14" t="s">
        <v>18</v>
      </c>
      <c r="E154" t="s">
        <v>1317</v>
      </c>
      <c r="F154" t="s">
        <v>5663</v>
      </c>
      <c r="G154" s="26">
        <v>10320</v>
      </c>
      <c r="H154" s="27">
        <v>45503.647118055553</v>
      </c>
      <c r="I154" s="27">
        <v>45467.647118055553</v>
      </c>
      <c r="K15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5" spans="1:14">
      <c r="A155" t="s">
        <v>2123</v>
      </c>
      <c r="B155" t="s">
        <v>5944</v>
      </c>
      <c r="C155" s="14" t="s">
        <v>447</v>
      </c>
      <c r="D155" s="14" t="s">
        <v>91</v>
      </c>
      <c r="E155" t="s">
        <v>1271</v>
      </c>
      <c r="F155" t="s">
        <v>5675</v>
      </c>
      <c r="G155" s="26">
        <v>37590</v>
      </c>
      <c r="H155" s="27">
        <v>45060.610682870371</v>
      </c>
      <c r="I155" s="27">
        <v>45023.610682870371</v>
      </c>
      <c r="K15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6" spans="1:14">
      <c r="A156" t="s">
        <v>1882</v>
      </c>
      <c r="B156" t="s">
        <v>5945</v>
      </c>
      <c r="C156" s="14" t="s">
        <v>897</v>
      </c>
      <c r="D156" s="14" t="s">
        <v>55</v>
      </c>
      <c r="E156" t="s">
        <v>1295</v>
      </c>
      <c r="F156" t="s">
        <v>5675</v>
      </c>
      <c r="G156" s="26">
        <v>53360</v>
      </c>
      <c r="H156" s="27">
        <v>45295.356099537035</v>
      </c>
      <c r="I156" s="27">
        <v>45264.356099537035</v>
      </c>
      <c r="K15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7" spans="1:14">
      <c r="A157" t="s">
        <v>1375</v>
      </c>
      <c r="B157" t="s">
        <v>5695</v>
      </c>
      <c r="C157" s="14" t="s">
        <v>363</v>
      </c>
      <c r="D157" s="14" t="s">
        <v>18</v>
      </c>
      <c r="E157" t="s">
        <v>1355</v>
      </c>
      <c r="F157" t="s">
        <v>5675</v>
      </c>
      <c r="G157" s="26">
        <v>54780</v>
      </c>
      <c r="H157" s="27">
        <v>45873.668182870373</v>
      </c>
      <c r="I157" s="27">
        <v>45872.668182870373</v>
      </c>
      <c r="K15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8" spans="1:14">
      <c r="A158" t="s">
        <v>2259</v>
      </c>
      <c r="B158" t="s">
        <v>5946</v>
      </c>
      <c r="C158" s="14" t="s">
        <v>497</v>
      </c>
      <c r="D158" s="14" t="s">
        <v>59</v>
      </c>
      <c r="E158" t="s">
        <v>1317</v>
      </c>
      <c r="F158" t="s">
        <v>5663</v>
      </c>
      <c r="G158" s="26">
        <v>15600</v>
      </c>
      <c r="H158" s="27">
        <v>45657.823298611111</v>
      </c>
      <c r="I158" s="27">
        <v>45652.823298611111</v>
      </c>
      <c r="K15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59" spans="1:14">
      <c r="A159" t="s">
        <v>1498</v>
      </c>
      <c r="B159" t="s">
        <v>5947</v>
      </c>
      <c r="C159" s="14" t="s">
        <v>812</v>
      </c>
      <c r="D159" s="14" t="s">
        <v>59</v>
      </c>
      <c r="E159" t="s">
        <v>1281</v>
      </c>
      <c r="F159" t="s">
        <v>5675</v>
      </c>
      <c r="G159" s="26">
        <v>19180</v>
      </c>
      <c r="H159" s="27">
        <v>45013.90934027778</v>
      </c>
      <c r="I159" s="27">
        <v>44977.90934027778</v>
      </c>
      <c r="K15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5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5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5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60" spans="1:14">
      <c r="A160" t="s">
        <v>2040</v>
      </c>
      <c r="B160" t="s">
        <v>5948</v>
      </c>
      <c r="C160" s="14" t="s">
        <v>639</v>
      </c>
      <c r="D160" s="14" t="s">
        <v>82</v>
      </c>
      <c r="E160" t="s">
        <v>1288</v>
      </c>
      <c r="F160" t="s">
        <v>5675</v>
      </c>
      <c r="G160" s="26">
        <v>66096</v>
      </c>
      <c r="H160" s="27">
        <v>45722.947476851848</v>
      </c>
      <c r="I160" s="27">
        <v>45715.947476851848</v>
      </c>
      <c r="K16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6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6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6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61" spans="1:14">
      <c r="A161" t="s">
        <v>1728</v>
      </c>
      <c r="B161" t="s">
        <v>5949</v>
      </c>
      <c r="C161" s="14" t="s">
        <v>31</v>
      </c>
      <c r="D161" s="14" t="s">
        <v>36</v>
      </c>
      <c r="E161" t="s">
        <v>1295</v>
      </c>
      <c r="F161" t="s">
        <v>5669</v>
      </c>
      <c r="G161" s="26">
        <v>23130</v>
      </c>
      <c r="H161" s="27">
        <v>46280</v>
      </c>
      <c r="I161" s="27">
        <v>46282</v>
      </c>
      <c r="J161" t="s">
        <v>5850</v>
      </c>
      <c r="K16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13</v>
      </c>
      <c r="L161">
        <f>IF(OR(tblPipelineAudit[[#This Row],[Stage]]="Closed Won",tblPipelineAudit[[#This Row],[Stage]]="Closed Lost"),"",IF(tblPipelineAudit[[#This Row],[Last Activity Date]]="","",MAX(0,DATE(2026,9,28)-tblPipelineAudit[[#This Row],[Last Activity Date]])))</f>
        <v>11</v>
      </c>
      <c r="M16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6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62" spans="1:14">
      <c r="A162" t="s">
        <v>2130</v>
      </c>
      <c r="B162" t="s">
        <v>5950</v>
      </c>
      <c r="C162" s="14" t="s">
        <v>151</v>
      </c>
      <c r="D162" s="14" t="s">
        <v>25</v>
      </c>
      <c r="E162" t="s">
        <v>1288</v>
      </c>
      <c r="F162" t="s">
        <v>5675</v>
      </c>
      <c r="G162" s="26">
        <v>32976</v>
      </c>
      <c r="H162" s="27">
        <v>45516.050694444442</v>
      </c>
      <c r="I162" s="27">
        <v>45525.050694444442</v>
      </c>
      <c r="K16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6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6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6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63" spans="1:14">
      <c r="A163" t="s">
        <v>5951</v>
      </c>
      <c r="B163" t="s">
        <v>5848</v>
      </c>
      <c r="C163" s="14" t="s">
        <v>777</v>
      </c>
      <c r="D163" s="14" t="s">
        <v>25</v>
      </c>
      <c r="E163" t="s">
        <v>1295</v>
      </c>
      <c r="F163" t="s">
        <v>5669</v>
      </c>
      <c r="G163" s="26">
        <v>27810</v>
      </c>
      <c r="H163" s="27">
        <v>46327</v>
      </c>
      <c r="I163" s="27">
        <v>46257</v>
      </c>
      <c r="J163" t="s">
        <v>5774</v>
      </c>
      <c r="K16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63">
        <f>IF(OR(tblPipelineAudit[[#This Row],[Stage]]="Closed Won",tblPipelineAudit[[#This Row],[Stage]]="Closed Lost"),"",IF(tblPipelineAudit[[#This Row],[Last Activity Date]]="","",MAX(0,DATE(2026,9,28)-tblPipelineAudit[[#This Row],[Last Activity Date]])))</f>
        <v>36</v>
      </c>
      <c r="M16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16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64" spans="1:14">
      <c r="A164" t="s">
        <v>5952</v>
      </c>
      <c r="B164" t="s">
        <v>5953</v>
      </c>
      <c r="C164" s="14" t="s">
        <v>1016</v>
      </c>
      <c r="D164" s="14" t="s">
        <v>36</v>
      </c>
      <c r="E164" t="s">
        <v>1355</v>
      </c>
      <c r="F164" t="s">
        <v>5686</v>
      </c>
      <c r="G164" s="26">
        <v>52056</v>
      </c>
      <c r="H164" s="27">
        <v>46269</v>
      </c>
      <c r="I164" s="27">
        <v>46283</v>
      </c>
      <c r="J164" t="s">
        <v>5862</v>
      </c>
      <c r="K16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24</v>
      </c>
      <c r="L164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16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6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65" spans="1:14">
      <c r="A165" t="s">
        <v>5955</v>
      </c>
      <c r="B165" t="s">
        <v>5814</v>
      </c>
      <c r="C165" s="14" t="s">
        <v>873</v>
      </c>
      <c r="D165" s="14" t="s">
        <v>69</v>
      </c>
      <c r="E165" t="s">
        <v>1288</v>
      </c>
      <c r="F165" t="s">
        <v>5663</v>
      </c>
      <c r="G165" s="26">
        <v>11256</v>
      </c>
      <c r="H165" s="27">
        <v>46128.60974537037</v>
      </c>
      <c r="I165" s="27">
        <v>46135.60974537037</v>
      </c>
      <c r="K16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6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6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6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66" spans="1:14">
      <c r="A166" t="s">
        <v>2576</v>
      </c>
      <c r="B166" t="s">
        <v>5956</v>
      </c>
      <c r="C166" s="14" t="s">
        <v>548</v>
      </c>
      <c r="D166" s="14" t="s">
        <v>36</v>
      </c>
      <c r="E166" t="s">
        <v>1355</v>
      </c>
      <c r="F166" t="s">
        <v>5725</v>
      </c>
      <c r="G166" s="26">
        <v>43286</v>
      </c>
      <c r="H166" s="27">
        <v>46298</v>
      </c>
      <c r="I166" s="27">
        <v>46269</v>
      </c>
      <c r="J166" t="s">
        <v>5777</v>
      </c>
      <c r="K16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6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16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6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67" spans="1:14">
      <c r="A167" t="s">
        <v>2428</v>
      </c>
      <c r="B167" t="s">
        <v>5957</v>
      </c>
      <c r="C167" s="14" t="s">
        <v>694</v>
      </c>
      <c r="D167" s="14" t="s">
        <v>18</v>
      </c>
      <c r="E167" t="s">
        <v>1413</v>
      </c>
      <c r="F167" t="s">
        <v>5675</v>
      </c>
      <c r="G167" s="26">
        <v>47200</v>
      </c>
      <c r="H167" s="27">
        <v>45479.093530092592</v>
      </c>
      <c r="I167" s="27">
        <v>45466.093530092592</v>
      </c>
      <c r="K16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6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6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6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68" spans="1:14">
      <c r="A168" t="s">
        <v>5958</v>
      </c>
      <c r="B168" t="s">
        <v>5959</v>
      </c>
      <c r="C168" s="14" t="s">
        <v>921</v>
      </c>
      <c r="D168" s="14" t="s">
        <v>59</v>
      </c>
      <c r="E168" t="s">
        <v>1295</v>
      </c>
      <c r="F168" t="s">
        <v>5663</v>
      </c>
      <c r="G168" s="26">
        <v>12960</v>
      </c>
      <c r="H168" s="27">
        <v>45705</v>
      </c>
      <c r="I168" s="27">
        <v>45675</v>
      </c>
      <c r="K16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6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6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6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69" spans="1:14">
      <c r="A169" t="s">
        <v>5961</v>
      </c>
      <c r="B169" t="s">
        <v>5962</v>
      </c>
      <c r="C169" s="14" t="s">
        <v>60</v>
      </c>
      <c r="D169" s="14" t="s">
        <v>55</v>
      </c>
      <c r="E169" t="s">
        <v>1295</v>
      </c>
      <c r="F169" t="s">
        <v>5691</v>
      </c>
      <c r="G169" s="26">
        <v>88298</v>
      </c>
      <c r="H169" s="27">
        <v>46313</v>
      </c>
      <c r="I169" s="27">
        <v>46275</v>
      </c>
      <c r="J169" t="s">
        <v>5801</v>
      </c>
      <c r="K16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69">
        <f>IF(OR(tblPipelineAudit[[#This Row],[Stage]]="Closed Won",tblPipelineAudit[[#This Row],[Stage]]="Closed Lost"),"",IF(tblPipelineAudit[[#This Row],[Last Activity Date]]="","",MAX(0,DATE(2026,9,28)-tblPipelineAudit[[#This Row],[Last Activity Date]])))</f>
        <v>18</v>
      </c>
      <c r="M16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6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70" spans="1:14">
      <c r="A170" t="s">
        <v>2313</v>
      </c>
      <c r="B170" t="s">
        <v>5920</v>
      </c>
      <c r="C170" s="14" t="s">
        <v>945</v>
      </c>
      <c r="D170" s="14" t="s">
        <v>82</v>
      </c>
      <c r="E170" t="s">
        <v>1355</v>
      </c>
      <c r="F170" t="s">
        <v>5663</v>
      </c>
      <c r="G170" s="26">
        <v>67248</v>
      </c>
      <c r="H170" s="27">
        <v>45092.170555555553</v>
      </c>
      <c r="I170" s="27">
        <v>45086.170555555553</v>
      </c>
      <c r="K17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1" spans="1:14">
      <c r="A171" t="s">
        <v>1678</v>
      </c>
      <c r="B171" t="s">
        <v>5964</v>
      </c>
      <c r="C171" s="14" t="s">
        <v>870</v>
      </c>
      <c r="D171" s="14" t="s">
        <v>91</v>
      </c>
      <c r="E171" t="s">
        <v>1355</v>
      </c>
      <c r="F171" t="s">
        <v>5675</v>
      </c>
      <c r="G171" s="26">
        <v>36666</v>
      </c>
      <c r="H171" s="27">
        <v>45996.957280092596</v>
      </c>
      <c r="I171" s="27">
        <v>45977.957280092596</v>
      </c>
      <c r="K17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2" spans="1:14">
      <c r="A172" t="s">
        <v>1669</v>
      </c>
      <c r="B172" t="s">
        <v>5965</v>
      </c>
      <c r="C172" s="14" t="s">
        <v>995</v>
      </c>
      <c r="D172" s="14" t="s">
        <v>82</v>
      </c>
      <c r="E172" t="s">
        <v>1271</v>
      </c>
      <c r="F172" t="s">
        <v>5675</v>
      </c>
      <c r="G172" s="26">
        <v>86240</v>
      </c>
      <c r="H172" s="27">
        <v>45265.689687500002</v>
      </c>
      <c r="I172" s="27">
        <v>45249.689687500002</v>
      </c>
      <c r="K17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3" spans="1:14">
      <c r="A173" t="s">
        <v>5966</v>
      </c>
      <c r="B173" t="s">
        <v>5705</v>
      </c>
      <c r="C173" s="14" t="s">
        <v>279</v>
      </c>
      <c r="D173" s="14" t="s">
        <v>25</v>
      </c>
      <c r="E173" t="s">
        <v>1355</v>
      </c>
      <c r="F173" t="s">
        <v>5663</v>
      </c>
      <c r="G173" s="26">
        <v>18660</v>
      </c>
      <c r="H173" s="27">
        <v>46100</v>
      </c>
      <c r="I173" s="27">
        <v>46094</v>
      </c>
      <c r="K17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4" spans="1:14">
      <c r="A174" t="s">
        <v>2056</v>
      </c>
      <c r="B174" t="s">
        <v>5729</v>
      </c>
      <c r="C174" s="14" t="s">
        <v>488</v>
      </c>
      <c r="D174" s="14" t="s">
        <v>36</v>
      </c>
      <c r="E174" t="s">
        <v>1281</v>
      </c>
      <c r="F174" t="s">
        <v>5663</v>
      </c>
      <c r="G174" s="26">
        <v>87912</v>
      </c>
      <c r="H174" s="27">
        <v>45050.491747685184</v>
      </c>
      <c r="I174" s="27">
        <v>45049.491747685184</v>
      </c>
      <c r="K17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5" spans="1:14">
      <c r="A175" t="s">
        <v>1544</v>
      </c>
      <c r="B175" t="s">
        <v>5729</v>
      </c>
      <c r="C175" s="14" t="s">
        <v>488</v>
      </c>
      <c r="D175" s="14" t="s">
        <v>36</v>
      </c>
      <c r="E175" t="s">
        <v>1271</v>
      </c>
      <c r="F175" t="s">
        <v>5675</v>
      </c>
      <c r="G175" s="26">
        <v>90804</v>
      </c>
      <c r="H175" s="27">
        <v>44965.45511574074</v>
      </c>
      <c r="I175" s="27">
        <v>44978.45511574074</v>
      </c>
      <c r="K17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6" spans="1:14">
      <c r="A176" t="s">
        <v>5968</v>
      </c>
      <c r="B176" t="s">
        <v>5720</v>
      </c>
      <c r="C176" s="14" t="s">
        <v>100</v>
      </c>
      <c r="D176" s="14" t="s">
        <v>59</v>
      </c>
      <c r="E176" t="s">
        <v>1339</v>
      </c>
      <c r="F176" t="s">
        <v>5663</v>
      </c>
      <c r="G176" s="26">
        <v>38556</v>
      </c>
      <c r="H176" s="27">
        <v>46143.238206018519</v>
      </c>
      <c r="I176" s="27">
        <v>46125.238206018519</v>
      </c>
      <c r="K17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7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7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7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77" spans="1:14">
      <c r="A177" t="s">
        <v>5969</v>
      </c>
      <c r="B177" t="s">
        <v>5797</v>
      </c>
      <c r="C177" s="14" t="s">
        <v>183</v>
      </c>
      <c r="D177" s="14" t="s">
        <v>25</v>
      </c>
      <c r="E177" t="s">
        <v>1413</v>
      </c>
      <c r="F177" t="s">
        <v>5691</v>
      </c>
      <c r="G177" s="26">
        <v>26124</v>
      </c>
      <c r="H177" s="27">
        <v>46324</v>
      </c>
      <c r="I177" s="27">
        <v>46209</v>
      </c>
      <c r="J177" t="s">
        <v>5970</v>
      </c>
      <c r="K17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77">
        <f>IF(OR(tblPipelineAudit[[#This Row],[Stage]]="Closed Won",tblPipelineAudit[[#This Row],[Stage]]="Closed Lost"),"",IF(tblPipelineAudit[[#This Row],[Last Activity Date]]="","",MAX(0,DATE(2026,9,28)-tblPipelineAudit[[#This Row],[Last Activity Date]])))</f>
        <v>84</v>
      </c>
      <c r="M17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17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78" spans="1:14">
      <c r="A178" t="s">
        <v>1902</v>
      </c>
      <c r="B178" t="s">
        <v>5678</v>
      </c>
      <c r="C178" s="14" t="s">
        <v>73</v>
      </c>
      <c r="D178" s="14" t="s">
        <v>36</v>
      </c>
      <c r="E178" t="s">
        <v>1317</v>
      </c>
      <c r="F178" t="s">
        <v>5691</v>
      </c>
      <c r="G178" s="26">
        <v>78016</v>
      </c>
      <c r="H178" s="27">
        <v>46312</v>
      </c>
      <c r="I178" s="27">
        <v>46282</v>
      </c>
      <c r="J178" t="s">
        <v>5970</v>
      </c>
      <c r="K17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78">
        <f>IF(OR(tblPipelineAudit[[#This Row],[Stage]]="Closed Won",tblPipelineAudit[[#This Row],[Stage]]="Closed Lost"),"",IF(tblPipelineAudit[[#This Row],[Last Activity Date]]="","",MAX(0,DATE(2026,9,28)-tblPipelineAudit[[#This Row],[Last Activity Date]])))</f>
        <v>11</v>
      </c>
      <c r="M17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7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79" spans="1:14">
      <c r="A179" t="s">
        <v>5971</v>
      </c>
      <c r="B179" t="s">
        <v>5881</v>
      </c>
      <c r="C179" s="14" t="s">
        <v>533</v>
      </c>
      <c r="D179" s="14" t="s">
        <v>18</v>
      </c>
      <c r="E179" t="s">
        <v>1295</v>
      </c>
      <c r="F179" t="s">
        <v>5686</v>
      </c>
      <c r="G179" s="26">
        <v>61404</v>
      </c>
      <c r="H179" s="27">
        <v>46375</v>
      </c>
      <c r="I179" s="27">
        <v>46252</v>
      </c>
      <c r="J179" t="s">
        <v>5767</v>
      </c>
      <c r="K17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79">
        <f>IF(OR(tblPipelineAudit[[#This Row],[Stage]]="Closed Won",tblPipelineAudit[[#This Row],[Stage]]="Closed Lost"),"",IF(tblPipelineAudit[[#This Row],[Last Activity Date]]="","",MAX(0,DATE(2026,9,28)-tblPipelineAudit[[#This Row],[Last Activity Date]])))</f>
        <v>41</v>
      </c>
      <c r="M17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17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80" spans="1:14">
      <c r="A180" t="s">
        <v>1508</v>
      </c>
      <c r="B180" t="s">
        <v>5972</v>
      </c>
      <c r="C180" s="14" t="s">
        <v>441</v>
      </c>
      <c r="D180" s="14" t="s">
        <v>18</v>
      </c>
      <c r="E180" t="s">
        <v>1355</v>
      </c>
      <c r="F180" t="s">
        <v>5681</v>
      </c>
      <c r="G180" s="26">
        <v>43194</v>
      </c>
      <c r="H180" s="27">
        <v>46321</v>
      </c>
      <c r="I180" s="27">
        <v>46283</v>
      </c>
      <c r="J180" t="s">
        <v>5713</v>
      </c>
      <c r="K18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180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18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18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81" spans="1:14">
      <c r="A181" t="s">
        <v>5973</v>
      </c>
      <c r="B181" t="s">
        <v>5720</v>
      </c>
      <c r="C181" s="14" t="s">
        <v>100</v>
      </c>
      <c r="D181" s="14" t="s">
        <v>59</v>
      </c>
      <c r="E181" t="s">
        <v>1288</v>
      </c>
      <c r="F181" t="s">
        <v>5663</v>
      </c>
      <c r="G181" s="26">
        <v>9492</v>
      </c>
      <c r="H181" s="27">
        <v>45987.238206018519</v>
      </c>
      <c r="I181" s="27">
        <v>45992.238206018519</v>
      </c>
      <c r="K18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2" spans="1:14">
      <c r="A182" t="s">
        <v>1873</v>
      </c>
      <c r="B182" t="s">
        <v>5940</v>
      </c>
      <c r="C182" s="14" t="s">
        <v>906</v>
      </c>
      <c r="D182" s="14" t="s">
        <v>82</v>
      </c>
      <c r="E182" t="s">
        <v>1288</v>
      </c>
      <c r="F182" t="s">
        <v>5691</v>
      </c>
      <c r="G182" s="26">
        <v>87768</v>
      </c>
      <c r="H182" s="27">
        <v>46241</v>
      </c>
      <c r="I182" s="27">
        <v>46277</v>
      </c>
      <c r="J182" t="s">
        <v>5970</v>
      </c>
      <c r="K18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52</v>
      </c>
      <c r="L182">
        <f>IF(OR(tblPipelineAudit[[#This Row],[Stage]]="Closed Won",tblPipelineAudit[[#This Row],[Stage]]="Closed Lost"),"",IF(tblPipelineAudit[[#This Row],[Last Activity Date]]="","",MAX(0,DATE(2026,9,28)-tblPipelineAudit[[#This Row],[Last Activity Date]])))</f>
        <v>16</v>
      </c>
      <c r="M18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8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83" spans="1:14">
      <c r="A183" t="s">
        <v>1752</v>
      </c>
      <c r="B183" t="s">
        <v>5923</v>
      </c>
      <c r="C183" s="14" t="s">
        <v>876</v>
      </c>
      <c r="D183" s="14" t="s">
        <v>82</v>
      </c>
      <c r="E183" t="s">
        <v>1413</v>
      </c>
      <c r="F183" t="s">
        <v>5663</v>
      </c>
      <c r="G183" s="26">
        <v>46050</v>
      </c>
      <c r="H183" s="27">
        <v>46257.459074074075</v>
      </c>
      <c r="I183" s="27">
        <v>46253.459074074075</v>
      </c>
      <c r="K18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4" spans="1:14">
      <c r="A184" t="s">
        <v>5975</v>
      </c>
      <c r="B184" t="s">
        <v>5976</v>
      </c>
      <c r="C184" s="14" t="s">
        <v>450</v>
      </c>
      <c r="D184" s="14" t="s">
        <v>55</v>
      </c>
      <c r="E184" t="s">
        <v>1271</v>
      </c>
      <c r="F184" t="s">
        <v>5663</v>
      </c>
      <c r="G184" s="26">
        <v>40710</v>
      </c>
      <c r="H184" s="27">
        <v>45972</v>
      </c>
      <c r="I184" s="27">
        <v>45977</v>
      </c>
      <c r="K18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5" spans="1:14">
      <c r="A185" t="s">
        <v>1565</v>
      </c>
      <c r="B185" t="s">
        <v>5775</v>
      </c>
      <c r="C185" s="14" t="s">
        <v>918</v>
      </c>
      <c r="D185" s="14" t="s">
        <v>36</v>
      </c>
      <c r="E185" t="s">
        <v>1317</v>
      </c>
      <c r="F185" t="s">
        <v>5663</v>
      </c>
      <c r="G185" s="26">
        <v>64308</v>
      </c>
      <c r="H185" s="27">
        <v>44799.830381944441</v>
      </c>
      <c r="I185" s="27">
        <v>44793.830381944441</v>
      </c>
      <c r="K18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6" spans="1:14">
      <c r="A186" t="s">
        <v>1914</v>
      </c>
      <c r="B186" t="s">
        <v>5978</v>
      </c>
      <c r="C186" s="14" t="s">
        <v>731</v>
      </c>
      <c r="D186" s="14" t="s">
        <v>59</v>
      </c>
      <c r="E186" t="s">
        <v>1317</v>
      </c>
      <c r="F186" t="s">
        <v>5675</v>
      </c>
      <c r="G186" s="26">
        <v>11040</v>
      </c>
      <c r="H186" s="27">
        <v>45483.900995370372</v>
      </c>
      <c r="I186" s="27">
        <v>45479.900995370372</v>
      </c>
      <c r="K18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7" spans="1:14">
      <c r="A187" t="s">
        <v>5979</v>
      </c>
      <c r="B187" t="s">
        <v>5980</v>
      </c>
      <c r="C187" s="14" t="s">
        <v>801</v>
      </c>
      <c r="D187" s="14" t="s">
        <v>36</v>
      </c>
      <c r="E187" t="s">
        <v>1281</v>
      </c>
      <c r="F187" t="s">
        <v>5663</v>
      </c>
      <c r="G187" s="26">
        <v>64086</v>
      </c>
      <c r="H187" s="27">
        <v>45953</v>
      </c>
      <c r="I187" s="27">
        <v>45921</v>
      </c>
      <c r="K18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8" spans="1:14">
      <c r="A188" t="s">
        <v>5981</v>
      </c>
      <c r="B188" t="s">
        <v>5982</v>
      </c>
      <c r="C188" s="14" t="s">
        <v>843</v>
      </c>
      <c r="D188" s="14" t="s">
        <v>36</v>
      </c>
      <c r="E188" t="s">
        <v>1413</v>
      </c>
      <c r="F188" t="s">
        <v>5663</v>
      </c>
      <c r="G188" s="26">
        <v>36360</v>
      </c>
      <c r="H188" s="27">
        <v>45536</v>
      </c>
      <c r="I188" s="27">
        <v>45535</v>
      </c>
      <c r="K18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8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8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8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89" spans="1:14">
      <c r="A189" t="s">
        <v>1275</v>
      </c>
      <c r="B189" t="s">
        <v>5984</v>
      </c>
      <c r="C189" s="14" t="s">
        <v>354</v>
      </c>
      <c r="D189" s="14" t="s">
        <v>55</v>
      </c>
      <c r="E189" t="s">
        <v>1271</v>
      </c>
      <c r="F189" t="s">
        <v>5740</v>
      </c>
      <c r="G189" s="26">
        <v>53256</v>
      </c>
      <c r="H189" s="27">
        <v>46274</v>
      </c>
      <c r="I189" s="27">
        <v>46282</v>
      </c>
      <c r="J189" t="s">
        <v>5749</v>
      </c>
      <c r="K18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19</v>
      </c>
      <c r="L189">
        <f>IF(OR(tblPipelineAudit[[#This Row],[Stage]]="Closed Won",tblPipelineAudit[[#This Row],[Stage]]="Closed Lost"),"",IF(tblPipelineAudit[[#This Row],[Last Activity Date]]="","",MAX(0,DATE(2026,9,28)-tblPipelineAudit[[#This Row],[Last Activity Date]])))</f>
        <v>11</v>
      </c>
      <c r="M18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8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90" spans="1:14">
      <c r="A190" t="s">
        <v>2182</v>
      </c>
      <c r="B190" t="s">
        <v>5985</v>
      </c>
      <c r="C190" s="14" t="s">
        <v>677</v>
      </c>
      <c r="D190" s="14" t="s">
        <v>55</v>
      </c>
      <c r="E190" t="s">
        <v>1271</v>
      </c>
      <c r="F190" t="s">
        <v>5663</v>
      </c>
      <c r="G190" s="26">
        <v>53136</v>
      </c>
      <c r="H190" s="27">
        <v>45826.142175925925</v>
      </c>
      <c r="I190" s="27">
        <v>45809.142175925925</v>
      </c>
      <c r="K19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1" spans="1:14">
      <c r="A191" t="s">
        <v>5986</v>
      </c>
      <c r="B191" t="s">
        <v>5987</v>
      </c>
      <c r="C191" s="14" t="s">
        <v>302</v>
      </c>
      <c r="D191" s="14" t="s">
        <v>36</v>
      </c>
      <c r="E191" t="s">
        <v>1355</v>
      </c>
      <c r="F191" t="s">
        <v>5663</v>
      </c>
      <c r="G191" s="26">
        <v>46600</v>
      </c>
      <c r="H191" s="27">
        <v>45910</v>
      </c>
      <c r="I191" s="27">
        <v>45937</v>
      </c>
      <c r="K19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2" spans="1:14">
      <c r="A192" t="s">
        <v>1328</v>
      </c>
      <c r="B192" t="s">
        <v>5976</v>
      </c>
      <c r="C192" s="14" t="s">
        <v>450</v>
      </c>
      <c r="D192" s="14" t="s">
        <v>55</v>
      </c>
      <c r="E192" t="s">
        <v>1271</v>
      </c>
      <c r="F192" t="s">
        <v>5663</v>
      </c>
      <c r="G192" s="26">
        <v>36892</v>
      </c>
      <c r="H192" s="27">
        <v>44695.15766203704</v>
      </c>
      <c r="I192" s="27">
        <v>44699.15766203704</v>
      </c>
      <c r="K19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3" spans="1:14">
      <c r="A193" t="s">
        <v>2305</v>
      </c>
      <c r="B193" t="s">
        <v>5957</v>
      </c>
      <c r="C193" s="14" t="s">
        <v>694</v>
      </c>
      <c r="D193" s="14" t="s">
        <v>18</v>
      </c>
      <c r="E193" t="s">
        <v>1271</v>
      </c>
      <c r="F193" t="s">
        <v>5681</v>
      </c>
      <c r="G193" s="26">
        <v>72150</v>
      </c>
      <c r="H193" s="27">
        <v>46255</v>
      </c>
      <c r="I193" s="27">
        <v>46272</v>
      </c>
      <c r="J193" t="s">
        <v>5699</v>
      </c>
      <c r="K19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38</v>
      </c>
      <c r="L19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19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9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94" spans="1:14">
      <c r="A194" t="s">
        <v>5988</v>
      </c>
      <c r="B194" t="s">
        <v>5797</v>
      </c>
      <c r="C194" s="14" t="s">
        <v>183</v>
      </c>
      <c r="D194" s="14" t="s">
        <v>25</v>
      </c>
      <c r="E194" t="s">
        <v>1413</v>
      </c>
      <c r="F194" t="s">
        <v>5691</v>
      </c>
      <c r="G194" s="26">
        <v>19180</v>
      </c>
      <c r="H194" s="27">
        <v>46265</v>
      </c>
      <c r="I194" s="27">
        <v>46284</v>
      </c>
      <c r="J194" t="s">
        <v>5970</v>
      </c>
      <c r="K19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28</v>
      </c>
      <c r="L194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19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9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195" spans="1:14">
      <c r="A195" t="s">
        <v>5989</v>
      </c>
      <c r="B195" t="s">
        <v>5851</v>
      </c>
      <c r="C195" s="14" t="s">
        <v>142</v>
      </c>
      <c r="D195" s="14" t="s">
        <v>25</v>
      </c>
      <c r="E195" t="s">
        <v>1413</v>
      </c>
      <c r="F195" t="s">
        <v>5663</v>
      </c>
      <c r="G195" s="26">
        <v>33668</v>
      </c>
      <c r="H195" s="27">
        <v>45804</v>
      </c>
      <c r="I195" s="27">
        <v>45803</v>
      </c>
      <c r="K19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6" spans="1:14">
      <c r="A196" t="s">
        <v>5990</v>
      </c>
      <c r="B196" t="s">
        <v>5991</v>
      </c>
      <c r="C196" s="14" t="s">
        <v>340</v>
      </c>
      <c r="D196" s="14" t="s">
        <v>82</v>
      </c>
      <c r="E196" t="s">
        <v>1271</v>
      </c>
      <c r="F196" t="s">
        <v>5663</v>
      </c>
      <c r="G196" s="26">
        <v>18300</v>
      </c>
      <c r="H196" s="27">
        <v>45561</v>
      </c>
      <c r="I196" s="27">
        <v>45561</v>
      </c>
      <c r="K19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7" spans="1:14">
      <c r="A197" t="s">
        <v>2317</v>
      </c>
      <c r="B197" t="s">
        <v>5993</v>
      </c>
      <c r="C197" s="14" t="s">
        <v>273</v>
      </c>
      <c r="D197" s="14" t="s">
        <v>55</v>
      </c>
      <c r="E197" t="s">
        <v>1317</v>
      </c>
      <c r="F197" t="s">
        <v>5663</v>
      </c>
      <c r="G197" s="26">
        <v>30720</v>
      </c>
      <c r="H197" s="27">
        <v>46217.79923611111</v>
      </c>
      <c r="I197" s="27">
        <v>46216.79923611111</v>
      </c>
      <c r="K19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8" spans="1:14">
      <c r="A198" t="s">
        <v>5994</v>
      </c>
      <c r="B198" t="s">
        <v>5995</v>
      </c>
      <c r="C198" s="14" t="s">
        <v>623</v>
      </c>
      <c r="D198" s="14" t="s">
        <v>91</v>
      </c>
      <c r="E198" t="s">
        <v>1317</v>
      </c>
      <c r="F198" t="s">
        <v>5663</v>
      </c>
      <c r="G198" s="26">
        <v>28530</v>
      </c>
      <c r="H198" s="27">
        <v>46208.678900462961</v>
      </c>
      <c r="I198" s="27">
        <v>46206.678900462961</v>
      </c>
      <c r="K19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19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19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19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199" spans="1:14">
      <c r="A199" t="s">
        <v>2248</v>
      </c>
      <c r="B199" t="s">
        <v>5996</v>
      </c>
      <c r="C199" s="14" t="s">
        <v>491</v>
      </c>
      <c r="D199" s="14" t="s">
        <v>18</v>
      </c>
      <c r="E199" t="s">
        <v>1288</v>
      </c>
      <c r="F199" t="s">
        <v>5725</v>
      </c>
      <c r="G199" s="26">
        <v>79520</v>
      </c>
      <c r="H199" s="27">
        <v>46250</v>
      </c>
      <c r="I199" s="27">
        <v>46272</v>
      </c>
      <c r="J199" t="s">
        <v>5726</v>
      </c>
      <c r="K19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43</v>
      </c>
      <c r="L19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19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19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00" spans="1:14">
      <c r="A200" t="s">
        <v>1683</v>
      </c>
      <c r="B200" t="s">
        <v>5997</v>
      </c>
      <c r="C200" s="14" t="s">
        <v>392</v>
      </c>
      <c r="D200" s="14" t="s">
        <v>82</v>
      </c>
      <c r="E200" t="s">
        <v>1271</v>
      </c>
      <c r="F200" t="s">
        <v>5663</v>
      </c>
      <c r="G200" s="26">
        <v>47200</v>
      </c>
      <c r="H200" s="27">
        <v>45907.711851851855</v>
      </c>
      <c r="I200" s="27">
        <v>45916.711851851855</v>
      </c>
      <c r="K20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0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0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0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01" spans="1:14">
      <c r="A201" t="s">
        <v>2488</v>
      </c>
      <c r="B201" t="s">
        <v>5823</v>
      </c>
      <c r="C201" s="14" t="s">
        <v>561</v>
      </c>
      <c r="D201" s="14" t="s">
        <v>69</v>
      </c>
      <c r="E201" t="s">
        <v>1317</v>
      </c>
      <c r="F201" t="s">
        <v>5663</v>
      </c>
      <c r="G201" s="26">
        <v>11148</v>
      </c>
      <c r="H201" s="27">
        <v>46211.299247685187</v>
      </c>
      <c r="I201" s="27">
        <v>46239.299247685187</v>
      </c>
      <c r="K20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0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0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0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02" spans="1:14">
      <c r="A202" t="s">
        <v>5998</v>
      </c>
      <c r="B202" t="s">
        <v>5999</v>
      </c>
      <c r="C202" s="14" t="s">
        <v>960</v>
      </c>
      <c r="D202" s="14" t="s">
        <v>25</v>
      </c>
      <c r="F202" t="s">
        <v>5686</v>
      </c>
      <c r="G202" s="26">
        <v>11148</v>
      </c>
      <c r="H202" s="27">
        <v>46347</v>
      </c>
      <c r="I202" s="27">
        <v>46288</v>
      </c>
      <c r="J202" t="s">
        <v>5687</v>
      </c>
      <c r="K20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02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20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0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203" spans="1:14">
      <c r="A203" t="s">
        <v>2277</v>
      </c>
      <c r="B203" t="s">
        <v>6001</v>
      </c>
      <c r="C203" s="14" t="s">
        <v>980</v>
      </c>
      <c r="D203" s="14" t="s">
        <v>25</v>
      </c>
      <c r="E203" t="s">
        <v>1295</v>
      </c>
      <c r="F203" t="s">
        <v>5675</v>
      </c>
      <c r="G203" s="26">
        <v>21472</v>
      </c>
      <c r="H203" s="27">
        <v>45984.3278587963</v>
      </c>
      <c r="I203" s="27">
        <v>45952.3278587963</v>
      </c>
      <c r="K20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0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0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0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04" spans="1:14">
      <c r="A204" t="s">
        <v>6002</v>
      </c>
      <c r="B204" t="s">
        <v>5683</v>
      </c>
      <c r="C204" s="14" t="s">
        <v>567</v>
      </c>
      <c r="D204" s="14" t="s">
        <v>69</v>
      </c>
      <c r="E204" t="s">
        <v>1281</v>
      </c>
      <c r="F204" t="s">
        <v>5681</v>
      </c>
      <c r="G204" s="26">
        <v>9144</v>
      </c>
      <c r="H204" s="27">
        <v>46340</v>
      </c>
      <c r="I204" s="27">
        <v>46200</v>
      </c>
      <c r="J204" t="s">
        <v>5699</v>
      </c>
      <c r="K20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04">
        <f>IF(OR(tblPipelineAudit[[#This Row],[Stage]]="Closed Won",tblPipelineAudit[[#This Row],[Stage]]="Closed Lost"),"",IF(tblPipelineAudit[[#This Row],[Last Activity Date]]="","",MAX(0,DATE(2026,9,28)-tblPipelineAudit[[#This Row],[Last Activity Date]])))</f>
        <v>93</v>
      </c>
      <c r="M20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20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05" spans="1:14">
      <c r="A205" t="s">
        <v>2023</v>
      </c>
      <c r="B205" t="s">
        <v>5715</v>
      </c>
      <c r="C205" s="14" t="s">
        <v>723</v>
      </c>
      <c r="D205" s="14" t="s">
        <v>36</v>
      </c>
      <c r="E205" t="s">
        <v>1271</v>
      </c>
      <c r="F205" t="s">
        <v>5663</v>
      </c>
      <c r="G205" s="26">
        <v>74240</v>
      </c>
      <c r="H205" s="27">
        <v>45571.697638888887</v>
      </c>
      <c r="I205" s="27">
        <v>45559.697638888887</v>
      </c>
      <c r="K20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0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0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0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06" spans="1:14">
      <c r="A206" t="s">
        <v>6004</v>
      </c>
      <c r="B206" t="s">
        <v>6005</v>
      </c>
      <c r="C206" s="14" t="s">
        <v>846</v>
      </c>
      <c r="D206" s="14" t="s">
        <v>91</v>
      </c>
      <c r="E206" t="s">
        <v>1317</v>
      </c>
      <c r="F206" t="s">
        <v>5669</v>
      </c>
      <c r="G206" s="26">
        <v>15840</v>
      </c>
      <c r="H206" s="27">
        <v>46308</v>
      </c>
      <c r="I206" s="27">
        <v>46277</v>
      </c>
      <c r="J206" t="s">
        <v>5671</v>
      </c>
      <c r="K20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0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16</v>
      </c>
      <c r="M20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0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07" spans="1:14">
      <c r="A207" t="s">
        <v>2545</v>
      </c>
      <c r="B207" t="s">
        <v>6007</v>
      </c>
      <c r="C207" s="14" t="s">
        <v>370</v>
      </c>
      <c r="D207" s="14" t="s">
        <v>18</v>
      </c>
      <c r="E207" t="s">
        <v>1271</v>
      </c>
      <c r="F207" t="s">
        <v>5675</v>
      </c>
      <c r="G207" s="26">
        <v>84968</v>
      </c>
      <c r="H207" s="27">
        <v>45745.423414351855</v>
      </c>
      <c r="I207" s="27">
        <v>45739.423414351855</v>
      </c>
      <c r="K20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0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0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0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08" spans="1:14">
      <c r="A208" t="s">
        <v>6008</v>
      </c>
      <c r="B208" t="s">
        <v>6009</v>
      </c>
      <c r="C208" s="14" t="s">
        <v>401</v>
      </c>
      <c r="D208" s="14" t="s">
        <v>82</v>
      </c>
      <c r="E208" t="s">
        <v>1271</v>
      </c>
      <c r="F208" t="s">
        <v>5686</v>
      </c>
      <c r="G208" s="26">
        <v>59700</v>
      </c>
      <c r="H208" s="27">
        <v>46249</v>
      </c>
      <c r="I208" s="27">
        <v>46216</v>
      </c>
      <c r="J208" t="s">
        <v>5862</v>
      </c>
      <c r="K20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44</v>
      </c>
      <c r="L208">
        <f>IF(OR(tblPipelineAudit[[#This Row],[Stage]]="Closed Won",tblPipelineAudit[[#This Row],[Stage]]="Closed Lost"),"",IF(tblPipelineAudit[[#This Row],[Last Activity Date]]="","",MAX(0,DATE(2026,9,28)-tblPipelineAudit[[#This Row],[Last Activity Date]])))</f>
        <v>77</v>
      </c>
      <c r="M20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 + Overdue</v>
      </c>
      <c r="N20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09" spans="1:14">
      <c r="A209" t="s">
        <v>6010</v>
      </c>
      <c r="B209" t="s">
        <v>6011</v>
      </c>
      <c r="C209" s="14" t="s">
        <v>629</v>
      </c>
      <c r="D209" s="14" t="s">
        <v>18</v>
      </c>
      <c r="E209" t="s">
        <v>1281</v>
      </c>
      <c r="F209" t="s">
        <v>5663</v>
      </c>
      <c r="G209" s="26">
        <v>65620</v>
      </c>
      <c r="H209" s="27">
        <v>46252.492280092592</v>
      </c>
      <c r="I209" s="27">
        <v>46218.492280092592</v>
      </c>
      <c r="K20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0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0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0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0" spans="1:14">
      <c r="A210" t="s">
        <v>1910</v>
      </c>
      <c r="B210" t="s">
        <v>5868</v>
      </c>
      <c r="C210" s="14" t="s">
        <v>809</v>
      </c>
      <c r="D210" s="14" t="s">
        <v>82</v>
      </c>
      <c r="E210" t="s">
        <v>1317</v>
      </c>
      <c r="F210" t="s">
        <v>5675</v>
      </c>
      <c r="G210" s="26">
        <v>35596</v>
      </c>
      <c r="H210" s="27">
        <v>45962.230474537035</v>
      </c>
      <c r="I210" s="27">
        <v>45961.230474537035</v>
      </c>
      <c r="K21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1" spans="1:14">
      <c r="A211" t="s">
        <v>2529</v>
      </c>
      <c r="B211" t="s">
        <v>6013</v>
      </c>
      <c r="C211" s="14" t="s">
        <v>1001</v>
      </c>
      <c r="D211" s="14" t="s">
        <v>18</v>
      </c>
      <c r="E211" t="s">
        <v>1295</v>
      </c>
      <c r="F211" t="s">
        <v>5663</v>
      </c>
      <c r="G211" s="26">
        <v>53700</v>
      </c>
      <c r="H211" s="27">
        <v>44926.756342592591</v>
      </c>
      <c r="I211" s="27">
        <v>44938.756342592591</v>
      </c>
      <c r="K21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2" spans="1:14">
      <c r="A212" t="s">
        <v>1693</v>
      </c>
      <c r="B212" t="s">
        <v>6014</v>
      </c>
      <c r="C212" s="14" t="s">
        <v>379</v>
      </c>
      <c r="D212" s="14" t="s">
        <v>59</v>
      </c>
      <c r="E212" t="s">
        <v>1317</v>
      </c>
      <c r="F212" t="s">
        <v>5663</v>
      </c>
      <c r="G212" s="26">
        <v>18440</v>
      </c>
      <c r="H212" s="27">
        <v>45600.648692129631</v>
      </c>
      <c r="I212" s="27">
        <v>45587.648692129631</v>
      </c>
      <c r="K21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3" spans="1:14">
      <c r="A213" t="s">
        <v>1643</v>
      </c>
      <c r="B213" t="s">
        <v>6015</v>
      </c>
      <c r="C213" s="14" t="s">
        <v>431</v>
      </c>
      <c r="D213" s="14" t="s">
        <v>36</v>
      </c>
      <c r="E213" t="s">
        <v>1295</v>
      </c>
      <c r="F213" t="s">
        <v>5681</v>
      </c>
      <c r="G213" s="26">
        <v>18400</v>
      </c>
      <c r="H213" s="27">
        <v>46354</v>
      </c>
      <c r="I213" s="27">
        <v>46278</v>
      </c>
      <c r="J213" t="s">
        <v>5713</v>
      </c>
      <c r="K21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13">
        <f>IF(OR(tblPipelineAudit[[#This Row],[Stage]]="Closed Won",tblPipelineAudit[[#This Row],[Stage]]="Closed Lost"),"",IF(tblPipelineAudit[[#This Row],[Last Activity Date]]="","",MAX(0,DATE(2026,9,28)-tblPipelineAudit[[#This Row],[Last Activity Date]])))</f>
        <v>15</v>
      </c>
      <c r="M21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1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14" spans="1:14">
      <c r="A214" t="s">
        <v>2273</v>
      </c>
      <c r="B214" t="s">
        <v>5781</v>
      </c>
      <c r="C214" s="14" t="s">
        <v>360</v>
      </c>
      <c r="D214" s="14" t="s">
        <v>59</v>
      </c>
      <c r="E214" t="s">
        <v>1295</v>
      </c>
      <c r="F214" t="s">
        <v>5663</v>
      </c>
      <c r="G214" s="26">
        <v>17712</v>
      </c>
      <c r="H214" s="27">
        <v>45501.203009259261</v>
      </c>
      <c r="I214" s="27">
        <v>45506.203009259261</v>
      </c>
      <c r="K21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5" spans="1:14">
      <c r="A215" t="s">
        <v>1401</v>
      </c>
      <c r="B215" t="s">
        <v>6016</v>
      </c>
      <c r="C215" s="14" t="s">
        <v>357</v>
      </c>
      <c r="D215" s="14" t="s">
        <v>18</v>
      </c>
      <c r="E215" t="s">
        <v>1271</v>
      </c>
      <c r="F215" t="s">
        <v>5663</v>
      </c>
      <c r="G215" s="26">
        <v>74240</v>
      </c>
      <c r="H215" s="27">
        <v>45751.371076388888</v>
      </c>
      <c r="I215" s="27">
        <v>45759.371076388888</v>
      </c>
      <c r="K21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6" spans="1:14">
      <c r="A216" t="s">
        <v>6017</v>
      </c>
      <c r="B216" t="s">
        <v>5660</v>
      </c>
      <c r="C216" s="14" t="s">
        <v>554</v>
      </c>
      <c r="D216" s="14" t="s">
        <v>25</v>
      </c>
      <c r="E216" t="s">
        <v>1288</v>
      </c>
      <c r="F216" t="s">
        <v>5663</v>
      </c>
      <c r="G216" s="26">
        <v>11112</v>
      </c>
      <c r="H216" s="27">
        <v>46062</v>
      </c>
      <c r="I216" s="27">
        <v>46056</v>
      </c>
      <c r="K21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7" spans="1:14">
      <c r="A217" t="s">
        <v>6018</v>
      </c>
      <c r="B217" t="s">
        <v>6019</v>
      </c>
      <c r="C217" s="14" t="s">
        <v>629</v>
      </c>
      <c r="D217" s="14" t="s">
        <v>18</v>
      </c>
      <c r="E217" t="s">
        <v>1281</v>
      </c>
      <c r="F217" t="s">
        <v>5663</v>
      </c>
      <c r="G217" s="26">
        <v>10308</v>
      </c>
      <c r="H217" s="27">
        <v>46228.492280092592</v>
      </c>
      <c r="I217" s="27">
        <v>46222.492280092592</v>
      </c>
      <c r="K21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18" spans="1:14">
      <c r="A218" t="s">
        <v>6020</v>
      </c>
      <c r="B218" t="s">
        <v>6021</v>
      </c>
      <c r="C218" s="14" t="s">
        <v>729</v>
      </c>
      <c r="D218" s="14" t="s">
        <v>18</v>
      </c>
      <c r="F218" t="s">
        <v>5681</v>
      </c>
      <c r="G218" s="26">
        <v>48050</v>
      </c>
      <c r="H218" s="27">
        <v>46244</v>
      </c>
      <c r="I218" s="27">
        <v>46283</v>
      </c>
      <c r="J218" t="s">
        <v>5699</v>
      </c>
      <c r="K21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49</v>
      </c>
      <c r="L218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21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21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219" spans="1:14">
      <c r="A219" t="s">
        <v>2163</v>
      </c>
      <c r="B219" t="s">
        <v>6022</v>
      </c>
      <c r="C219" s="14" t="s">
        <v>428</v>
      </c>
      <c r="D219" s="14" t="s">
        <v>36</v>
      </c>
      <c r="E219" t="s">
        <v>1355</v>
      </c>
      <c r="F219" t="s">
        <v>5663</v>
      </c>
      <c r="G219" s="26">
        <v>54300</v>
      </c>
      <c r="H219" s="27">
        <v>45554.622141203705</v>
      </c>
      <c r="I219" s="27">
        <v>45524.622141203705</v>
      </c>
      <c r="K21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1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1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1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0" spans="1:14">
      <c r="A220" t="s">
        <v>2381</v>
      </c>
      <c r="B220" t="s">
        <v>6023</v>
      </c>
      <c r="C220" s="14" t="s">
        <v>598</v>
      </c>
      <c r="D220" s="14" t="s">
        <v>25</v>
      </c>
      <c r="E220" t="s">
        <v>1317</v>
      </c>
      <c r="F220" t="s">
        <v>5663</v>
      </c>
      <c r="G220" s="26">
        <v>43780</v>
      </c>
      <c r="H220" s="27">
        <v>45135.817418981482</v>
      </c>
      <c r="I220" s="27">
        <v>45131.817418981482</v>
      </c>
      <c r="K22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2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2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2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1" spans="1:14">
      <c r="A221" t="s">
        <v>6024</v>
      </c>
      <c r="B221" t="s">
        <v>6025</v>
      </c>
      <c r="C221" s="14" t="s">
        <v>37</v>
      </c>
      <c r="D221" s="14"/>
      <c r="E221" t="s">
        <v>1271</v>
      </c>
      <c r="F221" t="s">
        <v>5740</v>
      </c>
      <c r="G221" s="26">
        <v>15264</v>
      </c>
      <c r="H221" s="27">
        <v>46317</v>
      </c>
      <c r="I221" s="27">
        <v>46268</v>
      </c>
      <c r="J221" t="s">
        <v>5749</v>
      </c>
      <c r="K22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2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25</v>
      </c>
      <c r="M22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2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Owner</v>
      </c>
    </row>
    <row r="222" spans="1:14">
      <c r="A222" t="s">
        <v>6027</v>
      </c>
      <c r="B222" t="s">
        <v>6028</v>
      </c>
      <c r="C222" s="14" t="s">
        <v>542</v>
      </c>
      <c r="D222" s="14" t="s">
        <v>59</v>
      </c>
      <c r="F222" t="s">
        <v>5669</v>
      </c>
      <c r="G222" s="26">
        <v>24288</v>
      </c>
      <c r="H222" s="27">
        <v>46320</v>
      </c>
      <c r="I222" s="27">
        <v>46274</v>
      </c>
      <c r="J222" t="s">
        <v>5671</v>
      </c>
      <c r="K22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22">
        <f>IF(OR(tblPipelineAudit[[#This Row],[Stage]]="Closed Won",tblPipelineAudit[[#This Row],[Stage]]="Closed Lost"),"",IF(tblPipelineAudit[[#This Row],[Last Activity Date]]="","",MAX(0,DATE(2026,9,28)-tblPipelineAudit[[#This Row],[Last Activity Date]])))</f>
        <v>19</v>
      </c>
      <c r="M22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2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223" spans="1:14">
      <c r="A223" t="s">
        <v>1594</v>
      </c>
      <c r="B223" t="s">
        <v>6030</v>
      </c>
      <c r="C223" s="14" t="s">
        <v>259</v>
      </c>
      <c r="D223" s="14" t="s">
        <v>55</v>
      </c>
      <c r="E223" t="s">
        <v>1317</v>
      </c>
      <c r="F223" t="s">
        <v>5675</v>
      </c>
      <c r="G223" s="26">
        <v>22500</v>
      </c>
      <c r="H223" s="27">
        <v>45714.63863425926</v>
      </c>
      <c r="I223" s="27">
        <v>45711.63863425926</v>
      </c>
      <c r="K22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2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2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2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4" spans="1:14">
      <c r="A224" t="s">
        <v>1674</v>
      </c>
      <c r="B224" t="s">
        <v>5806</v>
      </c>
      <c r="C224" s="14" t="s">
        <v>983</v>
      </c>
      <c r="D224" s="14" t="s">
        <v>25</v>
      </c>
      <c r="F224" t="s">
        <v>5675</v>
      </c>
      <c r="G224" s="26">
        <v>25948</v>
      </c>
      <c r="H224" s="27">
        <v>45776.617210648146</v>
      </c>
      <c r="I224" s="27">
        <v>45766.617210648146</v>
      </c>
      <c r="K22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2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2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2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5" spans="1:14">
      <c r="A225" t="s">
        <v>1769</v>
      </c>
      <c r="B225" t="s">
        <v>5832</v>
      </c>
      <c r="C225" s="14" t="s">
        <v>861</v>
      </c>
      <c r="D225" s="14" t="s">
        <v>91</v>
      </c>
      <c r="E225" t="s">
        <v>1355</v>
      </c>
      <c r="F225" t="s">
        <v>5681</v>
      </c>
      <c r="G225" s="26">
        <v>19500</v>
      </c>
      <c r="H225" s="27">
        <v>46328</v>
      </c>
      <c r="I225" s="27">
        <v>46275</v>
      </c>
      <c r="J225" t="s">
        <v>5713</v>
      </c>
      <c r="K22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25">
        <f>IF(OR(tblPipelineAudit[[#This Row],[Stage]]="Closed Won",tblPipelineAudit[[#This Row],[Stage]]="Closed Lost"),"",IF(tblPipelineAudit[[#This Row],[Last Activity Date]]="","",MAX(0,DATE(2026,9,28)-tblPipelineAudit[[#This Row],[Last Activity Date]])))</f>
        <v>18</v>
      </c>
      <c r="M22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2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26" spans="1:14">
      <c r="A226" t="s">
        <v>2225</v>
      </c>
      <c r="B226" t="s">
        <v>5892</v>
      </c>
      <c r="C226" s="14" t="s">
        <v>885</v>
      </c>
      <c r="D226" s="14" t="s">
        <v>25</v>
      </c>
      <c r="E226" t="s">
        <v>1288</v>
      </c>
      <c r="F226" t="s">
        <v>5725</v>
      </c>
      <c r="G226" s="26">
        <v>19900</v>
      </c>
      <c r="H226" s="27">
        <v>46309</v>
      </c>
      <c r="I226" s="27">
        <v>46264</v>
      </c>
      <c r="J226" t="s">
        <v>5726</v>
      </c>
      <c r="K22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2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29</v>
      </c>
      <c r="M22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2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27" spans="1:14">
      <c r="A227" t="s">
        <v>6031</v>
      </c>
      <c r="B227" t="s">
        <v>6032</v>
      </c>
      <c r="C227" s="14" t="s">
        <v>250</v>
      </c>
      <c r="D227" s="14" t="s">
        <v>82</v>
      </c>
      <c r="E227" t="s">
        <v>1413</v>
      </c>
      <c r="F227" t="s">
        <v>5663</v>
      </c>
      <c r="G227" s="26">
        <v>40248</v>
      </c>
      <c r="H227" s="27">
        <v>46066</v>
      </c>
      <c r="I227" s="27">
        <v>46060</v>
      </c>
      <c r="K22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2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2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2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8" spans="1:14">
      <c r="A228" t="s">
        <v>2517</v>
      </c>
      <c r="B228" t="s">
        <v>6009</v>
      </c>
      <c r="C228" s="14" t="s">
        <v>401</v>
      </c>
      <c r="D228" s="14" t="s">
        <v>82</v>
      </c>
      <c r="E228" t="s">
        <v>1271</v>
      </c>
      <c r="F228" t="s">
        <v>5663</v>
      </c>
      <c r="G228" s="26">
        <v>48360</v>
      </c>
      <c r="H228" s="27">
        <v>45860.625567129631</v>
      </c>
      <c r="I228" s="27">
        <v>45873.625567129631</v>
      </c>
      <c r="K22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2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2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2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29" spans="1:14">
      <c r="A229" t="s">
        <v>2484</v>
      </c>
      <c r="B229" t="s">
        <v>5949</v>
      </c>
      <c r="C229" s="14" t="s">
        <v>31</v>
      </c>
      <c r="D229" s="14" t="s">
        <v>36</v>
      </c>
      <c r="E229" t="s">
        <v>1413</v>
      </c>
      <c r="F229" t="s">
        <v>5725</v>
      </c>
      <c r="G229" s="26">
        <v>29260</v>
      </c>
      <c r="H229" s="27">
        <v>46307</v>
      </c>
      <c r="I229" s="27">
        <v>46250</v>
      </c>
      <c r="J229" t="s">
        <v>5753</v>
      </c>
      <c r="K22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29">
        <f>IF(OR(tblPipelineAudit[[#This Row],[Stage]]="Closed Won",tblPipelineAudit[[#This Row],[Stage]]="Closed Lost"),"",IF(tblPipelineAudit[[#This Row],[Last Activity Date]]="","",MAX(0,DATE(2026,9,28)-tblPipelineAudit[[#This Row],[Last Activity Date]])))</f>
        <v>43</v>
      </c>
      <c r="M22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22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30" spans="1:14">
      <c r="A230" t="s">
        <v>6033</v>
      </c>
      <c r="B230" t="s">
        <v>6034</v>
      </c>
      <c r="C230" s="14" t="s">
        <v>742</v>
      </c>
      <c r="D230" s="14" t="s">
        <v>91</v>
      </c>
      <c r="E230" t="s">
        <v>1288</v>
      </c>
      <c r="F230" t="s">
        <v>5663</v>
      </c>
      <c r="G230" s="26">
        <v>11604</v>
      </c>
      <c r="H230" s="27">
        <v>46110.174629629626</v>
      </c>
      <c r="I230" s="27">
        <v>46103.174629629626</v>
      </c>
      <c r="K23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1" spans="1:14">
      <c r="A231" t="s">
        <v>1736</v>
      </c>
      <c r="B231" t="s">
        <v>6036</v>
      </c>
      <c r="C231" s="14" t="s">
        <v>12</v>
      </c>
      <c r="D231" s="14" t="s">
        <v>18</v>
      </c>
      <c r="E231" t="s">
        <v>1281</v>
      </c>
      <c r="F231" t="s">
        <v>5675</v>
      </c>
      <c r="G231" s="26">
        <v>77520</v>
      </c>
      <c r="H231" s="27">
        <v>45281.663483796299</v>
      </c>
      <c r="I231" s="27">
        <v>45278.663483796299</v>
      </c>
      <c r="K23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2" spans="1:14">
      <c r="A232" t="s">
        <v>6037</v>
      </c>
      <c r="B232" t="s">
        <v>6038</v>
      </c>
      <c r="C232" s="14" t="s">
        <v>217</v>
      </c>
      <c r="D232" s="14" t="s">
        <v>25</v>
      </c>
      <c r="E232" t="s">
        <v>1281</v>
      </c>
      <c r="F232" t="s">
        <v>5663</v>
      </c>
      <c r="G232" s="26">
        <v>24908</v>
      </c>
      <c r="H232" s="27">
        <v>45760</v>
      </c>
      <c r="I232" s="27">
        <v>45750</v>
      </c>
      <c r="K23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3" spans="1:14">
      <c r="A233" t="s">
        <v>1304</v>
      </c>
      <c r="B233" t="s">
        <v>5909</v>
      </c>
      <c r="C233" s="14" t="s">
        <v>265</v>
      </c>
      <c r="D233" s="14" t="s">
        <v>82</v>
      </c>
      <c r="E233" t="s">
        <v>1295</v>
      </c>
      <c r="F233" t="s">
        <v>5675</v>
      </c>
      <c r="G233" s="26">
        <v>69636</v>
      </c>
      <c r="H233" s="27">
        <v>46311</v>
      </c>
      <c r="I233" s="27">
        <v>46279</v>
      </c>
      <c r="K23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4" spans="1:14">
      <c r="A234" t="s">
        <v>1974</v>
      </c>
      <c r="B234" t="s">
        <v>6039</v>
      </c>
      <c r="C234" s="14" t="s">
        <v>939</v>
      </c>
      <c r="D234" s="14" t="s">
        <v>36</v>
      </c>
      <c r="E234" t="s">
        <v>1288</v>
      </c>
      <c r="F234" t="s">
        <v>5675</v>
      </c>
      <c r="G234" s="26">
        <v>53730</v>
      </c>
      <c r="H234" s="27">
        <v>45357.059652777774</v>
      </c>
      <c r="I234" s="27">
        <v>45370.059652777774</v>
      </c>
      <c r="K23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5" spans="1:14">
      <c r="A235" t="s">
        <v>6040</v>
      </c>
      <c r="B235" t="s">
        <v>6041</v>
      </c>
      <c r="C235" s="14" t="s">
        <v>412</v>
      </c>
      <c r="D235" s="14" t="s">
        <v>55</v>
      </c>
      <c r="E235" t="s">
        <v>1413</v>
      </c>
      <c r="F235" t="s">
        <v>5663</v>
      </c>
      <c r="G235" s="26">
        <v>57868</v>
      </c>
      <c r="H235" s="27">
        <v>45650</v>
      </c>
      <c r="I235" s="27">
        <v>45677</v>
      </c>
      <c r="K23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6" spans="1:14">
      <c r="A236" t="s">
        <v>2456</v>
      </c>
      <c r="B236" t="s">
        <v>5763</v>
      </c>
      <c r="C236" s="14" t="s">
        <v>739</v>
      </c>
      <c r="D236" s="14" t="s">
        <v>36</v>
      </c>
      <c r="E236" t="s">
        <v>1271</v>
      </c>
      <c r="F236" t="s">
        <v>5663</v>
      </c>
      <c r="G236" s="26">
        <v>45850</v>
      </c>
      <c r="H236" s="27">
        <v>45299.159849537034</v>
      </c>
      <c r="I236" s="27">
        <v>45279.159849537034</v>
      </c>
      <c r="K23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7" spans="1:14">
      <c r="A237" t="s">
        <v>1855</v>
      </c>
      <c r="B237" t="s">
        <v>6042</v>
      </c>
      <c r="C237" s="14" t="s">
        <v>110</v>
      </c>
      <c r="D237" s="14" t="s">
        <v>25</v>
      </c>
      <c r="E237" t="s">
        <v>1317</v>
      </c>
      <c r="F237" t="s">
        <v>5663</v>
      </c>
      <c r="G237" s="26">
        <v>11820</v>
      </c>
      <c r="H237" s="27">
        <v>44681.984803240739</v>
      </c>
      <c r="I237" s="27">
        <v>44664.984803240739</v>
      </c>
      <c r="K23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38" spans="1:14">
      <c r="A238" t="s">
        <v>6043</v>
      </c>
      <c r="B238" t="s">
        <v>5848</v>
      </c>
      <c r="C238" s="14" t="s">
        <v>777</v>
      </c>
      <c r="D238" s="14" t="s">
        <v>25</v>
      </c>
      <c r="E238" t="s">
        <v>1288</v>
      </c>
      <c r="F238" t="s">
        <v>5686</v>
      </c>
      <c r="G238" s="26">
        <v>25922</v>
      </c>
      <c r="H238" s="27">
        <v>46342</v>
      </c>
      <c r="I238" s="27">
        <v>46277</v>
      </c>
      <c r="K23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38">
        <f>IF(OR(tblPipelineAudit[[#This Row],[Stage]]="Closed Won",tblPipelineAudit[[#This Row],[Stage]]="Closed Lost"),"",IF(tblPipelineAudit[[#This Row],[Last Activity Date]]="","",MAX(0,DATE(2026,9,28)-tblPipelineAudit[[#This Row],[Last Activity Date]])))</f>
        <v>16</v>
      </c>
      <c r="M23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3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239" spans="1:14">
      <c r="A239" t="s">
        <v>6044</v>
      </c>
      <c r="B239" t="s">
        <v>6045</v>
      </c>
      <c r="C239" s="14" t="s">
        <v>1001</v>
      </c>
      <c r="D239" s="14" t="s">
        <v>82</v>
      </c>
      <c r="E239" t="s">
        <v>1317</v>
      </c>
      <c r="F239" t="s">
        <v>5663</v>
      </c>
      <c r="G239" s="26">
        <v>13678</v>
      </c>
      <c r="H239" s="27">
        <v>45439</v>
      </c>
      <c r="I239" s="27">
        <v>45433</v>
      </c>
      <c r="K23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3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3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3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0" spans="1:14">
      <c r="A240" t="s">
        <v>2472</v>
      </c>
      <c r="B240" t="s">
        <v>5843</v>
      </c>
      <c r="C240" s="14" t="s">
        <v>479</v>
      </c>
      <c r="D240" s="14" t="s">
        <v>55</v>
      </c>
      <c r="E240" t="s">
        <v>1413</v>
      </c>
      <c r="F240" t="s">
        <v>5675</v>
      </c>
      <c r="G240" s="26">
        <v>32844</v>
      </c>
      <c r="H240" s="27">
        <v>46136.662314814814</v>
      </c>
      <c r="I240" s="27">
        <v>46102.662314814814</v>
      </c>
      <c r="K24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1" spans="1:14">
      <c r="A241" t="s">
        <v>6046</v>
      </c>
      <c r="B241" t="s">
        <v>5690</v>
      </c>
      <c r="C241" s="14" t="s">
        <v>500</v>
      </c>
      <c r="D241" s="14" t="s">
        <v>25</v>
      </c>
      <c r="F241" t="s">
        <v>5663</v>
      </c>
      <c r="G241" s="26">
        <v>17490</v>
      </c>
      <c r="H241" s="27">
        <v>45643</v>
      </c>
      <c r="I241" s="27">
        <v>45641</v>
      </c>
      <c r="K24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2" spans="1:14">
      <c r="A242" t="s">
        <v>6047</v>
      </c>
      <c r="B242" t="s">
        <v>6048</v>
      </c>
      <c r="C242" s="14" t="s">
        <v>327</v>
      </c>
      <c r="D242" s="14" t="s">
        <v>91</v>
      </c>
      <c r="E242" t="s">
        <v>1317</v>
      </c>
      <c r="F242" t="s">
        <v>5663</v>
      </c>
      <c r="G242" s="26">
        <v>12194</v>
      </c>
      <c r="H242" s="27">
        <v>45648.775289351855</v>
      </c>
      <c r="I242" s="27">
        <v>45677.775289351855</v>
      </c>
      <c r="K24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3" spans="1:14">
      <c r="A243" t="s">
        <v>1519</v>
      </c>
      <c r="B243" t="s">
        <v>6050</v>
      </c>
      <c r="C243" s="14" t="s">
        <v>515</v>
      </c>
      <c r="D243" s="14" t="s">
        <v>25</v>
      </c>
      <c r="E243" t="s">
        <v>1295</v>
      </c>
      <c r="F243" t="s">
        <v>5675</v>
      </c>
      <c r="G243" s="26">
        <v>11316</v>
      </c>
      <c r="H243" s="27">
        <v>45223.765381944446</v>
      </c>
      <c r="I243" s="27">
        <v>45252.765381944446</v>
      </c>
      <c r="K24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4" spans="1:14">
      <c r="A244" t="s">
        <v>2198</v>
      </c>
      <c r="B244" t="s">
        <v>5803</v>
      </c>
      <c r="C244" s="14" t="s">
        <v>103</v>
      </c>
      <c r="D244" s="14" t="s">
        <v>69</v>
      </c>
      <c r="E244" t="s">
        <v>1271</v>
      </c>
      <c r="F244" t="s">
        <v>5675</v>
      </c>
      <c r="G244" s="26">
        <v>11160</v>
      </c>
      <c r="H244" s="27">
        <v>46073.756249999999</v>
      </c>
      <c r="I244" s="27">
        <v>46061.756249999999</v>
      </c>
      <c r="K24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5" spans="1:14">
      <c r="A245" t="s">
        <v>1608</v>
      </c>
      <c r="B245" t="s">
        <v>5690</v>
      </c>
      <c r="C245" s="14" t="s">
        <v>500</v>
      </c>
      <c r="D245" s="14" t="s">
        <v>25</v>
      </c>
      <c r="E245" t="s">
        <v>1355</v>
      </c>
      <c r="F245" t="s">
        <v>5663</v>
      </c>
      <c r="G245" s="26">
        <v>24808</v>
      </c>
      <c r="H245" s="27">
        <v>45635.339363425926</v>
      </c>
      <c r="I245" s="27">
        <v>45621.339363425926</v>
      </c>
      <c r="K24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6" spans="1:14">
      <c r="A246" t="s">
        <v>1781</v>
      </c>
      <c r="B246" t="s">
        <v>6051</v>
      </c>
      <c r="C246" s="14" t="s">
        <v>527</v>
      </c>
      <c r="D246" s="14" t="s">
        <v>25</v>
      </c>
      <c r="E246" t="s">
        <v>1281</v>
      </c>
      <c r="F246" t="s">
        <v>5663</v>
      </c>
      <c r="G246" s="26">
        <v>11928</v>
      </c>
      <c r="H246" s="27">
        <v>45666.939502314817</v>
      </c>
      <c r="I246" s="27">
        <v>45691.939502314817</v>
      </c>
      <c r="K24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7" spans="1:14">
      <c r="A247" t="s">
        <v>6052</v>
      </c>
      <c r="B247" t="s">
        <v>5890</v>
      </c>
      <c r="C247" s="14" t="s">
        <v>1025</v>
      </c>
      <c r="D247" s="14" t="s">
        <v>18</v>
      </c>
      <c r="E247" t="s">
        <v>1271</v>
      </c>
      <c r="F247" t="s">
        <v>5663</v>
      </c>
      <c r="G247" s="26">
        <v>73656</v>
      </c>
      <c r="H247" s="27">
        <v>45968</v>
      </c>
      <c r="I247" s="27">
        <v>45976</v>
      </c>
      <c r="K24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8" spans="1:14">
      <c r="A248" t="s">
        <v>2351</v>
      </c>
      <c r="B248" t="s">
        <v>5995</v>
      </c>
      <c r="C248" s="14" t="s">
        <v>623</v>
      </c>
      <c r="D248" s="14" t="s">
        <v>91</v>
      </c>
      <c r="E248" t="s">
        <v>1317</v>
      </c>
      <c r="F248" t="s">
        <v>5675</v>
      </c>
      <c r="G248" s="26">
        <v>20020</v>
      </c>
      <c r="H248" s="27">
        <v>45875.438587962963</v>
      </c>
      <c r="I248" s="27">
        <v>45900.438587962963</v>
      </c>
      <c r="K24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49" spans="1:14">
      <c r="A249" t="s">
        <v>6054</v>
      </c>
      <c r="B249" t="s">
        <v>6055</v>
      </c>
      <c r="C249" s="14" t="s">
        <v>193</v>
      </c>
      <c r="D249" s="14" t="s">
        <v>59</v>
      </c>
      <c r="F249" t="s">
        <v>5663</v>
      </c>
      <c r="G249" s="26">
        <v>11076</v>
      </c>
      <c r="H249" s="27">
        <v>46090.07236111111</v>
      </c>
      <c r="I249" s="27">
        <v>46089.07236111111</v>
      </c>
      <c r="K24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4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4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4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50" spans="1:14">
      <c r="A250" t="s">
        <v>1825</v>
      </c>
      <c r="B250" t="s">
        <v>6056</v>
      </c>
      <c r="C250" s="14" t="s">
        <v>521</v>
      </c>
      <c r="D250" s="14" t="s">
        <v>59</v>
      </c>
      <c r="E250" t="s">
        <v>1413</v>
      </c>
      <c r="F250" t="s">
        <v>5691</v>
      </c>
      <c r="G250" s="26">
        <v>15780</v>
      </c>
      <c r="H250" s="27">
        <v>46323</v>
      </c>
      <c r="I250" s="27">
        <v>46284</v>
      </c>
      <c r="J250" t="s">
        <v>5801</v>
      </c>
      <c r="K25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50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25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5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51" spans="1:14">
      <c r="A251" t="s">
        <v>6057</v>
      </c>
      <c r="B251" t="s">
        <v>6058</v>
      </c>
      <c r="C251" s="14" t="s">
        <v>1031</v>
      </c>
      <c r="D251" s="14" t="s">
        <v>36</v>
      </c>
      <c r="F251" t="s">
        <v>5691</v>
      </c>
      <c r="G251" s="26">
        <v>74400</v>
      </c>
      <c r="H251" s="27">
        <v>46310</v>
      </c>
      <c r="I251" s="27">
        <v>46288</v>
      </c>
      <c r="J251" t="s">
        <v>5801</v>
      </c>
      <c r="K25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51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25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5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252" spans="1:14">
      <c r="A252" t="s">
        <v>1732</v>
      </c>
      <c r="B252" t="s">
        <v>6060</v>
      </c>
      <c r="C252" s="14" t="s">
        <v>536</v>
      </c>
      <c r="D252" s="14" t="s">
        <v>18</v>
      </c>
      <c r="E252" t="s">
        <v>1355</v>
      </c>
      <c r="F252" t="s">
        <v>5675</v>
      </c>
      <c r="G252" s="26">
        <v>58740</v>
      </c>
      <c r="H252" s="27">
        <v>45371.525405092594</v>
      </c>
      <c r="I252" s="27">
        <v>45380.525405092594</v>
      </c>
      <c r="K25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5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5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5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53" spans="1:14">
      <c r="A253" t="s">
        <v>1795</v>
      </c>
      <c r="B253" t="s">
        <v>6038</v>
      </c>
      <c r="C253" s="14" t="s">
        <v>217</v>
      </c>
      <c r="D253" s="14" t="s">
        <v>25</v>
      </c>
      <c r="E253" t="s">
        <v>1281</v>
      </c>
      <c r="F253" t="s">
        <v>5663</v>
      </c>
      <c r="G253" s="26">
        <v>24928</v>
      </c>
      <c r="H253" s="27">
        <v>44956.007800925923</v>
      </c>
      <c r="I253" s="27">
        <v>44969.007800925923</v>
      </c>
      <c r="K25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5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5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5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54" spans="1:14">
      <c r="A254" t="s">
        <v>6061</v>
      </c>
      <c r="B254" t="s">
        <v>6023</v>
      </c>
      <c r="C254" s="14" t="s">
        <v>598</v>
      </c>
      <c r="D254" s="14" t="s">
        <v>25</v>
      </c>
      <c r="E254" t="s">
        <v>1295</v>
      </c>
      <c r="F254" t="s">
        <v>5663</v>
      </c>
      <c r="G254" s="26">
        <v>34092</v>
      </c>
      <c r="H254" s="27">
        <v>45600</v>
      </c>
      <c r="I254" s="27">
        <v>45598</v>
      </c>
      <c r="K25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5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5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5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55" spans="1:14">
      <c r="A255" t="s">
        <v>2094</v>
      </c>
      <c r="B255" t="s">
        <v>5985</v>
      </c>
      <c r="C255" s="14" t="s">
        <v>677</v>
      </c>
      <c r="D255" s="14" t="s">
        <v>55</v>
      </c>
      <c r="E255" t="s">
        <v>1413</v>
      </c>
      <c r="F255" t="s">
        <v>5663</v>
      </c>
      <c r="G255" s="26">
        <v>72734</v>
      </c>
      <c r="H255" s="27">
        <v>45608.333969907406</v>
      </c>
      <c r="I255" s="27">
        <v>45590.333969907406</v>
      </c>
      <c r="K25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5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5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5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56" spans="1:14">
      <c r="A256" t="s">
        <v>6062</v>
      </c>
      <c r="B256" t="s">
        <v>5876</v>
      </c>
      <c r="C256" s="14" t="s">
        <v>296</v>
      </c>
      <c r="D256" s="14" t="s">
        <v>36</v>
      </c>
      <c r="E256" t="s">
        <v>1271</v>
      </c>
      <c r="F256" t="s">
        <v>5681</v>
      </c>
      <c r="G256" s="26">
        <v>48150</v>
      </c>
      <c r="H256" s="27">
        <v>46321</v>
      </c>
      <c r="I256" s="27">
        <v>46288</v>
      </c>
      <c r="J256" t="s">
        <v>5699</v>
      </c>
      <c r="K25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56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25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5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57" spans="1:14">
      <c r="A257" t="s">
        <v>6064</v>
      </c>
      <c r="B257" t="s">
        <v>6065</v>
      </c>
      <c r="C257" s="14" t="s">
        <v>888</v>
      </c>
      <c r="D257" s="14" t="s">
        <v>55</v>
      </c>
      <c r="E257" t="s">
        <v>1413</v>
      </c>
      <c r="F257" t="s">
        <v>5669</v>
      </c>
      <c r="G257" s="26">
        <v>41446</v>
      </c>
      <c r="H257" s="27">
        <v>46312</v>
      </c>
      <c r="I257" s="27">
        <v>46284</v>
      </c>
      <c r="J257" t="s">
        <v>5850</v>
      </c>
      <c r="K25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57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25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5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58" spans="1:14">
      <c r="A258" t="s">
        <v>1836</v>
      </c>
      <c r="B258" t="s">
        <v>5771</v>
      </c>
      <c r="C258" s="14" t="s">
        <v>834</v>
      </c>
      <c r="D258" s="14" t="s">
        <v>36</v>
      </c>
      <c r="E258" t="s">
        <v>1288</v>
      </c>
      <c r="F258" t="s">
        <v>5725</v>
      </c>
      <c r="G258" s="26">
        <v>70512</v>
      </c>
      <c r="H258" s="27">
        <v>46301</v>
      </c>
      <c r="I258" s="27">
        <v>46271</v>
      </c>
      <c r="J258" t="s">
        <v>5753</v>
      </c>
      <c r="K25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58">
        <f>IF(OR(tblPipelineAudit[[#This Row],[Stage]]="Closed Won",tblPipelineAudit[[#This Row],[Stage]]="Closed Lost"),"",IF(tblPipelineAudit[[#This Row],[Last Activity Date]]="","",MAX(0,DATE(2026,9,28)-tblPipelineAudit[[#This Row],[Last Activity Date]])))</f>
        <v>22</v>
      </c>
      <c r="M25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5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59" spans="1:14">
      <c r="A259" t="s">
        <v>6067</v>
      </c>
      <c r="B259" t="s">
        <v>6068</v>
      </c>
      <c r="C259" s="14" t="s">
        <v>106</v>
      </c>
      <c r="D259" s="14" t="s">
        <v>18</v>
      </c>
      <c r="E259" t="s">
        <v>1271</v>
      </c>
      <c r="F259" t="s">
        <v>5686</v>
      </c>
      <c r="G259" s="26">
        <v>29850</v>
      </c>
      <c r="H259" s="27">
        <v>46245</v>
      </c>
      <c r="I259" s="27">
        <v>46272</v>
      </c>
      <c r="K25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48</v>
      </c>
      <c r="L25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25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25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260" spans="1:14">
      <c r="A260" t="s">
        <v>1777</v>
      </c>
      <c r="B260" t="s">
        <v>6069</v>
      </c>
      <c r="C260" s="14" t="s">
        <v>20</v>
      </c>
      <c r="D260" s="14" t="s">
        <v>25</v>
      </c>
      <c r="E260" t="s">
        <v>1288</v>
      </c>
      <c r="F260" t="s">
        <v>5675</v>
      </c>
      <c r="G260" s="26">
        <v>14448</v>
      </c>
      <c r="H260" s="27">
        <v>45254.271597222221</v>
      </c>
      <c r="I260" s="27">
        <v>45248.271597222221</v>
      </c>
      <c r="K26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1" spans="1:14">
      <c r="A261" t="s">
        <v>1658</v>
      </c>
      <c r="B261" t="s">
        <v>6070</v>
      </c>
      <c r="C261" s="14" t="s">
        <v>798</v>
      </c>
      <c r="D261" s="14" t="s">
        <v>36</v>
      </c>
      <c r="E261" t="s">
        <v>1295</v>
      </c>
      <c r="F261" t="s">
        <v>5740</v>
      </c>
      <c r="G261" s="26">
        <v>62720</v>
      </c>
      <c r="H261" s="27">
        <v>46298</v>
      </c>
      <c r="I261" s="27">
        <v>46275</v>
      </c>
      <c r="J261" t="s">
        <v>5741</v>
      </c>
      <c r="K26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61">
        <f>IF(OR(tblPipelineAudit[[#This Row],[Stage]]="Closed Won",tblPipelineAudit[[#This Row],[Stage]]="Closed Lost"),"",IF(tblPipelineAudit[[#This Row],[Last Activity Date]]="","",MAX(0,DATE(2026,9,28)-tblPipelineAudit[[#This Row],[Last Activity Date]])))</f>
        <v>18</v>
      </c>
      <c r="M26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6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62" spans="1:14">
      <c r="A262" t="s">
        <v>2341</v>
      </c>
      <c r="B262" t="s">
        <v>6071</v>
      </c>
      <c r="C262" s="14" t="s">
        <v>317</v>
      </c>
      <c r="D262" s="14" t="s">
        <v>91</v>
      </c>
      <c r="F262" t="s">
        <v>5675</v>
      </c>
      <c r="G262" s="26">
        <v>21672</v>
      </c>
      <c r="H262" s="27">
        <v>45616.28701388889</v>
      </c>
      <c r="I262" s="27">
        <v>45612.28701388889</v>
      </c>
      <c r="K26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3" spans="1:14">
      <c r="A263" t="s">
        <v>6072</v>
      </c>
      <c r="B263" t="s">
        <v>6073</v>
      </c>
      <c r="C263" s="14" t="s">
        <v>1007</v>
      </c>
      <c r="D263" s="14" t="s">
        <v>82</v>
      </c>
      <c r="E263" t="s">
        <v>1413</v>
      </c>
      <c r="F263" t="s">
        <v>5663</v>
      </c>
      <c r="G263" s="26">
        <v>70416</v>
      </c>
      <c r="H263" s="27">
        <v>46215</v>
      </c>
      <c r="I263" s="27">
        <v>46212</v>
      </c>
      <c r="K26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4" spans="1:14">
      <c r="A264" t="s">
        <v>2081</v>
      </c>
      <c r="B264" t="s">
        <v>5695</v>
      </c>
      <c r="C264" s="14" t="s">
        <v>363</v>
      </c>
      <c r="D264" s="14" t="s">
        <v>18</v>
      </c>
      <c r="E264" t="s">
        <v>1413</v>
      </c>
      <c r="F264" t="s">
        <v>5675</v>
      </c>
      <c r="G264" s="26">
        <v>86240</v>
      </c>
      <c r="H264" s="27">
        <v>45779.001423611109</v>
      </c>
      <c r="I264" s="27">
        <v>45744.001423611109</v>
      </c>
      <c r="K26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5" spans="1:14">
      <c r="A265" t="s">
        <v>2213</v>
      </c>
      <c r="B265" t="s">
        <v>6075</v>
      </c>
      <c r="C265" s="14" t="s">
        <v>551</v>
      </c>
      <c r="D265" s="14" t="s">
        <v>91</v>
      </c>
      <c r="E265" t="s">
        <v>1271</v>
      </c>
      <c r="F265" t="s">
        <v>5675</v>
      </c>
      <c r="G265" s="26">
        <v>32868</v>
      </c>
      <c r="H265" s="27">
        <v>46260.593229166669</v>
      </c>
      <c r="I265" s="27">
        <v>46260.593229166669</v>
      </c>
      <c r="K26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6" spans="1:14">
      <c r="A266" t="s">
        <v>2202</v>
      </c>
      <c r="B266" t="s">
        <v>6076</v>
      </c>
      <c r="C266" s="14" t="s">
        <v>769</v>
      </c>
      <c r="D266" s="14" t="s">
        <v>25</v>
      </c>
      <c r="E266" t="s">
        <v>1355</v>
      </c>
      <c r="F266" t="s">
        <v>5675</v>
      </c>
      <c r="G266" s="26">
        <v>10836</v>
      </c>
      <c r="H266" s="27">
        <v>45315.996921296297</v>
      </c>
      <c r="I266" s="27">
        <v>45302.996921296297</v>
      </c>
      <c r="K26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7" spans="1:14">
      <c r="A267" t="s">
        <v>6077</v>
      </c>
      <c r="B267" t="s">
        <v>5797</v>
      </c>
      <c r="C267" s="14" t="s">
        <v>183</v>
      </c>
      <c r="D267" s="14" t="s">
        <v>25</v>
      </c>
      <c r="E267" t="s">
        <v>1413</v>
      </c>
      <c r="F267" t="s">
        <v>5669</v>
      </c>
      <c r="G267" s="26">
        <v>14640</v>
      </c>
      <c r="H267" s="27">
        <v>46315</v>
      </c>
      <c r="I267" s="27">
        <v>46231</v>
      </c>
      <c r="J267" t="s">
        <v>5671</v>
      </c>
      <c r="K26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67">
        <f>IF(OR(tblPipelineAudit[[#This Row],[Stage]]="Closed Won",tblPipelineAudit[[#This Row],[Stage]]="Closed Lost"),"",IF(tblPipelineAudit[[#This Row],[Last Activity Date]]="","",MAX(0,DATE(2026,9,28)-tblPipelineAudit[[#This Row],[Last Activity Date]])))</f>
        <v>62</v>
      </c>
      <c r="M26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26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68" spans="1:14">
      <c r="A268" t="s">
        <v>6078</v>
      </c>
      <c r="B268" t="s">
        <v>6079</v>
      </c>
      <c r="C268" s="14" t="s">
        <v>824</v>
      </c>
      <c r="D268" s="14" t="s">
        <v>18</v>
      </c>
      <c r="E268" t="s">
        <v>1339</v>
      </c>
      <c r="F268" t="s">
        <v>5663</v>
      </c>
      <c r="G268" s="26">
        <v>7544</v>
      </c>
      <c r="H268" s="27">
        <v>46180.637094907404</v>
      </c>
      <c r="I268" s="27">
        <v>46173.637094907404</v>
      </c>
      <c r="K26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69" spans="1:14">
      <c r="A269" t="s">
        <v>1450</v>
      </c>
      <c r="B269" t="s">
        <v>6081</v>
      </c>
      <c r="C269" s="14" t="s">
        <v>189</v>
      </c>
      <c r="D269" s="14" t="s">
        <v>91</v>
      </c>
      <c r="E269" t="s">
        <v>1281</v>
      </c>
      <c r="F269" t="s">
        <v>5675</v>
      </c>
      <c r="G269" s="26">
        <v>14420</v>
      </c>
      <c r="H269" s="27">
        <v>46129.551215277781</v>
      </c>
      <c r="I269" s="27">
        <v>46136.551215277781</v>
      </c>
      <c r="K26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6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6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6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0" spans="1:14">
      <c r="A270" t="s">
        <v>6082</v>
      </c>
      <c r="B270" t="s">
        <v>6083</v>
      </c>
      <c r="C270" s="14" t="s">
        <v>409</v>
      </c>
      <c r="D270" s="14" t="s">
        <v>69</v>
      </c>
      <c r="E270" t="s">
        <v>1339</v>
      </c>
      <c r="F270" t="s">
        <v>5663</v>
      </c>
      <c r="G270" s="26">
        <v>17420</v>
      </c>
      <c r="H270" s="27">
        <v>46183.325914351852</v>
      </c>
      <c r="I270" s="27">
        <v>46177.325914351852</v>
      </c>
      <c r="K27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1" spans="1:14">
      <c r="A271" t="s">
        <v>1800</v>
      </c>
      <c r="B271" t="s">
        <v>5940</v>
      </c>
      <c r="C271" s="14" t="s">
        <v>906</v>
      </c>
      <c r="D271" s="14" t="s">
        <v>82</v>
      </c>
      <c r="E271" t="s">
        <v>1281</v>
      </c>
      <c r="F271" t="s">
        <v>5725</v>
      </c>
      <c r="G271" s="26">
        <v>78862</v>
      </c>
      <c r="H271" s="27">
        <v>46238</v>
      </c>
      <c r="I271" s="27">
        <v>46266</v>
      </c>
      <c r="J271" t="s">
        <v>5726</v>
      </c>
      <c r="K27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55</v>
      </c>
      <c r="L27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27</v>
      </c>
      <c r="M27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27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72" spans="1:14">
      <c r="A272" t="s">
        <v>6084</v>
      </c>
      <c r="B272" t="s">
        <v>6085</v>
      </c>
      <c r="C272" s="14" t="s">
        <v>751</v>
      </c>
      <c r="D272" s="14" t="s">
        <v>25</v>
      </c>
      <c r="E272" t="s">
        <v>1355</v>
      </c>
      <c r="F272" t="s">
        <v>5686</v>
      </c>
      <c r="G272" s="26">
        <v>15248</v>
      </c>
      <c r="H272" s="27">
        <v>46347</v>
      </c>
      <c r="I272" s="27">
        <v>46288</v>
      </c>
      <c r="J272" t="s">
        <v>5687</v>
      </c>
      <c r="K27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72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27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7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73" spans="1:14">
      <c r="A273" t="s">
        <v>6087</v>
      </c>
      <c r="B273" t="s">
        <v>6088</v>
      </c>
      <c r="C273" s="14" t="s">
        <v>437</v>
      </c>
      <c r="D273" s="14" t="s">
        <v>55</v>
      </c>
      <c r="E273" t="s">
        <v>1339</v>
      </c>
      <c r="F273" t="s">
        <v>5691</v>
      </c>
      <c r="G273" s="26">
        <v>25770</v>
      </c>
      <c r="H273" s="27">
        <v>46311</v>
      </c>
      <c r="I273" s="27">
        <v>46273</v>
      </c>
      <c r="J273" t="s">
        <v>5692</v>
      </c>
      <c r="K27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7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20</v>
      </c>
      <c r="M27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7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74" spans="1:14">
      <c r="A274" t="s">
        <v>6090</v>
      </c>
      <c r="B274" t="s">
        <v>5948</v>
      </c>
      <c r="C274" s="14" t="s">
        <v>639</v>
      </c>
      <c r="D274" s="14" t="s">
        <v>82</v>
      </c>
      <c r="F274" t="s">
        <v>5681</v>
      </c>
      <c r="G274" s="26">
        <v>29602</v>
      </c>
      <c r="H274" s="27">
        <v>46338</v>
      </c>
      <c r="I274" s="27">
        <v>46273</v>
      </c>
      <c r="J274" t="s">
        <v>5682</v>
      </c>
      <c r="K27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74">
        <f>IF(OR(tblPipelineAudit[[#This Row],[Stage]]="Closed Won",tblPipelineAudit[[#This Row],[Stage]]="Closed Lost"),"",IF(tblPipelineAudit[[#This Row],[Last Activity Date]]="","",MAX(0,DATE(2026,9,28)-tblPipelineAudit[[#This Row],[Last Activity Date]])))</f>
        <v>20</v>
      </c>
      <c r="M27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7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275" spans="1:14">
      <c r="A275" t="s">
        <v>1639</v>
      </c>
      <c r="B275" t="s">
        <v>6091</v>
      </c>
      <c r="C275" s="14" t="s">
        <v>506</v>
      </c>
      <c r="D275" s="14" t="s">
        <v>55</v>
      </c>
      <c r="E275" t="s">
        <v>1339</v>
      </c>
      <c r="F275" t="s">
        <v>5675</v>
      </c>
      <c r="G275" s="26">
        <v>58200</v>
      </c>
      <c r="H275" s="27">
        <v>46268</v>
      </c>
      <c r="I275" s="27">
        <v>46269</v>
      </c>
      <c r="K27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6" spans="1:14">
      <c r="A276" t="s">
        <v>2581</v>
      </c>
      <c r="B276" t="s">
        <v>6092</v>
      </c>
      <c r="C276" s="14" t="s">
        <v>398</v>
      </c>
      <c r="D276" s="14" t="s">
        <v>36</v>
      </c>
      <c r="E276" t="s">
        <v>1413</v>
      </c>
      <c r="F276" t="s">
        <v>5675</v>
      </c>
      <c r="G276" s="26">
        <v>49500</v>
      </c>
      <c r="H276" s="27">
        <v>45123.51253472222</v>
      </c>
      <c r="I276" s="27">
        <v>45103.51253472222</v>
      </c>
      <c r="K27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7" spans="1:14">
      <c r="A277" t="s">
        <v>2337</v>
      </c>
      <c r="B277" t="s">
        <v>6036</v>
      </c>
      <c r="C277" s="14" t="s">
        <v>12</v>
      </c>
      <c r="D277" s="14" t="s">
        <v>18</v>
      </c>
      <c r="F277" t="s">
        <v>5675</v>
      </c>
      <c r="G277" s="26">
        <v>58960</v>
      </c>
      <c r="H277" s="27">
        <v>45439.905706018515</v>
      </c>
      <c r="I277" s="27">
        <v>45439.905706018515</v>
      </c>
      <c r="K27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8" spans="1:14">
      <c r="A278" t="s">
        <v>2233</v>
      </c>
      <c r="B278" t="s">
        <v>6093</v>
      </c>
      <c r="C278" s="14" t="s">
        <v>1035</v>
      </c>
      <c r="D278" s="14" t="s">
        <v>25</v>
      </c>
      <c r="E278" t="s">
        <v>1413</v>
      </c>
      <c r="F278" t="s">
        <v>5675</v>
      </c>
      <c r="G278" s="26">
        <v>41034</v>
      </c>
      <c r="H278" s="27">
        <v>45689.044004629628</v>
      </c>
      <c r="I278" s="27">
        <v>45685.044004629628</v>
      </c>
      <c r="K27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79" spans="1:14">
      <c r="A279" t="s">
        <v>6094</v>
      </c>
      <c r="B279" t="s">
        <v>5673</v>
      </c>
      <c r="C279" s="14" t="s">
        <v>240</v>
      </c>
      <c r="D279" s="14" t="s">
        <v>55</v>
      </c>
      <c r="E279" t="s">
        <v>1413</v>
      </c>
      <c r="F279" t="s">
        <v>5663</v>
      </c>
      <c r="G279" s="26">
        <v>19400</v>
      </c>
      <c r="H279" s="27">
        <v>45911</v>
      </c>
      <c r="I279" s="27">
        <v>45907</v>
      </c>
      <c r="K27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7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7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7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0" spans="1:14">
      <c r="A280" t="s">
        <v>6095</v>
      </c>
      <c r="B280" t="s">
        <v>6096</v>
      </c>
      <c r="C280" s="14" t="s">
        <v>87</v>
      </c>
      <c r="D280" s="14" t="s">
        <v>91</v>
      </c>
      <c r="F280" t="s">
        <v>5691</v>
      </c>
      <c r="G280" s="26">
        <v>23070</v>
      </c>
      <c r="H280" s="27">
        <v>46349</v>
      </c>
      <c r="I280" s="27">
        <v>46215</v>
      </c>
      <c r="J280" t="s">
        <v>5801</v>
      </c>
      <c r="K28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80">
        <f>IF(OR(tblPipelineAudit[[#This Row],[Stage]]="Closed Won",tblPipelineAudit[[#This Row],[Stage]]="Closed Lost"),"",IF(tblPipelineAudit[[#This Row],[Last Activity Date]]="","",MAX(0,DATE(2026,9,28)-tblPipelineAudit[[#This Row],[Last Activity Date]])))</f>
        <v>78</v>
      </c>
      <c r="M28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28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281" spans="1:14">
      <c r="A281" t="s">
        <v>2003</v>
      </c>
      <c r="B281" t="s">
        <v>6098</v>
      </c>
      <c r="C281" s="14" t="s">
        <v>168</v>
      </c>
      <c r="D281" s="14" t="s">
        <v>91</v>
      </c>
      <c r="E281" t="s">
        <v>1271</v>
      </c>
      <c r="F281" t="s">
        <v>5675</v>
      </c>
      <c r="G281" s="26">
        <v>24448</v>
      </c>
      <c r="H281" s="27">
        <v>45329.538460648146</v>
      </c>
      <c r="I281" s="27">
        <v>45341.538460648146</v>
      </c>
      <c r="K28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2" spans="1:14">
      <c r="A282" t="s">
        <v>2217</v>
      </c>
      <c r="B282" t="s">
        <v>6099</v>
      </c>
      <c r="C282" s="14" t="s">
        <v>595</v>
      </c>
      <c r="D282" s="14" t="s">
        <v>59</v>
      </c>
      <c r="E282" t="s">
        <v>1339</v>
      </c>
      <c r="F282" t="s">
        <v>5663</v>
      </c>
      <c r="G282" s="26">
        <v>11388</v>
      </c>
      <c r="H282" s="27">
        <v>45791.422812500001</v>
      </c>
      <c r="I282" s="27">
        <v>45786.422812500001</v>
      </c>
      <c r="K28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3" spans="1:14">
      <c r="A283" t="s">
        <v>6100</v>
      </c>
      <c r="B283" t="s">
        <v>6101</v>
      </c>
      <c r="C283" s="14" t="s">
        <v>603</v>
      </c>
      <c r="D283" s="14" t="s">
        <v>25</v>
      </c>
      <c r="F283" t="s">
        <v>5663</v>
      </c>
      <c r="G283" s="26">
        <v>27030</v>
      </c>
      <c r="H283" s="27">
        <v>45684</v>
      </c>
      <c r="I283" s="27">
        <v>45709</v>
      </c>
      <c r="K28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4" spans="1:14">
      <c r="A284" t="s">
        <v>2086</v>
      </c>
      <c r="B284" t="s">
        <v>5852</v>
      </c>
      <c r="C284" s="14" t="s">
        <v>128</v>
      </c>
      <c r="D284" s="14" t="s">
        <v>55</v>
      </c>
      <c r="E284" t="s">
        <v>1271</v>
      </c>
      <c r="F284" t="s">
        <v>5740</v>
      </c>
      <c r="G284" s="26">
        <v>44390</v>
      </c>
      <c r="H284" s="27">
        <v>46295</v>
      </c>
      <c r="I284" s="27">
        <v>46282</v>
      </c>
      <c r="J284" t="s">
        <v>5741</v>
      </c>
      <c r="K28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284">
        <f>IF(OR(tblPipelineAudit[[#This Row],[Stage]]="Closed Won",tblPipelineAudit[[#This Row],[Stage]]="Closed Lost"),"",IF(tblPipelineAudit[[#This Row],[Last Activity Date]]="","",MAX(0,DATE(2026,9,28)-tblPipelineAudit[[#This Row],[Last Activity Date]])))</f>
        <v>11</v>
      </c>
      <c r="M28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28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85" spans="1:14">
      <c r="A285" t="s">
        <v>2159</v>
      </c>
      <c r="B285" t="s">
        <v>6103</v>
      </c>
      <c r="C285" s="14" t="s">
        <v>830</v>
      </c>
      <c r="D285" s="14" t="s">
        <v>25</v>
      </c>
      <c r="E285" t="s">
        <v>1413</v>
      </c>
      <c r="F285" t="s">
        <v>5663</v>
      </c>
      <c r="G285" s="26">
        <v>28896</v>
      </c>
      <c r="H285" s="27">
        <v>46248.239571759259</v>
      </c>
      <c r="I285" s="27">
        <v>46247.239571759259</v>
      </c>
      <c r="K28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6" spans="1:14">
      <c r="A286" t="s">
        <v>1978</v>
      </c>
      <c r="B286" t="s">
        <v>5918</v>
      </c>
      <c r="C286" s="14" t="s">
        <v>509</v>
      </c>
      <c r="D286" s="14" t="s">
        <v>59</v>
      </c>
      <c r="E286" t="s">
        <v>1295</v>
      </c>
      <c r="F286" t="s">
        <v>5675</v>
      </c>
      <c r="G286" s="26">
        <v>23376</v>
      </c>
      <c r="H286" s="27">
        <v>45226.25885416667</v>
      </c>
      <c r="I286" s="27">
        <v>45219.25885416667</v>
      </c>
      <c r="K28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7" spans="1:14">
      <c r="A287" t="s">
        <v>1439</v>
      </c>
      <c r="B287" t="s">
        <v>6104</v>
      </c>
      <c r="C287" s="14" t="s">
        <v>742</v>
      </c>
      <c r="D287" s="14" t="s">
        <v>91</v>
      </c>
      <c r="E287" t="s">
        <v>1317</v>
      </c>
      <c r="F287" t="s">
        <v>5663</v>
      </c>
      <c r="G287" s="26">
        <v>16660</v>
      </c>
      <c r="H287" s="27">
        <v>45932.323391203703</v>
      </c>
      <c r="I287" s="27">
        <v>45926.323391203703</v>
      </c>
      <c r="K28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8" spans="1:14">
      <c r="A288" t="s">
        <v>6105</v>
      </c>
      <c r="B288" t="s">
        <v>5804</v>
      </c>
      <c r="C288" s="14" t="s">
        <v>912</v>
      </c>
      <c r="D288" s="14" t="s">
        <v>18</v>
      </c>
      <c r="F288" t="s">
        <v>5663</v>
      </c>
      <c r="G288" s="26">
        <v>51016</v>
      </c>
      <c r="H288" s="27">
        <v>45661</v>
      </c>
      <c r="I288" s="27">
        <v>45654</v>
      </c>
      <c r="K28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89" spans="1:14">
      <c r="A289" t="s">
        <v>1878</v>
      </c>
      <c r="B289" t="s">
        <v>6055</v>
      </c>
      <c r="C289" s="14" t="s">
        <v>193</v>
      </c>
      <c r="D289" s="14" t="s">
        <v>25</v>
      </c>
      <c r="E289" t="s">
        <v>1271</v>
      </c>
      <c r="F289" t="s">
        <v>5675</v>
      </c>
      <c r="G289" s="26">
        <v>21960</v>
      </c>
      <c r="H289" s="27">
        <v>45863.547372685185</v>
      </c>
      <c r="I289" s="27">
        <v>45859.547372685185</v>
      </c>
      <c r="K28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8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8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8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0" spans="1:14">
      <c r="A290" t="s">
        <v>6106</v>
      </c>
      <c r="B290" t="s">
        <v>6107</v>
      </c>
      <c r="C290" s="14" t="s">
        <v>688</v>
      </c>
      <c r="D290" s="14" t="s">
        <v>82</v>
      </c>
      <c r="E290" t="s">
        <v>1355</v>
      </c>
      <c r="F290" t="s">
        <v>5663</v>
      </c>
      <c r="G290" s="26">
        <v>43920</v>
      </c>
      <c r="H290" s="27">
        <v>45755</v>
      </c>
      <c r="I290" s="27">
        <v>45779</v>
      </c>
      <c r="K29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1" spans="1:14">
      <c r="A291" t="s">
        <v>6108</v>
      </c>
      <c r="B291" t="s">
        <v>6109</v>
      </c>
      <c r="C291" s="14" t="s">
        <v>320</v>
      </c>
      <c r="D291" s="14" t="s">
        <v>82</v>
      </c>
      <c r="E291" t="s">
        <v>1281</v>
      </c>
      <c r="F291" t="s">
        <v>5686</v>
      </c>
      <c r="G291" s="26">
        <v>36680</v>
      </c>
      <c r="H291" s="27">
        <v>46255</v>
      </c>
      <c r="I291" s="27">
        <v>46234</v>
      </c>
      <c r="J291" t="s">
        <v>5862</v>
      </c>
      <c r="K29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38</v>
      </c>
      <c r="L291">
        <f>IF(OR(tblPipelineAudit[[#This Row],[Stage]]="Closed Won",tblPipelineAudit[[#This Row],[Stage]]="Closed Lost"),"",IF(tblPipelineAudit[[#This Row],[Last Activity Date]]="","",MAX(0,DATE(2026,9,28)-tblPipelineAudit[[#This Row],[Last Activity Date]])))</f>
        <v>59</v>
      </c>
      <c r="M29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 + Overdue</v>
      </c>
      <c r="N29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292" spans="1:14">
      <c r="A292" t="s">
        <v>1615</v>
      </c>
      <c r="B292" t="s">
        <v>6111</v>
      </c>
      <c r="C292" s="14" t="s">
        <v>286</v>
      </c>
      <c r="D292" s="14" t="s">
        <v>69</v>
      </c>
      <c r="E292" t="s">
        <v>1271</v>
      </c>
      <c r="F292" t="s">
        <v>5663</v>
      </c>
      <c r="G292" s="26">
        <v>40026</v>
      </c>
      <c r="H292" s="27">
        <v>45596.366469907407</v>
      </c>
      <c r="I292" s="27">
        <v>45595.366469907407</v>
      </c>
      <c r="K29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3" spans="1:14">
      <c r="A293" t="s">
        <v>6112</v>
      </c>
      <c r="B293" t="s">
        <v>5771</v>
      </c>
      <c r="C293" s="14" t="s">
        <v>834</v>
      </c>
      <c r="D293" s="14" t="s">
        <v>55</v>
      </c>
      <c r="E293" t="s">
        <v>1295</v>
      </c>
      <c r="F293" t="s">
        <v>5663</v>
      </c>
      <c r="G293" s="26">
        <v>34812</v>
      </c>
      <c r="H293" s="27">
        <v>46031.740358796298</v>
      </c>
      <c r="I293" s="27">
        <v>46018.740358796298</v>
      </c>
      <c r="K29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4" spans="1:14">
      <c r="A294" t="s">
        <v>2541</v>
      </c>
      <c r="B294" t="s">
        <v>6113</v>
      </c>
      <c r="C294" s="14" t="s">
        <v>824</v>
      </c>
      <c r="D294" s="14" t="s">
        <v>18</v>
      </c>
      <c r="E294" t="s">
        <v>1317</v>
      </c>
      <c r="F294" t="s">
        <v>5675</v>
      </c>
      <c r="G294" s="26">
        <v>74400</v>
      </c>
      <c r="H294" s="27">
        <v>45896.910532407404</v>
      </c>
      <c r="I294" s="27">
        <v>45891.910532407404</v>
      </c>
      <c r="K29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5" spans="1:14">
      <c r="A295" t="s">
        <v>1362</v>
      </c>
      <c r="B295" t="s">
        <v>6114</v>
      </c>
      <c r="C295" s="14" t="s">
        <v>615</v>
      </c>
      <c r="D295" s="14" t="s">
        <v>18</v>
      </c>
      <c r="E295" t="s">
        <v>1317</v>
      </c>
      <c r="F295" t="s">
        <v>5675</v>
      </c>
      <c r="G295" s="26">
        <v>85888</v>
      </c>
      <c r="H295" s="27">
        <v>45695.517824074072</v>
      </c>
      <c r="I295" s="27">
        <v>45685.517824074072</v>
      </c>
      <c r="K29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6" spans="1:14">
      <c r="A296" t="s">
        <v>1969</v>
      </c>
      <c r="B296" t="s">
        <v>6023</v>
      </c>
      <c r="C296" s="14" t="s">
        <v>598</v>
      </c>
      <c r="D296" s="14" t="s">
        <v>25</v>
      </c>
      <c r="E296" t="s">
        <v>1295</v>
      </c>
      <c r="F296" t="s">
        <v>5663</v>
      </c>
      <c r="G296" s="26">
        <v>18810</v>
      </c>
      <c r="H296" s="27">
        <v>45201.541712962964</v>
      </c>
      <c r="I296" s="27">
        <v>45203.541712962964</v>
      </c>
      <c r="K29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7" spans="1:14">
      <c r="A297" t="s">
        <v>2447</v>
      </c>
      <c r="B297" t="s">
        <v>6115</v>
      </c>
      <c r="C297" s="14" t="s">
        <v>663</v>
      </c>
      <c r="D297" s="14" t="s">
        <v>25</v>
      </c>
      <c r="E297" t="s">
        <v>1355</v>
      </c>
      <c r="F297" t="s">
        <v>5675</v>
      </c>
      <c r="G297" s="26">
        <v>25194</v>
      </c>
      <c r="H297" s="27">
        <v>45130.483657407407</v>
      </c>
      <c r="I297" s="27">
        <v>45127.483657407407</v>
      </c>
      <c r="K29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8" spans="1:14">
      <c r="A298" t="s">
        <v>1702</v>
      </c>
      <c r="B298" t="s">
        <v>6016</v>
      </c>
      <c r="C298" s="14" t="s">
        <v>357</v>
      </c>
      <c r="D298" s="14" t="s">
        <v>18</v>
      </c>
      <c r="E298" t="s">
        <v>1295</v>
      </c>
      <c r="F298" t="s">
        <v>5675</v>
      </c>
      <c r="G298" s="26">
        <v>73186</v>
      </c>
      <c r="H298" s="27">
        <v>45807.263958333337</v>
      </c>
      <c r="I298" s="27">
        <v>45807.263958333337</v>
      </c>
      <c r="K29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299" spans="1:14">
      <c r="A299" t="s">
        <v>1845</v>
      </c>
      <c r="B299" t="s">
        <v>5708</v>
      </c>
      <c r="C299" s="14" t="s">
        <v>476</v>
      </c>
      <c r="D299" s="14" t="s">
        <v>82</v>
      </c>
      <c r="E299" t="s">
        <v>1288</v>
      </c>
      <c r="F299" t="s">
        <v>5663</v>
      </c>
      <c r="G299" s="26">
        <v>63000</v>
      </c>
      <c r="H299" s="27">
        <v>46226.425254629627</v>
      </c>
      <c r="I299" s="27">
        <v>46253.425254629627</v>
      </c>
      <c r="K29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29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29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29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0" spans="1:14">
      <c r="A300" t="s">
        <v>6116</v>
      </c>
      <c r="B300" t="s">
        <v>6117</v>
      </c>
      <c r="C300" s="14" t="s">
        <v>1019</v>
      </c>
      <c r="D300" s="14" t="s">
        <v>25</v>
      </c>
      <c r="E300" t="s">
        <v>1413</v>
      </c>
      <c r="F300" t="s">
        <v>5691</v>
      </c>
      <c r="G300" s="26">
        <v>33800</v>
      </c>
      <c r="H300" s="27">
        <v>46347</v>
      </c>
      <c r="I300" s="27">
        <v>46265</v>
      </c>
      <c r="J300" t="s">
        <v>5970</v>
      </c>
      <c r="K30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0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28</v>
      </c>
      <c r="M30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0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01" spans="1:14">
      <c r="A301" t="s">
        <v>1868</v>
      </c>
      <c r="B301" t="s">
        <v>5940</v>
      </c>
      <c r="C301" s="14" t="s">
        <v>906</v>
      </c>
      <c r="D301" s="14" t="s">
        <v>82</v>
      </c>
      <c r="E301" t="s">
        <v>1271</v>
      </c>
      <c r="F301" t="s">
        <v>5675</v>
      </c>
      <c r="G301" s="26">
        <v>76640</v>
      </c>
      <c r="H301" s="27">
        <v>45591.907800925925</v>
      </c>
      <c r="I301" s="27">
        <v>45602.907800925925</v>
      </c>
      <c r="K30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2" spans="1:14">
      <c r="A302" t="s">
        <v>6119</v>
      </c>
      <c r="B302" t="s">
        <v>6120</v>
      </c>
      <c r="C302" s="14" t="s">
        <v>858</v>
      </c>
      <c r="D302" s="14" t="s">
        <v>55</v>
      </c>
      <c r="E302" t="s">
        <v>1317</v>
      </c>
      <c r="F302" t="s">
        <v>5663</v>
      </c>
      <c r="G302" s="26">
        <v>71760</v>
      </c>
      <c r="H302" s="27">
        <v>45519</v>
      </c>
      <c r="I302" s="27">
        <v>45507</v>
      </c>
      <c r="K30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3" spans="1:14">
      <c r="A303" t="s">
        <v>6122</v>
      </c>
      <c r="B303" t="s">
        <v>6065</v>
      </c>
      <c r="C303" s="14" t="s">
        <v>888</v>
      </c>
      <c r="D303" s="14" t="s">
        <v>55</v>
      </c>
      <c r="E303" t="s">
        <v>1413</v>
      </c>
      <c r="F303" t="s">
        <v>5681</v>
      </c>
      <c r="G303" s="26">
        <v>56840</v>
      </c>
      <c r="H303" s="27">
        <v>46237</v>
      </c>
      <c r="I303" s="27">
        <v>46242</v>
      </c>
      <c r="J303" t="s">
        <v>5682</v>
      </c>
      <c r="K30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56</v>
      </c>
      <c r="L303">
        <f>IF(OR(tblPipelineAudit[[#This Row],[Stage]]="Closed Won",tblPipelineAudit[[#This Row],[Stage]]="Closed Lost"),"",IF(tblPipelineAudit[[#This Row],[Last Activity Date]]="","",MAX(0,DATE(2026,9,28)-tblPipelineAudit[[#This Row],[Last Activity Date]])))</f>
        <v>51</v>
      </c>
      <c r="M30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 + Overdue</v>
      </c>
      <c r="N30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04" spans="1:14">
      <c r="A304" t="s">
        <v>6123</v>
      </c>
      <c r="B304" t="s">
        <v>5985</v>
      </c>
      <c r="C304" s="14" t="s">
        <v>677</v>
      </c>
      <c r="D304" s="14" t="s">
        <v>55</v>
      </c>
      <c r="E304" t="s">
        <v>1413</v>
      </c>
      <c r="F304" t="s">
        <v>5663</v>
      </c>
      <c r="G304" s="26">
        <v>27690</v>
      </c>
      <c r="H304" s="27">
        <v>45965.542268518519</v>
      </c>
      <c r="I304" s="27">
        <v>45994.542268518519</v>
      </c>
      <c r="K30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5" spans="1:14">
      <c r="A305" t="s">
        <v>6124</v>
      </c>
      <c r="B305" t="s">
        <v>5890</v>
      </c>
      <c r="C305" s="14" t="s">
        <v>1025</v>
      </c>
      <c r="D305" s="14" t="s">
        <v>18</v>
      </c>
      <c r="E305" t="s">
        <v>1281</v>
      </c>
      <c r="F305" t="s">
        <v>5663</v>
      </c>
      <c r="G305" s="26">
        <v>76506</v>
      </c>
      <c r="H305" s="27">
        <v>45704</v>
      </c>
      <c r="I305" s="27">
        <v>45700</v>
      </c>
      <c r="K30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6" spans="1:14">
      <c r="A306" t="s">
        <v>6125</v>
      </c>
      <c r="B306" t="s">
        <v>5993</v>
      </c>
      <c r="C306" s="14" t="s">
        <v>273</v>
      </c>
      <c r="D306" s="14" t="s">
        <v>55</v>
      </c>
      <c r="E306" t="s">
        <v>1317</v>
      </c>
      <c r="F306" t="s">
        <v>5663</v>
      </c>
      <c r="G306" s="26">
        <v>49050</v>
      </c>
      <c r="H306" s="27">
        <v>46047.945856481485</v>
      </c>
      <c r="I306" s="27">
        <v>46077.945856481485</v>
      </c>
      <c r="K30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7" spans="1:14">
      <c r="A307" t="s">
        <v>6127</v>
      </c>
      <c r="B307" t="s">
        <v>6128</v>
      </c>
      <c r="C307" s="14" t="s">
        <v>589</v>
      </c>
      <c r="D307" s="14" t="s">
        <v>59</v>
      </c>
      <c r="E307" t="s">
        <v>1271</v>
      </c>
      <c r="F307" t="s">
        <v>5669</v>
      </c>
      <c r="G307" s="26">
        <v>18240</v>
      </c>
      <c r="H307" s="27">
        <v>46322</v>
      </c>
      <c r="I307" s="27">
        <v>46287</v>
      </c>
      <c r="J307" t="s">
        <v>5774</v>
      </c>
      <c r="K30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07">
        <f>IF(OR(tblPipelineAudit[[#This Row],[Stage]]="Closed Won",tblPipelineAudit[[#This Row],[Stage]]="Closed Lost"),"",IF(tblPipelineAudit[[#This Row],[Last Activity Date]]="","",MAX(0,DATE(2026,9,28)-tblPipelineAudit[[#This Row],[Last Activity Date]])))</f>
        <v>6</v>
      </c>
      <c r="M30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0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08" spans="1:14">
      <c r="A308" t="s">
        <v>1697</v>
      </c>
      <c r="B308" t="s">
        <v>6129</v>
      </c>
      <c r="C308" s="14" t="s">
        <v>314</v>
      </c>
      <c r="D308" s="14" t="s">
        <v>82</v>
      </c>
      <c r="E308" t="s">
        <v>1295</v>
      </c>
      <c r="F308" t="s">
        <v>5663</v>
      </c>
      <c r="G308" s="26">
        <v>35658</v>
      </c>
      <c r="H308" s="27">
        <v>45575.84578703704</v>
      </c>
      <c r="I308" s="27">
        <v>45541.84578703704</v>
      </c>
      <c r="K30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09" spans="1:14">
      <c r="A309" t="s">
        <v>6130</v>
      </c>
      <c r="B309" t="s">
        <v>6131</v>
      </c>
      <c r="C309" s="14" t="s">
        <v>691</v>
      </c>
      <c r="D309" s="14" t="s">
        <v>25</v>
      </c>
      <c r="E309" t="s">
        <v>1281</v>
      </c>
      <c r="F309" t="s">
        <v>5663</v>
      </c>
      <c r="G309" s="26">
        <v>14130</v>
      </c>
      <c r="H309" s="27">
        <v>45814</v>
      </c>
      <c r="I309" s="27">
        <v>45805</v>
      </c>
      <c r="K30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0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0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0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0" spans="1:14">
      <c r="A310" t="s">
        <v>6132</v>
      </c>
      <c r="B310" t="s">
        <v>6133</v>
      </c>
      <c r="C310" s="14" t="s">
        <v>276</v>
      </c>
      <c r="D310" s="14" t="s">
        <v>55</v>
      </c>
      <c r="E310" t="s">
        <v>1355</v>
      </c>
      <c r="F310" t="s">
        <v>5691</v>
      </c>
      <c r="G310" s="26">
        <v>28170</v>
      </c>
      <c r="H310" s="27">
        <v>46332</v>
      </c>
      <c r="I310" s="27">
        <v>46280</v>
      </c>
      <c r="J310" t="s">
        <v>5970</v>
      </c>
      <c r="K31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10">
        <f>IF(OR(tblPipelineAudit[[#This Row],[Stage]]="Closed Won",tblPipelineAudit[[#This Row],[Stage]]="Closed Lost"),"",IF(tblPipelineAudit[[#This Row],[Last Activity Date]]="","",MAX(0,DATE(2026,9,28)-tblPipelineAudit[[#This Row],[Last Activity Date]])))</f>
        <v>13</v>
      </c>
      <c r="M31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1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11" spans="1:14">
      <c r="A311" t="s">
        <v>2301</v>
      </c>
      <c r="B311" t="s">
        <v>6134</v>
      </c>
      <c r="C311" s="14" t="s">
        <v>760</v>
      </c>
      <c r="D311" s="14" t="s">
        <v>55</v>
      </c>
      <c r="E311" t="s">
        <v>1281</v>
      </c>
      <c r="F311" t="s">
        <v>5675</v>
      </c>
      <c r="G311" s="26">
        <v>31246</v>
      </c>
      <c r="H311" s="27">
        <v>45331.499131944445</v>
      </c>
      <c r="I311" s="27">
        <v>45333.499131944445</v>
      </c>
      <c r="K31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2" spans="1:14">
      <c r="A312" t="s">
        <v>2468</v>
      </c>
      <c r="B312" t="s">
        <v>6135</v>
      </c>
      <c r="C312" s="14" t="s">
        <v>124</v>
      </c>
      <c r="D312" s="14" t="s">
        <v>25</v>
      </c>
      <c r="E312" t="s">
        <v>1317</v>
      </c>
      <c r="F312" t="s">
        <v>5675</v>
      </c>
      <c r="G312" s="26">
        <v>22656</v>
      </c>
      <c r="H312" s="27">
        <v>45313.915543981479</v>
      </c>
      <c r="I312" s="27">
        <v>45307.915543981479</v>
      </c>
      <c r="K31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3" spans="1:14">
      <c r="A313" t="s">
        <v>2509</v>
      </c>
      <c r="B313" t="s">
        <v>6136</v>
      </c>
      <c r="C313" s="14" t="s">
        <v>524</v>
      </c>
      <c r="D313" s="14" t="s">
        <v>36</v>
      </c>
      <c r="E313" t="s">
        <v>1413</v>
      </c>
      <c r="F313" t="s">
        <v>5675</v>
      </c>
      <c r="G313" s="26">
        <v>56760</v>
      </c>
      <c r="H313" s="27">
        <v>46023.921967592592</v>
      </c>
      <c r="I313" s="27">
        <v>46034.921967592592</v>
      </c>
      <c r="K31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4" spans="1:14">
      <c r="A314" t="s">
        <v>1906</v>
      </c>
      <c r="B314" t="s">
        <v>6137</v>
      </c>
      <c r="C314" s="14" t="s">
        <v>202</v>
      </c>
      <c r="D314" s="14" t="s">
        <v>59</v>
      </c>
      <c r="E314" t="s">
        <v>1295</v>
      </c>
      <c r="F314" t="s">
        <v>5675</v>
      </c>
      <c r="G314" s="26">
        <v>27810</v>
      </c>
      <c r="H314" s="27">
        <v>45625.356481481482</v>
      </c>
      <c r="I314" s="27">
        <v>45620.356481481482</v>
      </c>
      <c r="K31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5" spans="1:14">
      <c r="A315" t="s">
        <v>1986</v>
      </c>
      <c r="B315" t="s">
        <v>5768</v>
      </c>
      <c r="C315" s="14" t="s">
        <v>715</v>
      </c>
      <c r="D315" s="14" t="s">
        <v>55</v>
      </c>
      <c r="E315" t="s">
        <v>1271</v>
      </c>
      <c r="F315" t="s">
        <v>5675</v>
      </c>
      <c r="G315" s="26">
        <v>63294</v>
      </c>
      <c r="H315" s="27">
        <v>45301.541134259256</v>
      </c>
      <c r="I315" s="27">
        <v>45270.541134259256</v>
      </c>
      <c r="K31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6" spans="1:14">
      <c r="A316" t="s">
        <v>1422</v>
      </c>
      <c r="B316" t="s">
        <v>6138</v>
      </c>
      <c r="C316" s="14" t="s">
        <v>697</v>
      </c>
      <c r="D316" s="14" t="s">
        <v>82</v>
      </c>
      <c r="E316" t="s">
        <v>1413</v>
      </c>
      <c r="F316" t="s">
        <v>5725</v>
      </c>
      <c r="G316" s="26">
        <v>81442</v>
      </c>
      <c r="H316" s="27">
        <v>46302</v>
      </c>
      <c r="I316" s="27">
        <v>46284</v>
      </c>
      <c r="J316" t="s">
        <v>5726</v>
      </c>
      <c r="K31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16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31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1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17" spans="1:14">
      <c r="A317" t="s">
        <v>1995</v>
      </c>
      <c r="B317" t="s">
        <v>5818</v>
      </c>
      <c r="C317" s="14" t="s">
        <v>998</v>
      </c>
      <c r="D317" s="14" t="s">
        <v>18</v>
      </c>
      <c r="E317" t="s">
        <v>1317</v>
      </c>
      <c r="F317" t="s">
        <v>5663</v>
      </c>
      <c r="G317" s="26">
        <v>37886</v>
      </c>
      <c r="H317" s="27">
        <v>46268.139062499999</v>
      </c>
      <c r="I317" s="27">
        <v>46261.139062499999</v>
      </c>
      <c r="K31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8" spans="1:14">
      <c r="A318" t="s">
        <v>6139</v>
      </c>
      <c r="B318" t="s">
        <v>6140</v>
      </c>
      <c r="C318" s="14" t="s">
        <v>951</v>
      </c>
      <c r="D318" s="14" t="s">
        <v>59</v>
      </c>
      <c r="E318" t="s">
        <v>1413</v>
      </c>
      <c r="F318" t="s">
        <v>5663</v>
      </c>
      <c r="G318" s="26">
        <v>22992</v>
      </c>
      <c r="H318" s="27">
        <v>45972.575127314813</v>
      </c>
      <c r="I318" s="27">
        <v>45972.575127314813</v>
      </c>
      <c r="K31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19" spans="1:14">
      <c r="A319" t="s">
        <v>2048</v>
      </c>
      <c r="B319" t="s">
        <v>6141</v>
      </c>
      <c r="C319" s="14" t="s">
        <v>485</v>
      </c>
      <c r="D319" s="14" t="s">
        <v>55</v>
      </c>
      <c r="E319" t="s">
        <v>1271</v>
      </c>
      <c r="F319" t="s">
        <v>5663</v>
      </c>
      <c r="G319" s="26">
        <v>54320</v>
      </c>
      <c r="H319" s="27">
        <v>46156.690706018519</v>
      </c>
      <c r="I319" s="27">
        <v>46156.690706018519</v>
      </c>
      <c r="K31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1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1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1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20" spans="1:14">
      <c r="A320" t="s">
        <v>6142</v>
      </c>
      <c r="B320" t="s">
        <v>6101</v>
      </c>
      <c r="C320" s="14" t="s">
        <v>603</v>
      </c>
      <c r="D320" s="14" t="s">
        <v>25</v>
      </c>
      <c r="F320" t="s">
        <v>5669</v>
      </c>
      <c r="G320" s="26">
        <v>20496</v>
      </c>
      <c r="H320" s="27">
        <v>46322</v>
      </c>
      <c r="I320" s="27">
        <v>46288</v>
      </c>
      <c r="J320" t="s">
        <v>5850</v>
      </c>
      <c r="K32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0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32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2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321" spans="1:14">
      <c r="A321" t="s">
        <v>1812</v>
      </c>
      <c r="B321" t="s">
        <v>6143</v>
      </c>
      <c r="C321" s="14" t="s">
        <v>666</v>
      </c>
      <c r="D321" s="14" t="s">
        <v>69</v>
      </c>
      <c r="E321" t="s">
        <v>1317</v>
      </c>
      <c r="F321" t="s">
        <v>5675</v>
      </c>
      <c r="G321" s="26">
        <v>24206</v>
      </c>
      <c r="H321" s="27">
        <v>45278.026388888888</v>
      </c>
      <c r="I321" s="27">
        <v>45278.026388888888</v>
      </c>
      <c r="K32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2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2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2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22" spans="1:14">
      <c r="A322" t="s">
        <v>6144</v>
      </c>
      <c r="B322" t="s">
        <v>5667</v>
      </c>
      <c r="C322" s="14" t="s">
        <v>494</v>
      </c>
      <c r="D322" s="14" t="s">
        <v>36</v>
      </c>
      <c r="E322" t="s">
        <v>1288</v>
      </c>
      <c r="F322" t="s">
        <v>5691</v>
      </c>
      <c r="G322" s="26">
        <v>69116</v>
      </c>
      <c r="H322" s="27">
        <v>46328</v>
      </c>
      <c r="I322" s="27">
        <v>46235</v>
      </c>
      <c r="J322" t="s">
        <v>5801</v>
      </c>
      <c r="K32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2">
        <f>IF(OR(tblPipelineAudit[[#This Row],[Stage]]="Closed Won",tblPipelineAudit[[#This Row],[Stage]]="Closed Lost"),"",IF(tblPipelineAudit[[#This Row],[Last Activity Date]]="","",MAX(0,DATE(2026,9,28)-tblPipelineAudit[[#This Row],[Last Activity Date]])))</f>
        <v>58</v>
      </c>
      <c r="M32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2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23" spans="1:14">
      <c r="A323" t="s">
        <v>1550</v>
      </c>
      <c r="B323" t="s">
        <v>6133</v>
      </c>
      <c r="C323" s="14" t="s">
        <v>276</v>
      </c>
      <c r="D323" s="14" t="s">
        <v>55</v>
      </c>
      <c r="E323" t="s">
        <v>1355</v>
      </c>
      <c r="F323" t="s">
        <v>5663</v>
      </c>
      <c r="G323" s="26">
        <v>31280</v>
      </c>
      <c r="H323" s="27">
        <v>46097.127766203703</v>
      </c>
      <c r="I323" s="27">
        <v>46100.127766203703</v>
      </c>
      <c r="K32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2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2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2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24" spans="1:14">
      <c r="A324" t="s">
        <v>1960</v>
      </c>
      <c r="B324" t="s">
        <v>5876</v>
      </c>
      <c r="C324" s="14" t="s">
        <v>296</v>
      </c>
      <c r="D324" s="14" t="s">
        <v>36</v>
      </c>
      <c r="E324" t="s">
        <v>1295</v>
      </c>
      <c r="F324" t="s">
        <v>5691</v>
      </c>
      <c r="G324" s="26">
        <v>28980</v>
      </c>
      <c r="H324" s="27">
        <v>46309</v>
      </c>
      <c r="I324" s="27">
        <v>46283</v>
      </c>
      <c r="J324" t="s">
        <v>5801</v>
      </c>
      <c r="K32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4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32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2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25" spans="1:14">
      <c r="A325" t="s">
        <v>6145</v>
      </c>
      <c r="B325" t="s">
        <v>6146</v>
      </c>
      <c r="C325" s="14" t="s">
        <v>717</v>
      </c>
      <c r="D325" s="14" t="s">
        <v>82</v>
      </c>
      <c r="E325" t="s">
        <v>1295</v>
      </c>
      <c r="F325" t="s">
        <v>5691</v>
      </c>
      <c r="G325" s="26">
        <v>68544</v>
      </c>
      <c r="H325" s="27">
        <v>46342</v>
      </c>
      <c r="I325" s="27">
        <v>46210</v>
      </c>
      <c r="J325" t="s">
        <v>5801</v>
      </c>
      <c r="K32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5">
        <f>IF(OR(tblPipelineAudit[[#This Row],[Stage]]="Closed Won",tblPipelineAudit[[#This Row],[Stage]]="Closed Lost"),"",IF(tblPipelineAudit[[#This Row],[Last Activity Date]]="","",MAX(0,DATE(2026,9,28)-tblPipelineAudit[[#This Row],[Last Activity Date]])))</f>
        <v>83</v>
      </c>
      <c r="M32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2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26" spans="1:14">
      <c r="A326" t="s">
        <v>6148</v>
      </c>
      <c r="B326" t="s">
        <v>6149</v>
      </c>
      <c r="C326" s="14" t="s">
        <v>989</v>
      </c>
      <c r="D326" s="14" t="s">
        <v>91</v>
      </c>
      <c r="E326" t="s">
        <v>1271</v>
      </c>
      <c r="F326" t="s">
        <v>5686</v>
      </c>
      <c r="G326" s="26">
        <v>18260</v>
      </c>
      <c r="H326" s="27">
        <v>46341</v>
      </c>
      <c r="I326" s="27">
        <v>46242</v>
      </c>
      <c r="J326" t="s">
        <v>5767</v>
      </c>
      <c r="K32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6">
        <f>IF(OR(tblPipelineAudit[[#This Row],[Stage]]="Closed Won",tblPipelineAudit[[#This Row],[Stage]]="Closed Lost"),"",IF(tblPipelineAudit[[#This Row],[Last Activity Date]]="","",MAX(0,DATE(2026,9,28)-tblPipelineAudit[[#This Row],[Last Activity Date]])))</f>
        <v>51</v>
      </c>
      <c r="M32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2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27" spans="1:14">
      <c r="A327" t="s">
        <v>6151</v>
      </c>
      <c r="B327" t="s">
        <v>5881</v>
      </c>
      <c r="C327" s="14" t="s">
        <v>533</v>
      </c>
      <c r="D327" s="14" t="s">
        <v>18</v>
      </c>
      <c r="E327" t="s">
        <v>1339</v>
      </c>
      <c r="F327" t="s">
        <v>5691</v>
      </c>
      <c r="G327" s="26">
        <v>33300</v>
      </c>
      <c r="H327" s="27">
        <v>46348</v>
      </c>
      <c r="I327" s="27">
        <v>46199</v>
      </c>
      <c r="J327" t="s">
        <v>5801</v>
      </c>
      <c r="K32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7">
        <f>IF(OR(tblPipelineAudit[[#This Row],[Stage]]="Closed Won",tblPipelineAudit[[#This Row],[Stage]]="Closed Lost"),"",IF(tblPipelineAudit[[#This Row],[Last Activity Date]]="","",MAX(0,DATE(2026,9,28)-tblPipelineAudit[[#This Row],[Last Activity Date]])))</f>
        <v>94</v>
      </c>
      <c r="M32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2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28" spans="1:14">
      <c r="A328" t="s">
        <v>2036</v>
      </c>
      <c r="B328" t="s">
        <v>6120</v>
      </c>
      <c r="C328" s="14" t="s">
        <v>858</v>
      </c>
      <c r="D328" s="14" t="s">
        <v>55</v>
      </c>
      <c r="E328" t="s">
        <v>1413</v>
      </c>
      <c r="F328" t="s">
        <v>5675</v>
      </c>
      <c r="G328" s="26">
        <v>76080</v>
      </c>
      <c r="H328" s="27">
        <v>45363.276990740742</v>
      </c>
      <c r="I328" s="27">
        <v>45356.276990740742</v>
      </c>
      <c r="K32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2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2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2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29" spans="1:14">
      <c r="A329" t="s">
        <v>6152</v>
      </c>
      <c r="B329" t="s">
        <v>5747</v>
      </c>
      <c r="C329" s="14" t="s">
        <v>909</v>
      </c>
      <c r="D329" s="14" t="s">
        <v>25</v>
      </c>
      <c r="E329" t="s">
        <v>1295</v>
      </c>
      <c r="F329" t="s">
        <v>5669</v>
      </c>
      <c r="G329" s="26">
        <v>45300</v>
      </c>
      <c r="H329" s="27">
        <v>46322</v>
      </c>
      <c r="I329" s="27">
        <v>46281</v>
      </c>
      <c r="J329" t="s">
        <v>5671</v>
      </c>
      <c r="K32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29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32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2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30" spans="1:14">
      <c r="A330" t="s">
        <v>1297</v>
      </c>
      <c r="B330" t="s">
        <v>6153</v>
      </c>
      <c r="C330" s="14" t="s">
        <v>720</v>
      </c>
      <c r="D330" s="14" t="s">
        <v>69</v>
      </c>
      <c r="E330" t="s">
        <v>1295</v>
      </c>
      <c r="F330" t="s">
        <v>5675</v>
      </c>
      <c r="G330" s="26">
        <v>37772</v>
      </c>
      <c r="H330" s="27">
        <v>44688.611828703702</v>
      </c>
      <c r="I330" s="27">
        <v>44700.611828703702</v>
      </c>
      <c r="K33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3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3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3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31" spans="1:14">
      <c r="A331" t="s">
        <v>6154</v>
      </c>
      <c r="B331" t="s">
        <v>6155</v>
      </c>
      <c r="C331" s="14" t="s">
        <v>754</v>
      </c>
      <c r="D331" s="14" t="s">
        <v>55</v>
      </c>
      <c r="E331" t="s">
        <v>1317</v>
      </c>
      <c r="F331" t="s">
        <v>5686</v>
      </c>
      <c r="G331" s="26">
        <v>83168</v>
      </c>
      <c r="H331" s="27">
        <v>46329</v>
      </c>
      <c r="I331" s="27">
        <v>46270</v>
      </c>
      <c r="K33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3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23</v>
      </c>
      <c r="M33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3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332" spans="1:14">
      <c r="A332" t="s">
        <v>6156</v>
      </c>
      <c r="B332" t="s">
        <v>5795</v>
      </c>
      <c r="C332" s="14" t="s">
        <v>412</v>
      </c>
      <c r="D332" s="14" t="s">
        <v>55</v>
      </c>
      <c r="E332" t="s">
        <v>1413</v>
      </c>
      <c r="F332" t="s">
        <v>5663</v>
      </c>
      <c r="G332" s="26">
        <v>11292</v>
      </c>
      <c r="H332" s="27">
        <v>45356</v>
      </c>
      <c r="I332" s="27">
        <v>45343</v>
      </c>
      <c r="K33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3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3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3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33" spans="1:14">
      <c r="A333" t="s">
        <v>6157</v>
      </c>
      <c r="B333" t="s">
        <v>6158</v>
      </c>
      <c r="C333" s="14" t="s">
        <v>470</v>
      </c>
      <c r="D333" s="14" t="s">
        <v>91</v>
      </c>
      <c r="F333" t="s">
        <v>5681</v>
      </c>
      <c r="G333" s="26">
        <v>19160</v>
      </c>
      <c r="H333" s="27">
        <v>46326</v>
      </c>
      <c r="I333" s="27">
        <v>46270</v>
      </c>
      <c r="J333" t="s">
        <v>5682</v>
      </c>
      <c r="K33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3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23</v>
      </c>
      <c r="M33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3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334" spans="1:14">
      <c r="A334" t="s">
        <v>2557</v>
      </c>
      <c r="B334" t="s">
        <v>6107</v>
      </c>
      <c r="C334" s="14" t="s">
        <v>688</v>
      </c>
      <c r="D334" s="14" t="s">
        <v>82</v>
      </c>
      <c r="E334" t="s">
        <v>1295</v>
      </c>
      <c r="F334" t="s">
        <v>5675</v>
      </c>
      <c r="G334" s="26">
        <v>45770</v>
      </c>
      <c r="H334" s="27">
        <v>45142.572812500002</v>
      </c>
      <c r="I334" s="27">
        <v>45149.572812500002</v>
      </c>
      <c r="K33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3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3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3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35" spans="1:14">
      <c r="A335" t="s">
        <v>2406</v>
      </c>
      <c r="B335" t="s">
        <v>5825</v>
      </c>
      <c r="C335" s="14" t="s">
        <v>936</v>
      </c>
      <c r="D335" s="14" t="s">
        <v>36</v>
      </c>
      <c r="E335" t="s">
        <v>1317</v>
      </c>
      <c r="F335" t="s">
        <v>5681</v>
      </c>
      <c r="G335" s="26">
        <v>37440</v>
      </c>
      <c r="H335" s="27">
        <v>46336</v>
      </c>
      <c r="I335" s="27">
        <v>46281</v>
      </c>
      <c r="K33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35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33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3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Next Step</v>
      </c>
    </row>
    <row r="336" spans="1:14">
      <c r="A336" t="s">
        <v>1688</v>
      </c>
      <c r="B336" t="s">
        <v>6058</v>
      </c>
      <c r="C336" s="14" t="s">
        <v>1031</v>
      </c>
      <c r="D336" s="14" t="s">
        <v>36</v>
      </c>
      <c r="E336" t="s">
        <v>1295</v>
      </c>
      <c r="F336" t="s">
        <v>5740</v>
      </c>
      <c r="G336" s="26">
        <v>56700</v>
      </c>
      <c r="H336" s="27">
        <v>46271</v>
      </c>
      <c r="I336" s="27">
        <v>46264</v>
      </c>
      <c r="J336" t="s">
        <v>5749</v>
      </c>
      <c r="K33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22</v>
      </c>
      <c r="L33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29</v>
      </c>
      <c r="M33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3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37" spans="1:14">
      <c r="A337" t="s">
        <v>2588</v>
      </c>
      <c r="B337" t="s">
        <v>6007</v>
      </c>
      <c r="C337" s="14" t="s">
        <v>370</v>
      </c>
      <c r="D337" s="14" t="s">
        <v>18</v>
      </c>
      <c r="F337" t="s">
        <v>5675</v>
      </c>
      <c r="G337" s="26">
        <v>46110</v>
      </c>
      <c r="H337" s="27">
        <v>45881.866053240738</v>
      </c>
      <c r="I337" s="27">
        <v>45911.866053240738</v>
      </c>
      <c r="K33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3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3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3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38" spans="1:14">
      <c r="A338" t="s">
        <v>1460</v>
      </c>
      <c r="B338" t="s">
        <v>6032</v>
      </c>
      <c r="C338" s="14" t="s">
        <v>250</v>
      </c>
      <c r="D338" s="14" t="s">
        <v>82</v>
      </c>
      <c r="E338" t="s">
        <v>1281</v>
      </c>
      <c r="F338" t="s">
        <v>5663</v>
      </c>
      <c r="G338" s="26">
        <v>25590</v>
      </c>
      <c r="H338" s="27">
        <v>44879.943553240744</v>
      </c>
      <c r="I338" s="27">
        <v>44890.943553240744</v>
      </c>
      <c r="K33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3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3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3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39" spans="1:14">
      <c r="A339" t="s">
        <v>1765</v>
      </c>
      <c r="B339" t="s">
        <v>6159</v>
      </c>
      <c r="C339" s="14" t="s">
        <v>691</v>
      </c>
      <c r="D339" s="14" t="s">
        <v>25</v>
      </c>
      <c r="E339" t="s">
        <v>1281</v>
      </c>
      <c r="F339" t="s">
        <v>5675</v>
      </c>
      <c r="G339" s="26">
        <v>23348</v>
      </c>
      <c r="H339" s="27">
        <v>45211.570914351854</v>
      </c>
      <c r="I339" s="27">
        <v>45223.570914351854</v>
      </c>
      <c r="K33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3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3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3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40" spans="1:14">
      <c r="A340" t="s">
        <v>6160</v>
      </c>
      <c r="B340" t="s">
        <v>6128</v>
      </c>
      <c r="C340" s="14" t="s">
        <v>589</v>
      </c>
      <c r="D340" s="14" t="s">
        <v>59</v>
      </c>
      <c r="E340" t="s">
        <v>1271</v>
      </c>
      <c r="F340" t="s">
        <v>5663</v>
      </c>
      <c r="G340" s="26">
        <v>11652</v>
      </c>
      <c r="H340" s="27">
        <v>45908.056851851848</v>
      </c>
      <c r="I340" s="27">
        <v>45872.056851851848</v>
      </c>
      <c r="K34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4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4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4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41" spans="1:14">
      <c r="A341" t="s">
        <v>1620</v>
      </c>
      <c r="B341" t="s">
        <v>6161</v>
      </c>
      <c r="C341" s="14" t="s">
        <v>545</v>
      </c>
      <c r="D341" s="14" t="s">
        <v>69</v>
      </c>
      <c r="E341" t="s">
        <v>1413</v>
      </c>
      <c r="F341" t="s">
        <v>5669</v>
      </c>
      <c r="G341" s="26">
        <v>22074</v>
      </c>
      <c r="H341" s="27">
        <v>46321</v>
      </c>
      <c r="I341" s="27">
        <v>46268</v>
      </c>
      <c r="J341" t="s">
        <v>5671</v>
      </c>
      <c r="K34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41">
        <f>IF(OR(tblPipelineAudit[[#This Row],[Stage]]="Closed Won",tblPipelineAudit[[#This Row],[Stage]]="Closed Lost"),"",IF(tblPipelineAudit[[#This Row],[Last Activity Date]]="","",MAX(0,DATE(2026,9,28)-tblPipelineAudit[[#This Row],[Last Activity Date]])))</f>
        <v>25</v>
      </c>
      <c r="M34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4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42" spans="1:14">
      <c r="A342" t="s">
        <v>6162</v>
      </c>
      <c r="B342" t="s">
        <v>6163</v>
      </c>
      <c r="C342" s="14" t="s">
        <v>224</v>
      </c>
      <c r="D342" s="14" t="s">
        <v>55</v>
      </c>
      <c r="E342" t="s">
        <v>1413</v>
      </c>
      <c r="F342" t="s">
        <v>5686</v>
      </c>
      <c r="G342" s="26">
        <v>60918</v>
      </c>
      <c r="H342" s="27">
        <v>46371</v>
      </c>
      <c r="I342" s="27">
        <v>46278</v>
      </c>
      <c r="J342" t="s">
        <v>5687</v>
      </c>
      <c r="K34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42">
        <f>IF(OR(tblPipelineAudit[[#This Row],[Stage]]="Closed Won",tblPipelineAudit[[#This Row],[Stage]]="Closed Lost"),"",IF(tblPipelineAudit[[#This Row],[Last Activity Date]]="","",MAX(0,DATE(2026,9,28)-tblPipelineAudit[[#This Row],[Last Activity Date]])))</f>
        <v>15</v>
      </c>
      <c r="M34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4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43" spans="1:14">
      <c r="A343" t="s">
        <v>1444</v>
      </c>
      <c r="B343" t="s">
        <v>6164</v>
      </c>
      <c r="C343" s="14" t="s">
        <v>336</v>
      </c>
      <c r="D343" s="14" t="s">
        <v>69</v>
      </c>
      <c r="E343" t="s">
        <v>1271</v>
      </c>
      <c r="F343" t="s">
        <v>5675</v>
      </c>
      <c r="G343" s="26">
        <v>13072</v>
      </c>
      <c r="H343" s="27">
        <v>45680.262326388889</v>
      </c>
      <c r="I343" s="27">
        <v>45677.262326388889</v>
      </c>
      <c r="K34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4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4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4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44" spans="1:14">
      <c r="A344" t="s">
        <v>6165</v>
      </c>
      <c r="B344" t="s">
        <v>6166</v>
      </c>
      <c r="C344" s="14" t="s">
        <v>583</v>
      </c>
      <c r="D344" s="14" t="s">
        <v>36</v>
      </c>
      <c r="E344" t="s">
        <v>1413</v>
      </c>
      <c r="F344" t="s">
        <v>5663</v>
      </c>
      <c r="G344" s="26">
        <v>62968</v>
      </c>
      <c r="H344" s="27">
        <v>45648</v>
      </c>
      <c r="I344" s="27">
        <v>45655</v>
      </c>
      <c r="K34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4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4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4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45" spans="1:14">
      <c r="A345" t="s">
        <v>2480</v>
      </c>
      <c r="B345" t="s">
        <v>6168</v>
      </c>
      <c r="C345" s="14" t="s">
        <v>256</v>
      </c>
      <c r="D345" s="14" t="s">
        <v>25</v>
      </c>
      <c r="E345" t="s">
        <v>1281</v>
      </c>
      <c r="F345" t="s">
        <v>5725</v>
      </c>
      <c r="G345" s="26">
        <v>28440</v>
      </c>
      <c r="H345" s="27">
        <v>46301</v>
      </c>
      <c r="I345" s="27">
        <v>46195</v>
      </c>
      <c r="J345" t="s">
        <v>5753</v>
      </c>
      <c r="K34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45">
        <f>IF(OR(tblPipelineAudit[[#This Row],[Stage]]="Closed Won",tblPipelineAudit[[#This Row],[Stage]]="Closed Lost"),"",IF(tblPipelineAudit[[#This Row],[Last Activity Date]]="","",MAX(0,DATE(2026,9,28)-tblPipelineAudit[[#This Row],[Last Activity Date]])))</f>
        <v>98</v>
      </c>
      <c r="M34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4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46" spans="1:14">
      <c r="A346" t="s">
        <v>6169</v>
      </c>
      <c r="B346" t="s">
        <v>6170</v>
      </c>
      <c r="C346" s="14" t="s">
        <v>405</v>
      </c>
      <c r="D346" s="14" t="s">
        <v>55</v>
      </c>
      <c r="E346" t="s">
        <v>1288</v>
      </c>
      <c r="F346" t="s">
        <v>5663</v>
      </c>
      <c r="G346" s="26">
        <v>18060</v>
      </c>
      <c r="H346" s="27">
        <v>45984.051099537035</v>
      </c>
      <c r="I346" s="27">
        <v>45990.051099537035</v>
      </c>
      <c r="K34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4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4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4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47" spans="1:14">
      <c r="A347" t="s">
        <v>6172</v>
      </c>
      <c r="B347" t="s">
        <v>6109</v>
      </c>
      <c r="C347" s="14" t="s">
        <v>320</v>
      </c>
      <c r="D347" s="14" t="s">
        <v>82</v>
      </c>
      <c r="E347" t="s">
        <v>1355</v>
      </c>
      <c r="F347" t="s">
        <v>5725</v>
      </c>
      <c r="G347" s="26">
        <v>40404</v>
      </c>
      <c r="H347" s="27">
        <v>46309</v>
      </c>
      <c r="I347" s="27">
        <v>46287</v>
      </c>
      <c r="J347" t="s">
        <v>5726</v>
      </c>
      <c r="K34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47">
        <f>IF(OR(tblPipelineAudit[[#This Row],[Stage]]="Closed Won",tblPipelineAudit[[#This Row],[Stage]]="Closed Lost"),"",IF(tblPipelineAudit[[#This Row],[Last Activity Date]]="","",MAX(0,DATE(2026,9,28)-tblPipelineAudit[[#This Row],[Last Activity Date]])))</f>
        <v>6</v>
      </c>
      <c r="M34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4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48" spans="1:14">
      <c r="A348" t="s">
        <v>6173</v>
      </c>
      <c r="B348" t="s">
        <v>6174</v>
      </c>
      <c r="C348" s="14" t="s">
        <v>503</v>
      </c>
      <c r="D348" s="14" t="s">
        <v>25</v>
      </c>
      <c r="E348" t="s">
        <v>1413</v>
      </c>
      <c r="F348" t="s">
        <v>5663</v>
      </c>
      <c r="G348" s="26">
        <v>29850</v>
      </c>
      <c r="H348" s="27">
        <v>45674.859814814816</v>
      </c>
      <c r="I348" s="27">
        <v>45669.859814814816</v>
      </c>
      <c r="K34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4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4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4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49" spans="1:14">
      <c r="A349" t="s">
        <v>1582</v>
      </c>
      <c r="B349" t="s">
        <v>5852</v>
      </c>
      <c r="C349" s="14" t="s">
        <v>128</v>
      </c>
      <c r="D349" s="14" t="s">
        <v>55</v>
      </c>
      <c r="E349" t="s">
        <v>1295</v>
      </c>
      <c r="F349" t="s">
        <v>5675</v>
      </c>
      <c r="G349" s="26">
        <v>29340</v>
      </c>
      <c r="H349" s="27">
        <v>46291</v>
      </c>
      <c r="I349" s="27">
        <v>46274</v>
      </c>
      <c r="K34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4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4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4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50" spans="1:14">
      <c r="A350" t="s">
        <v>2139</v>
      </c>
      <c r="B350" t="s">
        <v>5680</v>
      </c>
      <c r="C350" s="14" t="s">
        <v>434</v>
      </c>
      <c r="D350" s="14" t="s">
        <v>82</v>
      </c>
      <c r="E350" t="s">
        <v>1413</v>
      </c>
      <c r="F350" t="s">
        <v>5740</v>
      </c>
      <c r="G350" s="26">
        <v>80256</v>
      </c>
      <c r="H350" s="27">
        <v>46318</v>
      </c>
      <c r="I350" s="27">
        <v>46274</v>
      </c>
      <c r="J350" t="s">
        <v>5749</v>
      </c>
      <c r="K35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50">
        <f>IF(OR(tblPipelineAudit[[#This Row],[Stage]]="Closed Won",tblPipelineAudit[[#This Row],[Stage]]="Closed Lost"),"",IF(tblPipelineAudit[[#This Row],[Last Activity Date]]="","",MAX(0,DATE(2026,9,28)-tblPipelineAudit[[#This Row],[Last Activity Date]])))</f>
        <v>19</v>
      </c>
      <c r="M35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5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1" spans="1:14">
      <c r="A351" t="s">
        <v>6176</v>
      </c>
      <c r="B351" t="s">
        <v>6177</v>
      </c>
      <c r="C351" s="14" t="s">
        <v>450</v>
      </c>
      <c r="D351" s="14" t="s">
        <v>55</v>
      </c>
      <c r="E351" t="s">
        <v>1271</v>
      </c>
      <c r="F351" t="s">
        <v>5663</v>
      </c>
      <c r="G351" s="26">
        <v>12276</v>
      </c>
      <c r="H351" s="27">
        <v>45391</v>
      </c>
      <c r="I351" s="27">
        <v>45358</v>
      </c>
      <c r="K35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5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5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5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52" spans="1:14">
      <c r="A352" t="s">
        <v>6178</v>
      </c>
      <c r="B352" t="s">
        <v>6065</v>
      </c>
      <c r="C352" s="14" t="s">
        <v>888</v>
      </c>
      <c r="D352" s="14" t="s">
        <v>55</v>
      </c>
      <c r="E352" t="s">
        <v>1413</v>
      </c>
      <c r="F352" t="s">
        <v>5686</v>
      </c>
      <c r="G352" s="26">
        <v>11424</v>
      </c>
      <c r="H352" s="27">
        <v>46324</v>
      </c>
      <c r="I352" s="27">
        <v>46288</v>
      </c>
      <c r="J352" t="s">
        <v>5687</v>
      </c>
      <c r="K35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52">
        <f>IF(OR(tblPipelineAudit[[#This Row],[Stage]]="Closed Won",tblPipelineAudit[[#This Row],[Stage]]="Closed Lost"),"",IF(tblPipelineAudit[[#This Row],[Last Activity Date]]="","",MAX(0,DATE(2026,9,28)-tblPipelineAudit[[#This Row],[Last Activity Date]])))</f>
        <v>5</v>
      </c>
      <c r="M35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5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3" spans="1:14">
      <c r="A353" t="s">
        <v>6179</v>
      </c>
      <c r="B353" t="s">
        <v>5674</v>
      </c>
      <c r="C353" s="14" t="s">
        <v>134</v>
      </c>
      <c r="D353" s="14" t="s">
        <v>25</v>
      </c>
      <c r="E353" t="s">
        <v>1295</v>
      </c>
      <c r="F353" t="s">
        <v>5686</v>
      </c>
      <c r="G353" s="26">
        <v>23736</v>
      </c>
      <c r="H353" s="27">
        <v>46339</v>
      </c>
      <c r="I353" s="27">
        <v>46276</v>
      </c>
      <c r="J353" t="s">
        <v>5767</v>
      </c>
      <c r="K35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53">
        <f>IF(OR(tblPipelineAudit[[#This Row],[Stage]]="Closed Won",tblPipelineAudit[[#This Row],[Stage]]="Closed Lost"),"",IF(tblPipelineAudit[[#This Row],[Last Activity Date]]="","",MAX(0,DATE(2026,9,28)-tblPipelineAudit[[#This Row],[Last Activity Date]])))</f>
        <v>17</v>
      </c>
      <c r="M35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5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4" spans="1:14">
      <c r="A354" t="s">
        <v>6180</v>
      </c>
      <c r="B354" t="s">
        <v>6181</v>
      </c>
      <c r="C354" s="14" t="s">
        <v>77</v>
      </c>
      <c r="D354" s="14" t="s">
        <v>82</v>
      </c>
      <c r="E354" t="s">
        <v>1288</v>
      </c>
      <c r="F354" t="s">
        <v>5686</v>
      </c>
      <c r="G354" s="26">
        <v>76480</v>
      </c>
      <c r="H354" s="27">
        <v>46344</v>
      </c>
      <c r="I354" s="27">
        <v>46264</v>
      </c>
      <c r="J354" t="s">
        <v>5767</v>
      </c>
      <c r="K35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54">
        <f>IF(OR(tblPipelineAudit[[#This Row],[Stage]]="Closed Won",tblPipelineAudit[[#This Row],[Stage]]="Closed Lost"),"",IF(tblPipelineAudit[[#This Row],[Last Activity Date]]="","",MAX(0,DATE(2026,9,28)-tblPipelineAudit[[#This Row],[Last Activity Date]])))</f>
        <v>29</v>
      </c>
      <c r="M35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5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5" spans="1:14">
      <c r="A355" t="s">
        <v>1790</v>
      </c>
      <c r="B355" t="s">
        <v>6158</v>
      </c>
      <c r="C355" s="14" t="s">
        <v>470</v>
      </c>
      <c r="D355" s="14" t="s">
        <v>91</v>
      </c>
      <c r="E355" t="s">
        <v>1339</v>
      </c>
      <c r="F355" t="s">
        <v>5675</v>
      </c>
      <c r="G355" s="26">
        <v>11784</v>
      </c>
      <c r="H355" s="27">
        <v>45722.410416666666</v>
      </c>
      <c r="I355" s="27">
        <v>45708.410416666666</v>
      </c>
      <c r="K35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5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5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5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56" spans="1:14">
      <c r="A356" t="s">
        <v>6183</v>
      </c>
      <c r="B356" t="s">
        <v>6117</v>
      </c>
      <c r="C356" s="14" t="s">
        <v>1019</v>
      </c>
      <c r="D356" s="14" t="s">
        <v>25</v>
      </c>
      <c r="E356" t="s">
        <v>1413</v>
      </c>
      <c r="F356" t="s">
        <v>5686</v>
      </c>
      <c r="G356" s="26">
        <v>45312</v>
      </c>
      <c r="H356" s="27">
        <v>46347</v>
      </c>
      <c r="I356" s="27">
        <v>46202</v>
      </c>
      <c r="J356" t="s">
        <v>5862</v>
      </c>
      <c r="K35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56">
        <f>IF(OR(tblPipelineAudit[[#This Row],[Stage]]="Closed Won",tblPipelineAudit[[#This Row],[Stage]]="Closed Lost"),"",IF(tblPipelineAudit[[#This Row],[Last Activity Date]]="","",MAX(0,DATE(2026,9,28)-tblPipelineAudit[[#This Row],[Last Activity Date]])))</f>
        <v>91</v>
      </c>
      <c r="M35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5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7" spans="1:14">
      <c r="A357" t="s">
        <v>1525</v>
      </c>
      <c r="B357" t="s">
        <v>6184</v>
      </c>
      <c r="C357" s="14" t="s">
        <v>145</v>
      </c>
      <c r="D357" s="14" t="s">
        <v>59</v>
      </c>
      <c r="E357" t="s">
        <v>1271</v>
      </c>
      <c r="F357" t="s">
        <v>5675</v>
      </c>
      <c r="G357" s="26">
        <v>22992</v>
      </c>
      <c r="H357" s="27">
        <v>45639.297951388886</v>
      </c>
      <c r="I357" s="27">
        <v>45643.297951388886</v>
      </c>
      <c r="K35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5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5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5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58" spans="1:14">
      <c r="A358" t="s">
        <v>6185</v>
      </c>
      <c r="B358" t="s">
        <v>5758</v>
      </c>
      <c r="C358" s="14" t="s">
        <v>26</v>
      </c>
      <c r="D358" s="14" t="s">
        <v>18</v>
      </c>
      <c r="E358" t="s">
        <v>1355</v>
      </c>
      <c r="F358" t="s">
        <v>5686</v>
      </c>
      <c r="G358" s="26">
        <v>44804</v>
      </c>
      <c r="H358" s="27">
        <v>46253</v>
      </c>
      <c r="I358" s="27">
        <v>46197</v>
      </c>
      <c r="J358" t="s">
        <v>5862</v>
      </c>
      <c r="K35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40</v>
      </c>
      <c r="L358">
        <f>IF(OR(tblPipelineAudit[[#This Row],[Stage]]="Closed Won",tblPipelineAudit[[#This Row],[Stage]]="Closed Lost"),"",IF(tblPipelineAudit[[#This Row],[Last Activity Date]]="","",MAX(0,DATE(2026,9,28)-tblPipelineAudit[[#This Row],[Last Activity Date]])))</f>
        <v>96</v>
      </c>
      <c r="M35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 + Overdue</v>
      </c>
      <c r="N35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59" spans="1:14">
      <c r="A359" t="s">
        <v>2044</v>
      </c>
      <c r="B359" t="s">
        <v>6155</v>
      </c>
      <c r="C359" s="14" t="s">
        <v>754</v>
      </c>
      <c r="D359" s="14" t="s">
        <v>55</v>
      </c>
      <c r="E359" t="s">
        <v>1271</v>
      </c>
      <c r="F359" t="s">
        <v>5675</v>
      </c>
      <c r="G359" s="26">
        <v>61920</v>
      </c>
      <c r="H359" s="27">
        <v>46008.995937500003</v>
      </c>
      <c r="I359" s="27">
        <v>46033.995937500003</v>
      </c>
      <c r="K359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59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5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5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60" spans="1:14">
      <c r="A360" t="s">
        <v>2525</v>
      </c>
      <c r="B360" t="s">
        <v>6186</v>
      </c>
      <c r="C360" s="14" t="s">
        <v>570</v>
      </c>
      <c r="D360" s="14" t="s">
        <v>91</v>
      </c>
      <c r="E360" t="s">
        <v>1317</v>
      </c>
      <c r="F360" t="s">
        <v>5675</v>
      </c>
      <c r="G360" s="26">
        <v>21864</v>
      </c>
      <c r="H360" s="27">
        <v>46127.130543981482</v>
      </c>
      <c r="I360" s="27">
        <v>46151.130543981482</v>
      </c>
      <c r="K36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6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6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6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61" spans="1:14">
      <c r="A361" t="s">
        <v>6187</v>
      </c>
      <c r="B361" t="s">
        <v>6188</v>
      </c>
      <c r="C361" s="14" t="s">
        <v>726</v>
      </c>
      <c r="D361" s="14" t="s">
        <v>36</v>
      </c>
      <c r="E361" t="s">
        <v>1281</v>
      </c>
      <c r="F361" t="s">
        <v>5686</v>
      </c>
      <c r="G361" s="26">
        <v>47160</v>
      </c>
      <c r="H361" s="27">
        <v>46262</v>
      </c>
      <c r="I361" s="27">
        <v>46281</v>
      </c>
      <c r="J361" t="s">
        <v>5862</v>
      </c>
      <c r="K36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31</v>
      </c>
      <c r="L361">
        <f>IF(OR(tblPipelineAudit[[#This Row],[Stage]]="Closed Won",tblPipelineAudit[[#This Row],[Stage]]="Closed Lost"),"",IF(tblPipelineAudit[[#This Row],[Last Activity Date]]="","",MAX(0,DATE(2026,9,28)-tblPipelineAudit[[#This Row],[Last Activity Date]])))</f>
        <v>12</v>
      </c>
      <c r="M36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6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62" spans="1:14">
      <c r="A362" t="s">
        <v>1786</v>
      </c>
      <c r="B362" t="s">
        <v>5680</v>
      </c>
      <c r="C362" s="14" t="s">
        <v>434</v>
      </c>
      <c r="D362" s="14" t="s">
        <v>82</v>
      </c>
      <c r="E362" t="s">
        <v>1281</v>
      </c>
      <c r="F362" t="s">
        <v>5686</v>
      </c>
      <c r="G362" s="26">
        <v>64124</v>
      </c>
      <c r="H362" s="27">
        <v>46367</v>
      </c>
      <c r="I362" s="27">
        <v>46276</v>
      </c>
      <c r="J362" t="s">
        <v>5687</v>
      </c>
      <c r="K36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62">
        <f>IF(OR(tblPipelineAudit[[#This Row],[Stage]]="Closed Won",tblPipelineAudit[[#This Row],[Stage]]="Closed Lost"),"",IF(tblPipelineAudit[[#This Row],[Last Activity Date]]="","",MAX(0,DATE(2026,9,28)-tblPipelineAudit[[#This Row],[Last Activity Date]])))</f>
        <v>17</v>
      </c>
      <c r="M36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6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63" spans="1:14">
      <c r="A363" t="s">
        <v>2229</v>
      </c>
      <c r="B363" t="s">
        <v>6190</v>
      </c>
      <c r="C363" s="14" t="s">
        <v>827</v>
      </c>
      <c r="D363" s="14" t="s">
        <v>36</v>
      </c>
      <c r="E363" t="s">
        <v>1271</v>
      </c>
      <c r="F363" t="s">
        <v>5681</v>
      </c>
      <c r="G363" s="26">
        <v>39688</v>
      </c>
      <c r="H363" s="27">
        <v>46320</v>
      </c>
      <c r="I363" s="27">
        <v>46269</v>
      </c>
      <c r="J363" t="s">
        <v>5682</v>
      </c>
      <c r="K36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63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36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6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64" spans="1:14">
      <c r="A364" t="s">
        <v>2464</v>
      </c>
      <c r="B364" t="s">
        <v>6115</v>
      </c>
      <c r="C364" s="14" t="s">
        <v>663</v>
      </c>
      <c r="D364" s="14" t="s">
        <v>25</v>
      </c>
      <c r="E364" t="s">
        <v>1271</v>
      </c>
      <c r="F364" t="s">
        <v>5675</v>
      </c>
      <c r="G364" s="26">
        <v>16272</v>
      </c>
      <c r="H364" s="27">
        <v>45025.025185185186</v>
      </c>
      <c r="I364" s="27">
        <v>45055.025185185186</v>
      </c>
      <c r="K36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6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6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6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65" spans="1:14">
      <c r="A365" t="s">
        <v>1479</v>
      </c>
      <c r="B365" t="s">
        <v>6191</v>
      </c>
      <c r="C365" s="14" t="s">
        <v>220</v>
      </c>
      <c r="D365" s="14" t="s">
        <v>18</v>
      </c>
      <c r="E365" t="s">
        <v>1317</v>
      </c>
      <c r="F365" t="s">
        <v>5663</v>
      </c>
      <c r="G365" s="26">
        <v>40026</v>
      </c>
      <c r="H365" s="27">
        <v>44846.091122685182</v>
      </c>
      <c r="I365" s="27">
        <v>44831.091122685182</v>
      </c>
      <c r="K36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6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6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6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66" spans="1:14">
      <c r="A366" t="s">
        <v>1892</v>
      </c>
      <c r="B366" t="s">
        <v>6192</v>
      </c>
      <c r="C366" s="14" t="s">
        <v>1013</v>
      </c>
      <c r="D366" s="14" t="s">
        <v>25</v>
      </c>
      <c r="E366" t="s">
        <v>1295</v>
      </c>
      <c r="F366" t="s">
        <v>5691</v>
      </c>
      <c r="G366" s="26">
        <v>10992</v>
      </c>
      <c r="H366" s="27">
        <v>46287</v>
      </c>
      <c r="I366" s="27">
        <v>46265</v>
      </c>
      <c r="J366" t="s">
        <v>5692</v>
      </c>
      <c r="K36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6</v>
      </c>
      <c r="L366">
        <f>IF(OR(tblPipelineAudit[[#This Row],[Stage]]="Closed Won",tblPipelineAudit[[#This Row],[Stage]]="Closed Lost"),"",IF(tblPipelineAudit[[#This Row],[Last Activity Date]]="","",MAX(0,DATE(2026,9,28)-tblPipelineAudit[[#This Row],[Last Activity Date]])))</f>
        <v>28</v>
      </c>
      <c r="M36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6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67" spans="1:14">
      <c r="A367" t="s">
        <v>6193</v>
      </c>
      <c r="B367" t="s">
        <v>5980</v>
      </c>
      <c r="C367" s="14" t="s">
        <v>801</v>
      </c>
      <c r="D367" s="14" t="s">
        <v>36</v>
      </c>
      <c r="E367" t="s">
        <v>1281</v>
      </c>
      <c r="F367" t="s">
        <v>5663</v>
      </c>
      <c r="G367" s="26">
        <v>40868</v>
      </c>
      <c r="H367" s="27">
        <v>45699</v>
      </c>
      <c r="I367" s="27">
        <v>45693</v>
      </c>
      <c r="K36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6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6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6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68" spans="1:14">
      <c r="A368" t="s">
        <v>2424</v>
      </c>
      <c r="B368" t="s">
        <v>6194</v>
      </c>
      <c r="C368" s="14" t="s">
        <v>745</v>
      </c>
      <c r="D368" s="14" t="s">
        <v>91</v>
      </c>
      <c r="E368" t="s">
        <v>1288</v>
      </c>
      <c r="F368" t="s">
        <v>5675</v>
      </c>
      <c r="G368" s="26">
        <v>16524</v>
      </c>
      <c r="H368" s="27">
        <v>46161.928888888891</v>
      </c>
      <c r="I368" s="27">
        <v>46149.928888888891</v>
      </c>
      <c r="K36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6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6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6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69" spans="1:14">
      <c r="A369" t="s">
        <v>6195</v>
      </c>
      <c r="B369" t="s">
        <v>6196</v>
      </c>
      <c r="C369" s="14" t="s">
        <v>462</v>
      </c>
      <c r="D369" s="14" t="s">
        <v>25</v>
      </c>
      <c r="E369" t="s">
        <v>1295</v>
      </c>
      <c r="F369" t="s">
        <v>5686</v>
      </c>
      <c r="G369" s="26">
        <v>11340</v>
      </c>
      <c r="H369" s="27">
        <v>46336</v>
      </c>
      <c r="I369" s="27">
        <v>46284</v>
      </c>
      <c r="J369" t="s">
        <v>5687</v>
      </c>
      <c r="K36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69">
        <f>IF(OR(tblPipelineAudit[[#This Row],[Stage]]="Closed Won",tblPipelineAudit[[#This Row],[Stage]]="Closed Lost"),"",IF(tblPipelineAudit[[#This Row],[Last Activity Date]]="","",MAX(0,DATE(2026,9,28)-tblPipelineAudit[[#This Row],[Last Activity Date]])))</f>
        <v>9</v>
      </c>
      <c r="M36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6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70" spans="1:14">
      <c r="A370" t="s">
        <v>6197</v>
      </c>
      <c r="B370" t="s">
        <v>5901</v>
      </c>
      <c r="C370" s="14" t="s">
        <v>56</v>
      </c>
      <c r="D370" s="14" t="s">
        <v>59</v>
      </c>
      <c r="E370" t="s">
        <v>1281</v>
      </c>
      <c r="F370" t="s">
        <v>5691</v>
      </c>
      <c r="G370" s="26">
        <v>20834</v>
      </c>
      <c r="H370" s="27">
        <v>46340</v>
      </c>
      <c r="I370" s="27">
        <v>46252</v>
      </c>
      <c r="J370" t="s">
        <v>5692</v>
      </c>
      <c r="K37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70">
        <f>IF(OR(tblPipelineAudit[[#This Row],[Stage]]="Closed Won",tblPipelineAudit[[#This Row],[Stage]]="Closed Lost"),"",IF(tblPipelineAudit[[#This Row],[Last Activity Date]]="","",MAX(0,DATE(2026,9,28)-tblPipelineAudit[[#This Row],[Last Activity Date]])))</f>
        <v>41</v>
      </c>
      <c r="M37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7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71" spans="1:14">
      <c r="A371" t="s">
        <v>6199</v>
      </c>
      <c r="B371" t="s">
        <v>6200</v>
      </c>
      <c r="C371" s="14" t="s">
        <v>612</v>
      </c>
      <c r="D371" s="14" t="s">
        <v>82</v>
      </c>
      <c r="F371" t="s">
        <v>5691</v>
      </c>
      <c r="G371" s="26">
        <v>20592</v>
      </c>
      <c r="H371" s="27">
        <v>46329</v>
      </c>
      <c r="I371" s="27">
        <v>46219</v>
      </c>
      <c r="J371" t="s">
        <v>5970</v>
      </c>
      <c r="K37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71">
        <f>IF(OR(tblPipelineAudit[[#This Row],[Stage]]="Closed Won",tblPipelineAudit[[#This Row],[Stage]]="Closed Lost"),"",IF(tblPipelineAudit[[#This Row],[Last Activity Date]]="","",MAX(0,DATE(2026,9,28)-tblPipelineAudit[[#This Row],[Last Activity Date]])))</f>
        <v>74</v>
      </c>
      <c r="M37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7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372" spans="1:14">
      <c r="A372" t="s">
        <v>6201</v>
      </c>
      <c r="B372" t="s">
        <v>5997</v>
      </c>
      <c r="C372" s="14" t="s">
        <v>392</v>
      </c>
      <c r="D372" s="14" t="s">
        <v>82</v>
      </c>
      <c r="E372" t="s">
        <v>1317</v>
      </c>
      <c r="F372" t="s">
        <v>5669</v>
      </c>
      <c r="G372" s="26">
        <v>76712</v>
      </c>
      <c r="H372" s="27">
        <v>46315</v>
      </c>
      <c r="I372" s="27">
        <v>46258</v>
      </c>
      <c r="J372" t="s">
        <v>5850</v>
      </c>
      <c r="K37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72">
        <f>IF(OR(tblPipelineAudit[[#This Row],[Stage]]="Closed Won",tblPipelineAudit[[#This Row],[Stage]]="Closed Lost"),"",IF(tblPipelineAudit[[#This Row],[Last Activity Date]]="","",MAX(0,DATE(2026,9,28)-tblPipelineAudit[[#This Row],[Last Activity Date]])))</f>
        <v>35</v>
      </c>
      <c r="M37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7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73" spans="1:14">
      <c r="A373" t="s">
        <v>2013</v>
      </c>
      <c r="B373" t="s">
        <v>6021</v>
      </c>
      <c r="C373" s="14" t="s">
        <v>729</v>
      </c>
      <c r="D373" s="14" t="s">
        <v>18</v>
      </c>
      <c r="E373" t="s">
        <v>1271</v>
      </c>
      <c r="F373" t="s">
        <v>5681</v>
      </c>
      <c r="G373" s="26">
        <v>35604</v>
      </c>
      <c r="H373" s="27">
        <v>46328</v>
      </c>
      <c r="I373" s="27">
        <v>46278</v>
      </c>
      <c r="J373" t="s">
        <v>5682</v>
      </c>
      <c r="K37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73">
        <f>IF(OR(tblPipelineAudit[[#This Row],[Stage]]="Closed Won",tblPipelineAudit[[#This Row],[Stage]]="Closed Lost"),"",IF(tblPipelineAudit[[#This Row],[Last Activity Date]]="","",MAX(0,DATE(2026,9,28)-tblPipelineAudit[[#This Row],[Last Activity Date]])))</f>
        <v>15</v>
      </c>
      <c r="M37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7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74" spans="1:14">
      <c r="A374" t="s">
        <v>2153</v>
      </c>
      <c r="B374" t="s">
        <v>6203</v>
      </c>
      <c r="C374" s="14" t="s">
        <v>900</v>
      </c>
      <c r="D374" s="14" t="s">
        <v>69</v>
      </c>
      <c r="E374" t="s">
        <v>1271</v>
      </c>
      <c r="F374" t="s">
        <v>5675</v>
      </c>
      <c r="G374" s="26">
        <v>28560</v>
      </c>
      <c r="H374" s="27">
        <v>45262.51289351852</v>
      </c>
      <c r="I374" s="27">
        <v>45259.51289351852</v>
      </c>
      <c r="K37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7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7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7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75" spans="1:14">
      <c r="A375" t="s">
        <v>1948</v>
      </c>
      <c r="B375" t="s">
        <v>5997</v>
      </c>
      <c r="C375" s="14" t="s">
        <v>392</v>
      </c>
      <c r="D375" s="14" t="s">
        <v>82</v>
      </c>
      <c r="E375" t="s">
        <v>1317</v>
      </c>
      <c r="F375" t="s">
        <v>5669</v>
      </c>
      <c r="G375" s="26">
        <v>65108</v>
      </c>
      <c r="H375" s="27">
        <v>46334</v>
      </c>
      <c r="I375" s="27">
        <v>46289</v>
      </c>
      <c r="J375" t="s">
        <v>5774</v>
      </c>
      <c r="K37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75">
        <f>IF(OR(tblPipelineAudit[[#This Row],[Stage]]="Closed Won",tblPipelineAudit[[#This Row],[Stage]]="Closed Lost"),"",IF(tblPipelineAudit[[#This Row],[Last Activity Date]]="","",MAX(0,DATE(2026,9,28)-tblPipelineAudit[[#This Row],[Last Activity Date]])))</f>
        <v>4</v>
      </c>
      <c r="M37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7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76" spans="1:14">
      <c r="A376" t="s">
        <v>6204</v>
      </c>
      <c r="B376" t="s">
        <v>6205</v>
      </c>
      <c r="C376" s="14" t="s">
        <v>299</v>
      </c>
      <c r="D376" s="14" t="s">
        <v>91</v>
      </c>
      <c r="E376" t="s">
        <v>1288</v>
      </c>
      <c r="F376" t="s">
        <v>5663</v>
      </c>
      <c r="G376" s="26">
        <v>11436</v>
      </c>
      <c r="H376" s="27">
        <v>45772.352719907409</v>
      </c>
      <c r="I376" s="27">
        <v>45760.352719907409</v>
      </c>
      <c r="K37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7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7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7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77" spans="1:14">
      <c r="A377" t="s">
        <v>6206</v>
      </c>
      <c r="B377" t="s">
        <v>6009</v>
      </c>
      <c r="C377" s="14" t="s">
        <v>401</v>
      </c>
      <c r="D377" s="14" t="s">
        <v>82</v>
      </c>
      <c r="E377" t="s">
        <v>1271</v>
      </c>
      <c r="F377" t="s">
        <v>5663</v>
      </c>
      <c r="G377" s="26">
        <v>83764</v>
      </c>
      <c r="H377" s="27">
        <v>45849.178078703706</v>
      </c>
      <c r="I377" s="27">
        <v>45849.178078703706</v>
      </c>
      <c r="K37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7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7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7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78" spans="1:14">
      <c r="A378" t="s">
        <v>1944</v>
      </c>
      <c r="B378" t="s">
        <v>5825</v>
      </c>
      <c r="C378" s="14" t="s">
        <v>936</v>
      </c>
      <c r="D378" s="14" t="s">
        <v>36</v>
      </c>
      <c r="E378" t="s">
        <v>1271</v>
      </c>
      <c r="F378" t="s">
        <v>5675</v>
      </c>
      <c r="G378" s="26">
        <v>10860</v>
      </c>
      <c r="H378" s="27">
        <v>45927.900069444448</v>
      </c>
      <c r="I378" s="27">
        <v>45920.900069444448</v>
      </c>
      <c r="K37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7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7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7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79" spans="1:14">
      <c r="A379" t="s">
        <v>6207</v>
      </c>
      <c r="B379" t="s">
        <v>6208</v>
      </c>
      <c r="C379" s="14" t="s">
        <v>491</v>
      </c>
      <c r="D379" s="14" t="s">
        <v>18</v>
      </c>
      <c r="E379" t="s">
        <v>1288</v>
      </c>
      <c r="F379" t="s">
        <v>5691</v>
      </c>
      <c r="G379" s="26">
        <v>15104</v>
      </c>
      <c r="H379" s="27">
        <v>46313</v>
      </c>
      <c r="I379" s="27">
        <v>46286</v>
      </c>
      <c r="J379" t="s">
        <v>5692</v>
      </c>
      <c r="K37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79">
        <f>IF(OR(tblPipelineAudit[[#This Row],[Stage]]="Closed Won",tblPipelineAudit[[#This Row],[Stage]]="Closed Lost"),"",IF(tblPipelineAudit[[#This Row],[Last Activity Date]]="","",MAX(0,DATE(2026,9,28)-tblPipelineAudit[[#This Row],[Last Activity Date]])))</f>
        <v>7</v>
      </c>
      <c r="M37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7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80" spans="1:14">
      <c r="A380" t="s">
        <v>1939</v>
      </c>
      <c r="B380" t="s">
        <v>6209</v>
      </c>
      <c r="C380" s="14" t="s">
        <v>632</v>
      </c>
      <c r="D380" s="14" t="s">
        <v>59</v>
      </c>
      <c r="E380" t="s">
        <v>1413</v>
      </c>
      <c r="F380" t="s">
        <v>5675</v>
      </c>
      <c r="G380" s="26">
        <v>14800</v>
      </c>
      <c r="H380" s="27">
        <v>45778.824976851851</v>
      </c>
      <c r="I380" s="27">
        <v>45786.824976851851</v>
      </c>
      <c r="K38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1" spans="1:14">
      <c r="A381" t="s">
        <v>6210</v>
      </c>
      <c r="B381" t="s">
        <v>6153</v>
      </c>
      <c r="C381" s="14" t="s">
        <v>720</v>
      </c>
      <c r="D381" s="14" t="s">
        <v>69</v>
      </c>
      <c r="E381" t="s">
        <v>1295</v>
      </c>
      <c r="F381" t="s">
        <v>5691</v>
      </c>
      <c r="G381" s="26">
        <v>15184</v>
      </c>
      <c r="H381" s="27">
        <v>46309</v>
      </c>
      <c r="I381" s="27">
        <v>46283</v>
      </c>
      <c r="J381" t="s">
        <v>5801</v>
      </c>
      <c r="K38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81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38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8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82" spans="1:14">
      <c r="A382" t="s">
        <v>2187</v>
      </c>
      <c r="B382" t="s">
        <v>6211</v>
      </c>
      <c r="C382" s="14" t="s">
        <v>840</v>
      </c>
      <c r="D382" s="14" t="s">
        <v>91</v>
      </c>
      <c r="E382" t="s">
        <v>1317</v>
      </c>
      <c r="F382" t="s">
        <v>5675</v>
      </c>
      <c r="G382" s="26">
        <v>14176</v>
      </c>
      <c r="H382" s="27">
        <v>45578.699791666666</v>
      </c>
      <c r="I382" s="27">
        <v>45578.699791666666</v>
      </c>
      <c r="K38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3" spans="1:14">
      <c r="A383" t="s">
        <v>2432</v>
      </c>
      <c r="B383" t="s">
        <v>5848</v>
      </c>
      <c r="C383" s="14" t="s">
        <v>777</v>
      </c>
      <c r="D383" s="14" t="s">
        <v>25</v>
      </c>
      <c r="E383" t="s">
        <v>1295</v>
      </c>
      <c r="F383" t="s">
        <v>5675</v>
      </c>
      <c r="G383" s="26">
        <v>28230</v>
      </c>
      <c r="H383" s="27">
        <v>46052.557430555556</v>
      </c>
      <c r="I383" s="27">
        <v>46047.557430555556</v>
      </c>
      <c r="K38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4" spans="1:14">
      <c r="A384" t="s">
        <v>6212</v>
      </c>
      <c r="B384" t="s">
        <v>5683</v>
      </c>
      <c r="C384" s="14" t="s">
        <v>567</v>
      </c>
      <c r="D384" s="14" t="s">
        <v>69</v>
      </c>
      <c r="E384" t="s">
        <v>1281</v>
      </c>
      <c r="F384" t="s">
        <v>5686</v>
      </c>
      <c r="G384" s="26">
        <v>15020</v>
      </c>
      <c r="H384" s="27">
        <v>46353</v>
      </c>
      <c r="I384" s="27">
        <v>46267</v>
      </c>
      <c r="J384" t="s">
        <v>5767</v>
      </c>
      <c r="K38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84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38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8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85" spans="1:14">
      <c r="A385" t="s">
        <v>6213</v>
      </c>
      <c r="B385" t="s">
        <v>5708</v>
      </c>
      <c r="C385" s="14" t="s">
        <v>476</v>
      </c>
      <c r="D385" s="14" t="s">
        <v>82</v>
      </c>
      <c r="E385" t="s">
        <v>1288</v>
      </c>
      <c r="F385" t="s">
        <v>5663</v>
      </c>
      <c r="G385" s="26">
        <v>45000</v>
      </c>
      <c r="H385" s="27">
        <v>46262</v>
      </c>
      <c r="I385" s="27">
        <v>46270</v>
      </c>
      <c r="K38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6" spans="1:14">
      <c r="A386" t="s">
        <v>6214</v>
      </c>
      <c r="B386" t="s">
        <v>6215</v>
      </c>
      <c r="C386" s="14" t="s">
        <v>882</v>
      </c>
      <c r="D386" s="14" t="s">
        <v>18</v>
      </c>
      <c r="E386" t="s">
        <v>1281</v>
      </c>
      <c r="F386" t="s">
        <v>5663</v>
      </c>
      <c r="G386" s="26">
        <v>18840</v>
      </c>
      <c r="H386" s="27">
        <v>46083.761134259257</v>
      </c>
      <c r="I386" s="27">
        <v>46090.761134259257</v>
      </c>
      <c r="K38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7" spans="1:14">
      <c r="A387" t="s">
        <v>2244</v>
      </c>
      <c r="B387" t="s">
        <v>6083</v>
      </c>
      <c r="C387" s="14" t="s">
        <v>409</v>
      </c>
      <c r="D387" s="14"/>
      <c r="E387" t="s">
        <v>1339</v>
      </c>
      <c r="F387" t="s">
        <v>5725</v>
      </c>
      <c r="G387" s="26">
        <v>16566</v>
      </c>
      <c r="H387" s="27">
        <v>46306</v>
      </c>
      <c r="I387" s="27">
        <v>46233</v>
      </c>
      <c r="J387" t="s">
        <v>5726</v>
      </c>
      <c r="K38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87">
        <f>IF(OR(tblPipelineAudit[[#This Row],[Stage]]="Closed Won",tblPipelineAudit[[#This Row],[Stage]]="Closed Lost"),"",IF(tblPipelineAudit[[#This Row],[Last Activity Date]]="","",MAX(0,DATE(2026,9,28)-tblPipelineAudit[[#This Row],[Last Activity Date]])))</f>
        <v>60</v>
      </c>
      <c r="M38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8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Owner</v>
      </c>
    </row>
    <row r="388" spans="1:14">
      <c r="A388" t="s">
        <v>6217</v>
      </c>
      <c r="B388" t="s">
        <v>6218</v>
      </c>
      <c r="C388" s="14" t="s">
        <v>428</v>
      </c>
      <c r="D388" s="14" t="s">
        <v>36</v>
      </c>
      <c r="E388" t="s">
        <v>1355</v>
      </c>
      <c r="F388" t="s">
        <v>5663</v>
      </c>
      <c r="G388" s="26">
        <v>16596</v>
      </c>
      <c r="H388" s="27">
        <v>45455.835416666669</v>
      </c>
      <c r="I388" s="27">
        <v>45482.835416666669</v>
      </c>
      <c r="K38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8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8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8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89" spans="1:14">
      <c r="A389" t="s">
        <v>6220</v>
      </c>
      <c r="B389" t="s">
        <v>6081</v>
      </c>
      <c r="C389" s="14" t="s">
        <v>189</v>
      </c>
      <c r="D389" s="14" t="s">
        <v>18</v>
      </c>
      <c r="E389" t="s">
        <v>1281</v>
      </c>
      <c r="F389" t="s">
        <v>5740</v>
      </c>
      <c r="G389" s="26">
        <v>11208</v>
      </c>
      <c r="H389" s="27">
        <v>46308</v>
      </c>
      <c r="I389" s="27">
        <v>46267</v>
      </c>
      <c r="J389" t="s">
        <v>5749</v>
      </c>
      <c r="K38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8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38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8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90" spans="1:14">
      <c r="A390" t="s">
        <v>1388</v>
      </c>
      <c r="B390" t="s">
        <v>6221</v>
      </c>
      <c r="C390" s="14" t="s">
        <v>482</v>
      </c>
      <c r="D390" s="14" t="s">
        <v>59</v>
      </c>
      <c r="E390" t="s">
        <v>1317</v>
      </c>
      <c r="F390" t="s">
        <v>5675</v>
      </c>
      <c r="G390" s="26">
        <v>39900</v>
      </c>
      <c r="H390" s="27">
        <v>45626.124490740738</v>
      </c>
      <c r="I390" s="27">
        <v>45611.124490740738</v>
      </c>
      <c r="K39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9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9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9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91" spans="1:14">
      <c r="A391" t="s">
        <v>6222</v>
      </c>
      <c r="B391" t="s">
        <v>6223</v>
      </c>
      <c r="C391" s="14" t="s">
        <v>193</v>
      </c>
      <c r="D391" s="14" t="s">
        <v>25</v>
      </c>
      <c r="F391" t="s">
        <v>5663</v>
      </c>
      <c r="G391" s="26">
        <v>7424</v>
      </c>
      <c r="H391" s="27">
        <v>46000.07236111111</v>
      </c>
      <c r="I391" s="27">
        <v>45982.07236111111</v>
      </c>
      <c r="K39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9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9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9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92" spans="1:14">
      <c r="A392" t="s">
        <v>6224</v>
      </c>
      <c r="B392" t="s">
        <v>6225</v>
      </c>
      <c r="C392" s="14" t="s">
        <v>172</v>
      </c>
      <c r="D392" s="14" t="s">
        <v>82</v>
      </c>
      <c r="F392" t="s">
        <v>5681</v>
      </c>
      <c r="G392" s="26">
        <v>37850</v>
      </c>
      <c r="H392" s="27">
        <v>46318</v>
      </c>
      <c r="I392" s="27">
        <v>46269</v>
      </c>
      <c r="J392" t="s">
        <v>5699</v>
      </c>
      <c r="K39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92">
        <f>IF(OR(tblPipelineAudit[[#This Row],[Stage]]="Closed Won",tblPipelineAudit[[#This Row],[Stage]]="Closed Lost"),"",IF(tblPipelineAudit[[#This Row],[Last Activity Date]]="","",MAX(0,DATE(2026,9,28)-tblPipelineAudit[[#This Row],[Last Activity Date]])))</f>
        <v>24</v>
      </c>
      <c r="M39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9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393" spans="1:14">
      <c r="A393" t="s">
        <v>2549</v>
      </c>
      <c r="B393" t="s">
        <v>5856</v>
      </c>
      <c r="C393" s="14" t="s">
        <v>395</v>
      </c>
      <c r="D393" s="14" t="s">
        <v>25</v>
      </c>
      <c r="E393" t="s">
        <v>1355</v>
      </c>
      <c r="F393" t="s">
        <v>5725</v>
      </c>
      <c r="G393" s="26">
        <v>23400</v>
      </c>
      <c r="H393" s="27">
        <v>46303</v>
      </c>
      <c r="I393" s="27">
        <v>46283</v>
      </c>
      <c r="J393" t="s">
        <v>5753</v>
      </c>
      <c r="K39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93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39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9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94" spans="1:14">
      <c r="A394" t="s">
        <v>6227</v>
      </c>
      <c r="B394" t="s">
        <v>6136</v>
      </c>
      <c r="C394" s="14" t="s">
        <v>524</v>
      </c>
      <c r="D394" s="14" t="s">
        <v>36</v>
      </c>
      <c r="E394" t="s">
        <v>1288</v>
      </c>
      <c r="F394" t="s">
        <v>5663</v>
      </c>
      <c r="G394" s="26">
        <v>71682</v>
      </c>
      <c r="H394" s="27">
        <v>46155.27008101852</v>
      </c>
      <c r="I394" s="27">
        <v>46154.27008101852</v>
      </c>
      <c r="K39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9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9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9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95" spans="1:14">
      <c r="A395" t="s">
        <v>2460</v>
      </c>
      <c r="B395" t="s">
        <v>5859</v>
      </c>
      <c r="C395" s="14" t="s">
        <v>766</v>
      </c>
      <c r="D395" s="14" t="s">
        <v>91</v>
      </c>
      <c r="E395" t="s">
        <v>1281</v>
      </c>
      <c r="F395" t="s">
        <v>5740</v>
      </c>
      <c r="G395" s="26">
        <v>15072</v>
      </c>
      <c r="H395" s="27">
        <v>46318</v>
      </c>
      <c r="I395" s="27">
        <v>46266</v>
      </c>
      <c r="J395" t="s">
        <v>5741</v>
      </c>
      <c r="K39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95">
        <f>IF(OR(tblPipelineAudit[[#This Row],[Stage]]="Closed Won",tblPipelineAudit[[#This Row],[Stage]]="Closed Lost"),"",IF(tblPipelineAudit[[#This Row],[Last Activity Date]]="","",MAX(0,DATE(2026,9,28)-tblPipelineAudit[[#This Row],[Last Activity Date]])))</f>
        <v>27</v>
      </c>
      <c r="M39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9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96" spans="1:14">
      <c r="A396" t="s">
        <v>6229</v>
      </c>
      <c r="B396" t="s">
        <v>6230</v>
      </c>
      <c r="C396" s="14" t="s">
        <v>642</v>
      </c>
      <c r="D396" s="14" t="s">
        <v>25</v>
      </c>
      <c r="E396" t="s">
        <v>1413</v>
      </c>
      <c r="F396" t="s">
        <v>5686</v>
      </c>
      <c r="G396" s="26">
        <v>28650</v>
      </c>
      <c r="H396" s="27">
        <v>46287</v>
      </c>
      <c r="I396" s="27">
        <v>46277</v>
      </c>
      <c r="J396" t="s">
        <v>5767</v>
      </c>
      <c r="K396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6</v>
      </c>
      <c r="L396">
        <f>IF(OR(tblPipelineAudit[[#This Row],[Stage]]="Closed Won",tblPipelineAudit[[#This Row],[Stage]]="Closed Lost"),"",IF(tblPipelineAudit[[#This Row],[Last Activity Date]]="","",MAX(0,DATE(2026,9,28)-tblPipelineAudit[[#This Row],[Last Activity Date]])))</f>
        <v>16</v>
      </c>
      <c r="M39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39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97" spans="1:14">
      <c r="A397" t="s">
        <v>6231</v>
      </c>
      <c r="B397" t="s">
        <v>6232</v>
      </c>
      <c r="C397" s="14" t="s">
        <v>459</v>
      </c>
      <c r="D397" s="14" t="s">
        <v>25</v>
      </c>
      <c r="E397" t="s">
        <v>1295</v>
      </c>
      <c r="F397" t="s">
        <v>5686</v>
      </c>
      <c r="G397" s="26">
        <v>28380</v>
      </c>
      <c r="H397" s="27">
        <v>46354</v>
      </c>
      <c r="I397" s="27">
        <v>46254</v>
      </c>
      <c r="J397" t="s">
        <v>5862</v>
      </c>
      <c r="K397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97">
        <f>IF(OR(tblPipelineAudit[[#This Row],[Stage]]="Closed Won",tblPipelineAudit[[#This Row],[Stage]]="Closed Lost"),"",IF(tblPipelineAudit[[#This Row],[Last Activity Date]]="","",MAX(0,DATE(2026,9,28)-tblPipelineAudit[[#This Row],[Last Activity Date]])))</f>
        <v>39</v>
      </c>
      <c r="M39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39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398" spans="1:14">
      <c r="A398" t="s">
        <v>2134</v>
      </c>
      <c r="B398" t="s">
        <v>6107</v>
      </c>
      <c r="C398" s="14" t="s">
        <v>688</v>
      </c>
      <c r="D398" s="14" t="s">
        <v>82</v>
      </c>
      <c r="E398" t="s">
        <v>1271</v>
      </c>
      <c r="F398" t="s">
        <v>5675</v>
      </c>
      <c r="G398" s="26">
        <v>54240</v>
      </c>
      <c r="H398" s="27">
        <v>45248.105925925927</v>
      </c>
      <c r="I398" s="27">
        <v>45247.105925925927</v>
      </c>
      <c r="K39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39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39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39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399" spans="1:14">
      <c r="A399" t="s">
        <v>6234</v>
      </c>
      <c r="B399" t="s">
        <v>5765</v>
      </c>
      <c r="C399" s="14" t="s">
        <v>158</v>
      </c>
      <c r="D399" s="14" t="s">
        <v>59</v>
      </c>
      <c r="E399" t="s">
        <v>1295</v>
      </c>
      <c r="F399" t="s">
        <v>5681</v>
      </c>
      <c r="G399" s="26">
        <v>47040</v>
      </c>
      <c r="H399" s="27">
        <v>46362</v>
      </c>
      <c r="I399" s="27">
        <v>46273</v>
      </c>
      <c r="J399" t="s">
        <v>5713</v>
      </c>
      <c r="K39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39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20</v>
      </c>
      <c r="M39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39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00" spans="1:14">
      <c r="A400" t="s">
        <v>6235</v>
      </c>
      <c r="B400" t="s">
        <v>6236</v>
      </c>
      <c r="C400" s="14" t="s">
        <v>243</v>
      </c>
      <c r="D400" s="14" t="s">
        <v>25</v>
      </c>
      <c r="E400" t="s">
        <v>1317</v>
      </c>
      <c r="F400" t="s">
        <v>5681</v>
      </c>
      <c r="G400" s="26">
        <v>13986</v>
      </c>
      <c r="H400" s="27">
        <v>46245</v>
      </c>
      <c r="I400" s="27">
        <v>46268</v>
      </c>
      <c r="J400" t="s">
        <v>5682</v>
      </c>
      <c r="K400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48</v>
      </c>
      <c r="L400">
        <f>IF(OR(tblPipelineAudit[[#This Row],[Stage]]="Closed Won",tblPipelineAudit[[#This Row],[Stage]]="Closed Lost"),"",IF(tblPipelineAudit[[#This Row],[Last Activity Date]]="","",MAX(0,DATE(2026,9,28)-tblPipelineAudit[[#This Row],[Last Activity Date]])))</f>
        <v>25</v>
      </c>
      <c r="M40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40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01" spans="1:14">
      <c r="A401" t="s">
        <v>6237</v>
      </c>
      <c r="B401" t="s">
        <v>6238</v>
      </c>
      <c r="C401" s="14" t="s">
        <v>131</v>
      </c>
      <c r="D401" s="14" t="s">
        <v>82</v>
      </c>
      <c r="E401" t="s">
        <v>1317</v>
      </c>
      <c r="F401" t="s">
        <v>5691</v>
      </c>
      <c r="G401" s="26">
        <v>39840</v>
      </c>
      <c r="H401" s="27">
        <v>46344</v>
      </c>
      <c r="I401" s="27">
        <v>46226</v>
      </c>
      <c r="J401" t="s">
        <v>5692</v>
      </c>
      <c r="K401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01">
        <f>IF(OR(tblPipelineAudit[[#This Row],[Stage]]="Closed Won",tblPipelineAudit[[#This Row],[Stage]]="Closed Lost"),"",IF(tblPipelineAudit[[#This Row],[Last Activity Date]]="","",MAX(0,DATE(2026,9,28)-tblPipelineAudit[[#This Row],[Last Activity Date]])))</f>
        <v>67</v>
      </c>
      <c r="M40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40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02" spans="1:14">
      <c r="A402" t="s">
        <v>1851</v>
      </c>
      <c r="B402" t="s">
        <v>6240</v>
      </c>
      <c r="C402" s="14" t="s">
        <v>882</v>
      </c>
      <c r="D402" s="14" t="s">
        <v>18</v>
      </c>
      <c r="F402" t="s">
        <v>5675</v>
      </c>
      <c r="G402" s="26">
        <v>75840</v>
      </c>
      <c r="H402" s="27">
        <v>45725.846400462964</v>
      </c>
      <c r="I402" s="27">
        <v>45748.846400462964</v>
      </c>
      <c r="K402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02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0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0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03" spans="1:14">
      <c r="A403" t="s">
        <v>6241</v>
      </c>
      <c r="B403" t="s">
        <v>6242</v>
      </c>
      <c r="C403" s="14" t="s">
        <v>189</v>
      </c>
      <c r="D403" s="14"/>
      <c r="E403" t="s">
        <v>1281</v>
      </c>
      <c r="F403" t="s">
        <v>5663</v>
      </c>
      <c r="G403" s="26">
        <v>16848</v>
      </c>
      <c r="H403" s="27">
        <v>46088.912881944445</v>
      </c>
      <c r="I403" s="27">
        <v>46092.912881944445</v>
      </c>
      <c r="K40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0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0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0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04" spans="1:14">
      <c r="A404" t="s">
        <v>2008</v>
      </c>
      <c r="B404" t="s">
        <v>6230</v>
      </c>
      <c r="C404" s="14" t="s">
        <v>642</v>
      </c>
      <c r="D404" s="14" t="s">
        <v>25</v>
      </c>
      <c r="E404" t="s">
        <v>1413</v>
      </c>
      <c r="F404" t="s">
        <v>5669</v>
      </c>
      <c r="G404" s="26">
        <v>10884</v>
      </c>
      <c r="H404" s="27">
        <v>46302</v>
      </c>
      <c r="I404" s="27">
        <v>46264</v>
      </c>
      <c r="J404" t="s">
        <v>5774</v>
      </c>
      <c r="K404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04">
        <f>IF(OR(tblPipelineAudit[[#This Row],[Stage]]="Closed Won",tblPipelineAudit[[#This Row],[Stage]]="Closed Lost"),"",IF(tblPipelineAudit[[#This Row],[Last Activity Date]]="","",MAX(0,DATE(2026,9,28)-tblPipelineAudit[[#This Row],[Last Activity Date]])))</f>
        <v>29</v>
      </c>
      <c r="M40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0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05" spans="1:14">
      <c r="A405" t="s">
        <v>2143</v>
      </c>
      <c r="B405" t="s">
        <v>5889</v>
      </c>
      <c r="C405" s="14" t="s">
        <v>92</v>
      </c>
      <c r="D405" s="14" t="s">
        <v>91</v>
      </c>
      <c r="E405" t="s">
        <v>1413</v>
      </c>
      <c r="F405" t="s">
        <v>5675</v>
      </c>
      <c r="G405" s="26">
        <v>10896</v>
      </c>
      <c r="H405" s="27">
        <v>45254.665520833332</v>
      </c>
      <c r="I405" s="27">
        <v>45222.665520833332</v>
      </c>
      <c r="K40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0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0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0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06" spans="1:14">
      <c r="A406" t="s">
        <v>6243</v>
      </c>
      <c r="B406" t="s">
        <v>5829</v>
      </c>
      <c r="C406" s="14" t="s">
        <v>636</v>
      </c>
      <c r="D406" s="14" t="s">
        <v>55</v>
      </c>
      <c r="E406" t="s">
        <v>1288</v>
      </c>
      <c r="F406" t="s">
        <v>5663</v>
      </c>
      <c r="G406" s="26">
        <v>23634</v>
      </c>
      <c r="H406" s="27">
        <v>45590</v>
      </c>
      <c r="I406" s="27">
        <v>45589</v>
      </c>
      <c r="K40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0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0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0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07" spans="1:14">
      <c r="A407" t="s">
        <v>6245</v>
      </c>
      <c r="B407" t="s">
        <v>5995</v>
      </c>
      <c r="C407" s="14" t="s">
        <v>623</v>
      </c>
      <c r="D407" s="14" t="s">
        <v>91</v>
      </c>
      <c r="E407" t="s">
        <v>1317</v>
      </c>
      <c r="F407" t="s">
        <v>5663</v>
      </c>
      <c r="G407" s="26">
        <v>11004</v>
      </c>
      <c r="H407" s="27">
        <v>46038.678900462961</v>
      </c>
      <c r="I407" s="27">
        <v>46030.678900462961</v>
      </c>
      <c r="K40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0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0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0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08" spans="1:14">
      <c r="A408" t="s">
        <v>6246</v>
      </c>
      <c r="B408" t="s">
        <v>6155</v>
      </c>
      <c r="C408" s="14" t="s">
        <v>754</v>
      </c>
      <c r="D408" s="14" t="s">
        <v>55</v>
      </c>
      <c r="E408" t="s">
        <v>1317</v>
      </c>
      <c r="F408" t="s">
        <v>5681</v>
      </c>
      <c r="G408" s="26">
        <v>46500</v>
      </c>
      <c r="H408" s="27">
        <v>46354</v>
      </c>
      <c r="I408" s="27">
        <v>46245</v>
      </c>
      <c r="J408" t="s">
        <v>5699</v>
      </c>
      <c r="K408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08">
        <f>IF(OR(tblPipelineAudit[[#This Row],[Stage]]="Closed Won",tblPipelineAudit[[#This Row],[Stage]]="Closed Lost"),"",IF(tblPipelineAudit[[#This Row],[Last Activity Date]]="","",MAX(0,DATE(2026,9,28)-tblPipelineAudit[[#This Row],[Last Activity Date]])))</f>
        <v>48</v>
      </c>
      <c r="M40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40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09" spans="1:14">
      <c r="A409" t="s">
        <v>6247</v>
      </c>
      <c r="B409" t="s">
        <v>6248</v>
      </c>
      <c r="C409" s="14" t="s">
        <v>308</v>
      </c>
      <c r="D409" s="14" t="s">
        <v>91</v>
      </c>
      <c r="E409" t="s">
        <v>1295</v>
      </c>
      <c r="F409" t="s">
        <v>5669</v>
      </c>
      <c r="G409" s="26">
        <v>23490</v>
      </c>
      <c r="H409" s="27">
        <v>46333</v>
      </c>
      <c r="I409" s="27">
        <v>46266</v>
      </c>
      <c r="J409" t="s">
        <v>5850</v>
      </c>
      <c r="K40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09">
        <f>IF(OR(tblPipelineAudit[[#This Row],[Stage]]="Closed Won",tblPipelineAudit[[#This Row],[Stage]]="Closed Lost"),"",IF(tblPipelineAudit[[#This Row],[Last Activity Date]]="","",MAX(0,DATE(2026,9,28)-tblPipelineAudit[[#This Row],[Last Activity Date]])))</f>
        <v>27</v>
      </c>
      <c r="M40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0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10" spans="1:14">
      <c r="A410" t="s">
        <v>2414</v>
      </c>
      <c r="B410" t="s">
        <v>5930</v>
      </c>
      <c r="C410" s="14" t="s">
        <v>453</v>
      </c>
      <c r="D410" s="14" t="s">
        <v>59</v>
      </c>
      <c r="E410" t="s">
        <v>1413</v>
      </c>
      <c r="F410" t="s">
        <v>5675</v>
      </c>
      <c r="G410" s="26">
        <v>11508</v>
      </c>
      <c r="H410" s="27">
        <v>45991.816990740743</v>
      </c>
      <c r="I410" s="27">
        <v>45982.816990740743</v>
      </c>
      <c r="K41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1" spans="1:14">
      <c r="A411" t="s">
        <v>1887</v>
      </c>
      <c r="B411" t="s">
        <v>6021</v>
      </c>
      <c r="C411" s="14" t="s">
        <v>729</v>
      </c>
      <c r="D411" s="14" t="s">
        <v>18</v>
      </c>
      <c r="E411" t="s">
        <v>1355</v>
      </c>
      <c r="F411" t="s">
        <v>5675</v>
      </c>
      <c r="G411" s="26">
        <v>28830</v>
      </c>
      <c r="H411" s="27">
        <v>45896.176979166667</v>
      </c>
      <c r="I411" s="27">
        <v>45898.176979166667</v>
      </c>
      <c r="K41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2" spans="1:14">
      <c r="A412" t="s">
        <v>6249</v>
      </c>
      <c r="B412" t="s">
        <v>5785</v>
      </c>
      <c r="C412" s="14" t="s">
        <v>891</v>
      </c>
      <c r="D412" s="14" t="s">
        <v>82</v>
      </c>
      <c r="F412" t="s">
        <v>5686</v>
      </c>
      <c r="G412" s="26">
        <v>62592</v>
      </c>
      <c r="H412" s="27">
        <v>46361</v>
      </c>
      <c r="I412" s="27">
        <v>46272</v>
      </c>
      <c r="J412" t="s">
        <v>5767</v>
      </c>
      <c r="K41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12">
        <f>IF(OR(tblPipelineAudit[[#This Row],[Stage]]="Closed Won",tblPipelineAudit[[#This Row],[Stage]]="Closed Lost"),"",IF(tblPipelineAudit[[#This Row],[Last Activity Date]]="","",MAX(0,DATE(2026,9,28)-tblPipelineAudit[[#This Row],[Last Activity Date]])))</f>
        <v>21</v>
      </c>
      <c r="M41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1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Missing Source</v>
      </c>
    </row>
    <row r="413" spans="1:14">
      <c r="A413" t="s">
        <v>6250</v>
      </c>
      <c r="B413" t="s">
        <v>6058</v>
      </c>
      <c r="C413" s="14" t="s">
        <v>1031</v>
      </c>
      <c r="D413" s="14" t="s">
        <v>36</v>
      </c>
      <c r="E413" t="s">
        <v>1288</v>
      </c>
      <c r="F413" t="s">
        <v>5681</v>
      </c>
      <c r="G413" s="26">
        <v>80168</v>
      </c>
      <c r="H413" s="27">
        <v>46286</v>
      </c>
      <c r="I413" s="27">
        <v>46277</v>
      </c>
      <c r="J413" t="s">
        <v>5699</v>
      </c>
      <c r="K413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7</v>
      </c>
      <c r="L413">
        <f>IF(OR(tblPipelineAudit[[#This Row],[Stage]]="Closed Won",tblPipelineAudit[[#This Row],[Stage]]="Closed Lost"),"",IF(tblPipelineAudit[[#This Row],[Last Activity Date]]="","",MAX(0,DATE(2026,9,28)-tblPipelineAudit[[#This Row],[Last Activity Date]])))</f>
        <v>16</v>
      </c>
      <c r="M41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Overdue</v>
      </c>
      <c r="N41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14" spans="1:14">
      <c r="A414" t="s">
        <v>6251</v>
      </c>
      <c r="B414" t="s">
        <v>6252</v>
      </c>
      <c r="C414" s="14" t="s">
        <v>246</v>
      </c>
      <c r="D414" s="14" t="s">
        <v>36</v>
      </c>
      <c r="E414" t="s">
        <v>1288</v>
      </c>
      <c r="F414" t="s">
        <v>5663</v>
      </c>
      <c r="G414" s="26">
        <v>21600</v>
      </c>
      <c r="H414" s="27">
        <v>46246.834027777775</v>
      </c>
      <c r="I414" s="27">
        <v>46241.834027777775</v>
      </c>
      <c r="K41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5" spans="1:14">
      <c r="A415" t="s">
        <v>6253</v>
      </c>
      <c r="B415" t="s">
        <v>5715</v>
      </c>
      <c r="C415" s="14" t="s">
        <v>723</v>
      </c>
      <c r="D415" s="14" t="s">
        <v>36</v>
      </c>
      <c r="E415" t="s">
        <v>1413</v>
      </c>
      <c r="F415" t="s">
        <v>5663</v>
      </c>
      <c r="G415" s="26">
        <v>50280</v>
      </c>
      <c r="H415" s="27">
        <v>46238.579224537039</v>
      </c>
      <c r="I415" s="27">
        <v>46261.579224537039</v>
      </c>
      <c r="K415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5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6" spans="1:14">
      <c r="A416" t="s">
        <v>6254</v>
      </c>
      <c r="B416" t="s">
        <v>5834</v>
      </c>
      <c r="C416" s="14" t="s">
        <v>626</v>
      </c>
      <c r="D416" s="14" t="s">
        <v>18</v>
      </c>
      <c r="E416" t="s">
        <v>1281</v>
      </c>
      <c r="F416" t="s">
        <v>5663</v>
      </c>
      <c r="G416" s="26">
        <v>13426</v>
      </c>
      <c r="H416" s="27">
        <v>45490</v>
      </c>
      <c r="I416" s="27">
        <v>45460</v>
      </c>
      <c r="K41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7" spans="1:14">
      <c r="A417" t="s">
        <v>6255</v>
      </c>
      <c r="B417" t="s">
        <v>5839</v>
      </c>
      <c r="C417" s="14" t="s">
        <v>199</v>
      </c>
      <c r="D417" s="14" t="s">
        <v>91</v>
      </c>
      <c r="E417" t="s">
        <v>1288</v>
      </c>
      <c r="F417" t="s">
        <v>5663</v>
      </c>
      <c r="G417" s="26">
        <v>46080</v>
      </c>
      <c r="H417" s="27">
        <v>45922.095520833333</v>
      </c>
      <c r="I417" s="27">
        <v>45912.095520833333</v>
      </c>
      <c r="K417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7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7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7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8" spans="1:14">
      <c r="A418" t="s">
        <v>6257</v>
      </c>
      <c r="B418" t="s">
        <v>6258</v>
      </c>
      <c r="C418" s="14" t="s">
        <v>392</v>
      </c>
      <c r="D418" s="14" t="s">
        <v>55</v>
      </c>
      <c r="E418" t="s">
        <v>1271</v>
      </c>
      <c r="F418" t="s">
        <v>5663</v>
      </c>
      <c r="G418" s="26">
        <v>4644</v>
      </c>
      <c r="H418" s="27">
        <v>46173.865729166668</v>
      </c>
      <c r="I418" s="27">
        <v>46187.865729166668</v>
      </c>
      <c r="K418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18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18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18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19" spans="1:14">
      <c r="A419" t="s">
        <v>6259</v>
      </c>
      <c r="B419" t="s">
        <v>6039</v>
      </c>
      <c r="C419" s="14" t="s">
        <v>939</v>
      </c>
      <c r="D419" s="14" t="s">
        <v>36</v>
      </c>
      <c r="E419" t="s">
        <v>1271</v>
      </c>
      <c r="F419" t="s">
        <v>5669</v>
      </c>
      <c r="G419" s="26">
        <v>65808</v>
      </c>
      <c r="H419" s="27">
        <v>46315</v>
      </c>
      <c r="I419" s="27">
        <v>46221</v>
      </c>
      <c r="J419" t="s">
        <v>5774</v>
      </c>
      <c r="K419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19">
        <f>IF(OR(tblPipelineAudit[[#This Row],[Stage]]="Closed Won",tblPipelineAudit[[#This Row],[Stage]]="Closed Lost"),"",IF(tblPipelineAudit[[#This Row],[Last Activity Date]]="","",MAX(0,DATE(2026,9,28)-tblPipelineAudit[[#This Row],[Last Activity Date]])))</f>
        <v>72</v>
      </c>
      <c r="M419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Stale</v>
      </c>
      <c r="N419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20" spans="1:14">
      <c r="A420" t="s">
        <v>6260</v>
      </c>
      <c r="B420" t="s">
        <v>5996</v>
      </c>
      <c r="C420" s="14" t="s">
        <v>491</v>
      </c>
      <c r="D420" s="14" t="s">
        <v>18</v>
      </c>
      <c r="E420" t="s">
        <v>1288</v>
      </c>
      <c r="F420" t="s">
        <v>5663</v>
      </c>
      <c r="G420" s="26">
        <v>81972</v>
      </c>
      <c r="H420" s="27">
        <v>46155.098240740743</v>
      </c>
      <c r="I420" s="27">
        <v>46148.098240740743</v>
      </c>
      <c r="K420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20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20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20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21" spans="1:14">
      <c r="A421" t="s">
        <v>6261</v>
      </c>
      <c r="B421" t="s">
        <v>6262</v>
      </c>
      <c r="C421" s="14" t="s">
        <v>660</v>
      </c>
      <c r="D421" s="14" t="s">
        <v>69</v>
      </c>
      <c r="E421" t="s">
        <v>1413</v>
      </c>
      <c r="F421" t="s">
        <v>5663</v>
      </c>
      <c r="G421" s="26">
        <v>7456</v>
      </c>
      <c r="H421" s="27">
        <v>45720</v>
      </c>
      <c r="I421" s="27">
        <v>45718</v>
      </c>
      <c r="K421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21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21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21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22" spans="1:14">
      <c r="A422" t="s">
        <v>6263</v>
      </c>
      <c r="B422" t="s">
        <v>5776</v>
      </c>
      <c r="C422" s="14" t="s">
        <v>774</v>
      </c>
      <c r="D422" s="14" t="s">
        <v>18</v>
      </c>
      <c r="E422" t="s">
        <v>1288</v>
      </c>
      <c r="F422" t="s">
        <v>5669</v>
      </c>
      <c r="G422" s="26">
        <v>32616</v>
      </c>
      <c r="H422" s="27">
        <v>46324</v>
      </c>
      <c r="I422" s="27">
        <v>46267</v>
      </c>
      <c r="J422" t="s">
        <v>5671</v>
      </c>
      <c r="K422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22">
        <f>IF(OR(tblPipelineAudit[[#This Row],[Stage]]="Closed Won",tblPipelineAudit[[#This Row],[Stage]]="Closed Lost"),"",IF(tblPipelineAudit[[#This Row],[Last Activity Date]]="","",MAX(0,DATE(2026,9,28)-tblPipelineAudit[[#This Row],[Last Activity Date]])))</f>
        <v>26</v>
      </c>
      <c r="M422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22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23" spans="1:14">
      <c r="A423" t="s">
        <v>2392</v>
      </c>
      <c r="B423" t="s">
        <v>5997</v>
      </c>
      <c r="C423" s="14" t="s">
        <v>392</v>
      </c>
      <c r="D423" s="14" t="s">
        <v>82</v>
      </c>
      <c r="E423" t="s">
        <v>1413</v>
      </c>
      <c r="F423" t="s">
        <v>5675</v>
      </c>
      <c r="G423" s="26">
        <v>61540</v>
      </c>
      <c r="H423" s="27">
        <v>45986.274548611109</v>
      </c>
      <c r="I423" s="27">
        <v>45988.274548611109</v>
      </c>
      <c r="K423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23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23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23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24" spans="1:14">
      <c r="A424" t="s">
        <v>2385</v>
      </c>
      <c r="B424" t="s">
        <v>6264</v>
      </c>
      <c r="C424" s="14" t="s">
        <v>425</v>
      </c>
      <c r="D424" s="14" t="s">
        <v>91</v>
      </c>
      <c r="E424" t="s">
        <v>1288</v>
      </c>
      <c r="F424" t="s">
        <v>5663</v>
      </c>
      <c r="G424" s="26">
        <v>18600</v>
      </c>
      <c r="H424" s="27">
        <v>45361.168495370373</v>
      </c>
      <c r="I424" s="27">
        <v>45355.168495370373</v>
      </c>
      <c r="K424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24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24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24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  <row r="425" spans="1:14">
      <c r="A425" t="s">
        <v>2476</v>
      </c>
      <c r="B425" t="s">
        <v>6141</v>
      </c>
      <c r="C425" s="14" t="s">
        <v>485</v>
      </c>
      <c r="D425" s="14" t="s">
        <v>55</v>
      </c>
      <c r="E425" t="s">
        <v>1281</v>
      </c>
      <c r="F425" t="s">
        <v>5725</v>
      </c>
      <c r="G425" s="26">
        <v>27870</v>
      </c>
      <c r="H425" s="27">
        <v>46294</v>
      </c>
      <c r="I425" s="27">
        <v>46283</v>
      </c>
      <c r="J425" t="s">
        <v>5753</v>
      </c>
      <c r="K425">
        <f>IF(OR(tblPipelineAudit[[#This Row],[Stage]]="Closed Won",tblPipelineAudit[[#This Row],[Stage]]="Closed Lost"),"",IF(tblPipelineAudit[[#This Row],[Expected Close Date]]="","",MAX(0,DATE(2026,9,28)-tblPipelineAudit[[#This Row],[Expected Close Date]])))</f>
        <v>0</v>
      </c>
      <c r="L425">
        <f>IF(OR(tblPipelineAudit[[#This Row],[Stage]]="Closed Won",tblPipelineAudit[[#This Row],[Stage]]="Closed Lost"),"",IF(tblPipelineAudit[[#This Row],[Last Activity Date]]="","",MAX(0,DATE(2026,9,28)-tblPipelineAudit[[#This Row],[Last Activity Date]])))</f>
        <v>10</v>
      </c>
      <c r="M425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Healthy</v>
      </c>
      <c r="N425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>No Gap</v>
      </c>
    </row>
    <row r="426" spans="1:14">
      <c r="A426" t="s">
        <v>1513</v>
      </c>
      <c r="B426" t="s">
        <v>5698</v>
      </c>
      <c r="C426" s="14" t="s">
        <v>786</v>
      </c>
      <c r="D426" s="14" t="s">
        <v>69</v>
      </c>
      <c r="E426" t="s">
        <v>1288</v>
      </c>
      <c r="F426" t="s">
        <v>5675</v>
      </c>
      <c r="G426" s="26">
        <v>28050</v>
      </c>
      <c r="H426" s="27">
        <v>45981.492094907408</v>
      </c>
      <c r="I426" s="27">
        <v>45971.492094907408</v>
      </c>
      <c r="K426" t="str">
        <f>IF(OR(tblPipelineAudit[[#This Row],[Stage]]="Closed Won",tblPipelineAudit[[#This Row],[Stage]]="Closed Lost"),"",IF(tblPipelineAudit[[#This Row],[Expected Close Date]]="","",MAX(0,DATE(2026,9,28)-tblPipelineAudit[[#This Row],[Expected Close Date]])))</f>
        <v/>
      </c>
      <c r="L426" t="str">
        <f>IF(OR(tblPipelineAudit[[#This Row],[Stage]]="Closed Won",tblPipelineAudit[[#This Row],[Stage]]="Closed Lost"),"",IF(tblPipelineAudit[[#This Row],[Last Activity Date]]="","",MAX(0,DATE(2026,9,28)-tblPipelineAudit[[#This Row],[Last Activity Date]])))</f>
        <v/>
      </c>
      <c r="M426" t="str">
        <f>IF(OR(tblPipelineAudit[[#This Row],[Stage]]="Closed Won",tblPipelineAudit[[#This Row],[Stage]]="Closed Lost"),"Closed",IF(AND(tblPipelineAudit[[#This Row],[Expected Close Date]]&lt;&gt;"",tblPipelineAudit[[#This Row],[Expected Close Date]]&lt;DATE(2026,9,28),OR(tblPipelineAudit[[#This Row],[Last Activity Date]]="",DATE(2026,9,28)-tblPipelineAudit[[#This Row],[Last Activity Date]]&gt;30)),"Stale + Overdue",IF(AND(tblPipelineAudit[[#This Row],[Expected Close Date]]&lt;&gt;"",tblPipelineAudit[[#This Row],[Expected Close Date]]&lt;DATE(2026,9,28)),"Overdue",IF(OR(tblPipelineAudit[[#This Row],[Last Activity Date]]="",DATE(2026,9,28)-tblPipelineAudit[[#This Row],[Last Activity Date]]&gt;30),"Stale","Healthy"))))</f>
        <v>Closed</v>
      </c>
      <c r="N426" t="str">
        <f>IF(OR(tblPipelineAudit[[#This Row],[Stage]]="Closed Won",tblPipelineAudit[[#This Row],[Stage]]="Closed Lost"),"",_xlfn.LET(_xlpm.gaps,_xlfn.TEXTJOIN("; ",TRUE,IF(tblPipelineAudit[[#This Row],[Owner ID]]="","Missing Owner",""),IF(tblPipelineAudit[[#This Row],[Account ID]]="","Missing Account",""),IF(tblPipelineAudit[[#This Row],[Lead Source]]="","Missing Source",""),IF(tblPipelineAudit[[#This Row],[Stage]]="","Missing Stage",""),IF(tblPipelineAudit[[#This Row],[Net ARR]]="","Missing ARR",""),IF(tblPipelineAudit[[#This Row],[Expected Close Date]]="","Missing Close Date",""),IF(TRIM(tblPipelineAudit[[#This Row],[Next Step]])="","Missing Next Step",""),IF(tblPipelineAudit[[#This Row],[Last Activity Date]]="","Missing Last Activity",""),IF(_xlfn.XLOOKUP(tblPipelineAudit[[#This Row],[Opportunity ID]],tblOpportunities[opportunity_id],tblOpportunities[forecast_category],"")="","Missing Forecast Category","")),IF(_xlpm.gaps="","No Gap",_xlpm.gaps)))</f>
        <v/>
      </c>
    </row>
  </sheetData>
  <conditionalFormatting sqref="M1:M1048576">
    <cfRule type="containsText" dxfId="15" priority="3" operator="containsText" text="Stale + Overdue">
      <formula>NOT(ISERROR(SEARCH("Stale + Overdue",M1)))</formula>
    </cfRule>
    <cfRule type="containsText" dxfId="14" priority="4" operator="containsText" text="Stale">
      <formula>NOT(ISERROR(SEARCH("Stale",M1)))</formula>
    </cfRule>
    <cfRule type="containsText" dxfId="13" priority="5" operator="containsText" text="Overdue">
      <formula>NOT(ISERROR(SEARCH("Overdue",M1)))</formula>
    </cfRule>
    <cfRule type="containsText" dxfId="12" priority="6" operator="containsText" text="Healthy">
      <formula>NOT(ISERROR(SEARCH("Healthy",M1)))</formula>
    </cfRule>
  </conditionalFormatting>
  <conditionalFormatting sqref="N1:N1048576">
    <cfRule type="containsText" dxfId="11" priority="1" operator="containsText" text="Missing">
      <formula>NOT(ISERROR(SEARCH("Missing",N1)))</formula>
    </cfRule>
    <cfRule type="containsText" dxfId="10" priority="2" operator="containsText" text="No Gap">
      <formula>NOT(ISERROR(SEARCH("No Gap",N1)))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D584-BD1E-4B5D-8ADC-42196554506F}">
  <dimension ref="A1:S426"/>
  <sheetViews>
    <sheetView workbookViewId="0">
      <pane ySplit="1" topLeftCell="A2" activePane="bottomLeft" state="frozen"/>
      <selection pane="bottomLeft" activeCell="K20" sqref="K20"/>
    </sheetView>
  </sheetViews>
  <sheetFormatPr defaultRowHeight="15"/>
  <cols>
    <col min="1" max="1" width="16.7109375" bestFit="1" customWidth="1"/>
    <col min="2" max="2" width="13" bestFit="1" customWidth="1"/>
    <col min="3" max="3" width="18.28515625" bestFit="1" customWidth="1"/>
    <col min="4" max="4" width="13.42578125" bestFit="1" customWidth="1"/>
    <col min="5" max="5" width="10.7109375" bestFit="1" customWidth="1"/>
    <col min="6" max="6" width="17.28515625" bestFit="1" customWidth="1"/>
    <col min="7" max="7" width="17.85546875" bestFit="1" customWidth="1"/>
    <col min="8" max="8" width="17.140625" bestFit="1" customWidth="1"/>
    <col min="9" max="9" width="29.7109375" bestFit="1" customWidth="1"/>
    <col min="10" max="10" width="28.85546875" bestFit="1" customWidth="1"/>
    <col min="11" max="11" width="27.5703125" bestFit="1" customWidth="1"/>
    <col min="12" max="12" width="18.42578125" bestFit="1" customWidth="1"/>
    <col min="13" max="13" width="30.5703125" bestFit="1" customWidth="1"/>
    <col min="14" max="14" width="20" bestFit="1" customWidth="1"/>
    <col min="15" max="15" width="24.42578125" bestFit="1" customWidth="1"/>
    <col min="16" max="16" width="26.42578125" bestFit="1" customWidth="1"/>
    <col min="18" max="18" width="31.140625" bestFit="1" customWidth="1"/>
    <col min="19" max="19" width="6.140625" bestFit="1" customWidth="1"/>
  </cols>
  <sheetData>
    <row r="1" spans="1:19">
      <c r="A1" t="s">
        <v>6265</v>
      </c>
      <c r="B1" t="s">
        <v>1226</v>
      </c>
      <c r="C1" t="s">
        <v>6268</v>
      </c>
      <c r="D1" t="s">
        <v>6511</v>
      </c>
      <c r="E1" t="s">
        <v>6269</v>
      </c>
      <c r="F1" t="s">
        <v>6305</v>
      </c>
      <c r="G1" t="s">
        <v>6512</v>
      </c>
      <c r="H1" t="s">
        <v>6328</v>
      </c>
      <c r="I1" t="s">
        <v>6513</v>
      </c>
      <c r="J1" t="s">
        <v>6514</v>
      </c>
      <c r="K1" t="s">
        <v>6515</v>
      </c>
      <c r="L1" t="s">
        <v>1228</v>
      </c>
      <c r="M1" t="s">
        <v>6516</v>
      </c>
      <c r="N1" t="s">
        <v>6517</v>
      </c>
      <c r="O1" t="s">
        <v>6518</v>
      </c>
      <c r="P1" t="s">
        <v>6519</v>
      </c>
      <c r="R1" t="s">
        <v>1240</v>
      </c>
      <c r="S1" t="s">
        <v>1249</v>
      </c>
    </row>
    <row r="2" spans="1:19">
      <c r="A2" s="20" t="s">
        <v>5659</v>
      </c>
      <c r="B2" s="21" t="s">
        <v>554</v>
      </c>
      <c r="C2" s="21" t="s">
        <v>5663</v>
      </c>
      <c r="D2" s="29">
        <v>5.9</v>
      </c>
      <c r="E2" s="24">
        <v>5646</v>
      </c>
      <c r="F2" s="21" t="s">
        <v>5665</v>
      </c>
      <c r="G2" s="21" t="s">
        <v>5666</v>
      </c>
      <c r="H2" s="21" t="b">
        <v>0</v>
      </c>
      <c r="I2" s="21" t="b">
        <v>0</v>
      </c>
      <c r="J2" s="29">
        <v>0</v>
      </c>
      <c r="K2" s="35" t="b">
        <v>0</v>
      </c>
      <c r="L2">
        <f>IF(COUNTIFS(tblAccounts[account_id],tblDealDeskAudit[[#This Row],[Account ID]],tblAccounts[employee_count],"")&gt;0,"",_xlfn.XLOOKUP(tblDealDeskAudit[[#This Row],[Account ID]],tblAccounts[account_id],tblAccounts[employee_count],""))</f>
        <v>67</v>
      </c>
      <c r="M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">
        <f>COUNTIF(tblApprovals[opportunity_id],tblDealDeskAudit[[#This Row],[Opportunity ID]])</f>
        <v>0</v>
      </c>
      <c r="P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  <c r="R2" t="s">
        <v>6520</v>
      </c>
      <c r="S2" s="28">
        <f>COUNTIF(tblDealDeskAudit[Flag Audit Status],"Correctly Flagged")</f>
        <v>224</v>
      </c>
    </row>
    <row r="3" spans="1:19">
      <c r="A3" s="22" t="s">
        <v>1394</v>
      </c>
      <c r="B3" s="23" t="s">
        <v>494</v>
      </c>
      <c r="C3" s="23" t="s">
        <v>5669</v>
      </c>
      <c r="D3" s="30">
        <v>0.6</v>
      </c>
      <c r="E3" s="25">
        <v>27832</v>
      </c>
      <c r="F3" s="23" t="s">
        <v>5665</v>
      </c>
      <c r="G3" s="23" t="s">
        <v>5666</v>
      </c>
      <c r="H3" s="23" t="b">
        <v>0</v>
      </c>
      <c r="I3" s="23" t="b">
        <v>0</v>
      </c>
      <c r="J3" s="30">
        <v>1.5</v>
      </c>
      <c r="K3" s="36" t="b">
        <v>0</v>
      </c>
      <c r="L3">
        <f>IF(COUNTIFS(tblAccounts[account_id],tblDealDeskAudit[[#This Row],[Account ID]],tblAccounts[employee_count],"")&gt;0,"",_xlfn.XLOOKUP(tblDealDeskAudit[[#This Row],[Account ID]],tblAccounts[account_id],tblAccounts[employee_count],""))</f>
        <v>349</v>
      </c>
      <c r="M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">
        <f>COUNTIF(tblApprovals[opportunity_id],tblDealDeskAudit[[#This Row],[Opportunity ID]])</f>
        <v>0</v>
      </c>
      <c r="P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  <c r="R3" t="s">
        <v>6521</v>
      </c>
      <c r="S3" s="28">
        <f>COUNTIF(tblDealDeskAudit[Flag Audit Status],"Correctly Not Flagged")</f>
        <v>191</v>
      </c>
    </row>
    <row r="4" spans="1:19">
      <c r="A4" s="20" t="s">
        <v>5672</v>
      </c>
      <c r="B4" s="21" t="s">
        <v>240</v>
      </c>
      <c r="C4" s="21" t="s">
        <v>5663</v>
      </c>
      <c r="D4" s="29">
        <v>7.8</v>
      </c>
      <c r="E4" s="24">
        <v>27660</v>
      </c>
      <c r="F4" s="21" t="s">
        <v>5665</v>
      </c>
      <c r="G4" s="21" t="s">
        <v>5666</v>
      </c>
      <c r="H4" s="21" t="b">
        <v>0</v>
      </c>
      <c r="I4" s="21" t="b">
        <v>0</v>
      </c>
      <c r="J4" s="29">
        <v>3.1</v>
      </c>
      <c r="K4" s="35" t="b">
        <v>0</v>
      </c>
      <c r="L4">
        <f>IF(COUNTIFS(tblAccounts[account_id],tblDealDeskAudit[[#This Row],[Account ID]],tblAccounts[employee_count],"")&gt;0,"",_xlfn.XLOOKUP(tblDealDeskAudit[[#This Row],[Account ID]],tblAccounts[account_id],tblAccounts[employee_count],""))</f>
        <v>462</v>
      </c>
      <c r="M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">
        <f>COUNTIF(tblApprovals[opportunity_id],tblDealDeskAudit[[#This Row],[Opportunity ID]])</f>
        <v>0</v>
      </c>
      <c r="P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  <c r="R4" t="s">
        <v>6522</v>
      </c>
      <c r="S4" s="28">
        <f>COUNTIF(tblDealDeskAudit[Flag Audit Status],"Missed Required Flag")</f>
        <v>9</v>
      </c>
    </row>
    <row r="5" spans="1:19">
      <c r="A5" s="22" t="s">
        <v>2333</v>
      </c>
      <c r="B5" s="23" t="s">
        <v>134</v>
      </c>
      <c r="C5" s="23" t="s">
        <v>5675</v>
      </c>
      <c r="D5" s="30">
        <v>18.600000000000001</v>
      </c>
      <c r="E5" s="25">
        <v>19536</v>
      </c>
      <c r="F5" s="23" t="s">
        <v>5677</v>
      </c>
      <c r="G5" s="23" t="s">
        <v>5666</v>
      </c>
      <c r="H5" s="23" t="b">
        <v>0</v>
      </c>
      <c r="I5" s="23" t="b">
        <v>1</v>
      </c>
      <c r="J5" s="30">
        <v>8.1</v>
      </c>
      <c r="K5" s="36" t="b">
        <v>1</v>
      </c>
      <c r="L5">
        <f>IF(COUNTIFS(tblAccounts[account_id],tblDealDeskAudit[[#This Row],[Account ID]],tblAccounts[employee_count],"")&gt;0,"",_xlfn.XLOOKUP(tblDealDeskAudit[[#This Row],[Account ID]],tblAccounts[account_id],tblAccounts[employee_count],""))</f>
        <v>19</v>
      </c>
      <c r="M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5">
        <f>COUNTIF(tblApprovals[opportunity_id],tblDealDeskAudit[[#This Row],[Opportunity ID]])</f>
        <v>1</v>
      </c>
      <c r="P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  <c r="R5" t="s">
        <v>6527</v>
      </c>
      <c r="S5" s="28">
        <f>COUNTIF(tblDealDeskAudit[Flag Audit Status],"Unnecessary Flag")</f>
        <v>1</v>
      </c>
    </row>
    <row r="6" spans="1:19">
      <c r="A6" s="20" t="s">
        <v>1724</v>
      </c>
      <c r="B6" s="21" t="s">
        <v>73</v>
      </c>
      <c r="C6" s="21" t="s">
        <v>5669</v>
      </c>
      <c r="D6" s="29">
        <v>0.2</v>
      </c>
      <c r="E6" s="24">
        <v>87824</v>
      </c>
      <c r="F6" s="21" t="s">
        <v>5665</v>
      </c>
      <c r="G6" s="21" t="s">
        <v>5666</v>
      </c>
      <c r="H6" s="21" t="b">
        <v>1</v>
      </c>
      <c r="I6" s="21" t="b">
        <v>0</v>
      </c>
      <c r="J6" s="29">
        <v>1</v>
      </c>
      <c r="K6" s="35" t="b">
        <v>1</v>
      </c>
      <c r="L6">
        <f>IF(COUNTIFS(tblAccounts[account_id],tblDealDeskAudit[[#This Row],[Account ID]],tblAccounts[employee_count],"")&gt;0,"",_xlfn.XLOOKUP(tblDealDeskAudit[[#This Row],[Account ID]],tblAccounts[account_id],tblAccounts[employee_count],""))</f>
        <v>2018</v>
      </c>
      <c r="M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6">
        <f>COUNTIF(tblApprovals[opportunity_id],tblDealDeskAudit[[#This Row],[Opportunity ID]])</f>
        <v>0</v>
      </c>
      <c r="P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  <c r="R6" t="s">
        <v>6523</v>
      </c>
      <c r="S6" s="28">
        <f>COUNTIFS(tblDealDeskAudit[Stage],"Closed Won",tblDealDeskAudit[Expected Deal Desk Required],TRUE)+COUNTIFS(tblDealDeskAudit[Stage],"Closed Lost",tblDealDeskAudit[Expected Deal Desk Required],TRUE)</f>
        <v>150</v>
      </c>
    </row>
    <row r="7" spans="1:19">
      <c r="A7" s="22" t="s">
        <v>1664</v>
      </c>
      <c r="B7" s="23" t="s">
        <v>434</v>
      </c>
      <c r="C7" s="23" t="s">
        <v>5681</v>
      </c>
      <c r="D7" s="30">
        <v>0.8</v>
      </c>
      <c r="E7" s="25">
        <v>99200</v>
      </c>
      <c r="F7" s="23" t="s">
        <v>5665</v>
      </c>
      <c r="G7" s="23" t="s">
        <v>5666</v>
      </c>
      <c r="H7" s="23" t="b">
        <v>0</v>
      </c>
      <c r="I7" s="23" t="b">
        <v>0</v>
      </c>
      <c r="J7" s="30">
        <v>21</v>
      </c>
      <c r="K7" s="36" t="b">
        <v>1</v>
      </c>
      <c r="L7">
        <f>IF(COUNTIFS(tblAccounts[account_id],tblDealDeskAudit[[#This Row],[Account ID]],tblAccounts[employee_count],"")&gt;0,"",_xlfn.XLOOKUP(tblDealDeskAudit[[#This Row],[Account ID]],tblAccounts[account_id],tblAccounts[employee_count],""))</f>
        <v>1398</v>
      </c>
      <c r="M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">
        <f>COUNTIF(tblApprovals[opportunity_id],tblDealDeskAudit[[#This Row],[Opportunity ID]])</f>
        <v>0</v>
      </c>
      <c r="P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  <c r="R7" t="s">
        <v>6524</v>
      </c>
      <c r="S7" s="28">
        <f>COUNTIF(tblDealDeskAudit[Approval Evidence Status],"Approval Evidence Present")</f>
        <v>61</v>
      </c>
    </row>
    <row r="8" spans="1:19">
      <c r="A8" s="20" t="s">
        <v>2119</v>
      </c>
      <c r="B8" s="21" t="s">
        <v>567</v>
      </c>
      <c r="C8" s="21" t="s">
        <v>5669</v>
      </c>
      <c r="D8" s="29">
        <v>24.9</v>
      </c>
      <c r="E8" s="24">
        <v>9012</v>
      </c>
      <c r="F8" s="21" t="s">
        <v>5665</v>
      </c>
      <c r="G8" s="21" t="s">
        <v>5666</v>
      </c>
      <c r="H8" s="21" t="b">
        <v>0</v>
      </c>
      <c r="I8" s="21" t="b">
        <v>0</v>
      </c>
      <c r="J8" s="29">
        <v>2.9</v>
      </c>
      <c r="K8" s="35" t="b">
        <v>1</v>
      </c>
      <c r="L8">
        <f>IF(COUNTIFS(tblAccounts[account_id],tblDealDeskAudit[[#This Row],[Account ID]],tblAccounts[employee_count],"")&gt;0,"",_xlfn.XLOOKUP(tblDealDeskAudit[[#This Row],[Account ID]],tblAccounts[account_id],tblAccounts[employee_count],""))</f>
        <v>59</v>
      </c>
      <c r="M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">
        <f>COUNTIF(tblApprovals[opportunity_id],tblDealDeskAudit[[#This Row],[Opportunity ID]])</f>
        <v>1</v>
      </c>
      <c r="P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  <c r="R8" t="s">
        <v>6525</v>
      </c>
      <c r="S8" s="28">
        <f>COUNTIF(tblDealDeskAudit[Approval Evidence Status],"Missing Approval Evidence")</f>
        <v>89</v>
      </c>
    </row>
    <row r="9" spans="1:19">
      <c r="A9" s="22" t="s">
        <v>1503</v>
      </c>
      <c r="B9" s="23" t="s">
        <v>948</v>
      </c>
      <c r="C9" s="23" t="s">
        <v>5663</v>
      </c>
      <c r="D9" s="30">
        <v>5.3</v>
      </c>
      <c r="E9" s="25">
        <v>35986</v>
      </c>
      <c r="F9" s="23" t="s">
        <v>5665</v>
      </c>
      <c r="G9" s="23" t="s">
        <v>5666</v>
      </c>
      <c r="H9" s="23" t="b">
        <v>0</v>
      </c>
      <c r="I9" s="23" t="b">
        <v>0</v>
      </c>
      <c r="J9" s="30">
        <v>5.9</v>
      </c>
      <c r="K9" s="36" t="b">
        <v>0</v>
      </c>
      <c r="L9">
        <f>IF(COUNTIFS(tblAccounts[account_id],tblDealDeskAudit[[#This Row],[Account ID]],tblAccounts[employee_count],"")&gt;0,"",_xlfn.XLOOKUP(tblDealDeskAudit[[#This Row],[Account ID]],tblAccounts[account_id],tblAccounts[employee_count],""))</f>
        <v>437</v>
      </c>
      <c r="M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9">
        <f>COUNTIF(tblApprovals[opportunity_id],tblDealDeskAudit[[#This Row],[Opportunity ID]])</f>
        <v>0</v>
      </c>
      <c r="P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  <c r="R9" t="s">
        <v>6526</v>
      </c>
      <c r="S9" s="28">
        <f>ROWS(tblDealDeskAudit[Opportunity ID])</f>
        <v>425</v>
      </c>
    </row>
    <row r="10" spans="1:19">
      <c r="A10" s="20" t="s">
        <v>1429</v>
      </c>
      <c r="B10" s="21" t="s">
        <v>213</v>
      </c>
      <c r="C10" s="21" t="s">
        <v>5686</v>
      </c>
      <c r="D10" s="29">
        <v>15.4</v>
      </c>
      <c r="E10" s="24">
        <v>72756</v>
      </c>
      <c r="F10" s="21" t="s">
        <v>5688</v>
      </c>
      <c r="G10" s="21" t="s">
        <v>5666</v>
      </c>
      <c r="H10" s="21" t="b">
        <v>0</v>
      </c>
      <c r="I10" s="21" t="b">
        <v>0</v>
      </c>
      <c r="J10" s="29">
        <v>7.7</v>
      </c>
      <c r="K10" s="35" t="b">
        <v>1</v>
      </c>
      <c r="L10">
        <f>IF(COUNTIFS(tblAccounts[account_id],tblDealDeskAudit[[#This Row],[Account ID]],tblAccounts[employee_count],"")&gt;0,"",_xlfn.XLOOKUP(tblDealDeskAudit[[#This Row],[Account ID]],tblAccounts[account_id],tblAccounts[employee_count],""))</f>
        <v>1801</v>
      </c>
      <c r="M1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">
        <f>COUNTIF(tblApprovals[opportunity_id],tblDealDeskAudit[[#This Row],[Opportunity ID]])</f>
        <v>0</v>
      </c>
      <c r="P1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1" spans="1:19">
      <c r="A11" s="22" t="s">
        <v>5689</v>
      </c>
      <c r="B11" s="23" t="s">
        <v>500</v>
      </c>
      <c r="C11" s="23" t="s">
        <v>5691</v>
      </c>
      <c r="D11" s="30">
        <v>0.4</v>
      </c>
      <c r="E11" s="25">
        <v>19920</v>
      </c>
      <c r="F11" s="23" t="s">
        <v>5665</v>
      </c>
      <c r="G11" s="23" t="s">
        <v>5693</v>
      </c>
      <c r="H11" s="23" t="b">
        <v>0</v>
      </c>
      <c r="I11" s="23" t="b">
        <v>0</v>
      </c>
      <c r="J11" s="30">
        <v>11.2</v>
      </c>
      <c r="K11" s="36" t="b">
        <v>1</v>
      </c>
      <c r="L11">
        <f>IF(COUNTIFS(tblAccounts[account_id],tblDealDeskAudit[[#This Row],[Account ID]],tblAccounts[employee_count],"")&gt;0,"",_xlfn.XLOOKUP(tblDealDeskAudit[[#This Row],[Account ID]],tblAccounts[account_id],tblAccounts[employee_count],""))</f>
        <v>150</v>
      </c>
      <c r="M1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1">
        <f>COUNTIF(tblApprovals[opportunity_id],tblDealDeskAudit[[#This Row],[Opportunity ID]])</f>
        <v>0</v>
      </c>
      <c r="P1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" spans="1:19">
      <c r="A12" s="20" t="s">
        <v>5694</v>
      </c>
      <c r="B12" s="21" t="s">
        <v>363</v>
      </c>
      <c r="C12" s="21" t="s">
        <v>5691</v>
      </c>
      <c r="D12" s="29">
        <v>18.100000000000001</v>
      </c>
      <c r="E12" s="24">
        <v>63882</v>
      </c>
      <c r="F12" s="21" t="s">
        <v>5665</v>
      </c>
      <c r="G12" s="21" t="s">
        <v>5666</v>
      </c>
      <c r="H12" s="21" t="b">
        <v>0</v>
      </c>
      <c r="I12" s="21" t="b">
        <v>0</v>
      </c>
      <c r="J12" s="29">
        <v>7.6</v>
      </c>
      <c r="K12" s="35" t="b">
        <v>1</v>
      </c>
      <c r="L12">
        <f>IF(COUNTIFS(tblAccounts[account_id],tblDealDeskAudit[[#This Row],[Account ID]],tblAccounts[employee_count],"")&gt;0,"",_xlfn.XLOOKUP(tblDealDeskAudit[[#This Row],[Account ID]],tblAccounts[account_id],tblAccounts[employee_count],""))</f>
        <v>1136</v>
      </c>
      <c r="M1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">
        <f>COUNTIF(tblApprovals[opportunity_id],tblDealDeskAudit[[#This Row],[Opportunity ID]])</f>
        <v>1</v>
      </c>
      <c r="P1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3" spans="1:19">
      <c r="A13" s="22" t="s">
        <v>2237</v>
      </c>
      <c r="B13" s="23" t="s">
        <v>672</v>
      </c>
      <c r="C13" s="23" t="s">
        <v>5663</v>
      </c>
      <c r="D13" s="30">
        <v>3.8</v>
      </c>
      <c r="E13" s="25">
        <v>19240</v>
      </c>
      <c r="F13" s="23" t="s">
        <v>5665</v>
      </c>
      <c r="G13" s="23" t="s">
        <v>5666</v>
      </c>
      <c r="H13" s="23" t="b">
        <v>0</v>
      </c>
      <c r="I13" s="23" t="b">
        <v>0</v>
      </c>
      <c r="J13" s="30">
        <v>7.8</v>
      </c>
      <c r="K13" s="36" t="b">
        <v>0</v>
      </c>
      <c r="L13">
        <f>IF(COUNTIFS(tblAccounts[account_id],tblDealDeskAudit[[#This Row],[Account ID]],tblAccounts[employee_count],"")&gt;0,"",_xlfn.XLOOKUP(tblDealDeskAudit[[#This Row],[Account ID]],tblAccounts[account_id],tblAccounts[employee_count],""))</f>
        <v>38</v>
      </c>
      <c r="M1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3">
        <f>COUNTIF(tblApprovals[opportunity_id],tblDealDeskAudit[[#This Row],[Opportunity ID]])</f>
        <v>0</v>
      </c>
      <c r="P1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4" spans="1:19">
      <c r="A14" s="20" t="s">
        <v>5697</v>
      </c>
      <c r="B14" s="21" t="s">
        <v>786</v>
      </c>
      <c r="C14" s="21" t="s">
        <v>5681</v>
      </c>
      <c r="D14" s="29">
        <v>9</v>
      </c>
      <c r="E14" s="24">
        <v>16380</v>
      </c>
      <c r="F14" s="21" t="s">
        <v>5665</v>
      </c>
      <c r="G14" s="21" t="s">
        <v>5666</v>
      </c>
      <c r="H14" s="21" t="b">
        <v>0</v>
      </c>
      <c r="I14" s="21" t="b">
        <v>0</v>
      </c>
      <c r="J14" s="29">
        <v>6</v>
      </c>
      <c r="K14" s="35" t="b">
        <v>0</v>
      </c>
      <c r="L14">
        <f>IF(COUNTIFS(tblAccounts[account_id],tblDealDeskAudit[[#This Row],[Account ID]],tblAccounts[employee_count],"")&gt;0,"",_xlfn.XLOOKUP(tblDealDeskAudit[[#This Row],[Account ID]],tblAccounts[account_id],tblAccounts[employee_count],""))</f>
        <v>68</v>
      </c>
      <c r="M1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">
        <f>COUNTIF(tblApprovals[opportunity_id],tblDealDeskAudit[[#This Row],[Opportunity ID]])</f>
        <v>0</v>
      </c>
      <c r="P1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5" spans="1:19">
      <c r="A15" s="22" t="s">
        <v>1713</v>
      </c>
      <c r="B15" s="23" t="s">
        <v>539</v>
      </c>
      <c r="C15" s="23" t="s">
        <v>5691</v>
      </c>
      <c r="D15" s="30">
        <v>23.7</v>
      </c>
      <c r="E15" s="25">
        <v>32046</v>
      </c>
      <c r="F15" s="23" t="s">
        <v>5665</v>
      </c>
      <c r="G15" s="23" t="s">
        <v>5666</v>
      </c>
      <c r="H15" s="23" t="b">
        <v>0</v>
      </c>
      <c r="I15" s="23" t="b">
        <v>0</v>
      </c>
      <c r="J15" s="30">
        <v>9.6999999999999993</v>
      </c>
      <c r="K15" s="36" t="b">
        <v>1</v>
      </c>
      <c r="L15">
        <f>IF(COUNTIFS(tblAccounts[account_id],tblDealDeskAudit[[#This Row],[Account ID]],tblAccounts[employee_count],"")&gt;0,"",_xlfn.XLOOKUP(tblDealDeskAudit[[#This Row],[Account ID]],tblAccounts[account_id],tblAccounts[employee_count],""))</f>
        <v>163</v>
      </c>
      <c r="M1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">
        <f>COUNTIF(tblApprovals[opportunity_id],tblDealDeskAudit[[#This Row],[Opportunity ID]])</f>
        <v>0</v>
      </c>
      <c r="P1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6" spans="1:19">
      <c r="A16" s="20" t="s">
        <v>1346</v>
      </c>
      <c r="B16" s="21" t="s">
        <v>282</v>
      </c>
      <c r="C16" s="21" t="s">
        <v>5675</v>
      </c>
      <c r="D16" s="29">
        <v>7.9</v>
      </c>
      <c r="E16" s="24">
        <v>62628</v>
      </c>
      <c r="F16" s="21" t="s">
        <v>5665</v>
      </c>
      <c r="G16" s="21" t="s">
        <v>5666</v>
      </c>
      <c r="H16" s="21" t="b">
        <v>0</v>
      </c>
      <c r="I16" s="21" t="b">
        <v>0</v>
      </c>
      <c r="J16" s="29">
        <v>11.5</v>
      </c>
      <c r="K16" s="35" t="b">
        <v>0</v>
      </c>
      <c r="L16">
        <f>IF(COUNTIFS(tblAccounts[account_id],tblDealDeskAudit[[#This Row],[Account ID]],tblAccounts[employee_count],"")&gt;0,"",_xlfn.XLOOKUP(tblDealDeskAudit[[#This Row],[Account ID]],tblAccounts[account_id],tblAccounts[employee_count],""))</f>
        <v>303</v>
      </c>
      <c r="M1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6">
        <f>COUNTIF(tblApprovals[opportunity_id],tblDealDeskAudit[[#This Row],[Opportunity ID]])</f>
        <v>0</v>
      </c>
      <c r="P1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7" spans="1:16">
      <c r="A17" s="22" t="s">
        <v>2098</v>
      </c>
      <c r="B17" s="23" t="s">
        <v>494</v>
      </c>
      <c r="C17" s="23" t="s">
        <v>5675</v>
      </c>
      <c r="D17" s="30">
        <v>3.7</v>
      </c>
      <c r="E17" s="25">
        <v>40446</v>
      </c>
      <c r="F17" s="23" t="s">
        <v>5688</v>
      </c>
      <c r="G17" s="23" t="s">
        <v>5666</v>
      </c>
      <c r="H17" s="23" t="b">
        <v>0</v>
      </c>
      <c r="I17" s="23" t="b">
        <v>0</v>
      </c>
      <c r="J17" s="30">
        <v>6.5</v>
      </c>
      <c r="K17" s="36" t="b">
        <v>1</v>
      </c>
      <c r="L17">
        <f>IF(COUNTIFS(tblAccounts[account_id],tblDealDeskAudit[[#This Row],[Account ID]],tblAccounts[employee_count],"")&gt;0,"",_xlfn.XLOOKUP(tblDealDeskAudit[[#This Row],[Account ID]],tblAccounts[account_id],tblAccounts[employee_count],""))</f>
        <v>349</v>
      </c>
      <c r="M1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7">
        <f>COUNTIF(tblApprovals[opportunity_id],tblDealDeskAudit[[#This Row],[Opportunity ID]])</f>
        <v>1</v>
      </c>
      <c r="P1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8" spans="1:16">
      <c r="A18" s="20" t="s">
        <v>5704</v>
      </c>
      <c r="B18" s="21" t="s">
        <v>279</v>
      </c>
      <c r="C18" s="21" t="s">
        <v>5663</v>
      </c>
      <c r="D18" s="29">
        <v>8.3000000000000007</v>
      </c>
      <c r="E18" s="24">
        <v>14672</v>
      </c>
      <c r="F18" s="21" t="s">
        <v>5665</v>
      </c>
      <c r="G18" s="21" t="s">
        <v>5666</v>
      </c>
      <c r="H18" s="21" t="b">
        <v>1</v>
      </c>
      <c r="I18" s="21" t="b">
        <v>0</v>
      </c>
      <c r="J18" s="29">
        <v>15.6</v>
      </c>
      <c r="K18" s="35" t="b">
        <v>1</v>
      </c>
      <c r="L18">
        <f>IF(COUNTIFS(tblAccounts[account_id],tblDealDeskAudit[[#This Row],[Account ID]],tblAccounts[employee_count],"")&gt;0,"",_xlfn.XLOOKUP(tblDealDeskAudit[[#This Row],[Account ID]],tblAccounts[account_id],tblAccounts[employee_count],""))</f>
        <v>93</v>
      </c>
      <c r="M1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8">
        <f>COUNTIF(tblApprovals[opportunity_id],tblDealDeskAudit[[#This Row],[Opportunity ID]])</f>
        <v>0</v>
      </c>
      <c r="P1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9" spans="1:16">
      <c r="A19" s="22" t="s">
        <v>5707</v>
      </c>
      <c r="B19" s="23" t="s">
        <v>476</v>
      </c>
      <c r="C19" s="23" t="s">
        <v>5663</v>
      </c>
      <c r="D19" s="30">
        <v>12.6</v>
      </c>
      <c r="E19" s="25">
        <v>17480</v>
      </c>
      <c r="F19" s="23" t="s">
        <v>5665</v>
      </c>
      <c r="G19" s="23" t="s">
        <v>5666</v>
      </c>
      <c r="H19" s="23" t="b">
        <v>0</v>
      </c>
      <c r="I19" s="23" t="b">
        <v>0</v>
      </c>
      <c r="J19" s="30">
        <v>17.8</v>
      </c>
      <c r="K19" s="36" t="b">
        <v>1</v>
      </c>
      <c r="L19">
        <f>IF(COUNTIFS(tblAccounts[account_id],tblDealDeskAudit[[#This Row],[Account ID]],tblAccounts[employee_count],"")&gt;0,"",_xlfn.XLOOKUP(tblDealDeskAudit[[#This Row],[Account ID]],tblAccounts[account_id],tblAccounts[employee_count],""))</f>
        <v>842</v>
      </c>
      <c r="M1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9">
        <f>COUNTIF(tblApprovals[opportunity_id],tblDealDeskAudit[[#This Row],[Opportunity ID]])</f>
        <v>1</v>
      </c>
      <c r="P1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0" spans="1:16">
      <c r="A20" s="20" t="s">
        <v>5710</v>
      </c>
      <c r="B20" s="21" t="s">
        <v>262</v>
      </c>
      <c r="C20" s="21" t="s">
        <v>5681</v>
      </c>
      <c r="D20" s="29">
        <v>5.5</v>
      </c>
      <c r="E20" s="24">
        <v>28350</v>
      </c>
      <c r="F20" s="21" t="s">
        <v>5665</v>
      </c>
      <c r="G20" s="21" t="s">
        <v>5666</v>
      </c>
      <c r="H20" s="21" t="b">
        <v>0</v>
      </c>
      <c r="I20" s="21" t="b">
        <v>0</v>
      </c>
      <c r="J20" s="29">
        <v>15.4</v>
      </c>
      <c r="K20" s="35" t="b">
        <v>0</v>
      </c>
      <c r="L20">
        <f>IF(COUNTIFS(tblAccounts[account_id],tblDealDeskAudit[[#This Row],[Account ID]],tblAccounts[employee_count],"")&gt;0,"",_xlfn.XLOOKUP(tblDealDeskAudit[[#This Row],[Account ID]],tblAccounts[account_id],tblAccounts[employee_count],""))</f>
        <v>873</v>
      </c>
      <c r="M2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0">
        <f>COUNTIF(tblApprovals[opportunity_id],tblDealDeskAudit[[#This Row],[Opportunity ID]])</f>
        <v>0</v>
      </c>
      <c r="P2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1" spans="1:16">
      <c r="A21" s="22" t="s">
        <v>5714</v>
      </c>
      <c r="B21" s="23" t="s">
        <v>723</v>
      </c>
      <c r="C21" s="23" t="s">
        <v>5663</v>
      </c>
      <c r="D21" s="30">
        <v>1.5</v>
      </c>
      <c r="E21" s="25">
        <v>86680</v>
      </c>
      <c r="F21" s="23" t="s">
        <v>5665</v>
      </c>
      <c r="G21" s="23" t="s">
        <v>5666</v>
      </c>
      <c r="H21" s="23" t="b">
        <v>0</v>
      </c>
      <c r="I21" s="23" t="b">
        <v>0</v>
      </c>
      <c r="J21" s="30">
        <v>6.2</v>
      </c>
      <c r="K21" s="36" t="b">
        <v>0</v>
      </c>
      <c r="L21">
        <f>IF(COUNTIFS(tblAccounts[account_id],tblDealDeskAudit[[#This Row],[Account ID]],tblAccounts[employee_count],"")&gt;0,"",_xlfn.XLOOKUP(tblDealDeskAudit[[#This Row],[Account ID]],tblAccounts[account_id],tblAccounts[employee_count],""))</f>
        <v>1910</v>
      </c>
      <c r="M2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1">
        <f>COUNTIF(tblApprovals[opportunity_id],tblDealDeskAudit[[#This Row],[Opportunity ID]])</f>
        <v>0</v>
      </c>
      <c r="P2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2" spans="1:16">
      <c r="A22" s="20" t="s">
        <v>5717</v>
      </c>
      <c r="B22" s="21" t="s">
        <v>276</v>
      </c>
      <c r="C22" s="21" t="s">
        <v>5663</v>
      </c>
      <c r="D22" s="29">
        <v>7.2</v>
      </c>
      <c r="E22" s="24">
        <v>11136</v>
      </c>
      <c r="F22" s="21" t="s">
        <v>5665</v>
      </c>
      <c r="G22" s="21" t="s">
        <v>5666</v>
      </c>
      <c r="H22" s="21" t="b">
        <v>0</v>
      </c>
      <c r="I22" s="21" t="b">
        <v>1</v>
      </c>
      <c r="J22" s="29">
        <v>0</v>
      </c>
      <c r="K22" s="35" t="b">
        <v>1</v>
      </c>
      <c r="L22">
        <f>IF(COUNTIFS(tblAccounts[account_id],tblDealDeskAudit[[#This Row],[Account ID]],tblAccounts[employee_count],"")&gt;0,"",_xlfn.XLOOKUP(tblDealDeskAudit[[#This Row],[Account ID]],tblAccounts[account_id],tblAccounts[employee_count],""))</f>
        <v>288</v>
      </c>
      <c r="M2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">
        <f>COUNTIF(tblApprovals[opportunity_id],tblDealDeskAudit[[#This Row],[Opportunity ID]])</f>
        <v>0</v>
      </c>
      <c r="P2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3" spans="1:16">
      <c r="A23" s="22" t="s">
        <v>2492</v>
      </c>
      <c r="B23" s="23" t="s">
        <v>100</v>
      </c>
      <c r="C23" s="23" t="s">
        <v>5675</v>
      </c>
      <c r="D23" s="30">
        <v>2.2000000000000002</v>
      </c>
      <c r="E23" s="25">
        <v>23472</v>
      </c>
      <c r="F23" s="23" t="s">
        <v>5665</v>
      </c>
      <c r="G23" s="23" t="s">
        <v>5666</v>
      </c>
      <c r="H23" s="23" t="b">
        <v>0</v>
      </c>
      <c r="I23" s="23" t="b">
        <v>1</v>
      </c>
      <c r="J23" s="30">
        <v>4.2</v>
      </c>
      <c r="K23" s="36" t="b">
        <v>1</v>
      </c>
      <c r="L23">
        <f>IF(COUNTIFS(tblAccounts[account_id],tblDealDeskAudit[[#This Row],[Account ID]],tblAccounts[employee_count],"")&gt;0,"",_xlfn.XLOOKUP(tblDealDeskAudit[[#This Row],[Account ID]],tblAccounts[account_id],tblAccounts[employee_count],""))</f>
        <v>74</v>
      </c>
      <c r="M2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3">
        <f>COUNTIF(tblApprovals[opportunity_id],tblDealDeskAudit[[#This Row],[Opportunity ID]])</f>
        <v>0</v>
      </c>
      <c r="P2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4" spans="1:16">
      <c r="A24" s="20" t="s">
        <v>5722</v>
      </c>
      <c r="B24" s="21" t="s">
        <v>645</v>
      </c>
      <c r="C24" s="21" t="s">
        <v>5725</v>
      </c>
      <c r="D24" s="29">
        <v>6.9</v>
      </c>
      <c r="E24" s="24">
        <v>18620</v>
      </c>
      <c r="F24" s="21" t="s">
        <v>5665</v>
      </c>
      <c r="G24" s="21" t="s">
        <v>5666</v>
      </c>
      <c r="H24" s="21" t="b">
        <v>0</v>
      </c>
      <c r="I24" s="21" t="b">
        <v>0</v>
      </c>
      <c r="J24" s="29">
        <v>4.2</v>
      </c>
      <c r="K24" s="35" t="b">
        <v>0</v>
      </c>
      <c r="L24">
        <f>IF(COUNTIFS(tblAccounts[account_id],tblDealDeskAudit[[#This Row],[Account ID]],tblAccounts[employee_count],"")&gt;0,"",_xlfn.XLOOKUP(tblDealDeskAudit[[#This Row],[Account ID]],tblAccounts[account_id],tblAccounts[employee_count],""))</f>
        <v>170</v>
      </c>
      <c r="M2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4">
        <f>COUNTIF(tblApprovals[opportunity_id],tblDealDeskAudit[[#This Row],[Opportunity ID]])</f>
        <v>0</v>
      </c>
      <c r="P2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5" spans="1:16">
      <c r="A25" s="22" t="s">
        <v>1930</v>
      </c>
      <c r="B25" s="23" t="s">
        <v>954</v>
      </c>
      <c r="C25" s="23" t="s">
        <v>5675</v>
      </c>
      <c r="D25" s="30">
        <v>8.4</v>
      </c>
      <c r="E25" s="25">
        <v>42136</v>
      </c>
      <c r="F25" s="23" t="s">
        <v>5665</v>
      </c>
      <c r="G25" s="23" t="s">
        <v>5666</v>
      </c>
      <c r="H25" s="23" t="b">
        <v>0</v>
      </c>
      <c r="I25" s="23" t="b">
        <v>0</v>
      </c>
      <c r="J25" s="30">
        <v>17.100000000000001</v>
      </c>
      <c r="K25" s="36" t="b">
        <v>0</v>
      </c>
      <c r="L25">
        <f>IF(COUNTIFS(tblAccounts[account_id],tblDealDeskAudit[[#This Row],[Account ID]],tblAccounts[employee_count],"")&gt;0,"",_xlfn.XLOOKUP(tblDealDeskAudit[[#This Row],[Account ID]],tblAccounts[account_id],tblAccounts[employee_count],""))</f>
        <v>510</v>
      </c>
      <c r="M2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5">
        <f>COUNTIF(tblApprovals[opportunity_id],tblDealDeskAudit[[#This Row],[Opportunity ID]])</f>
        <v>0</v>
      </c>
      <c r="P2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6" spans="1:16">
      <c r="A26" s="20" t="s">
        <v>1965</v>
      </c>
      <c r="B26" s="21" t="s">
        <v>488</v>
      </c>
      <c r="C26" s="21" t="s">
        <v>5663</v>
      </c>
      <c r="D26" s="29">
        <v>4.5</v>
      </c>
      <c r="E26" s="24">
        <v>84040</v>
      </c>
      <c r="F26" s="21" t="s">
        <v>5665</v>
      </c>
      <c r="G26" s="21" t="s">
        <v>5666</v>
      </c>
      <c r="H26" s="21" t="b">
        <v>0</v>
      </c>
      <c r="I26" s="21" t="b">
        <v>0</v>
      </c>
      <c r="J26" s="29">
        <v>24.8</v>
      </c>
      <c r="K26" s="35" t="b">
        <v>1</v>
      </c>
      <c r="L26">
        <f>IF(COUNTIFS(tblAccounts[account_id],tblDealDeskAudit[[#This Row],[Account ID]],tblAccounts[employee_count],"")&gt;0,"",_xlfn.XLOOKUP(tblDealDeskAudit[[#This Row],[Account ID]],tblAccounts[account_id],tblAccounts[employee_count],""))</f>
        <v>1642</v>
      </c>
      <c r="M2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6">
        <f>COUNTIF(tblApprovals[opportunity_id],tblDealDeskAudit[[#This Row],[Opportunity ID]])</f>
        <v>1</v>
      </c>
      <c r="P2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7" spans="1:16">
      <c r="A27" s="22" t="s">
        <v>2027</v>
      </c>
      <c r="B27" s="23" t="s">
        <v>832</v>
      </c>
      <c r="C27" s="23" t="s">
        <v>5663</v>
      </c>
      <c r="D27" s="30">
        <v>18.2</v>
      </c>
      <c r="E27" s="25">
        <v>55624</v>
      </c>
      <c r="F27" s="23" t="s">
        <v>5677</v>
      </c>
      <c r="G27" s="23" t="s">
        <v>5666</v>
      </c>
      <c r="H27" s="23" t="b">
        <v>0</v>
      </c>
      <c r="I27" s="23" t="b">
        <v>0</v>
      </c>
      <c r="J27" s="30">
        <v>3.3</v>
      </c>
      <c r="K27" s="36" t="b">
        <v>1</v>
      </c>
      <c r="L27">
        <f>IF(COUNTIFS(tblAccounts[account_id],tblDealDeskAudit[[#This Row],[Account ID]],tblAccounts[employee_count],"")&gt;0,"",_xlfn.XLOOKUP(tblDealDeskAudit[[#This Row],[Account ID]],tblAccounts[account_id],tblAccounts[employee_count],""))</f>
        <v>895</v>
      </c>
      <c r="M2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7">
        <f>COUNTIF(tblApprovals[opportunity_id],tblDealDeskAudit[[#This Row],[Opportunity ID]])</f>
        <v>2</v>
      </c>
      <c r="P2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8" spans="1:16">
      <c r="A28" s="20" t="s">
        <v>2018</v>
      </c>
      <c r="B28" s="21" t="s">
        <v>589</v>
      </c>
      <c r="C28" s="21" t="s">
        <v>5691</v>
      </c>
      <c r="D28" s="29">
        <v>23.9</v>
      </c>
      <c r="E28" s="24">
        <v>21308</v>
      </c>
      <c r="F28" s="21" t="s">
        <v>5665</v>
      </c>
      <c r="G28" s="21" t="s">
        <v>5693</v>
      </c>
      <c r="H28" s="21" t="b">
        <v>0</v>
      </c>
      <c r="I28" s="21" t="b">
        <v>0</v>
      </c>
      <c r="J28" s="29">
        <v>1</v>
      </c>
      <c r="K28" s="35" t="b">
        <v>1</v>
      </c>
      <c r="L28">
        <f>IF(COUNTIFS(tblAccounts[account_id],tblDealDeskAudit[[#This Row],[Account ID]],tblAccounts[employee_count],"")&gt;0,"",_xlfn.XLOOKUP(tblDealDeskAudit[[#This Row],[Account ID]],tblAccounts[account_id],tblAccounts[employee_count],""))</f>
        <v>113</v>
      </c>
      <c r="M2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">
        <f>COUNTIF(tblApprovals[opportunity_id],tblDealDeskAudit[[#This Row],[Opportunity ID]])</f>
        <v>1</v>
      </c>
      <c r="P2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9" spans="1:16">
      <c r="A29" s="22" t="s">
        <v>5732</v>
      </c>
      <c r="B29" s="23" t="s">
        <v>419</v>
      </c>
      <c r="C29" s="23" t="s">
        <v>5663</v>
      </c>
      <c r="D29" s="30">
        <v>1.9</v>
      </c>
      <c r="E29" s="25">
        <v>17658</v>
      </c>
      <c r="F29" s="23" t="s">
        <v>5735</v>
      </c>
      <c r="G29" s="23" t="s">
        <v>5666</v>
      </c>
      <c r="H29" s="23" t="b">
        <v>0</v>
      </c>
      <c r="I29" s="23" t="b">
        <v>1</v>
      </c>
      <c r="J29" s="30">
        <v>0</v>
      </c>
      <c r="K29" s="36" t="b">
        <v>1</v>
      </c>
      <c r="L29">
        <f>IF(COUNTIFS(tblAccounts[account_id],tblDealDeskAudit[[#This Row],[Account ID]],tblAccounts[employee_count],"")&gt;0,"",_xlfn.XLOOKUP(tblDealDeskAudit[[#This Row],[Account ID]],tblAccounts[account_id],tblAccounts[employee_count],""))</f>
        <v>485</v>
      </c>
      <c r="M2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">
        <f>COUNTIF(tblApprovals[opportunity_id],tblDealDeskAudit[[#This Row],[Opportunity ID]])</f>
        <v>2</v>
      </c>
      <c r="P2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0" spans="1:16">
      <c r="A30" s="20" t="s">
        <v>2110</v>
      </c>
      <c r="B30" s="21" t="s">
        <v>600</v>
      </c>
      <c r="C30" s="21" t="s">
        <v>5691</v>
      </c>
      <c r="D30" s="29">
        <v>23.7</v>
      </c>
      <c r="E30" s="24">
        <v>18312</v>
      </c>
      <c r="F30" s="21" t="s">
        <v>5665</v>
      </c>
      <c r="G30" s="21" t="s">
        <v>5666</v>
      </c>
      <c r="H30" s="21" t="b">
        <v>0</v>
      </c>
      <c r="I30" s="21" t="b">
        <v>0</v>
      </c>
      <c r="J30" s="29">
        <v>21.1</v>
      </c>
      <c r="K30" s="35" t="b">
        <v>1</v>
      </c>
      <c r="L30">
        <f>IF(COUNTIFS(tblAccounts[account_id],tblDealDeskAudit[[#This Row],[Account ID]],tblAccounts[employee_count],"")&gt;0,"",_xlfn.XLOOKUP(tblDealDeskAudit[[#This Row],[Account ID]],tblAccounts[account_id],tblAccounts[employee_count],""))</f>
        <v>129</v>
      </c>
      <c r="M3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0">
        <f>COUNTIF(tblApprovals[opportunity_id],tblDealDeskAudit[[#This Row],[Opportunity ID]])</f>
        <v>0</v>
      </c>
      <c r="P3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1" spans="1:16">
      <c r="A31" s="22" t="s">
        <v>5737</v>
      </c>
      <c r="B31" s="23" t="s">
        <v>620</v>
      </c>
      <c r="C31" s="23" t="s">
        <v>5740</v>
      </c>
      <c r="D31" s="30">
        <v>9.1</v>
      </c>
      <c r="E31" s="25">
        <v>16362</v>
      </c>
      <c r="F31" s="23" t="s">
        <v>5665</v>
      </c>
      <c r="G31" s="23" t="s">
        <v>5693</v>
      </c>
      <c r="H31" s="23" t="b">
        <v>0</v>
      </c>
      <c r="I31" s="23" t="b">
        <v>0</v>
      </c>
      <c r="J31" s="30">
        <v>0</v>
      </c>
      <c r="K31" s="36" t="b">
        <v>1</v>
      </c>
      <c r="L31">
        <f>IF(COUNTIFS(tblAccounts[account_id],tblDealDeskAudit[[#This Row],[Account ID]],tblAccounts[employee_count],"")&gt;0,"",_xlfn.XLOOKUP(tblDealDeskAudit[[#This Row],[Account ID]],tblAccounts[account_id],tblAccounts[employee_count],""))</f>
        <v>130</v>
      </c>
      <c r="M3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1">
        <f>COUNTIF(tblApprovals[opportunity_id],tblDealDeskAudit[[#This Row],[Opportunity ID]])</f>
        <v>0</v>
      </c>
      <c r="P3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" spans="1:16">
      <c r="A32" s="20" t="s">
        <v>5742</v>
      </c>
      <c r="B32" s="21" t="s">
        <v>626</v>
      </c>
      <c r="C32" s="21" t="s">
        <v>5663</v>
      </c>
      <c r="D32" s="29">
        <v>0.6</v>
      </c>
      <c r="E32" s="24">
        <v>37772</v>
      </c>
      <c r="F32" s="21" t="s">
        <v>5735</v>
      </c>
      <c r="G32" s="21" t="s">
        <v>5666</v>
      </c>
      <c r="H32" s="21" t="b">
        <v>0</v>
      </c>
      <c r="I32" s="21" t="b">
        <v>0</v>
      </c>
      <c r="J32" s="29">
        <v>7.9</v>
      </c>
      <c r="K32" s="35" t="b">
        <v>1</v>
      </c>
      <c r="L32">
        <f>IF(COUNTIFS(tblAccounts[account_id],tblDealDeskAudit[[#This Row],[Account ID]],tblAccounts[employee_count],"")&gt;0,"",_xlfn.XLOOKUP(tblDealDeskAudit[[#This Row],[Account ID]],tblAccounts[account_id],tblAccounts[employee_count],""))</f>
        <v>516</v>
      </c>
      <c r="M3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2">
        <f>COUNTIF(tblApprovals[opportunity_id],tblDealDeskAudit[[#This Row],[Opportunity ID]])</f>
        <v>0</v>
      </c>
      <c r="P3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3" spans="1:16">
      <c r="A33" s="22" t="s">
        <v>5745</v>
      </c>
      <c r="B33" s="23" t="s">
        <v>645</v>
      </c>
      <c r="C33" s="23" t="s">
        <v>5681</v>
      </c>
      <c r="D33" s="30">
        <v>15.7</v>
      </c>
      <c r="E33" s="25">
        <v>25290</v>
      </c>
      <c r="F33" s="23" t="s">
        <v>5735</v>
      </c>
      <c r="G33" s="23" t="s">
        <v>5666</v>
      </c>
      <c r="H33" s="23" t="b">
        <v>0</v>
      </c>
      <c r="I33" s="23" t="b">
        <v>0</v>
      </c>
      <c r="J33" s="30">
        <v>6.2</v>
      </c>
      <c r="K33" s="36" t="b">
        <v>1</v>
      </c>
      <c r="L33">
        <f>IF(COUNTIFS(tblAccounts[account_id],tblDealDeskAudit[[#This Row],[Account ID]],tblAccounts[employee_count],"")&gt;0,"",_xlfn.XLOOKUP(tblDealDeskAudit[[#This Row],[Account ID]],tblAccounts[account_id],tblAccounts[employee_count],""))</f>
        <v>170</v>
      </c>
      <c r="M3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3">
        <f>COUNTIF(tblApprovals[opportunity_id],tblDealDeskAudit[[#This Row],[Opportunity ID]])</f>
        <v>1</v>
      </c>
      <c r="P3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4" spans="1:16">
      <c r="A34" s="20" t="s">
        <v>5746</v>
      </c>
      <c r="B34" s="21" t="s">
        <v>909</v>
      </c>
      <c r="C34" s="21" t="s">
        <v>5740</v>
      </c>
      <c r="D34" s="29">
        <v>1.7</v>
      </c>
      <c r="E34" s="24">
        <v>29490</v>
      </c>
      <c r="F34" s="21" t="s">
        <v>5665</v>
      </c>
      <c r="G34" s="21" t="s">
        <v>5666</v>
      </c>
      <c r="H34" s="21" t="b">
        <v>0</v>
      </c>
      <c r="I34" s="21" t="b">
        <v>0</v>
      </c>
      <c r="J34" s="29">
        <v>15.9</v>
      </c>
      <c r="K34" s="35" t="b">
        <v>0</v>
      </c>
      <c r="L34">
        <f>IF(COUNTIFS(tblAccounts[account_id],tblDealDeskAudit[[#This Row],[Account ID]],tblAccounts[employee_count],"")&gt;0,"",_xlfn.XLOOKUP(tblDealDeskAudit[[#This Row],[Account ID]],tblAccounts[account_id],tblAccounts[employee_count],""))</f>
        <v>34</v>
      </c>
      <c r="M3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">
        <f>COUNTIF(tblApprovals[opportunity_id],tblDealDeskAudit[[#This Row],[Opportunity ID]])</f>
        <v>0</v>
      </c>
      <c r="P3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" spans="1:16">
      <c r="A35" s="22" t="s">
        <v>5750</v>
      </c>
      <c r="B35" s="23" t="s">
        <v>314</v>
      </c>
      <c r="C35" s="23" t="s">
        <v>5725</v>
      </c>
      <c r="D35" s="30">
        <v>32.6</v>
      </c>
      <c r="E35" s="25">
        <v>8088</v>
      </c>
      <c r="F35" s="23" t="s">
        <v>5665</v>
      </c>
      <c r="G35" s="23" t="s">
        <v>5666</v>
      </c>
      <c r="H35" s="23" t="b">
        <v>0</v>
      </c>
      <c r="I35" s="23" t="b">
        <v>0</v>
      </c>
      <c r="J35" s="30">
        <v>0</v>
      </c>
      <c r="K35" s="36" t="b">
        <v>1</v>
      </c>
      <c r="L35">
        <f>IF(COUNTIFS(tblAccounts[account_id],tblDealDeskAudit[[#This Row],[Account ID]],tblAccounts[employee_count],"")&gt;0,"",_xlfn.XLOOKUP(tblDealDeskAudit[[#This Row],[Account ID]],tblAccounts[account_id],tblAccounts[employee_count],""))</f>
        <v>663</v>
      </c>
      <c r="M3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5">
        <f>COUNTIF(tblApprovals[opportunity_id],tblDealDeskAudit[[#This Row],[Opportunity ID]])</f>
        <v>1</v>
      </c>
      <c r="P3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6" spans="1:16">
      <c r="A36" s="20" t="s">
        <v>5754</v>
      </c>
      <c r="B36" s="21" t="s">
        <v>786</v>
      </c>
      <c r="C36" s="21" t="s">
        <v>5681</v>
      </c>
      <c r="D36" s="29">
        <v>6.9</v>
      </c>
      <c r="E36" s="24">
        <v>22344</v>
      </c>
      <c r="F36" s="21" t="s">
        <v>5665</v>
      </c>
      <c r="G36" s="21" t="s">
        <v>5666</v>
      </c>
      <c r="H36" s="21" t="b">
        <v>0</v>
      </c>
      <c r="I36" s="21" t="b">
        <v>0</v>
      </c>
      <c r="J36" s="29">
        <v>0.2</v>
      </c>
      <c r="K36" s="35" t="b">
        <v>0</v>
      </c>
      <c r="L36">
        <f>IF(COUNTIFS(tblAccounts[account_id],tblDealDeskAudit[[#This Row],[Account ID]],tblAccounts[employee_count],"")&gt;0,"",_xlfn.XLOOKUP(tblDealDeskAudit[[#This Row],[Account ID]],tblAccounts[account_id],tblAccounts[employee_count],""))</f>
        <v>68</v>
      </c>
      <c r="M3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6">
        <f>COUNTIF(tblApprovals[opportunity_id],tblDealDeskAudit[[#This Row],[Opportunity ID]])</f>
        <v>0</v>
      </c>
      <c r="P3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" spans="1:16">
      <c r="A37" s="22" t="s">
        <v>5755</v>
      </c>
      <c r="B37" s="23" t="s">
        <v>843</v>
      </c>
      <c r="C37" s="23" t="s">
        <v>5663</v>
      </c>
      <c r="D37" s="30">
        <v>8.1999999999999993</v>
      </c>
      <c r="E37" s="25">
        <v>29376</v>
      </c>
      <c r="F37" s="23" t="s">
        <v>5665</v>
      </c>
      <c r="G37" s="23" t="s">
        <v>5666</v>
      </c>
      <c r="H37" s="23" t="b">
        <v>0</v>
      </c>
      <c r="I37" s="23" t="b">
        <v>0</v>
      </c>
      <c r="J37" s="30">
        <v>0</v>
      </c>
      <c r="K37" s="36" t="b">
        <v>0</v>
      </c>
      <c r="L37">
        <f>IF(COUNTIFS(tblAccounts[account_id],tblDealDeskAudit[[#This Row],[Account ID]],tblAccounts[employee_count],"")&gt;0,"",_xlfn.XLOOKUP(tblDealDeskAudit[[#This Row],[Account ID]],tblAccounts[account_id],tblAccounts[employee_count],""))</f>
        <v>308</v>
      </c>
      <c r="M3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7">
        <f>COUNTIF(tblApprovals[opportunity_id],tblDealDeskAudit[[#This Row],[Opportunity ID]])</f>
        <v>0</v>
      </c>
      <c r="P3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8" spans="1:16">
      <c r="A38" s="20" t="s">
        <v>2326</v>
      </c>
      <c r="B38" s="21" t="s">
        <v>26</v>
      </c>
      <c r="C38" s="21" t="s">
        <v>5675</v>
      </c>
      <c r="D38" s="29">
        <v>23.8</v>
      </c>
      <c r="E38" s="24">
        <v>33528</v>
      </c>
      <c r="F38" s="21" t="s">
        <v>5688</v>
      </c>
      <c r="G38" s="21" t="s">
        <v>5666</v>
      </c>
      <c r="H38" s="21" t="b">
        <v>0</v>
      </c>
      <c r="I38" s="21" t="b">
        <v>1</v>
      </c>
      <c r="J38" s="29">
        <v>6.6</v>
      </c>
      <c r="K38" s="35" t="b">
        <v>1</v>
      </c>
      <c r="L38">
        <f>IF(COUNTIFS(tblAccounts[account_id],tblDealDeskAudit[[#This Row],[Account ID]],tblAccounts[employee_count],"")&gt;0,"",_xlfn.XLOOKUP(tblDealDeskAudit[[#This Row],[Account ID]],tblAccounts[account_id],tblAccounts[employee_count],""))</f>
        <v>542</v>
      </c>
      <c r="M3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">
        <f>COUNTIF(tblApprovals[opportunity_id],tblDealDeskAudit[[#This Row],[Opportunity ID]])</f>
        <v>3</v>
      </c>
      <c r="P3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9" spans="1:16">
      <c r="A39" s="22" t="s">
        <v>5759</v>
      </c>
      <c r="B39" s="23" t="s">
        <v>382</v>
      </c>
      <c r="C39" s="23" t="s">
        <v>5663</v>
      </c>
      <c r="D39" s="30">
        <v>5.6</v>
      </c>
      <c r="E39" s="25">
        <v>26432</v>
      </c>
      <c r="F39" s="23" t="s">
        <v>5665</v>
      </c>
      <c r="G39" s="23" t="s">
        <v>5666</v>
      </c>
      <c r="H39" s="23" t="b">
        <v>0</v>
      </c>
      <c r="I39" s="23" t="b">
        <v>0</v>
      </c>
      <c r="J39" s="30">
        <v>0</v>
      </c>
      <c r="K39" s="36" t="b">
        <v>0</v>
      </c>
      <c r="L39">
        <f>IF(COUNTIFS(tblAccounts[account_id],tblDealDeskAudit[[#This Row],[Account ID]],tblAccounts[employee_count],"")&gt;0,"",_xlfn.XLOOKUP(tblDealDeskAudit[[#This Row],[Account ID]],tblAccounts[account_id],tblAccounts[employee_count],""))</f>
        <v>609</v>
      </c>
      <c r="M3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">
        <f>COUNTIF(tblApprovals[opportunity_id],tblDealDeskAudit[[#This Row],[Opportunity ID]])</f>
        <v>0</v>
      </c>
      <c r="P3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0" spans="1:16">
      <c r="A40" s="20" t="s">
        <v>5762</v>
      </c>
      <c r="B40" s="21" t="s">
        <v>739</v>
      </c>
      <c r="C40" s="21" t="s">
        <v>5663</v>
      </c>
      <c r="D40" s="29">
        <v>6.4</v>
      </c>
      <c r="E40" s="24">
        <v>86112</v>
      </c>
      <c r="F40" s="21" t="s">
        <v>5665</v>
      </c>
      <c r="G40" s="21" t="s">
        <v>5666</v>
      </c>
      <c r="H40" s="21" t="b">
        <v>0</v>
      </c>
      <c r="I40" s="21" t="b">
        <v>0</v>
      </c>
      <c r="J40" s="29">
        <v>2.7</v>
      </c>
      <c r="K40" s="35" t="b">
        <v>0</v>
      </c>
      <c r="L40">
        <f>IF(COUNTIFS(tblAccounts[account_id],tblDealDeskAudit[[#This Row],[Account ID]],tblAccounts[employee_count],"")&gt;0,"",_xlfn.XLOOKUP(tblDealDeskAudit[[#This Row],[Account ID]],tblAccounts[account_id],tblAccounts[employee_count],""))</f>
        <v>2214</v>
      </c>
      <c r="M4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0">
        <f>COUNTIF(tblApprovals[opportunity_id],tblDealDeskAudit[[#This Row],[Opportunity ID]])</f>
        <v>0</v>
      </c>
      <c r="P4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1" spans="1:16">
      <c r="A41" s="22" t="s">
        <v>5764</v>
      </c>
      <c r="B41" s="23" t="s">
        <v>158</v>
      </c>
      <c r="C41" s="23" t="s">
        <v>5686</v>
      </c>
      <c r="D41" s="30">
        <v>12.3</v>
      </c>
      <c r="E41" s="25">
        <v>10524</v>
      </c>
      <c r="F41" s="23" t="s">
        <v>5665</v>
      </c>
      <c r="G41" s="23" t="s">
        <v>5666</v>
      </c>
      <c r="H41" s="23" t="b">
        <v>0</v>
      </c>
      <c r="I41" s="23" t="b">
        <v>0</v>
      </c>
      <c r="J41" s="30">
        <v>7.3</v>
      </c>
      <c r="K41" s="36" t="b">
        <v>1</v>
      </c>
      <c r="L41">
        <f>IF(COUNTIFS(tblAccounts[account_id],tblDealDeskAudit[[#This Row],[Account ID]],tblAccounts[employee_count],"")&gt;0,"",_xlfn.XLOOKUP(tblDealDeskAudit[[#This Row],[Account ID]],tblAccounts[account_id],tblAccounts[employee_count],""))</f>
        <v>97</v>
      </c>
      <c r="M4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1">
        <f>COUNTIF(tblApprovals[opportunity_id],tblDealDeskAudit[[#This Row],[Opportunity ID]])</f>
        <v>0</v>
      </c>
      <c r="P4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2" spans="1:16">
      <c r="A42" s="20" t="s">
        <v>2369</v>
      </c>
      <c r="B42" s="21" t="s">
        <v>715</v>
      </c>
      <c r="C42" s="21" t="s">
        <v>5675</v>
      </c>
      <c r="D42" s="29">
        <v>29.1</v>
      </c>
      <c r="E42" s="24">
        <v>26942</v>
      </c>
      <c r="F42" s="21" t="s">
        <v>5665</v>
      </c>
      <c r="G42" s="21" t="s">
        <v>5666</v>
      </c>
      <c r="H42" s="21" t="b">
        <v>0</v>
      </c>
      <c r="I42" s="21" t="b">
        <v>0</v>
      </c>
      <c r="J42" s="29">
        <v>8.1999999999999993</v>
      </c>
      <c r="K42" s="35" t="b">
        <v>1</v>
      </c>
      <c r="L42">
        <f>IF(COUNTIFS(tblAccounts[account_id],tblDealDeskAudit[[#This Row],[Account ID]],tblAccounts[employee_count],"")&gt;0,"",_xlfn.XLOOKUP(tblDealDeskAudit[[#This Row],[Account ID]],tblAccounts[account_id],tblAccounts[employee_count],""))</f>
        <v>370</v>
      </c>
      <c r="M4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2">
        <f>COUNTIF(tblApprovals[opportunity_id],tblDealDeskAudit[[#This Row],[Opportunity ID]])</f>
        <v>1</v>
      </c>
      <c r="P4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43" spans="1:16">
      <c r="A43" s="22" t="s">
        <v>5770</v>
      </c>
      <c r="B43" s="23" t="s">
        <v>834</v>
      </c>
      <c r="C43" s="23" t="s">
        <v>5663</v>
      </c>
      <c r="D43" s="30">
        <v>3.7</v>
      </c>
      <c r="E43" s="25">
        <v>57780</v>
      </c>
      <c r="F43" s="23" t="s">
        <v>5665</v>
      </c>
      <c r="G43" s="23" t="s">
        <v>5666</v>
      </c>
      <c r="H43" s="23" t="b">
        <v>0</v>
      </c>
      <c r="I43" s="23" t="b">
        <v>0</v>
      </c>
      <c r="J43" s="30">
        <v>16.3</v>
      </c>
      <c r="K43" s="36" t="b">
        <v>0</v>
      </c>
      <c r="L43">
        <f>IF(COUNTIFS(tblAccounts[account_id],tblDealDeskAudit[[#This Row],[Account ID]],tblAccounts[employee_count],"")&gt;0,"",_xlfn.XLOOKUP(tblDealDeskAudit[[#This Row],[Account ID]],tblAccounts[account_id],tblAccounts[employee_count],""))</f>
        <v>711</v>
      </c>
      <c r="M4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3">
        <f>COUNTIF(tblApprovals[opportunity_id],tblDealDeskAudit[[#This Row],[Opportunity ID]])</f>
        <v>0</v>
      </c>
      <c r="P4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4" spans="1:16">
      <c r="A44" s="20" t="s">
        <v>5772</v>
      </c>
      <c r="B44" s="21" t="s">
        <v>954</v>
      </c>
      <c r="C44" s="21" t="s">
        <v>5669</v>
      </c>
      <c r="D44" s="29">
        <v>7.9</v>
      </c>
      <c r="E44" s="24">
        <v>31314</v>
      </c>
      <c r="F44" s="21" t="s">
        <v>5665</v>
      </c>
      <c r="G44" s="21" t="s">
        <v>5666</v>
      </c>
      <c r="H44" s="21" t="b">
        <v>0</v>
      </c>
      <c r="I44" s="21" t="b">
        <v>0</v>
      </c>
      <c r="J44" s="29">
        <v>23.6</v>
      </c>
      <c r="K44" s="35" t="b">
        <v>1</v>
      </c>
      <c r="L44">
        <f>IF(COUNTIFS(tblAccounts[account_id],tblDealDeskAudit[[#This Row],[Account ID]],tblAccounts[employee_count],"")&gt;0,"",_xlfn.XLOOKUP(tblDealDeskAudit[[#This Row],[Account ID]],tblAccounts[account_id],tblAccounts[employee_count],""))</f>
        <v>510</v>
      </c>
      <c r="M4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4">
        <f>COUNTIF(tblApprovals[opportunity_id],tblDealDeskAudit[[#This Row],[Opportunity ID]])</f>
        <v>1</v>
      </c>
      <c r="P4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5" spans="1:16">
      <c r="A45" s="22" t="s">
        <v>2168</v>
      </c>
      <c r="B45" s="23" t="s">
        <v>918</v>
      </c>
      <c r="C45" s="23" t="s">
        <v>5663</v>
      </c>
      <c r="D45" s="30">
        <v>3.3</v>
      </c>
      <c r="E45" s="25">
        <v>83162</v>
      </c>
      <c r="F45" s="23" t="s">
        <v>5665</v>
      </c>
      <c r="G45" s="23" t="s">
        <v>5666</v>
      </c>
      <c r="H45" s="23" t="b">
        <v>0</v>
      </c>
      <c r="I45" s="23" t="b">
        <v>0</v>
      </c>
      <c r="J45" s="30">
        <v>10.5</v>
      </c>
      <c r="K45" s="36" t="b">
        <v>0</v>
      </c>
      <c r="L45">
        <f>IF(COUNTIFS(tblAccounts[account_id],tblDealDeskAudit[[#This Row],[Account ID]],tblAccounts[employee_count],"")&gt;0,"",_xlfn.XLOOKUP(tblDealDeskAudit[[#This Row],[Account ID]],tblAccounts[account_id],tblAccounts[employee_count],""))</f>
        <v>1561</v>
      </c>
      <c r="M4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5">
        <f>COUNTIF(tblApprovals[opportunity_id],tblDealDeskAudit[[#This Row],[Opportunity ID]])</f>
        <v>0</v>
      </c>
      <c r="P4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6" spans="1:16">
      <c r="A46" s="20" t="s">
        <v>2069</v>
      </c>
      <c r="B46" s="21" t="s">
        <v>774</v>
      </c>
      <c r="C46" s="21" t="s">
        <v>5725</v>
      </c>
      <c r="D46" s="29">
        <v>19</v>
      </c>
      <c r="E46" s="24">
        <v>29160</v>
      </c>
      <c r="F46" s="21" t="s">
        <v>5665</v>
      </c>
      <c r="G46" s="21" t="s">
        <v>5666</v>
      </c>
      <c r="H46" s="21" t="b">
        <v>0</v>
      </c>
      <c r="I46" s="21" t="b">
        <v>1</v>
      </c>
      <c r="J46" s="29">
        <v>3.4</v>
      </c>
      <c r="K46" s="35" t="b">
        <v>1</v>
      </c>
      <c r="L46">
        <f>IF(COUNTIFS(tblAccounts[account_id],tblDealDeskAudit[[#This Row],[Account ID]],tblAccounts[employee_count],"")&gt;0,"",_xlfn.XLOOKUP(tblDealDeskAudit[[#This Row],[Account ID]],tblAccounts[account_id],tblAccounts[employee_count],""))</f>
        <v>283</v>
      </c>
      <c r="M4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6">
        <f>COUNTIF(tblApprovals[opportunity_id],tblDealDeskAudit[[#This Row],[Opportunity ID]])</f>
        <v>0</v>
      </c>
      <c r="P4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7" spans="1:16">
      <c r="A47" s="22" t="s">
        <v>5778</v>
      </c>
      <c r="B47" s="23" t="s">
        <v>780</v>
      </c>
      <c r="C47" s="23" t="s">
        <v>5663</v>
      </c>
      <c r="D47" s="30">
        <v>2.2000000000000002</v>
      </c>
      <c r="E47" s="25">
        <v>41076</v>
      </c>
      <c r="F47" s="23" t="s">
        <v>5665</v>
      </c>
      <c r="G47" s="23" t="s">
        <v>5780</v>
      </c>
      <c r="H47" s="23" t="b">
        <v>0</v>
      </c>
      <c r="I47" s="23" t="b">
        <v>0</v>
      </c>
      <c r="J47" s="30">
        <v>15.6</v>
      </c>
      <c r="K47" s="36" t="b">
        <v>1</v>
      </c>
      <c r="L47">
        <f>IF(COUNTIFS(tblAccounts[account_id],tblDealDeskAudit[[#This Row],[Account ID]],tblAccounts[employee_count],"")&gt;0,"",_xlfn.XLOOKUP(tblDealDeskAudit[[#This Row],[Account ID]],tblAccounts[account_id],tblAccounts[employee_count],""))</f>
        <v>398</v>
      </c>
      <c r="M4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7">
        <f>COUNTIF(tblApprovals[opportunity_id],tblDealDeskAudit[[#This Row],[Opportunity ID]])</f>
        <v>0</v>
      </c>
      <c r="P4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8" spans="1:16">
      <c r="A48" s="20" t="s">
        <v>2373</v>
      </c>
      <c r="B48" s="21" t="s">
        <v>360</v>
      </c>
      <c r="C48" s="21" t="s">
        <v>5675</v>
      </c>
      <c r="D48" s="29">
        <v>0.8</v>
      </c>
      <c r="E48" s="24">
        <v>11904</v>
      </c>
      <c r="F48" s="21" t="s">
        <v>5665</v>
      </c>
      <c r="G48" s="21" t="s">
        <v>5666</v>
      </c>
      <c r="H48" s="21" t="b">
        <v>0</v>
      </c>
      <c r="I48" s="21" t="b">
        <v>0</v>
      </c>
      <c r="J48" s="29">
        <v>19.2</v>
      </c>
      <c r="K48" s="35" t="b">
        <v>0</v>
      </c>
      <c r="L48">
        <f>IF(COUNTIFS(tblAccounts[account_id],tblDealDeskAudit[[#This Row],[Account ID]],tblAccounts[employee_count],"")&gt;0,"",_xlfn.XLOOKUP(tblDealDeskAudit[[#This Row],[Account ID]],tblAccounts[account_id],tblAccounts[employee_count],""))</f>
        <v>87</v>
      </c>
      <c r="M4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8">
        <f>COUNTIF(tblApprovals[opportunity_id],tblDealDeskAudit[[#This Row],[Opportunity ID]])</f>
        <v>0</v>
      </c>
      <c r="P4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9" spans="1:16">
      <c r="A49" s="22" t="s">
        <v>2281</v>
      </c>
      <c r="B49" s="23" t="s">
        <v>557</v>
      </c>
      <c r="C49" s="23" t="s">
        <v>5675</v>
      </c>
      <c r="D49" s="30">
        <v>0.5</v>
      </c>
      <c r="E49" s="25">
        <v>37810</v>
      </c>
      <c r="F49" s="23" t="s">
        <v>5665</v>
      </c>
      <c r="G49" s="23" t="s">
        <v>5666</v>
      </c>
      <c r="H49" s="23" t="b">
        <v>0</v>
      </c>
      <c r="I49" s="23" t="b">
        <v>0</v>
      </c>
      <c r="J49" s="30">
        <v>6.5</v>
      </c>
      <c r="K49" s="36" t="b">
        <v>0</v>
      </c>
      <c r="L49">
        <f>IF(COUNTIFS(tblAccounts[account_id],tblDealDeskAudit[[#This Row],[Account ID]],tblAccounts[employee_count],"")&gt;0,"",_xlfn.XLOOKUP(tblDealDeskAudit[[#This Row],[Account ID]],tblAccounts[account_id],tblAccounts[employee_count],""))</f>
        <v>105</v>
      </c>
      <c r="M4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9">
        <f>COUNTIF(tblApprovals[opportunity_id],tblDealDeskAudit[[#This Row],[Opportunity ID]])</f>
        <v>0</v>
      </c>
      <c r="P4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50" spans="1:16">
      <c r="A50" s="20" t="s">
        <v>2031</v>
      </c>
      <c r="B50" s="21" t="s">
        <v>867</v>
      </c>
      <c r="C50" s="21" t="s">
        <v>5675</v>
      </c>
      <c r="D50" s="29">
        <v>0.7</v>
      </c>
      <c r="E50" s="24">
        <v>33762</v>
      </c>
      <c r="F50" s="21" t="s">
        <v>5688</v>
      </c>
      <c r="G50" s="21" t="s">
        <v>5666</v>
      </c>
      <c r="H50" s="21" t="b">
        <v>1</v>
      </c>
      <c r="I50" s="21" t="b">
        <v>0</v>
      </c>
      <c r="J50" s="29">
        <v>6</v>
      </c>
      <c r="K50" s="35" t="b">
        <v>1</v>
      </c>
      <c r="L50">
        <f>IF(COUNTIFS(tblAccounts[account_id],tblDealDeskAudit[[#This Row],[Account ID]],tblAccounts[employee_count],"")&gt;0,"",_xlfn.XLOOKUP(tblDealDeskAudit[[#This Row],[Account ID]],tblAccounts[account_id],tblAccounts[employee_count],""))</f>
        <v>306</v>
      </c>
      <c r="M5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5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50">
        <f>COUNTIF(tblApprovals[opportunity_id],tblDealDeskAudit[[#This Row],[Opportunity ID]])</f>
        <v>1</v>
      </c>
      <c r="P5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51" spans="1:16">
      <c r="A51" s="22" t="s">
        <v>1629</v>
      </c>
      <c r="B51" s="23" t="s">
        <v>891</v>
      </c>
      <c r="C51" s="23" t="s">
        <v>5675</v>
      </c>
      <c r="D51" s="30">
        <v>22.7</v>
      </c>
      <c r="E51" s="25">
        <v>38650</v>
      </c>
      <c r="F51" s="23" t="s">
        <v>5665</v>
      </c>
      <c r="G51" s="23" t="s">
        <v>5666</v>
      </c>
      <c r="H51" s="23" t="b">
        <v>0</v>
      </c>
      <c r="I51" s="23" t="b">
        <v>0</v>
      </c>
      <c r="J51" s="30">
        <v>4.0999999999999996</v>
      </c>
      <c r="K51" s="36" t="b">
        <v>1</v>
      </c>
      <c r="L51">
        <f>IF(COUNTIFS(tblAccounts[account_id],tblDealDeskAudit[[#This Row],[Account ID]],tblAccounts[employee_count],"")&gt;0,"",_xlfn.XLOOKUP(tblDealDeskAudit[[#This Row],[Account ID]],tblAccounts[account_id],tblAccounts[employee_count],""))</f>
        <v>761</v>
      </c>
      <c r="M5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5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51">
        <f>COUNTIF(tblApprovals[opportunity_id],tblDealDeskAudit[[#This Row],[Opportunity ID]])</f>
        <v>2</v>
      </c>
      <c r="P5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52" spans="1:16">
      <c r="A52" s="20" t="s">
        <v>2074</v>
      </c>
      <c r="B52" s="21" t="s">
        <v>612</v>
      </c>
      <c r="C52" s="21" t="s">
        <v>5675</v>
      </c>
      <c r="D52" s="29">
        <v>11.3</v>
      </c>
      <c r="E52" s="24">
        <v>30158</v>
      </c>
      <c r="F52" s="21" t="s">
        <v>5688</v>
      </c>
      <c r="G52" s="21" t="s">
        <v>5666</v>
      </c>
      <c r="H52" s="21" t="b">
        <v>0</v>
      </c>
      <c r="I52" s="21" t="b">
        <v>0</v>
      </c>
      <c r="J52" s="29">
        <v>6.2</v>
      </c>
      <c r="K52" s="35" t="b">
        <v>1</v>
      </c>
      <c r="L52">
        <f>IF(COUNTIFS(tblAccounts[account_id],tblDealDeskAudit[[#This Row],[Account ID]],tblAccounts[employee_count],"")&gt;0,"",_xlfn.XLOOKUP(tblDealDeskAudit[[#This Row],[Account ID]],tblAccounts[account_id],tblAccounts[employee_count],""))</f>
        <v>447</v>
      </c>
      <c r="M5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5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52">
        <f>COUNTIF(tblApprovals[opportunity_id],tblDealDeskAudit[[#This Row],[Opportunity ID]])</f>
        <v>0</v>
      </c>
      <c r="P5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53" spans="1:16">
      <c r="A53" s="22" t="s">
        <v>5787</v>
      </c>
      <c r="B53" s="23" t="s">
        <v>302</v>
      </c>
      <c r="C53" s="23" t="s">
        <v>5663</v>
      </c>
      <c r="D53" s="30">
        <v>5.0999999999999996</v>
      </c>
      <c r="E53" s="25">
        <v>15184</v>
      </c>
      <c r="F53" s="23" t="s">
        <v>5665</v>
      </c>
      <c r="G53" s="23" t="s">
        <v>5666</v>
      </c>
      <c r="H53" s="23" t="b">
        <v>0</v>
      </c>
      <c r="I53" s="23" t="b">
        <v>0</v>
      </c>
      <c r="J53" s="30">
        <v>0</v>
      </c>
      <c r="K53" s="36" t="b">
        <v>0</v>
      </c>
      <c r="L53">
        <f>IF(COUNTIFS(tblAccounts[account_id],tblDealDeskAudit[[#This Row],[Account ID]],tblAccounts[employee_count],"")&gt;0,"",_xlfn.XLOOKUP(tblDealDeskAudit[[#This Row],[Account ID]],tblAccounts[account_id],tblAccounts[employee_count],""))</f>
        <v>707</v>
      </c>
      <c r="M5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5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53">
        <f>COUNTIF(tblApprovals[opportunity_id],tblDealDeskAudit[[#This Row],[Opportunity ID]])</f>
        <v>0</v>
      </c>
      <c r="P5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54" spans="1:16">
      <c r="A54" s="20" t="s">
        <v>5790</v>
      </c>
      <c r="B54" s="21" t="s">
        <v>512</v>
      </c>
      <c r="C54" s="21" t="s">
        <v>5725</v>
      </c>
      <c r="D54" s="29">
        <v>5.5</v>
      </c>
      <c r="E54" s="24">
        <v>32130</v>
      </c>
      <c r="F54" s="21" t="s">
        <v>5665</v>
      </c>
      <c r="G54" s="21" t="s">
        <v>5666</v>
      </c>
      <c r="H54" s="21" t="b">
        <v>0</v>
      </c>
      <c r="I54" s="21" t="b">
        <v>0</v>
      </c>
      <c r="J54" s="29">
        <v>2.8</v>
      </c>
      <c r="K54" s="35" t="b">
        <v>0</v>
      </c>
      <c r="L54">
        <f>IF(COUNTIFS(tblAccounts[account_id],tblDealDeskAudit[[#This Row],[Account ID]],tblAccounts[employee_count],"")&gt;0,"",_xlfn.XLOOKUP(tblDealDeskAudit[[#This Row],[Account ID]],tblAccounts[account_id],tblAccounts[employee_count],""))</f>
        <v>124</v>
      </c>
      <c r="M5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5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54">
        <f>COUNTIF(tblApprovals[opportunity_id],tblDealDeskAudit[[#This Row],[Opportunity ID]])</f>
        <v>0</v>
      </c>
      <c r="P5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55" spans="1:16">
      <c r="A55" s="22" t="s">
        <v>2321</v>
      </c>
      <c r="B55" s="23" t="s">
        <v>675</v>
      </c>
      <c r="C55" s="23" t="s">
        <v>5675</v>
      </c>
      <c r="D55" s="30">
        <v>5.4</v>
      </c>
      <c r="E55" s="25">
        <v>51084</v>
      </c>
      <c r="F55" s="23" t="s">
        <v>5665</v>
      </c>
      <c r="G55" s="23" t="s">
        <v>5666</v>
      </c>
      <c r="H55" s="23" t="b">
        <v>0</v>
      </c>
      <c r="I55" s="23" t="b">
        <v>0</v>
      </c>
      <c r="J55" s="30">
        <v>15.3</v>
      </c>
      <c r="K55" s="36" t="b">
        <v>0</v>
      </c>
      <c r="L55">
        <f>IF(COUNTIFS(tblAccounts[account_id],tblDealDeskAudit[[#This Row],[Account ID]],tblAccounts[employee_count],"")&gt;0,"",_xlfn.XLOOKUP(tblDealDeskAudit[[#This Row],[Account ID]],tblAccounts[account_id],tblAccounts[employee_count],""))</f>
        <v>447</v>
      </c>
      <c r="M5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5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55">
        <f>COUNTIF(tblApprovals[opportunity_id],tblDealDeskAudit[[#This Row],[Opportunity ID]])</f>
        <v>0</v>
      </c>
      <c r="P5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56" spans="1:16">
      <c r="A56" s="20" t="s">
        <v>5794</v>
      </c>
      <c r="B56" s="21" t="s">
        <v>412</v>
      </c>
      <c r="C56" s="21" t="s">
        <v>5663</v>
      </c>
      <c r="D56" s="29">
        <v>5</v>
      </c>
      <c r="E56" s="24">
        <v>11400</v>
      </c>
      <c r="F56" s="21" t="s">
        <v>5665</v>
      </c>
      <c r="G56" s="21" t="s">
        <v>5666</v>
      </c>
      <c r="H56" s="21" t="b">
        <v>0</v>
      </c>
      <c r="I56" s="21" t="b">
        <v>0</v>
      </c>
      <c r="J56" s="29">
        <v>0</v>
      </c>
      <c r="K56" s="35" t="b">
        <v>0</v>
      </c>
      <c r="L56">
        <f>IF(COUNTIFS(tblAccounts[account_id],tblDealDeskAudit[[#This Row],[Account ID]],tblAccounts[employee_count],"")&gt;0,"",_xlfn.XLOOKUP(tblDealDeskAudit[[#This Row],[Account ID]],tblAccounts[account_id],tblAccounts[employee_count],""))</f>
        <v>1879</v>
      </c>
      <c r="M5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5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56">
        <f>COUNTIF(tblApprovals[opportunity_id],tblDealDeskAudit[[#This Row],[Opportunity ID]])</f>
        <v>0</v>
      </c>
      <c r="P5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57" spans="1:16">
      <c r="A57" s="22" t="s">
        <v>2062</v>
      </c>
      <c r="B57" s="23" t="s">
        <v>183</v>
      </c>
      <c r="C57" s="23" t="s">
        <v>5675</v>
      </c>
      <c r="D57" s="30">
        <v>3</v>
      </c>
      <c r="E57" s="25">
        <v>11640</v>
      </c>
      <c r="F57" s="23" t="s">
        <v>5665</v>
      </c>
      <c r="G57" s="23" t="s">
        <v>5693</v>
      </c>
      <c r="H57" s="23" t="b">
        <v>0</v>
      </c>
      <c r="I57" s="23" t="b">
        <v>1</v>
      </c>
      <c r="J57" s="30">
        <v>7.2</v>
      </c>
      <c r="K57" s="36" t="b">
        <v>1</v>
      </c>
      <c r="L57">
        <f>IF(COUNTIFS(tblAccounts[account_id],tblDealDeskAudit[[#This Row],[Account ID]],tblAccounts[employee_count],"")&gt;0,"",_xlfn.XLOOKUP(tblDealDeskAudit[[#This Row],[Account ID]],tblAccounts[account_id],tblAccounts[employee_count],""))</f>
        <v>128</v>
      </c>
      <c r="M5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5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57">
        <f>COUNTIF(tblApprovals[opportunity_id],tblDealDeskAudit[[#This Row],[Opportunity ID]])</f>
        <v>0</v>
      </c>
      <c r="P5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58" spans="1:16">
      <c r="A58" s="20" t="s">
        <v>5798</v>
      </c>
      <c r="B58" s="21" t="s">
        <v>864</v>
      </c>
      <c r="C58" s="21" t="s">
        <v>5691</v>
      </c>
      <c r="D58" s="29">
        <v>4.0999999999999996</v>
      </c>
      <c r="E58" s="24">
        <v>11508</v>
      </c>
      <c r="F58" s="21" t="s">
        <v>5665</v>
      </c>
      <c r="G58" s="21" t="s">
        <v>5666</v>
      </c>
      <c r="H58" s="21" t="b">
        <v>0</v>
      </c>
      <c r="I58" s="21" t="b">
        <v>0</v>
      </c>
      <c r="J58" s="29">
        <v>5.4</v>
      </c>
      <c r="K58" s="35" t="b">
        <v>0</v>
      </c>
      <c r="L58">
        <f>IF(COUNTIFS(tblAccounts[account_id],tblDealDeskAudit[[#This Row],[Account ID]],tblAccounts[employee_count],"")&gt;0,"",_xlfn.XLOOKUP(tblDealDeskAudit[[#This Row],[Account ID]],tblAccounts[account_id],tblAccounts[employee_count],""))</f>
        <v>87</v>
      </c>
      <c r="M5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5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58">
        <f>COUNTIF(tblApprovals[opportunity_id],tblDealDeskAudit[[#This Row],[Opportunity ID]])</f>
        <v>0</v>
      </c>
      <c r="P5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59" spans="1:16">
      <c r="A59" s="22" t="s">
        <v>5802</v>
      </c>
      <c r="B59" s="23" t="s">
        <v>103</v>
      </c>
      <c r="C59" s="23" t="s">
        <v>5681</v>
      </c>
      <c r="D59" s="30">
        <v>9.1999999999999993</v>
      </c>
      <c r="E59" s="25">
        <v>32688</v>
      </c>
      <c r="F59" s="23" t="s">
        <v>5665</v>
      </c>
      <c r="G59" s="23" t="s">
        <v>5666</v>
      </c>
      <c r="H59" s="23" t="b">
        <v>0</v>
      </c>
      <c r="I59" s="23" t="b">
        <v>0</v>
      </c>
      <c r="J59" s="30">
        <v>17</v>
      </c>
      <c r="K59" s="36" t="b">
        <v>0</v>
      </c>
      <c r="L59">
        <f>IF(COUNTIFS(tblAccounts[account_id],tblDealDeskAudit[[#This Row],[Account ID]],tblAccounts[employee_count],"")&gt;0,"",_xlfn.XLOOKUP(tblDealDeskAudit[[#This Row],[Account ID]],tblAccounts[account_id],tblAccounts[employee_count],""))</f>
        <v>66</v>
      </c>
      <c r="M5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5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59">
        <f>COUNTIF(tblApprovals[opportunity_id],tblDealDeskAudit[[#This Row],[Opportunity ID]])</f>
        <v>0</v>
      </c>
      <c r="P5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60" spans="1:16">
      <c r="A60" s="20" t="s">
        <v>2436</v>
      </c>
      <c r="B60" s="21" t="s">
        <v>912</v>
      </c>
      <c r="C60" s="21" t="s">
        <v>5675</v>
      </c>
      <c r="D60" s="29">
        <v>9.8000000000000007</v>
      </c>
      <c r="E60" s="24">
        <v>34276</v>
      </c>
      <c r="F60" s="21" t="s">
        <v>5665</v>
      </c>
      <c r="G60" s="21" t="s">
        <v>5666</v>
      </c>
      <c r="H60" s="21" t="b">
        <v>0</v>
      </c>
      <c r="I60" s="21" t="b">
        <v>0</v>
      </c>
      <c r="J60" s="29">
        <v>16</v>
      </c>
      <c r="K60" s="35" t="b">
        <v>0</v>
      </c>
      <c r="L60">
        <f>IF(COUNTIFS(tblAccounts[account_id],tblDealDeskAudit[[#This Row],[Account ID]],tblAccounts[employee_count],"")&gt;0,"",_xlfn.XLOOKUP(tblDealDeskAudit[[#This Row],[Account ID]],tblAccounts[account_id],tblAccounts[employee_count],""))</f>
        <v>542</v>
      </c>
      <c r="M6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6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60">
        <f>COUNTIF(tblApprovals[opportunity_id],tblDealDeskAudit[[#This Row],[Opportunity ID]])</f>
        <v>0</v>
      </c>
      <c r="P6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61" spans="1:16">
      <c r="A61" s="22" t="s">
        <v>5805</v>
      </c>
      <c r="B61" s="23" t="s">
        <v>983</v>
      </c>
      <c r="C61" s="23" t="s">
        <v>5686</v>
      </c>
      <c r="D61" s="30">
        <v>9.6</v>
      </c>
      <c r="E61" s="25">
        <v>10848</v>
      </c>
      <c r="F61" s="23" t="s">
        <v>5665</v>
      </c>
      <c r="G61" s="23" t="s">
        <v>5666</v>
      </c>
      <c r="H61" s="23" t="b">
        <v>0</v>
      </c>
      <c r="I61" s="23" t="b">
        <v>0</v>
      </c>
      <c r="J61" s="30">
        <v>9.3000000000000007</v>
      </c>
      <c r="K61" s="36" t="b">
        <v>0</v>
      </c>
      <c r="L61">
        <f>IF(COUNTIFS(tblAccounts[account_id],tblDealDeskAudit[[#This Row],[Account ID]],tblAccounts[employee_count],"")&gt;0,"",_xlfn.XLOOKUP(tblDealDeskAudit[[#This Row],[Account ID]],tblAccounts[account_id],tblAccounts[employee_count],""))</f>
        <v>139</v>
      </c>
      <c r="M6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6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61">
        <f>COUNTIF(tblApprovals[opportunity_id],tblDealDeskAudit[[#This Row],[Opportunity ID]])</f>
        <v>0</v>
      </c>
      <c r="P6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62" spans="1:16">
      <c r="A62" s="20" t="s">
        <v>2452</v>
      </c>
      <c r="B62" s="21" t="s">
        <v>240</v>
      </c>
      <c r="C62" s="21" t="s">
        <v>5675</v>
      </c>
      <c r="D62" s="29">
        <v>3.2</v>
      </c>
      <c r="E62" s="24">
        <v>54208</v>
      </c>
      <c r="F62" s="21" t="s">
        <v>5665</v>
      </c>
      <c r="G62" s="21" t="s">
        <v>5666</v>
      </c>
      <c r="H62" s="21" t="b">
        <v>0</v>
      </c>
      <c r="I62" s="21" t="b">
        <v>0</v>
      </c>
      <c r="J62" s="29">
        <v>4.7</v>
      </c>
      <c r="K62" s="35" t="b">
        <v>0</v>
      </c>
      <c r="L62">
        <f>IF(COUNTIFS(tblAccounts[account_id],tblDealDeskAudit[[#This Row],[Account ID]],tblAccounts[employee_count],"")&gt;0,"",_xlfn.XLOOKUP(tblDealDeskAudit[[#This Row],[Account ID]],tblAccounts[account_id],tblAccounts[employee_count],""))</f>
        <v>462</v>
      </c>
      <c r="M6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6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62">
        <f>COUNTIF(tblApprovals[opportunity_id],tblDealDeskAudit[[#This Row],[Opportunity ID]])</f>
        <v>0</v>
      </c>
      <c r="P6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63" spans="1:16">
      <c r="A63" s="22" t="s">
        <v>1955</v>
      </c>
      <c r="B63" s="23" t="s">
        <v>834</v>
      </c>
      <c r="C63" s="23" t="s">
        <v>5663</v>
      </c>
      <c r="D63" s="30">
        <v>17.2</v>
      </c>
      <c r="E63" s="25">
        <v>49680</v>
      </c>
      <c r="F63" s="23" t="s">
        <v>5665</v>
      </c>
      <c r="G63" s="23" t="s">
        <v>5666</v>
      </c>
      <c r="H63" s="23" t="b">
        <v>0</v>
      </c>
      <c r="I63" s="23" t="b">
        <v>0</v>
      </c>
      <c r="J63" s="30">
        <v>2</v>
      </c>
      <c r="K63" s="36" t="b">
        <v>1</v>
      </c>
      <c r="L63">
        <f>IF(COUNTIFS(tblAccounts[account_id],tblDealDeskAudit[[#This Row],[Account ID]],tblAccounts[employee_count],"")&gt;0,"",_xlfn.XLOOKUP(tblDealDeskAudit[[#This Row],[Account ID]],tblAccounts[account_id],tblAccounts[employee_count],""))</f>
        <v>711</v>
      </c>
      <c r="M6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6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63">
        <f>COUNTIF(tblApprovals[opportunity_id],tblDealDeskAudit[[#This Row],[Opportunity ID]])</f>
        <v>1</v>
      </c>
      <c r="P6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64" spans="1:16">
      <c r="A64" s="20" t="s">
        <v>1862</v>
      </c>
      <c r="B64" s="21" t="s">
        <v>815</v>
      </c>
      <c r="C64" s="21" t="s">
        <v>5675</v>
      </c>
      <c r="D64" s="29">
        <v>3.9</v>
      </c>
      <c r="E64" s="24">
        <v>17298</v>
      </c>
      <c r="F64" s="21" t="s">
        <v>5665</v>
      </c>
      <c r="G64" s="21" t="s">
        <v>5666</v>
      </c>
      <c r="H64" s="21" t="b">
        <v>0</v>
      </c>
      <c r="I64" s="21" t="b">
        <v>0</v>
      </c>
      <c r="J64" s="29">
        <v>0.2</v>
      </c>
      <c r="K64" s="35" t="b">
        <v>0</v>
      </c>
      <c r="L64">
        <f>IF(COUNTIFS(tblAccounts[account_id],tblDealDeskAudit[[#This Row],[Account ID]],tblAccounts[employee_count],"")&gt;0,"",_xlfn.XLOOKUP(tblDealDeskAudit[[#This Row],[Account ID]],tblAccounts[account_id],tblAccounts[employee_count],""))</f>
        <v>59</v>
      </c>
      <c r="M6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6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64">
        <f>COUNTIF(tblApprovals[opportunity_id],tblDealDeskAudit[[#This Row],[Opportunity ID]])</f>
        <v>0</v>
      </c>
      <c r="P6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65" spans="1:16">
      <c r="A65" s="22" t="s">
        <v>5808</v>
      </c>
      <c r="B65" s="23" t="s">
        <v>876</v>
      </c>
      <c r="C65" s="23" t="s">
        <v>5663</v>
      </c>
      <c r="D65" s="30">
        <v>20.5</v>
      </c>
      <c r="E65" s="25">
        <v>11130</v>
      </c>
      <c r="F65" s="23" t="s">
        <v>5688</v>
      </c>
      <c r="G65" s="23" t="s">
        <v>5666</v>
      </c>
      <c r="H65" s="23" t="b">
        <v>0</v>
      </c>
      <c r="I65" s="23" t="b">
        <v>0</v>
      </c>
      <c r="J65" s="30">
        <v>0</v>
      </c>
      <c r="K65" s="36" t="b">
        <v>1</v>
      </c>
      <c r="L65">
        <f>IF(COUNTIFS(tblAccounts[account_id],tblDealDeskAudit[[#This Row],[Account ID]],tblAccounts[employee_count],"")&gt;0,"",_xlfn.XLOOKUP(tblDealDeskAudit[[#This Row],[Account ID]],tblAccounts[account_id],tblAccounts[employee_count],""))</f>
        <v>587</v>
      </c>
      <c r="M6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6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65">
        <f>COUNTIF(tblApprovals[opportunity_id],tblDealDeskAudit[[#This Row],[Opportunity ID]])</f>
        <v>0</v>
      </c>
      <c r="P6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66" spans="1:16">
      <c r="A66" s="20" t="s">
        <v>5810</v>
      </c>
      <c r="B66" s="21" t="s">
        <v>389</v>
      </c>
      <c r="C66" s="21" t="s">
        <v>5669</v>
      </c>
      <c r="D66" s="29">
        <v>0.1</v>
      </c>
      <c r="E66" s="24">
        <v>41958</v>
      </c>
      <c r="F66" s="21" t="s">
        <v>5665</v>
      </c>
      <c r="G66" s="21" t="s">
        <v>5666</v>
      </c>
      <c r="H66" s="21" t="b">
        <v>0</v>
      </c>
      <c r="I66" s="21" t="b">
        <v>0</v>
      </c>
      <c r="J66" s="29">
        <v>9.1999999999999993</v>
      </c>
      <c r="K66" s="35" t="b">
        <v>0</v>
      </c>
      <c r="L66">
        <f>IF(COUNTIFS(tblAccounts[account_id],tblDealDeskAudit[[#This Row],[Account ID]],tblAccounts[employee_count],"")&gt;0,"",_xlfn.XLOOKUP(tblDealDeskAudit[[#This Row],[Account ID]],tblAccounts[account_id],tblAccounts[employee_count],""))</f>
        <v>75</v>
      </c>
      <c r="M6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6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66">
        <f>COUNTIF(tblApprovals[opportunity_id],tblDealDeskAudit[[#This Row],[Opportunity ID]])</f>
        <v>0</v>
      </c>
      <c r="P6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67" spans="1:16">
      <c r="A67" s="22" t="s">
        <v>5813</v>
      </c>
      <c r="B67" s="23" t="s">
        <v>873</v>
      </c>
      <c r="C67" s="23" t="s">
        <v>5663</v>
      </c>
      <c r="D67" s="30">
        <v>1.1000000000000001</v>
      </c>
      <c r="E67" s="25">
        <v>11868</v>
      </c>
      <c r="F67" s="23" t="s">
        <v>5665</v>
      </c>
      <c r="G67" s="23" t="s">
        <v>5693</v>
      </c>
      <c r="H67" s="23" t="b">
        <v>1</v>
      </c>
      <c r="I67" s="23" t="b">
        <v>0</v>
      </c>
      <c r="J67" s="30">
        <v>8.3000000000000007</v>
      </c>
      <c r="K67" s="36" t="b">
        <v>1</v>
      </c>
      <c r="L67">
        <f>IF(COUNTIFS(tblAccounts[account_id],tblDealDeskAudit[[#This Row],[Account ID]],tblAccounts[employee_count],"")&gt;0,"",_xlfn.XLOOKUP(tblDealDeskAudit[[#This Row],[Account ID]],tblAccounts[account_id],tblAccounts[employee_count],""))</f>
        <v>37</v>
      </c>
      <c r="M6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6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67">
        <f>COUNTIF(tblApprovals[opportunity_id],tblDealDeskAudit[[#This Row],[Opportunity ID]])</f>
        <v>1</v>
      </c>
      <c r="P6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68" spans="1:16">
      <c r="A68" s="20" t="s">
        <v>1589</v>
      </c>
      <c r="B68" s="21" t="s">
        <v>292</v>
      </c>
      <c r="C68" s="21" t="s">
        <v>5675</v>
      </c>
      <c r="D68" s="29">
        <v>13.2</v>
      </c>
      <c r="E68" s="24">
        <v>38192</v>
      </c>
      <c r="F68" s="21" t="s">
        <v>5735</v>
      </c>
      <c r="G68" s="21" t="s">
        <v>5666</v>
      </c>
      <c r="H68" s="21" t="b">
        <v>0</v>
      </c>
      <c r="I68" s="21" t="b">
        <v>0</v>
      </c>
      <c r="J68" s="29">
        <v>15.2</v>
      </c>
      <c r="K68" s="35" t="b">
        <v>1</v>
      </c>
      <c r="L68">
        <f>IF(COUNTIFS(tblAccounts[account_id],tblDealDeskAudit[[#This Row],[Account ID]],tblAccounts[employee_count],"")&gt;0,"",_xlfn.XLOOKUP(tblDealDeskAudit[[#This Row],[Account ID]],tblAccounts[account_id],tblAccounts[employee_count],""))</f>
        <v>497</v>
      </c>
      <c r="M6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6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68">
        <f>COUNTIF(tblApprovals[opportunity_id],tblDealDeskAudit[[#This Row],[Opportunity ID]])</f>
        <v>1</v>
      </c>
      <c r="P6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69" spans="1:16">
      <c r="A69" s="22" t="s">
        <v>5817</v>
      </c>
      <c r="B69" s="23" t="s">
        <v>998</v>
      </c>
      <c r="C69" s="23" t="s">
        <v>5663</v>
      </c>
      <c r="D69" s="30">
        <v>5.8</v>
      </c>
      <c r="E69" s="25">
        <v>50868</v>
      </c>
      <c r="F69" s="23" t="s">
        <v>5665</v>
      </c>
      <c r="G69" s="23" t="s">
        <v>5666</v>
      </c>
      <c r="H69" s="23" t="b">
        <v>0</v>
      </c>
      <c r="I69" s="23" t="b">
        <v>0</v>
      </c>
      <c r="J69" s="30">
        <v>13.5</v>
      </c>
      <c r="K69" s="36" t="b">
        <v>0</v>
      </c>
      <c r="L69">
        <f>IF(COUNTIFS(tblAccounts[account_id],tblDealDeskAudit[[#This Row],[Account ID]],tblAccounts[employee_count],"")&gt;0,"",_xlfn.XLOOKUP(tblDealDeskAudit[[#This Row],[Account ID]],tblAccounts[account_id],tblAccounts[employee_count],""))</f>
        <v>590</v>
      </c>
      <c r="M6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6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69">
        <f>COUNTIF(tblApprovals[opportunity_id],tblDealDeskAudit[[#This Row],[Opportunity ID]])</f>
        <v>0</v>
      </c>
      <c r="P6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70" spans="1:16">
      <c r="A70" s="20" t="s">
        <v>5820</v>
      </c>
      <c r="B70" s="21" t="s">
        <v>957</v>
      </c>
      <c r="C70" s="21" t="s">
        <v>5686</v>
      </c>
      <c r="D70" s="29">
        <v>17.7</v>
      </c>
      <c r="E70" s="24">
        <v>9876</v>
      </c>
      <c r="F70" s="21" t="s">
        <v>5665</v>
      </c>
      <c r="G70" s="21" t="s">
        <v>5666</v>
      </c>
      <c r="H70" s="21" t="b">
        <v>1</v>
      </c>
      <c r="I70" s="21" t="b">
        <v>0</v>
      </c>
      <c r="J70" s="29">
        <v>0.1</v>
      </c>
      <c r="K70" s="35" t="b">
        <v>1</v>
      </c>
      <c r="L70">
        <f>IF(COUNTIFS(tblAccounts[account_id],tblDealDeskAudit[[#This Row],[Account ID]],tblAccounts[employee_count],"")&gt;0,"",_xlfn.XLOOKUP(tblDealDeskAudit[[#This Row],[Account ID]],tblAccounts[account_id],tblAccounts[employee_count],""))</f>
        <v>52</v>
      </c>
      <c r="M7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0">
        <f>COUNTIF(tblApprovals[opportunity_id],tblDealDeskAudit[[#This Row],[Opportunity ID]])</f>
        <v>0</v>
      </c>
      <c r="P7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71" spans="1:16">
      <c r="A71" s="22" t="s">
        <v>5822</v>
      </c>
      <c r="B71" s="23" t="s">
        <v>561</v>
      </c>
      <c r="C71" s="23" t="s">
        <v>5663</v>
      </c>
      <c r="D71" s="30">
        <v>20.2</v>
      </c>
      <c r="E71" s="25">
        <v>17556</v>
      </c>
      <c r="F71" s="23" t="s">
        <v>5677</v>
      </c>
      <c r="G71" s="23" t="s">
        <v>5666</v>
      </c>
      <c r="H71" s="23" t="b">
        <v>0</v>
      </c>
      <c r="I71" s="23" t="b">
        <v>0</v>
      </c>
      <c r="J71" s="30">
        <v>0.9</v>
      </c>
      <c r="K71" s="36" t="b">
        <v>1</v>
      </c>
      <c r="L71">
        <f>IF(COUNTIFS(tblAccounts[account_id],tblDealDeskAudit[[#This Row],[Account ID]],tblAccounts[employee_count],"")&gt;0,"",_xlfn.XLOOKUP(tblDealDeskAudit[[#This Row],[Account ID]],tblAccounts[account_id],tblAccounts[employee_count],""))</f>
        <v>142</v>
      </c>
      <c r="M7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1">
        <f>COUNTIF(tblApprovals[opportunity_id],tblDealDeskAudit[[#This Row],[Opportunity ID]])</f>
        <v>0</v>
      </c>
      <c r="P7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72" spans="1:16">
      <c r="A72" s="20" t="s">
        <v>5824</v>
      </c>
      <c r="B72" s="21" t="s">
        <v>936</v>
      </c>
      <c r="C72" s="21" t="s">
        <v>5686</v>
      </c>
      <c r="D72" s="29">
        <v>19.600000000000001</v>
      </c>
      <c r="E72" s="24">
        <v>30552</v>
      </c>
      <c r="F72" s="21" t="s">
        <v>5665</v>
      </c>
      <c r="G72" s="21" t="s">
        <v>5666</v>
      </c>
      <c r="H72" s="21" t="b">
        <v>0</v>
      </c>
      <c r="I72" s="21" t="b">
        <v>0</v>
      </c>
      <c r="J72" s="29">
        <v>9.6</v>
      </c>
      <c r="K72" s="35" t="b">
        <v>1</v>
      </c>
      <c r="L72">
        <f>IF(COUNTIFS(tblAccounts[account_id],tblDealDeskAudit[[#This Row],[Account ID]],tblAccounts[employee_count],"")&gt;0,"",_xlfn.XLOOKUP(tblDealDeskAudit[[#This Row],[Account ID]],tblAccounts[account_id],tblAccounts[employee_count],""))</f>
        <v>701</v>
      </c>
      <c r="M7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2">
        <f>COUNTIF(tblApprovals[opportunity_id],tblDealDeskAudit[[#This Row],[Opportunity ID]])</f>
        <v>1</v>
      </c>
      <c r="P7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73" spans="1:16">
      <c r="A73" s="22" t="s">
        <v>5826</v>
      </c>
      <c r="B73" s="23" t="s">
        <v>567</v>
      </c>
      <c r="C73" s="23" t="s">
        <v>5691</v>
      </c>
      <c r="D73" s="30">
        <v>31.9</v>
      </c>
      <c r="E73" s="25">
        <v>16344</v>
      </c>
      <c r="F73" s="23" t="s">
        <v>5665</v>
      </c>
      <c r="G73" s="23" t="s">
        <v>5666</v>
      </c>
      <c r="H73" s="23" t="b">
        <v>0</v>
      </c>
      <c r="I73" s="23" t="b">
        <v>0</v>
      </c>
      <c r="J73" s="30">
        <v>7</v>
      </c>
      <c r="K73" s="36" t="b">
        <v>0</v>
      </c>
      <c r="L73">
        <f>IF(COUNTIFS(tblAccounts[account_id],tblDealDeskAudit[[#This Row],[Account ID]],tblAccounts[employee_count],"")&gt;0,"",_xlfn.XLOOKUP(tblDealDeskAudit[[#This Row],[Account ID]],tblAccounts[account_id],tblAccounts[employee_count],""))</f>
        <v>59</v>
      </c>
      <c r="M7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73">
        <f>COUNTIF(tblApprovals[opportunity_id],tblDealDeskAudit[[#This Row],[Opportunity ID]])</f>
        <v>1</v>
      </c>
      <c r="P7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74" spans="1:16">
      <c r="A74" s="20" t="s">
        <v>2191</v>
      </c>
      <c r="B74" s="21" t="s">
        <v>227</v>
      </c>
      <c r="C74" s="21" t="s">
        <v>5675</v>
      </c>
      <c r="D74" s="29">
        <v>1.8</v>
      </c>
      <c r="E74" s="24">
        <v>86416</v>
      </c>
      <c r="F74" s="21" t="s">
        <v>5665</v>
      </c>
      <c r="G74" s="21" t="s">
        <v>5666</v>
      </c>
      <c r="H74" s="21" t="b">
        <v>0</v>
      </c>
      <c r="I74" s="21" t="b">
        <v>0</v>
      </c>
      <c r="J74" s="29">
        <v>4.5999999999999996</v>
      </c>
      <c r="K74" s="35" t="b">
        <v>0</v>
      </c>
      <c r="L74">
        <f>IF(COUNTIFS(tblAccounts[account_id],tblDealDeskAudit[[#This Row],[Account ID]],tblAccounts[employee_count],"")&gt;0,"",_xlfn.XLOOKUP(tblDealDeskAudit[[#This Row],[Account ID]],tblAccounts[account_id],tblAccounts[employee_count],""))</f>
        <v>1885</v>
      </c>
      <c r="M7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7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74">
        <f>COUNTIF(tblApprovals[opportunity_id],tblDealDeskAudit[[#This Row],[Opportunity ID]])</f>
        <v>0</v>
      </c>
      <c r="P7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75" spans="1:16">
      <c r="A75" s="22" t="s">
        <v>5828</v>
      </c>
      <c r="B75" s="23" t="s">
        <v>636</v>
      </c>
      <c r="C75" s="23" t="s">
        <v>5663</v>
      </c>
      <c r="D75" s="30">
        <v>34.200000000000003</v>
      </c>
      <c r="E75" s="25">
        <v>7896</v>
      </c>
      <c r="F75" s="23" t="s">
        <v>5735</v>
      </c>
      <c r="G75" s="23" t="s">
        <v>5666</v>
      </c>
      <c r="H75" s="23" t="b">
        <v>0</v>
      </c>
      <c r="I75" s="23" t="b">
        <v>0</v>
      </c>
      <c r="J75" s="30">
        <v>0</v>
      </c>
      <c r="K75" s="36" t="b">
        <v>1</v>
      </c>
      <c r="L75">
        <f>IF(COUNTIFS(tblAccounts[account_id],tblDealDeskAudit[[#This Row],[Account ID]],tblAccounts[employee_count],"")&gt;0,"",_xlfn.XLOOKUP(tblDealDeskAudit[[#This Row],[Account ID]],tblAccounts[account_id],tblAccounts[employee_count],""))</f>
        <v>344</v>
      </c>
      <c r="M7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5">
        <f>COUNTIF(tblApprovals[opportunity_id],tblDealDeskAudit[[#This Row],[Opportunity ID]])</f>
        <v>1</v>
      </c>
      <c r="P7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76" spans="1:16">
      <c r="A76" s="20" t="s">
        <v>5831</v>
      </c>
      <c r="B76" s="21" t="s">
        <v>645</v>
      </c>
      <c r="C76" s="21" t="s">
        <v>5669</v>
      </c>
      <c r="D76" s="29">
        <v>17.399999999999999</v>
      </c>
      <c r="E76" s="24">
        <v>29736</v>
      </c>
      <c r="F76" s="21" t="s">
        <v>5665</v>
      </c>
      <c r="G76" s="21" t="s">
        <v>5666</v>
      </c>
      <c r="H76" s="21" t="b">
        <v>0</v>
      </c>
      <c r="I76" s="21" t="b">
        <v>0</v>
      </c>
      <c r="J76" s="29">
        <v>7.3</v>
      </c>
      <c r="K76" s="35" t="b">
        <v>1</v>
      </c>
      <c r="L76">
        <f>IF(COUNTIFS(tblAccounts[account_id],tblDealDeskAudit[[#This Row],[Account ID]],tblAccounts[employee_count],"")&gt;0,"",_xlfn.XLOOKUP(tblDealDeskAudit[[#This Row],[Account ID]],tblAccounts[account_id],tblAccounts[employee_count],""))</f>
        <v>170</v>
      </c>
      <c r="M7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6">
        <f>COUNTIF(tblApprovals[opportunity_id],tblDealDeskAudit[[#This Row],[Opportunity ID]])</f>
        <v>0</v>
      </c>
      <c r="P7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77" spans="1:16">
      <c r="A77" s="22" t="s">
        <v>1821</v>
      </c>
      <c r="B77" s="23" t="s">
        <v>861</v>
      </c>
      <c r="C77" s="23" t="s">
        <v>5675</v>
      </c>
      <c r="D77" s="30">
        <v>11.9</v>
      </c>
      <c r="E77" s="25">
        <v>24668</v>
      </c>
      <c r="F77" s="23" t="s">
        <v>5665</v>
      </c>
      <c r="G77" s="23" t="s">
        <v>5666</v>
      </c>
      <c r="H77" s="23" t="b">
        <v>0</v>
      </c>
      <c r="I77" s="23" t="b">
        <v>1</v>
      </c>
      <c r="J77" s="30">
        <v>2.9</v>
      </c>
      <c r="K77" s="36" t="b">
        <v>1</v>
      </c>
      <c r="L77">
        <f>IF(COUNTIFS(tblAccounts[account_id],tblDealDeskAudit[[#This Row],[Account ID]],tblAccounts[employee_count],"")&gt;0,"",_xlfn.XLOOKUP(tblDealDeskAudit[[#This Row],[Account ID]],tblAccounts[account_id],tblAccounts[employee_count],""))</f>
        <v>147</v>
      </c>
      <c r="M7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7">
        <f>COUNTIF(tblApprovals[opportunity_id],tblDealDeskAudit[[#This Row],[Opportunity ID]])</f>
        <v>0</v>
      </c>
      <c r="P7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78" spans="1:16">
      <c r="A78" s="20" t="s">
        <v>5833</v>
      </c>
      <c r="B78" s="21" t="s">
        <v>626</v>
      </c>
      <c r="C78" s="21" t="s">
        <v>5663</v>
      </c>
      <c r="D78" s="29">
        <v>5.5</v>
      </c>
      <c r="E78" s="24">
        <v>5670</v>
      </c>
      <c r="F78" s="21" t="s">
        <v>5665</v>
      </c>
      <c r="G78" s="21" t="s">
        <v>5693</v>
      </c>
      <c r="H78" s="21" t="b">
        <v>0</v>
      </c>
      <c r="I78" s="21" t="b">
        <v>0</v>
      </c>
      <c r="J78" s="29">
        <v>0</v>
      </c>
      <c r="K78" s="35" t="b">
        <v>1</v>
      </c>
      <c r="L78">
        <f>IF(COUNTIFS(tblAccounts[account_id],tblDealDeskAudit[[#This Row],[Account ID]],tblAccounts[employee_count],"")&gt;0,"",_xlfn.XLOOKUP(tblDealDeskAudit[[#This Row],[Account ID]],tblAccounts[account_id],tblAccounts[employee_count],""))</f>
        <v>516</v>
      </c>
      <c r="M7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7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78">
        <f>COUNTIF(tblApprovals[opportunity_id],tblDealDeskAudit[[#This Row],[Opportunity ID]])</f>
        <v>1</v>
      </c>
      <c r="P7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79" spans="1:16">
      <c r="A79" s="22" t="s">
        <v>5835</v>
      </c>
      <c r="B79" s="23" t="s">
        <v>832</v>
      </c>
      <c r="C79" s="23" t="s">
        <v>5663</v>
      </c>
      <c r="D79" s="30">
        <v>6.9</v>
      </c>
      <c r="E79" s="25">
        <v>5586</v>
      </c>
      <c r="F79" s="23" t="s">
        <v>5665</v>
      </c>
      <c r="G79" s="23" t="s">
        <v>5666</v>
      </c>
      <c r="H79" s="23" t="b">
        <v>0</v>
      </c>
      <c r="I79" s="23" t="b">
        <v>0</v>
      </c>
      <c r="J79" s="30">
        <v>0</v>
      </c>
      <c r="K79" s="36" t="b">
        <v>0</v>
      </c>
      <c r="L79">
        <f>IF(COUNTIFS(tblAccounts[account_id],tblDealDeskAudit[[#This Row],[Account ID]],tblAccounts[employee_count],"")&gt;0,"",_xlfn.XLOOKUP(tblDealDeskAudit[[#This Row],[Account ID]],tblAccounts[account_id],tblAccounts[employee_count],""))</f>
        <v>895</v>
      </c>
      <c r="M7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7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79">
        <f>COUNTIF(tblApprovals[opportunity_id],tblDealDeskAudit[[#This Row],[Opportunity ID]])</f>
        <v>0</v>
      </c>
      <c r="P7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80" spans="1:16">
      <c r="A80" s="20" t="s">
        <v>1653</v>
      </c>
      <c r="B80" s="21" t="s">
        <v>606</v>
      </c>
      <c r="C80" s="21" t="s">
        <v>5675</v>
      </c>
      <c r="D80" s="29">
        <v>9.4</v>
      </c>
      <c r="E80" s="24">
        <v>34428</v>
      </c>
      <c r="F80" s="21" t="s">
        <v>5665</v>
      </c>
      <c r="G80" s="21" t="s">
        <v>5666</v>
      </c>
      <c r="H80" s="21" t="b">
        <v>0</v>
      </c>
      <c r="I80" s="21" t="b">
        <v>0</v>
      </c>
      <c r="J80" s="29">
        <v>11.8</v>
      </c>
      <c r="K80" s="35" t="b">
        <v>0</v>
      </c>
      <c r="L80">
        <f>IF(COUNTIFS(tblAccounts[account_id],tblDealDeskAudit[[#This Row],[Account ID]],tblAccounts[employee_count],"")&gt;0,"",_xlfn.XLOOKUP(tblDealDeskAudit[[#This Row],[Account ID]],tblAccounts[account_id],tblAccounts[employee_count],""))</f>
        <v>226</v>
      </c>
      <c r="M8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8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80">
        <f>COUNTIF(tblApprovals[opportunity_id],tblDealDeskAudit[[#This Row],[Opportunity ID]])</f>
        <v>0</v>
      </c>
      <c r="P8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81" spans="1:16">
      <c r="A81" s="22" t="s">
        <v>5838</v>
      </c>
      <c r="B81" s="23" t="s">
        <v>26</v>
      </c>
      <c r="C81" s="23" t="s">
        <v>5686</v>
      </c>
      <c r="D81" s="30">
        <v>8.8000000000000007</v>
      </c>
      <c r="E81" s="25">
        <v>72960</v>
      </c>
      <c r="F81" s="23" t="s">
        <v>5735</v>
      </c>
      <c r="G81" s="23" t="s">
        <v>5666</v>
      </c>
      <c r="H81" s="23" t="b">
        <v>0</v>
      </c>
      <c r="I81" s="23" t="b">
        <v>0</v>
      </c>
      <c r="J81" s="30">
        <v>8.4</v>
      </c>
      <c r="K81" s="36" t="b">
        <v>1</v>
      </c>
      <c r="L81">
        <f>IF(COUNTIFS(tblAccounts[account_id],tblDealDeskAudit[[#This Row],[Account ID]],tblAccounts[employee_count],"")&gt;0,"",_xlfn.XLOOKUP(tblDealDeskAudit[[#This Row],[Account ID]],tblAccounts[account_id],tblAccounts[employee_count],""))</f>
        <v>542</v>
      </c>
      <c r="M8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1">
        <f>COUNTIF(tblApprovals[opportunity_id],tblDealDeskAudit[[#This Row],[Opportunity ID]])</f>
        <v>1</v>
      </c>
      <c r="P8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82" spans="1:16">
      <c r="A82" s="20" t="s">
        <v>2396</v>
      </c>
      <c r="B82" s="21" t="s">
        <v>199</v>
      </c>
      <c r="C82" s="21" t="s">
        <v>5675</v>
      </c>
      <c r="D82" s="29">
        <v>19.5</v>
      </c>
      <c r="E82" s="24">
        <v>24150</v>
      </c>
      <c r="F82" s="21" t="s">
        <v>5665</v>
      </c>
      <c r="G82" s="21" t="s">
        <v>5666</v>
      </c>
      <c r="H82" s="21" t="b">
        <v>0</v>
      </c>
      <c r="I82" s="21" t="b">
        <v>0</v>
      </c>
      <c r="J82" s="29">
        <v>13.8</v>
      </c>
      <c r="K82" s="35" t="b">
        <v>1</v>
      </c>
      <c r="L82">
        <f>IF(COUNTIFS(tblAccounts[account_id],tblDealDeskAudit[[#This Row],[Account ID]],tblAccounts[employee_count],"")&gt;0,"",_xlfn.XLOOKUP(tblDealDeskAudit[[#This Row],[Account ID]],tblAccounts[account_id],tblAccounts[employee_count],""))</f>
        <v>56</v>
      </c>
      <c r="M8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2">
        <f>COUNTIF(tblApprovals[opportunity_id],tblDealDeskAudit[[#This Row],[Opportunity ID]])</f>
        <v>1</v>
      </c>
      <c r="P8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83" spans="1:16">
      <c r="A83" s="22" t="s">
        <v>5840</v>
      </c>
      <c r="B83" s="23" t="s">
        <v>425</v>
      </c>
      <c r="C83" s="23" t="s">
        <v>5663</v>
      </c>
      <c r="D83" s="30">
        <v>5.4</v>
      </c>
      <c r="E83" s="25">
        <v>13244</v>
      </c>
      <c r="F83" s="23" t="s">
        <v>5665</v>
      </c>
      <c r="G83" s="23" t="s">
        <v>5666</v>
      </c>
      <c r="H83" s="23" t="b">
        <v>0</v>
      </c>
      <c r="I83" s="23" t="b">
        <v>0</v>
      </c>
      <c r="J83" s="30">
        <v>0</v>
      </c>
      <c r="K83" s="36" t="b">
        <v>0</v>
      </c>
      <c r="L83">
        <f>IF(COUNTIFS(tblAccounts[account_id],tblDealDeskAudit[[#This Row],[Account ID]],tblAccounts[employee_count],"")&gt;0,"",_xlfn.XLOOKUP(tblDealDeskAudit[[#This Row],[Account ID]],tblAccounts[account_id],tblAccounts[employee_count],""))</f>
        <v>69</v>
      </c>
      <c r="M8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8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83">
        <f>COUNTIF(tblApprovals[opportunity_id],tblDealDeskAudit[[#This Row],[Opportunity ID]])</f>
        <v>0</v>
      </c>
      <c r="P8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84" spans="1:16">
      <c r="A84" s="20" t="s">
        <v>5842</v>
      </c>
      <c r="B84" s="21" t="s">
        <v>479</v>
      </c>
      <c r="C84" s="21" t="s">
        <v>5740</v>
      </c>
      <c r="D84" s="29">
        <v>6</v>
      </c>
      <c r="E84" s="24">
        <v>28200</v>
      </c>
      <c r="F84" s="21" t="s">
        <v>5665</v>
      </c>
      <c r="G84" s="21" t="s">
        <v>5666</v>
      </c>
      <c r="H84" s="21" t="b">
        <v>0</v>
      </c>
      <c r="I84" s="21" t="b">
        <v>0</v>
      </c>
      <c r="J84" s="29">
        <v>5</v>
      </c>
      <c r="K84" s="35" t="b">
        <v>0</v>
      </c>
      <c r="L84">
        <f>IF(COUNTIFS(tblAccounts[account_id],tblDealDeskAudit[[#This Row],[Account ID]],tblAccounts[employee_count],"")&gt;0,"",_xlfn.XLOOKUP(tblDealDeskAudit[[#This Row],[Account ID]],tblAccounts[account_id],tblAccounts[employee_count],""))</f>
        <v>299</v>
      </c>
      <c r="M8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8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84">
        <f>COUNTIF(tblApprovals[opportunity_id],tblDealDeskAudit[[#This Row],[Opportunity ID]])</f>
        <v>0</v>
      </c>
      <c r="P8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85" spans="1:16">
      <c r="A85" s="22" t="s">
        <v>1415</v>
      </c>
      <c r="B85" s="23" t="s">
        <v>1028</v>
      </c>
      <c r="C85" s="23" t="s">
        <v>5675</v>
      </c>
      <c r="D85" s="30">
        <v>15.9</v>
      </c>
      <c r="E85" s="25">
        <v>15138</v>
      </c>
      <c r="F85" s="23" t="s">
        <v>5665</v>
      </c>
      <c r="G85" s="23" t="s">
        <v>5666</v>
      </c>
      <c r="H85" s="23" t="b">
        <v>0</v>
      </c>
      <c r="I85" s="23" t="b">
        <v>0</v>
      </c>
      <c r="J85" s="30">
        <v>3.2</v>
      </c>
      <c r="K85" s="36" t="b">
        <v>1</v>
      </c>
      <c r="L85" t="str">
        <f>IF(COUNTIFS(tblAccounts[account_id],tblDealDeskAudit[[#This Row],[Account ID]],tblAccounts[employee_count],"")&gt;0,"",_xlfn.XLOOKUP(tblDealDeskAudit[[#This Row],[Account ID]],tblAccounts[account_id],tblAccounts[employee_count],""))</f>
        <v/>
      </c>
      <c r="M8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5">
        <f>COUNTIF(tblApprovals[opportunity_id],tblDealDeskAudit[[#This Row],[Opportunity ID]])</f>
        <v>0</v>
      </c>
      <c r="P8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86" spans="1:16">
      <c r="A86" s="20" t="s">
        <v>5847</v>
      </c>
      <c r="B86" s="21" t="s">
        <v>777</v>
      </c>
      <c r="C86" s="21" t="s">
        <v>5669</v>
      </c>
      <c r="D86" s="29">
        <v>2.4</v>
      </c>
      <c r="E86" s="24">
        <v>23424</v>
      </c>
      <c r="F86" s="21" t="s">
        <v>5665</v>
      </c>
      <c r="G86" s="21" t="s">
        <v>5666</v>
      </c>
      <c r="H86" s="21" t="b">
        <v>1</v>
      </c>
      <c r="I86" s="21" t="b">
        <v>0</v>
      </c>
      <c r="J86" s="29">
        <v>8.1999999999999993</v>
      </c>
      <c r="K86" s="35" t="b">
        <v>1</v>
      </c>
      <c r="L86">
        <f>IF(COUNTIFS(tblAccounts[account_id],tblDealDeskAudit[[#This Row],[Account ID]],tblAccounts[employee_count],"")&gt;0,"",_xlfn.XLOOKUP(tblDealDeskAudit[[#This Row],[Account ID]],tblAccounts[account_id],tblAccounts[employee_count],""))</f>
        <v>169</v>
      </c>
      <c r="M8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6">
        <f>COUNTIF(tblApprovals[opportunity_id],tblDealDeskAudit[[#This Row],[Opportunity ID]])</f>
        <v>0</v>
      </c>
      <c r="P8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87" spans="1:16">
      <c r="A87" s="22" t="s">
        <v>1709</v>
      </c>
      <c r="B87" s="23" t="s">
        <v>142</v>
      </c>
      <c r="C87" s="23" t="s">
        <v>5663</v>
      </c>
      <c r="D87" s="30">
        <v>21</v>
      </c>
      <c r="E87" s="25">
        <v>9480</v>
      </c>
      <c r="F87" s="23" t="s">
        <v>5665</v>
      </c>
      <c r="G87" s="23" t="s">
        <v>5666</v>
      </c>
      <c r="H87" s="23" t="b">
        <v>0</v>
      </c>
      <c r="I87" s="23" t="b">
        <v>0</v>
      </c>
      <c r="J87" s="30">
        <v>1.5</v>
      </c>
      <c r="K87" s="36" t="b">
        <v>1</v>
      </c>
      <c r="L87">
        <f>IF(COUNTIFS(tblAccounts[account_id],tblDealDeskAudit[[#This Row],[Account ID]],tblAccounts[employee_count],"")&gt;0,"",_xlfn.XLOOKUP(tblDealDeskAudit[[#This Row],[Account ID]],tblAccounts[account_id],tblAccounts[employee_count],""))</f>
        <v>79</v>
      </c>
      <c r="M8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7">
        <f>COUNTIF(tblApprovals[opportunity_id],tblDealDeskAudit[[#This Row],[Opportunity ID]])</f>
        <v>1</v>
      </c>
      <c r="P8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88" spans="1:16">
      <c r="A88" s="20" t="s">
        <v>1829</v>
      </c>
      <c r="B88" s="21" t="s">
        <v>128</v>
      </c>
      <c r="C88" s="21" t="s">
        <v>5740</v>
      </c>
      <c r="D88" s="29">
        <v>7.9</v>
      </c>
      <c r="E88" s="24">
        <v>55260</v>
      </c>
      <c r="F88" s="21" t="s">
        <v>5665</v>
      </c>
      <c r="G88" s="21" t="s">
        <v>5666</v>
      </c>
      <c r="H88" s="21" t="b">
        <v>0</v>
      </c>
      <c r="I88" s="21" t="b">
        <v>0</v>
      </c>
      <c r="J88" s="29">
        <v>9.6</v>
      </c>
      <c r="K88" s="35" t="b">
        <v>0</v>
      </c>
      <c r="L88">
        <f>IF(COUNTIFS(tblAccounts[account_id],tblDealDeskAudit[[#This Row],[Account ID]],tblAccounts[employee_count],"")&gt;0,"",_xlfn.XLOOKUP(tblDealDeskAudit[[#This Row],[Account ID]],tblAccounts[account_id],tblAccounts[employee_count],""))</f>
        <v>483</v>
      </c>
      <c r="M8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8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88">
        <f>COUNTIF(tblApprovals[opportunity_id],tblDealDeskAudit[[#This Row],[Opportunity ID]])</f>
        <v>0</v>
      </c>
      <c r="P8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89" spans="1:16">
      <c r="A89" s="22" t="s">
        <v>5853</v>
      </c>
      <c r="B89" s="23" t="s">
        <v>706</v>
      </c>
      <c r="C89" s="23" t="s">
        <v>5686</v>
      </c>
      <c r="D89" s="30">
        <v>16.3</v>
      </c>
      <c r="E89" s="25">
        <v>82026</v>
      </c>
      <c r="F89" s="23" t="s">
        <v>5665</v>
      </c>
      <c r="G89" s="23" t="s">
        <v>5666</v>
      </c>
      <c r="H89" s="23" t="b">
        <v>0</v>
      </c>
      <c r="I89" s="23" t="b">
        <v>0</v>
      </c>
      <c r="J89" s="30">
        <v>4.3</v>
      </c>
      <c r="K89" s="36" t="b">
        <v>1</v>
      </c>
      <c r="L89">
        <f>IF(COUNTIFS(tblAccounts[account_id],tblDealDeskAudit[[#This Row],[Account ID]],tblAccounts[employee_count],"")&gt;0,"",_xlfn.XLOOKUP(tblDealDeskAudit[[#This Row],[Account ID]],tblAccounts[account_id],tblAccounts[employee_count],""))</f>
        <v>2605</v>
      </c>
      <c r="M8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8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89">
        <f>COUNTIF(tblApprovals[opportunity_id],tblDealDeskAudit[[#This Row],[Opportunity ID]])</f>
        <v>2</v>
      </c>
      <c r="P8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90" spans="1:16">
      <c r="A90" s="20" t="s">
        <v>5855</v>
      </c>
      <c r="B90" s="21" t="s">
        <v>395</v>
      </c>
      <c r="C90" s="21" t="s">
        <v>5740</v>
      </c>
      <c r="D90" s="29">
        <v>31</v>
      </c>
      <c r="E90" s="24">
        <v>8280</v>
      </c>
      <c r="F90" s="21" t="s">
        <v>5665</v>
      </c>
      <c r="G90" s="21" t="s">
        <v>5666</v>
      </c>
      <c r="H90" s="21" t="b">
        <v>0</v>
      </c>
      <c r="I90" s="21" t="b">
        <v>0</v>
      </c>
      <c r="J90" s="29">
        <v>10.4</v>
      </c>
      <c r="K90" s="35" t="b">
        <v>1</v>
      </c>
      <c r="L90">
        <f>IF(COUNTIFS(tblAccounts[account_id],tblDealDeskAudit[[#This Row],[Account ID]],tblAccounts[employee_count],"")&gt;0,"",_xlfn.XLOOKUP(tblDealDeskAudit[[#This Row],[Account ID]],tblAccounts[account_id],tblAccounts[employee_count],""))</f>
        <v>49</v>
      </c>
      <c r="M9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0">
        <f>COUNTIF(tblApprovals[opportunity_id],tblDealDeskAudit[[#This Row],[Opportunity ID]])</f>
        <v>0</v>
      </c>
      <c r="P9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91" spans="1:16">
      <c r="A91" s="22" t="s">
        <v>1556</v>
      </c>
      <c r="B91" s="23" t="s">
        <v>51</v>
      </c>
      <c r="C91" s="23" t="s">
        <v>5675</v>
      </c>
      <c r="D91" s="30">
        <v>1.1000000000000001</v>
      </c>
      <c r="E91" s="25">
        <v>79120</v>
      </c>
      <c r="F91" s="23" t="s">
        <v>5665</v>
      </c>
      <c r="G91" s="23" t="s">
        <v>5693</v>
      </c>
      <c r="H91" s="23" t="b">
        <v>0</v>
      </c>
      <c r="I91" s="23" t="b">
        <v>0</v>
      </c>
      <c r="J91" s="30">
        <v>18.600000000000001</v>
      </c>
      <c r="K91" s="36" t="b">
        <v>1</v>
      </c>
      <c r="L91">
        <f>IF(COUNTIFS(tblAccounts[account_id],tblDealDeskAudit[[#This Row],[Account ID]],tblAccounts[employee_count],"")&gt;0,"",_xlfn.XLOOKUP(tblDealDeskAudit[[#This Row],[Account ID]],tblAccounts[account_id],tblAccounts[employee_count],""))</f>
        <v>738</v>
      </c>
      <c r="M9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1">
        <f>COUNTIF(tblApprovals[opportunity_id],tblDealDeskAudit[[#This Row],[Opportunity ID]])</f>
        <v>0</v>
      </c>
      <c r="P9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92" spans="1:16">
      <c r="A92" s="20" t="s">
        <v>5858</v>
      </c>
      <c r="B92" s="21" t="s">
        <v>766</v>
      </c>
      <c r="C92" s="21" t="s">
        <v>5663</v>
      </c>
      <c r="D92" s="29">
        <v>22.5</v>
      </c>
      <c r="E92" s="24">
        <v>27900</v>
      </c>
      <c r="F92" s="21" t="s">
        <v>5665</v>
      </c>
      <c r="G92" s="21" t="s">
        <v>5666</v>
      </c>
      <c r="H92" s="21" t="b">
        <v>0</v>
      </c>
      <c r="I92" s="21" t="b">
        <v>0</v>
      </c>
      <c r="J92" s="29">
        <v>5.9</v>
      </c>
      <c r="K92" s="35" t="b">
        <v>1</v>
      </c>
      <c r="L92">
        <f>IF(COUNTIFS(tblAccounts[account_id],tblDealDeskAudit[[#This Row],[Account ID]],tblAccounts[employee_count],"")&gt;0,"",_xlfn.XLOOKUP(tblDealDeskAudit[[#This Row],[Account ID]],tblAccounts[account_id],tblAccounts[employee_count],""))</f>
        <v>131</v>
      </c>
      <c r="M9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2">
        <f>COUNTIF(tblApprovals[opportunity_id],tblDealDeskAudit[[#This Row],[Opportunity ID]])</f>
        <v>0</v>
      </c>
      <c r="P9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93" spans="1:16">
      <c r="A93" s="22" t="s">
        <v>1466</v>
      </c>
      <c r="B93" s="23" t="s">
        <v>723</v>
      </c>
      <c r="C93" s="23" t="s">
        <v>5663</v>
      </c>
      <c r="D93" s="30">
        <v>3.1</v>
      </c>
      <c r="E93" s="25">
        <v>89148</v>
      </c>
      <c r="F93" s="23" t="s">
        <v>5735</v>
      </c>
      <c r="G93" s="23" t="s">
        <v>5666</v>
      </c>
      <c r="H93" s="23" t="b">
        <v>0</v>
      </c>
      <c r="I93" s="23" t="b">
        <v>0</v>
      </c>
      <c r="J93" s="30">
        <v>2</v>
      </c>
      <c r="K93" s="36" t="b">
        <v>1</v>
      </c>
      <c r="L93">
        <f>IF(COUNTIFS(tblAccounts[account_id],tblDealDeskAudit[[#This Row],[Account ID]],tblAccounts[employee_count],"")&gt;0,"",_xlfn.XLOOKUP(tblDealDeskAudit[[#This Row],[Account ID]],tblAccounts[account_id],tblAccounts[employee_count],""))</f>
        <v>1910</v>
      </c>
      <c r="M9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3">
        <f>COUNTIF(tblApprovals[opportunity_id],tblDealDeskAudit[[#This Row],[Opportunity ID]])</f>
        <v>0</v>
      </c>
      <c r="P9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94" spans="1:16">
      <c r="A94" s="20" t="s">
        <v>1923</v>
      </c>
      <c r="B94" s="21" t="s">
        <v>957</v>
      </c>
      <c r="C94" s="21" t="s">
        <v>5675</v>
      </c>
      <c r="D94" s="29">
        <v>4.4000000000000004</v>
      </c>
      <c r="E94" s="24">
        <v>22944</v>
      </c>
      <c r="F94" s="21" t="s">
        <v>5665</v>
      </c>
      <c r="G94" s="21" t="s">
        <v>5666</v>
      </c>
      <c r="H94" s="21" t="b">
        <v>0</v>
      </c>
      <c r="I94" s="21" t="b">
        <v>0</v>
      </c>
      <c r="J94" s="29">
        <v>2.2999999999999998</v>
      </c>
      <c r="K94" s="35" t="b">
        <v>0</v>
      </c>
      <c r="L94">
        <f>IF(COUNTIFS(tblAccounts[account_id],tblDealDeskAudit[[#This Row],[Account ID]],tblAccounts[employee_count],"")&gt;0,"",_xlfn.XLOOKUP(tblDealDeskAudit[[#This Row],[Account ID]],tblAccounts[account_id],tblAccounts[employee_count],""))</f>
        <v>52</v>
      </c>
      <c r="M9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9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94">
        <f>COUNTIF(tblApprovals[opportunity_id],tblDealDeskAudit[[#This Row],[Opportunity ID]])</f>
        <v>0</v>
      </c>
      <c r="P9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95" spans="1:16">
      <c r="A95" s="22" t="s">
        <v>2090</v>
      </c>
      <c r="B95" s="23" t="s">
        <v>465</v>
      </c>
      <c r="C95" s="23" t="s">
        <v>5675</v>
      </c>
      <c r="D95" s="30">
        <v>9.5</v>
      </c>
      <c r="E95" s="25">
        <v>45250</v>
      </c>
      <c r="F95" s="23" t="s">
        <v>5665</v>
      </c>
      <c r="G95" s="23" t="s">
        <v>5666</v>
      </c>
      <c r="H95" s="23" t="b">
        <v>1</v>
      </c>
      <c r="I95" s="23" t="b">
        <v>0</v>
      </c>
      <c r="J95" s="30">
        <v>9</v>
      </c>
      <c r="K95" s="36" t="b">
        <v>1</v>
      </c>
      <c r="L95">
        <f>IF(COUNTIFS(tblAccounts[account_id],tblDealDeskAudit[[#This Row],[Account ID]],tblAccounts[employee_count],"")&gt;0,"",_xlfn.XLOOKUP(tblDealDeskAudit[[#This Row],[Account ID]],tblAccounts[account_id],tblAccounts[employee_count],""))</f>
        <v>735</v>
      </c>
      <c r="M9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5">
        <f>COUNTIF(tblApprovals[opportunity_id],tblDealDeskAudit[[#This Row],[Opportunity ID]])</f>
        <v>1</v>
      </c>
      <c r="P9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96" spans="1:16">
      <c r="A96" s="20" t="s">
        <v>5861</v>
      </c>
      <c r="B96" s="21" t="s">
        <v>395</v>
      </c>
      <c r="C96" s="21" t="s">
        <v>5686</v>
      </c>
      <c r="D96" s="29">
        <v>7.4</v>
      </c>
      <c r="E96" s="24">
        <v>38892</v>
      </c>
      <c r="F96" s="21" t="s">
        <v>5665</v>
      </c>
      <c r="G96" s="21" t="s">
        <v>5666</v>
      </c>
      <c r="H96" s="21" t="b">
        <v>0</v>
      </c>
      <c r="I96" s="21" t="b">
        <v>0</v>
      </c>
      <c r="J96" s="29">
        <v>3</v>
      </c>
      <c r="K96" s="35" t="b">
        <v>0</v>
      </c>
      <c r="L96">
        <f>IF(COUNTIFS(tblAccounts[account_id],tblDealDeskAudit[[#This Row],[Account ID]],tblAccounts[employee_count],"")&gt;0,"",_xlfn.XLOOKUP(tblDealDeskAudit[[#This Row],[Account ID]],tblAccounts[account_id],tblAccounts[employee_count],""))</f>
        <v>49</v>
      </c>
      <c r="M9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9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96">
        <f>COUNTIF(tblApprovals[opportunity_id],tblDealDeskAudit[[#This Row],[Opportunity ID]])</f>
        <v>0</v>
      </c>
      <c r="P9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97" spans="1:16">
      <c r="A97" s="22" t="s">
        <v>2561</v>
      </c>
      <c r="B97" s="23" t="s">
        <v>342</v>
      </c>
      <c r="C97" s="23" t="s">
        <v>5675</v>
      </c>
      <c r="D97" s="30">
        <v>24.7</v>
      </c>
      <c r="E97" s="25">
        <v>33132</v>
      </c>
      <c r="F97" s="23" t="s">
        <v>5665</v>
      </c>
      <c r="G97" s="23" t="s">
        <v>5666</v>
      </c>
      <c r="H97" s="23" t="b">
        <v>0</v>
      </c>
      <c r="I97" s="23" t="b">
        <v>0</v>
      </c>
      <c r="J97" s="30">
        <v>3.2</v>
      </c>
      <c r="K97" s="36" t="b">
        <v>1</v>
      </c>
      <c r="L97">
        <f>IF(COUNTIFS(tblAccounts[account_id],tblDealDeskAudit[[#This Row],[Account ID]],tblAccounts[employee_count],"")&gt;0,"",_xlfn.XLOOKUP(tblDealDeskAudit[[#This Row],[Account ID]],tblAccounts[account_id],tblAccounts[employee_count],""))</f>
        <v>34</v>
      </c>
      <c r="M9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7">
        <f>COUNTIF(tblApprovals[opportunity_id],tblDealDeskAudit[[#This Row],[Opportunity ID]])</f>
        <v>1</v>
      </c>
      <c r="P9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98" spans="1:16">
      <c r="A98" s="20" t="s">
        <v>5864</v>
      </c>
      <c r="B98" s="21" t="s">
        <v>852</v>
      </c>
      <c r="C98" s="21" t="s">
        <v>5663</v>
      </c>
      <c r="D98" s="29">
        <v>11.9</v>
      </c>
      <c r="E98" s="24">
        <v>17620</v>
      </c>
      <c r="F98" s="21" t="s">
        <v>5665</v>
      </c>
      <c r="G98" s="21" t="s">
        <v>5666</v>
      </c>
      <c r="H98" s="21" t="b">
        <v>0</v>
      </c>
      <c r="I98" s="21" t="b">
        <v>0</v>
      </c>
      <c r="J98" s="29">
        <v>0</v>
      </c>
      <c r="K98" s="35" t="b">
        <v>1</v>
      </c>
      <c r="L98">
        <f>IF(COUNTIFS(tblAccounts[account_id],tblDealDeskAudit[[#This Row],[Account ID]],tblAccounts[employee_count],"")&gt;0,"",_xlfn.XLOOKUP(tblDealDeskAudit[[#This Row],[Account ID]],tblAccounts[account_id],tblAccounts[employee_count],""))</f>
        <v>89</v>
      </c>
      <c r="M9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9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98">
        <f>COUNTIF(tblApprovals[opportunity_id],tblDealDeskAudit[[#This Row],[Opportunity ID]])</f>
        <v>1</v>
      </c>
      <c r="P9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99" spans="1:16">
      <c r="A99" s="22" t="s">
        <v>2206</v>
      </c>
      <c r="B99" s="23" t="s">
        <v>951</v>
      </c>
      <c r="C99" s="23" t="s">
        <v>5675</v>
      </c>
      <c r="D99" s="30">
        <v>9.5</v>
      </c>
      <c r="E99" s="25">
        <v>21720</v>
      </c>
      <c r="F99" s="23" t="s">
        <v>5665</v>
      </c>
      <c r="G99" s="23" t="s">
        <v>5666</v>
      </c>
      <c r="H99" s="23" t="b">
        <v>0</v>
      </c>
      <c r="I99" s="23" t="b">
        <v>0</v>
      </c>
      <c r="J99" s="30">
        <v>3.7</v>
      </c>
      <c r="K99" s="36" t="b">
        <v>0</v>
      </c>
      <c r="L99">
        <f>IF(COUNTIFS(tblAccounts[account_id],tblDealDeskAudit[[#This Row],[Account ID]],tblAccounts[employee_count],"")&gt;0,"",_xlfn.XLOOKUP(tblDealDeskAudit[[#This Row],[Account ID]],tblAccounts[account_id],tblAccounts[employee_count],""))</f>
        <v>93</v>
      </c>
      <c r="M9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9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99">
        <f>COUNTIF(tblApprovals[opportunity_id],tblDealDeskAudit[[#This Row],[Opportunity ID]])</f>
        <v>0</v>
      </c>
      <c r="P9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00" spans="1:16">
      <c r="A100" s="20" t="s">
        <v>2568</v>
      </c>
      <c r="B100" s="21" t="s">
        <v>809</v>
      </c>
      <c r="C100" s="21" t="s">
        <v>5675</v>
      </c>
      <c r="D100" s="29">
        <v>14</v>
      </c>
      <c r="E100" s="24">
        <v>39560</v>
      </c>
      <c r="F100" s="21" t="s">
        <v>5665</v>
      </c>
      <c r="G100" s="21" t="s">
        <v>5666</v>
      </c>
      <c r="H100" s="21" t="b">
        <v>0</v>
      </c>
      <c r="I100" s="21" t="b">
        <v>0</v>
      </c>
      <c r="J100" s="29">
        <v>7.5</v>
      </c>
      <c r="K100" s="35" t="b">
        <v>1</v>
      </c>
      <c r="L100">
        <f>IF(COUNTIFS(tblAccounts[account_id],tblDealDeskAudit[[#This Row],[Account ID]],tblAccounts[employee_count],"")&gt;0,"",_xlfn.XLOOKUP(tblDealDeskAudit[[#This Row],[Account ID]],tblAccounts[account_id],tblAccounts[employee_count],""))</f>
        <v>377</v>
      </c>
      <c r="M10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0">
        <f>COUNTIF(tblApprovals[opportunity_id],tblDealDeskAudit[[#This Row],[Opportunity ID]])</f>
        <v>0</v>
      </c>
      <c r="P10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01" spans="1:16">
      <c r="A101" s="22" t="s">
        <v>2365</v>
      </c>
      <c r="B101" s="23" t="s">
        <v>780</v>
      </c>
      <c r="C101" s="23" t="s">
        <v>5663</v>
      </c>
      <c r="D101" s="30">
        <v>14</v>
      </c>
      <c r="E101" s="25">
        <v>37840</v>
      </c>
      <c r="F101" s="23" t="s">
        <v>5665</v>
      </c>
      <c r="G101" s="23" t="s">
        <v>5666</v>
      </c>
      <c r="H101" s="23" t="b">
        <v>0</v>
      </c>
      <c r="I101" s="23" t="b">
        <v>0</v>
      </c>
      <c r="J101" s="30">
        <v>26.5</v>
      </c>
      <c r="K101" s="36" t="b">
        <v>0</v>
      </c>
      <c r="L101">
        <f>IF(COUNTIFS(tblAccounts[account_id],tblDealDeskAudit[[#This Row],[Account ID]],tblAccounts[employee_count],"")&gt;0,"",_xlfn.XLOOKUP(tblDealDeskAudit[[#This Row],[Account ID]],tblAccounts[account_id],tblAccounts[employee_count],""))</f>
        <v>398</v>
      </c>
      <c r="M10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101">
        <f>COUNTIF(tblApprovals[opportunity_id],tblDealDeskAudit[[#This Row],[Opportunity ID]])</f>
        <v>0</v>
      </c>
      <c r="P10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02" spans="1:16">
      <c r="A102" s="20" t="s">
        <v>2309</v>
      </c>
      <c r="B102" s="21" t="s">
        <v>706</v>
      </c>
      <c r="C102" s="21" t="s">
        <v>5725</v>
      </c>
      <c r="D102" s="29">
        <v>7.3</v>
      </c>
      <c r="E102" s="24">
        <v>87138</v>
      </c>
      <c r="F102" s="21" t="s">
        <v>5665</v>
      </c>
      <c r="G102" s="21" t="s">
        <v>5666</v>
      </c>
      <c r="H102" s="21" t="b">
        <v>0</v>
      </c>
      <c r="I102" s="21" t="b">
        <v>0</v>
      </c>
      <c r="J102" s="29">
        <v>2.4</v>
      </c>
      <c r="K102" s="35" t="b">
        <v>1</v>
      </c>
      <c r="L102">
        <f>IF(COUNTIFS(tblAccounts[account_id],tblDealDeskAudit[[#This Row],[Account ID]],tblAccounts[employee_count],"")&gt;0,"",_xlfn.XLOOKUP(tblDealDeskAudit[[#This Row],[Account ID]],tblAccounts[account_id],tblAccounts[employee_count],""))</f>
        <v>2605</v>
      </c>
      <c r="M10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2">
        <f>COUNTIF(tblApprovals[opportunity_id],tblDealDeskAudit[[#This Row],[Opportunity ID]])</f>
        <v>1</v>
      </c>
      <c r="P10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03" spans="1:16">
      <c r="A103" s="22" t="s">
        <v>5869</v>
      </c>
      <c r="B103" s="23" t="s">
        <v>422</v>
      </c>
      <c r="C103" s="23" t="s">
        <v>5663</v>
      </c>
      <c r="D103" s="30">
        <v>38.4</v>
      </c>
      <c r="E103" s="25">
        <v>11088</v>
      </c>
      <c r="F103" s="23" t="s">
        <v>5665</v>
      </c>
      <c r="G103" s="23" t="s">
        <v>5666</v>
      </c>
      <c r="H103" s="23" t="b">
        <v>0</v>
      </c>
      <c r="I103" s="23" t="b">
        <v>0</v>
      </c>
      <c r="J103" s="30">
        <v>7.8</v>
      </c>
      <c r="K103" s="36" t="b">
        <v>1</v>
      </c>
      <c r="L103">
        <f>IF(COUNTIFS(tblAccounts[account_id],tblDealDeskAudit[[#This Row],[Account ID]],tblAccounts[employee_count],"")&gt;0,"",_xlfn.XLOOKUP(tblDealDeskAudit[[#This Row],[Account ID]],tblAccounts[account_id],tblAccounts[employee_count],""))</f>
        <v>67</v>
      </c>
      <c r="M10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3">
        <f>COUNTIF(tblApprovals[opportunity_id],tblDealDeskAudit[[#This Row],[Opportunity ID]])</f>
        <v>0</v>
      </c>
      <c r="P10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04" spans="1:16">
      <c r="A104" s="20" t="s">
        <v>5872</v>
      </c>
      <c r="B104" s="21" t="s">
        <v>509</v>
      </c>
      <c r="C104" s="21" t="s">
        <v>5663</v>
      </c>
      <c r="D104" s="29">
        <v>5.4</v>
      </c>
      <c r="E104" s="24">
        <v>5676</v>
      </c>
      <c r="F104" s="21" t="s">
        <v>5735</v>
      </c>
      <c r="G104" s="21" t="s">
        <v>5666</v>
      </c>
      <c r="H104" s="21" t="b">
        <v>0</v>
      </c>
      <c r="I104" s="21" t="b">
        <v>0</v>
      </c>
      <c r="J104" s="29">
        <v>0</v>
      </c>
      <c r="K104" s="35" t="b">
        <v>1</v>
      </c>
      <c r="L104">
        <f>IF(COUNTIFS(tblAccounts[account_id],tblDealDeskAudit[[#This Row],[Account ID]],tblAccounts[employee_count],"")&gt;0,"",_xlfn.XLOOKUP(tblDealDeskAudit[[#This Row],[Account ID]],tblAccounts[account_id],tblAccounts[employee_count],""))</f>
        <v>82</v>
      </c>
      <c r="M10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4">
        <f>COUNTIF(tblApprovals[opportunity_id],tblDealDeskAudit[[#This Row],[Opportunity ID]])</f>
        <v>1</v>
      </c>
      <c r="P10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05" spans="1:16">
      <c r="A105" s="22" t="s">
        <v>5874</v>
      </c>
      <c r="B105" s="23" t="s">
        <v>957</v>
      </c>
      <c r="C105" s="23" t="s">
        <v>5740</v>
      </c>
      <c r="D105" s="30">
        <v>7.4</v>
      </c>
      <c r="E105" s="25">
        <v>27780</v>
      </c>
      <c r="F105" s="23" t="s">
        <v>5665</v>
      </c>
      <c r="G105" s="23" t="s">
        <v>5666</v>
      </c>
      <c r="H105" s="23" t="b">
        <v>0</v>
      </c>
      <c r="I105" s="23" t="b">
        <v>0</v>
      </c>
      <c r="J105" s="30">
        <v>27.6</v>
      </c>
      <c r="K105" s="36" t="b">
        <v>1</v>
      </c>
      <c r="L105">
        <f>IF(COUNTIFS(tblAccounts[account_id],tblDealDeskAudit[[#This Row],[Account ID]],tblAccounts[employee_count],"")&gt;0,"",_xlfn.XLOOKUP(tblDealDeskAudit[[#This Row],[Account ID]],tblAccounts[account_id],tblAccounts[employee_count],""))</f>
        <v>52</v>
      </c>
      <c r="M10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5">
        <f>COUNTIF(tblApprovals[opportunity_id],tblDealDeskAudit[[#This Row],[Opportunity ID]])</f>
        <v>0</v>
      </c>
      <c r="P10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06" spans="1:16">
      <c r="A106" s="20" t="s">
        <v>2221</v>
      </c>
      <c r="B106" s="21" t="s">
        <v>103</v>
      </c>
      <c r="C106" s="21" t="s">
        <v>5675</v>
      </c>
      <c r="D106" s="29">
        <v>22.1</v>
      </c>
      <c r="E106" s="24">
        <v>9348</v>
      </c>
      <c r="F106" s="21" t="s">
        <v>5665</v>
      </c>
      <c r="G106" s="21" t="s">
        <v>5666</v>
      </c>
      <c r="H106" s="21" t="b">
        <v>0</v>
      </c>
      <c r="I106" s="21" t="b">
        <v>0</v>
      </c>
      <c r="J106" s="29">
        <v>5.8</v>
      </c>
      <c r="K106" s="35" t="b">
        <v>1</v>
      </c>
      <c r="L106">
        <f>IF(COUNTIFS(tblAccounts[account_id],tblDealDeskAudit[[#This Row],[Account ID]],tblAccounts[employee_count],"")&gt;0,"",_xlfn.XLOOKUP(tblDealDeskAudit[[#This Row],[Account ID]],tblAccounts[account_id],tblAccounts[employee_count],""))</f>
        <v>66</v>
      </c>
      <c r="M10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6">
        <f>COUNTIF(tblApprovals[opportunity_id],tblDealDeskAudit[[#This Row],[Opportunity ID]])</f>
        <v>1</v>
      </c>
      <c r="P10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07" spans="1:16">
      <c r="A107" s="22" t="s">
        <v>2521</v>
      </c>
      <c r="B107" s="23" t="s">
        <v>891</v>
      </c>
      <c r="C107" s="23" t="s">
        <v>5675</v>
      </c>
      <c r="D107" s="30">
        <v>11.9</v>
      </c>
      <c r="E107" s="25">
        <v>44050</v>
      </c>
      <c r="F107" s="23" t="s">
        <v>5665</v>
      </c>
      <c r="G107" s="23" t="s">
        <v>5666</v>
      </c>
      <c r="H107" s="23" t="b">
        <v>0</v>
      </c>
      <c r="I107" s="23" t="b">
        <v>0</v>
      </c>
      <c r="J107" s="30">
        <v>27.6</v>
      </c>
      <c r="K107" s="36" t="b">
        <v>1</v>
      </c>
      <c r="L107">
        <f>IF(COUNTIFS(tblAccounts[account_id],tblDealDeskAudit[[#This Row],[Account ID]],tblAccounts[employee_count],"")&gt;0,"",_xlfn.XLOOKUP(tblDealDeskAudit[[#This Row],[Account ID]],tblAccounts[account_id],tblAccounts[employee_count],""))</f>
        <v>761</v>
      </c>
      <c r="M10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0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07">
        <f>COUNTIF(tblApprovals[opportunity_id],tblDealDeskAudit[[#This Row],[Opportunity ID]])</f>
        <v>0</v>
      </c>
      <c r="P10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08" spans="1:16">
      <c r="A108" s="20" t="s">
        <v>5875</v>
      </c>
      <c r="B108" s="21" t="s">
        <v>296</v>
      </c>
      <c r="C108" s="21" t="s">
        <v>5681</v>
      </c>
      <c r="D108" s="29">
        <v>1.8</v>
      </c>
      <c r="E108" s="24">
        <v>49100</v>
      </c>
      <c r="F108" s="21" t="s">
        <v>5665</v>
      </c>
      <c r="G108" s="21" t="s">
        <v>5666</v>
      </c>
      <c r="H108" s="21" t="b">
        <v>0</v>
      </c>
      <c r="I108" s="21" t="b">
        <v>0</v>
      </c>
      <c r="J108" s="29">
        <v>9.1999999999999993</v>
      </c>
      <c r="K108" s="35" t="b">
        <v>0</v>
      </c>
      <c r="L108">
        <f>IF(COUNTIFS(tblAccounts[account_id],tblDealDeskAudit[[#This Row],[Account ID]],tblAccounts[employee_count],"")&gt;0,"",_xlfn.XLOOKUP(tblDealDeskAudit[[#This Row],[Account ID]],tblAccounts[account_id],tblAccounts[employee_count],""))</f>
        <v>586</v>
      </c>
      <c r="M10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0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08">
        <f>COUNTIF(tblApprovals[opportunity_id],tblDealDeskAudit[[#This Row],[Opportunity ID]])</f>
        <v>0</v>
      </c>
      <c r="P10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09" spans="1:16">
      <c r="A109" s="22" t="s">
        <v>2553</v>
      </c>
      <c r="B109" s="23" t="s">
        <v>311</v>
      </c>
      <c r="C109" s="23" t="s">
        <v>5675</v>
      </c>
      <c r="D109" s="30">
        <v>5.4</v>
      </c>
      <c r="E109" s="25">
        <v>62436</v>
      </c>
      <c r="F109" s="23" t="s">
        <v>5665</v>
      </c>
      <c r="G109" s="23" t="s">
        <v>5666</v>
      </c>
      <c r="H109" s="23" t="b">
        <v>0</v>
      </c>
      <c r="I109" s="23" t="b">
        <v>0</v>
      </c>
      <c r="J109" s="30">
        <v>6.1</v>
      </c>
      <c r="K109" s="36" t="b">
        <v>0</v>
      </c>
      <c r="L109">
        <f>IF(COUNTIFS(tblAccounts[account_id],tblDealDeskAudit[[#This Row],[Account ID]],tblAccounts[employee_count],"")&gt;0,"",_xlfn.XLOOKUP(tblDealDeskAudit[[#This Row],[Account ID]],tblAccounts[account_id],tblAccounts[employee_count],""))</f>
        <v>238</v>
      </c>
      <c r="M10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0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09">
        <f>COUNTIF(tblApprovals[opportunity_id],tblDealDeskAudit[[#This Row],[Opportunity ID]])</f>
        <v>0</v>
      </c>
      <c r="P10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10" spans="1:16">
      <c r="A110" s="20" t="s">
        <v>1369</v>
      </c>
      <c r="B110" s="21" t="s">
        <v>577</v>
      </c>
      <c r="C110" s="21" t="s">
        <v>5675</v>
      </c>
      <c r="D110" s="29">
        <v>1.4</v>
      </c>
      <c r="E110" s="24">
        <v>31552</v>
      </c>
      <c r="F110" s="21" t="s">
        <v>5665</v>
      </c>
      <c r="G110" s="21" t="s">
        <v>5666</v>
      </c>
      <c r="H110" s="21" t="b">
        <v>0</v>
      </c>
      <c r="I110" s="21" t="b">
        <v>0</v>
      </c>
      <c r="J110" s="29">
        <v>5.7</v>
      </c>
      <c r="K110" s="35" t="b">
        <v>0</v>
      </c>
      <c r="L110">
        <f>IF(COUNTIFS(tblAccounts[account_id],tblDealDeskAudit[[#This Row],[Account ID]],tblAccounts[employee_count],"")&gt;0,"",_xlfn.XLOOKUP(tblDealDeskAudit[[#This Row],[Account ID]],tblAccounts[account_id],tblAccounts[employee_count],""))</f>
        <v>148</v>
      </c>
      <c r="M11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10">
        <f>COUNTIF(tblApprovals[opportunity_id],tblDealDeskAudit[[#This Row],[Opportunity ID]])</f>
        <v>0</v>
      </c>
      <c r="P11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11" spans="1:16">
      <c r="A111" s="22" t="s">
        <v>5880</v>
      </c>
      <c r="B111" s="23" t="s">
        <v>533</v>
      </c>
      <c r="C111" s="23" t="s">
        <v>5686</v>
      </c>
      <c r="D111" s="30">
        <v>13.3</v>
      </c>
      <c r="E111" s="25">
        <v>26010</v>
      </c>
      <c r="F111" s="23" t="s">
        <v>5665</v>
      </c>
      <c r="G111" s="23" t="s">
        <v>5666</v>
      </c>
      <c r="H111" s="23" t="b">
        <v>0</v>
      </c>
      <c r="I111" s="23" t="b">
        <v>0</v>
      </c>
      <c r="J111" s="30">
        <v>22.2</v>
      </c>
      <c r="K111" s="36" t="b">
        <v>1</v>
      </c>
      <c r="L111">
        <f>IF(COUNTIFS(tblAccounts[account_id],tblDealDeskAudit[[#This Row],[Account ID]],tblAccounts[employee_count],"")&gt;0,"",_xlfn.XLOOKUP(tblDealDeskAudit[[#This Row],[Account ID]],tblAccounts[account_id],tblAccounts[employee_count],""))</f>
        <v>235</v>
      </c>
      <c r="M11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1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11">
        <f>COUNTIF(tblApprovals[opportunity_id],tblDealDeskAudit[[#This Row],[Opportunity ID]])</f>
        <v>1</v>
      </c>
      <c r="P11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12" spans="1:16">
      <c r="A112" s="20" t="s">
        <v>5883</v>
      </c>
      <c r="B112" s="21" t="s">
        <v>137</v>
      </c>
      <c r="C112" s="21" t="s">
        <v>5725</v>
      </c>
      <c r="D112" s="29">
        <v>8.1</v>
      </c>
      <c r="E112" s="24">
        <v>73520</v>
      </c>
      <c r="F112" s="21" t="s">
        <v>5665</v>
      </c>
      <c r="G112" s="21" t="s">
        <v>5666</v>
      </c>
      <c r="H112" s="21" t="b">
        <v>0</v>
      </c>
      <c r="I112" s="21" t="b">
        <v>0</v>
      </c>
      <c r="J112" s="29">
        <v>8.3000000000000007</v>
      </c>
      <c r="K112" s="35" t="b">
        <v>0</v>
      </c>
      <c r="L112">
        <f>IF(COUNTIFS(tblAccounts[account_id],tblDealDeskAudit[[#This Row],[Account ID]],tblAccounts[employee_count],"")&gt;0,"",_xlfn.XLOOKUP(tblDealDeskAudit[[#This Row],[Account ID]],tblAccounts[account_id],tblAccounts[employee_count],""))</f>
        <v>2147</v>
      </c>
      <c r="M11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12">
        <f>COUNTIF(tblApprovals[opportunity_id],tblDealDeskAudit[[#This Row],[Opportunity ID]])</f>
        <v>0</v>
      </c>
      <c r="P11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13" spans="1:16">
      <c r="A113" s="22" t="s">
        <v>1576</v>
      </c>
      <c r="B113" s="23" t="s">
        <v>209</v>
      </c>
      <c r="C113" s="23" t="s">
        <v>5675</v>
      </c>
      <c r="D113" s="30">
        <v>6.4</v>
      </c>
      <c r="E113" s="25">
        <v>63648</v>
      </c>
      <c r="F113" s="23" t="s">
        <v>5665</v>
      </c>
      <c r="G113" s="23" t="s">
        <v>5666</v>
      </c>
      <c r="H113" s="23" t="b">
        <v>0</v>
      </c>
      <c r="I113" s="23" t="b">
        <v>0</v>
      </c>
      <c r="J113" s="30">
        <v>10.5</v>
      </c>
      <c r="K113" s="36" t="b">
        <v>1</v>
      </c>
      <c r="L113">
        <f>IF(COUNTIFS(tblAccounts[account_id],tblDealDeskAudit[[#This Row],[Account ID]],tblAccounts[employee_count],"")&gt;0,"",_xlfn.XLOOKUP(tblDealDeskAudit[[#This Row],[Account ID]],tblAccounts[account_id],tblAccounts[employee_count],""))</f>
        <v>622</v>
      </c>
      <c r="M11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Unnecessary Flag</v>
      </c>
      <c r="O113">
        <f>COUNTIF(tblApprovals[opportunity_id],tblDealDeskAudit[[#This Row],[Opportunity ID]])</f>
        <v>0</v>
      </c>
      <c r="P11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14" spans="1:16">
      <c r="A114" s="20" t="s">
        <v>1536</v>
      </c>
      <c r="B114" s="21" t="s">
        <v>772</v>
      </c>
      <c r="C114" s="21" t="s">
        <v>5681</v>
      </c>
      <c r="D114" s="29">
        <v>3.6</v>
      </c>
      <c r="E114" s="24">
        <v>11568</v>
      </c>
      <c r="F114" s="21" t="s">
        <v>5735</v>
      </c>
      <c r="G114" s="21" t="s">
        <v>5666</v>
      </c>
      <c r="H114" s="21" t="b">
        <v>0</v>
      </c>
      <c r="I114" s="21" t="b">
        <v>0</v>
      </c>
      <c r="J114" s="29">
        <v>15</v>
      </c>
      <c r="K114" s="35" t="b">
        <v>1</v>
      </c>
      <c r="L114">
        <f>IF(COUNTIFS(tblAccounts[account_id],tblDealDeskAudit[[#This Row],[Account ID]],tblAccounts[employee_count],"")&gt;0,"",_xlfn.XLOOKUP(tblDealDeskAudit[[#This Row],[Account ID]],tblAccounts[account_id],tblAccounts[employee_count],""))</f>
        <v>73</v>
      </c>
      <c r="M11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1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14">
        <f>COUNTIF(tblApprovals[opportunity_id],tblDealDeskAudit[[#This Row],[Opportunity ID]])</f>
        <v>0</v>
      </c>
      <c r="P11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15" spans="1:16">
      <c r="A115" s="22" t="s">
        <v>5888</v>
      </c>
      <c r="B115" s="23" t="s">
        <v>92</v>
      </c>
      <c r="C115" s="23" t="s">
        <v>5669</v>
      </c>
      <c r="D115" s="30">
        <v>1.4</v>
      </c>
      <c r="E115" s="25">
        <v>25636</v>
      </c>
      <c r="F115" s="23" t="s">
        <v>5665</v>
      </c>
      <c r="G115" s="23" t="s">
        <v>5666</v>
      </c>
      <c r="H115" s="23" t="b">
        <v>0</v>
      </c>
      <c r="I115" s="23" t="b">
        <v>0</v>
      </c>
      <c r="J115" s="30">
        <v>7.3</v>
      </c>
      <c r="K115" s="36" t="b">
        <v>0</v>
      </c>
      <c r="L115">
        <f>IF(COUNTIFS(tblAccounts[account_id],tblDealDeskAudit[[#This Row],[Account ID]],tblAccounts[employee_count],"")&gt;0,"",_xlfn.XLOOKUP(tblDealDeskAudit[[#This Row],[Account ID]],tblAccounts[account_id],tblAccounts[employee_count],""))</f>
        <v>57</v>
      </c>
      <c r="M11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15">
        <f>COUNTIF(tblApprovals[opportunity_id],tblDealDeskAudit[[#This Row],[Opportunity ID]])</f>
        <v>0</v>
      </c>
      <c r="P11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16" spans="1:16">
      <c r="A116" s="20" t="s">
        <v>2358</v>
      </c>
      <c r="B116" s="21" t="s">
        <v>1025</v>
      </c>
      <c r="C116" s="21" t="s">
        <v>5663</v>
      </c>
      <c r="D116" s="29">
        <v>3.2</v>
      </c>
      <c r="E116" s="24">
        <v>77440</v>
      </c>
      <c r="F116" s="21" t="s">
        <v>5665</v>
      </c>
      <c r="G116" s="21" t="s">
        <v>5666</v>
      </c>
      <c r="H116" s="21" t="b">
        <v>0</v>
      </c>
      <c r="I116" s="21" t="b">
        <v>0</v>
      </c>
      <c r="J116" s="29">
        <v>19.2</v>
      </c>
      <c r="K116" s="35" t="b">
        <v>0</v>
      </c>
      <c r="L116">
        <f>IF(COUNTIFS(tblAccounts[account_id],tblDealDeskAudit[[#This Row],[Account ID]],tblAccounts[employee_count],"")&gt;0,"",_xlfn.XLOOKUP(tblDealDeskAudit[[#This Row],[Account ID]],tblAccounts[account_id],tblAccounts[employee_count],""))</f>
        <v>1510</v>
      </c>
      <c r="M11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16">
        <f>COUNTIF(tblApprovals[opportunity_id],tblDealDeskAudit[[#This Row],[Opportunity ID]])</f>
        <v>0</v>
      </c>
      <c r="P11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17" spans="1:16">
      <c r="A117" s="22" t="s">
        <v>1408</v>
      </c>
      <c r="B117" s="23" t="s">
        <v>137</v>
      </c>
      <c r="C117" s="23" t="s">
        <v>5663</v>
      </c>
      <c r="D117" s="30">
        <v>34.4</v>
      </c>
      <c r="E117" s="25">
        <v>44608</v>
      </c>
      <c r="F117" s="23" t="s">
        <v>5665</v>
      </c>
      <c r="G117" s="23" t="s">
        <v>5666</v>
      </c>
      <c r="H117" s="23" t="b">
        <v>0</v>
      </c>
      <c r="I117" s="23" t="b">
        <v>0</v>
      </c>
      <c r="J117" s="30">
        <v>3.2</v>
      </c>
      <c r="K117" s="36" t="b">
        <v>1</v>
      </c>
      <c r="L117">
        <f>IF(COUNTIFS(tblAccounts[account_id],tblDealDeskAudit[[#This Row],[Account ID]],tblAccounts[employee_count],"")&gt;0,"",_xlfn.XLOOKUP(tblDealDeskAudit[[#This Row],[Account ID]],tblAccounts[account_id],tblAccounts[employee_count],""))</f>
        <v>2147</v>
      </c>
      <c r="M11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1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17">
        <f>COUNTIF(tblApprovals[opportunity_id],tblDealDeskAudit[[#This Row],[Opportunity ID]])</f>
        <v>1</v>
      </c>
      <c r="P11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18" spans="1:16">
      <c r="A118" s="20" t="s">
        <v>5891</v>
      </c>
      <c r="B118" s="21" t="s">
        <v>885</v>
      </c>
      <c r="C118" s="21" t="s">
        <v>5740</v>
      </c>
      <c r="D118" s="29">
        <v>8.8000000000000007</v>
      </c>
      <c r="E118" s="24">
        <v>21888</v>
      </c>
      <c r="F118" s="21" t="s">
        <v>5665</v>
      </c>
      <c r="G118" s="21" t="s">
        <v>5666</v>
      </c>
      <c r="H118" s="21" t="b">
        <v>0</v>
      </c>
      <c r="I118" s="21" t="b">
        <v>0</v>
      </c>
      <c r="J118" s="29">
        <v>8.6999999999999993</v>
      </c>
      <c r="K118" s="35" t="b">
        <v>0</v>
      </c>
      <c r="L118">
        <f>IF(COUNTIFS(tblAccounts[account_id],tblDealDeskAudit[[#This Row],[Account ID]],tblAccounts[employee_count],"")&gt;0,"",_xlfn.XLOOKUP(tblDealDeskAudit[[#This Row],[Account ID]],tblAccounts[account_id],tblAccounts[employee_count],""))</f>
        <v>97</v>
      </c>
      <c r="M11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18">
        <f>COUNTIF(tblApprovals[opportunity_id],tblDealDeskAudit[[#This Row],[Opportunity ID]])</f>
        <v>0</v>
      </c>
      <c r="P11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19" spans="1:16">
      <c r="A119" s="22" t="s">
        <v>5893</v>
      </c>
      <c r="B119" s="23" t="s">
        <v>651</v>
      </c>
      <c r="C119" s="23" t="s">
        <v>5681</v>
      </c>
      <c r="D119" s="30">
        <v>7.5</v>
      </c>
      <c r="E119" s="25">
        <v>38850</v>
      </c>
      <c r="F119" s="23" t="s">
        <v>5665</v>
      </c>
      <c r="G119" s="23" t="s">
        <v>5666</v>
      </c>
      <c r="H119" s="23" t="b">
        <v>0</v>
      </c>
      <c r="I119" s="23" t="b">
        <v>0</v>
      </c>
      <c r="J119" s="30">
        <v>9.1</v>
      </c>
      <c r="K119" s="36" t="b">
        <v>0</v>
      </c>
      <c r="L119">
        <f>IF(COUNTIFS(tblAccounts[account_id],tblDealDeskAudit[[#This Row],[Account ID]],tblAccounts[employee_count],"")&gt;0,"",_xlfn.XLOOKUP(tblDealDeskAudit[[#This Row],[Account ID]],tblAccounts[account_id],tblAccounts[employee_count],""))</f>
        <v>119</v>
      </c>
      <c r="M11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1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19">
        <f>COUNTIF(tblApprovals[opportunity_id],tblDealDeskAudit[[#This Row],[Opportunity ID]])</f>
        <v>0</v>
      </c>
      <c r="P11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0" spans="1:16">
      <c r="A120" s="20" t="s">
        <v>5896</v>
      </c>
      <c r="B120" s="21" t="s">
        <v>530</v>
      </c>
      <c r="C120" s="21" t="s">
        <v>5725</v>
      </c>
      <c r="D120" s="29">
        <v>7.4</v>
      </c>
      <c r="E120" s="24">
        <v>18520</v>
      </c>
      <c r="F120" s="21" t="s">
        <v>5665</v>
      </c>
      <c r="G120" s="21" t="s">
        <v>5666</v>
      </c>
      <c r="H120" s="21" t="b">
        <v>0</v>
      </c>
      <c r="I120" s="21" t="b">
        <v>0</v>
      </c>
      <c r="J120" s="29">
        <v>3.2</v>
      </c>
      <c r="K120" s="35" t="b">
        <v>0</v>
      </c>
      <c r="L120">
        <f>IF(COUNTIFS(tblAccounts[account_id],tblDealDeskAudit[[#This Row],[Account ID]],tblAccounts[employee_count],"")&gt;0,"",_xlfn.XLOOKUP(tblDealDeskAudit[[#This Row],[Account ID]],tblAccounts[account_id],tblAccounts[employee_count],""))</f>
        <v>47</v>
      </c>
      <c r="M12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2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20">
        <f>COUNTIF(tblApprovals[opportunity_id],tblDealDeskAudit[[#This Row],[Opportunity ID]])</f>
        <v>0</v>
      </c>
      <c r="P12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1" spans="1:16">
      <c r="A121" s="22" t="s">
        <v>5899</v>
      </c>
      <c r="B121" s="23" t="s">
        <v>680</v>
      </c>
      <c r="C121" s="23" t="s">
        <v>5669</v>
      </c>
      <c r="D121" s="30">
        <v>18.100000000000001</v>
      </c>
      <c r="E121" s="25">
        <v>65520</v>
      </c>
      <c r="F121" s="23" t="s">
        <v>5665</v>
      </c>
      <c r="G121" s="23" t="s">
        <v>5666</v>
      </c>
      <c r="H121" s="23" t="b">
        <v>0</v>
      </c>
      <c r="I121" s="23" t="b">
        <v>0</v>
      </c>
      <c r="J121" s="30">
        <v>9.6</v>
      </c>
      <c r="K121" s="36" t="b">
        <v>1</v>
      </c>
      <c r="L121">
        <f>IF(COUNTIFS(tblAccounts[account_id],tblDealDeskAudit[[#This Row],[Account ID]],tblAccounts[employee_count],"")&gt;0,"",_xlfn.XLOOKUP(tblDealDeskAudit[[#This Row],[Account ID]],tblAccounts[account_id],tblAccounts[employee_count],""))</f>
        <v>3247</v>
      </c>
      <c r="M12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1">
        <f>COUNTIF(tblApprovals[opportunity_id],tblDealDeskAudit[[#This Row],[Opportunity ID]])</f>
        <v>1</v>
      </c>
      <c r="P12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2" spans="1:16">
      <c r="A122" s="20" t="s">
        <v>1817</v>
      </c>
      <c r="B122" s="21" t="s">
        <v>56</v>
      </c>
      <c r="C122" s="21" t="s">
        <v>5691</v>
      </c>
      <c r="D122" s="29">
        <v>20.3</v>
      </c>
      <c r="E122" s="24">
        <v>28692</v>
      </c>
      <c r="F122" s="21" t="s">
        <v>5677</v>
      </c>
      <c r="G122" s="21" t="s">
        <v>5666</v>
      </c>
      <c r="H122" s="21" t="b">
        <v>0</v>
      </c>
      <c r="I122" s="21" t="b">
        <v>0</v>
      </c>
      <c r="J122" s="29">
        <v>0.7</v>
      </c>
      <c r="K122" s="35" t="b">
        <v>1</v>
      </c>
      <c r="L122">
        <f>IF(COUNTIFS(tblAccounts[account_id],tblDealDeskAudit[[#This Row],[Account ID]],tblAccounts[employee_count],"")&gt;0,"",_xlfn.XLOOKUP(tblDealDeskAudit[[#This Row],[Account ID]],tblAccounts[account_id],tblAccounts[employee_count],""))</f>
        <v>148</v>
      </c>
      <c r="M12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2">
        <f>COUNTIF(tblApprovals[opportunity_id],tblDealDeskAudit[[#This Row],[Opportunity ID]])</f>
        <v>1</v>
      </c>
      <c r="P12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3" spans="1:16">
      <c r="A123" s="22" t="s">
        <v>5902</v>
      </c>
      <c r="B123" s="23" t="s">
        <v>240</v>
      </c>
      <c r="C123" s="23" t="s">
        <v>5663</v>
      </c>
      <c r="D123" s="30">
        <v>9.1999999999999993</v>
      </c>
      <c r="E123" s="25">
        <v>25424</v>
      </c>
      <c r="F123" s="23" t="s">
        <v>5688</v>
      </c>
      <c r="G123" s="23" t="s">
        <v>5666</v>
      </c>
      <c r="H123" s="23" t="b">
        <v>0</v>
      </c>
      <c r="I123" s="23" t="b">
        <v>0</v>
      </c>
      <c r="J123" s="30">
        <v>0</v>
      </c>
      <c r="K123" s="36" t="b">
        <v>1</v>
      </c>
      <c r="L123">
        <f>IF(COUNTIFS(tblAccounts[account_id],tblDealDeskAudit[[#This Row],[Account ID]],tblAccounts[employee_count],"")&gt;0,"",_xlfn.XLOOKUP(tblDealDeskAudit[[#This Row],[Account ID]],tblAccounts[account_id],tblAccounts[employee_count],""))</f>
        <v>462</v>
      </c>
      <c r="M12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3">
        <f>COUNTIF(tblApprovals[opportunity_id],tblDealDeskAudit[[#This Row],[Opportunity ID]])</f>
        <v>0</v>
      </c>
      <c r="P12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24" spans="1:16">
      <c r="A124" s="20" t="s">
        <v>5904</v>
      </c>
      <c r="B124" s="21" t="s">
        <v>345</v>
      </c>
      <c r="C124" s="21" t="s">
        <v>5740</v>
      </c>
      <c r="D124" s="29">
        <v>6.8</v>
      </c>
      <c r="E124" s="24">
        <v>11184</v>
      </c>
      <c r="F124" s="21" t="s">
        <v>5665</v>
      </c>
      <c r="G124" s="21" t="s">
        <v>5677</v>
      </c>
      <c r="H124" s="21" t="b">
        <v>0</v>
      </c>
      <c r="I124" s="21" t="b">
        <v>0</v>
      </c>
      <c r="J124" s="29">
        <v>6.7</v>
      </c>
      <c r="K124" s="35" t="b">
        <v>1</v>
      </c>
      <c r="L124">
        <f>IF(COUNTIFS(tblAccounts[account_id],tblDealDeskAudit[[#This Row],[Account ID]],tblAccounts[employee_count],"")&gt;0,"",_xlfn.XLOOKUP(tblDealDeskAudit[[#This Row],[Account ID]],tblAccounts[account_id],tblAccounts[employee_count],""))</f>
        <v>166</v>
      </c>
      <c r="M12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4">
        <f>COUNTIF(tblApprovals[opportunity_id],tblDealDeskAudit[[#This Row],[Opportunity ID]])</f>
        <v>0</v>
      </c>
      <c r="P12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5" spans="1:16">
      <c r="A125" s="22" t="s">
        <v>1999</v>
      </c>
      <c r="B125" s="23" t="s">
        <v>240</v>
      </c>
      <c r="C125" s="23" t="s">
        <v>5675</v>
      </c>
      <c r="D125" s="30">
        <v>17.2</v>
      </c>
      <c r="E125" s="25">
        <v>41400</v>
      </c>
      <c r="F125" s="23" t="s">
        <v>5735</v>
      </c>
      <c r="G125" s="23" t="s">
        <v>5666</v>
      </c>
      <c r="H125" s="23" t="b">
        <v>0</v>
      </c>
      <c r="I125" s="23" t="b">
        <v>0</v>
      </c>
      <c r="J125" s="30">
        <v>1.8</v>
      </c>
      <c r="K125" s="36" t="b">
        <v>1</v>
      </c>
      <c r="L125">
        <f>IF(COUNTIFS(tblAccounts[account_id],tblDealDeskAudit[[#This Row],[Account ID]],tblAccounts[employee_count],"")&gt;0,"",_xlfn.XLOOKUP(tblDealDeskAudit[[#This Row],[Account ID]],tblAccounts[account_id],tblAccounts[employee_count],""))</f>
        <v>462</v>
      </c>
      <c r="M12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5">
        <f>COUNTIF(tblApprovals[opportunity_id],tblDealDeskAudit[[#This Row],[Opportunity ID]])</f>
        <v>1</v>
      </c>
      <c r="P12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26" spans="1:16">
      <c r="A126" s="20" t="s">
        <v>1311</v>
      </c>
      <c r="B126" s="21" t="s">
        <v>977</v>
      </c>
      <c r="C126" s="21" t="s">
        <v>5740</v>
      </c>
      <c r="D126" s="29">
        <v>1.1000000000000001</v>
      </c>
      <c r="E126" s="24">
        <v>15824</v>
      </c>
      <c r="F126" s="21" t="s">
        <v>5735</v>
      </c>
      <c r="G126" s="21" t="s">
        <v>5677</v>
      </c>
      <c r="H126" s="21" t="b">
        <v>0</v>
      </c>
      <c r="I126" s="21" t="b">
        <v>0</v>
      </c>
      <c r="J126" s="29">
        <v>4</v>
      </c>
      <c r="K126" s="35" t="b">
        <v>1</v>
      </c>
      <c r="L126">
        <f>IF(COUNTIFS(tblAccounts[account_id],tblDealDeskAudit[[#This Row],[Account ID]],tblAccounts[employee_count],"")&gt;0,"",_xlfn.XLOOKUP(tblDealDeskAudit[[#This Row],[Account ID]],tblAccounts[account_id],tblAccounts[employee_count],""))</f>
        <v>111</v>
      </c>
      <c r="M12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6">
        <f>COUNTIF(tblApprovals[opportunity_id],tblDealDeskAudit[[#This Row],[Opportunity ID]])</f>
        <v>0</v>
      </c>
      <c r="P12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27" spans="1:16">
      <c r="A127" s="22" t="s">
        <v>1747</v>
      </c>
      <c r="B127" s="23" t="s">
        <v>803</v>
      </c>
      <c r="C127" s="23" t="s">
        <v>5675</v>
      </c>
      <c r="D127" s="30">
        <v>18.7</v>
      </c>
      <c r="E127" s="25">
        <v>40650</v>
      </c>
      <c r="F127" s="23" t="s">
        <v>5665</v>
      </c>
      <c r="G127" s="23" t="s">
        <v>5666</v>
      </c>
      <c r="H127" s="23" t="b">
        <v>0</v>
      </c>
      <c r="I127" s="23" t="b">
        <v>0</v>
      </c>
      <c r="J127" s="30">
        <v>0.6</v>
      </c>
      <c r="K127" s="36" t="b">
        <v>1</v>
      </c>
      <c r="L127">
        <f>IF(COUNTIFS(tblAccounts[account_id],tblDealDeskAudit[[#This Row],[Account ID]],tblAccounts[employee_count],"")&gt;0,"",_xlfn.XLOOKUP(tblDealDeskAudit[[#This Row],[Account ID]],tblAccounts[account_id],tblAccounts[employee_count],""))</f>
        <v>826</v>
      </c>
      <c r="M12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7">
        <f>COUNTIF(tblApprovals[opportunity_id],tblDealDeskAudit[[#This Row],[Opportunity ID]])</f>
        <v>0</v>
      </c>
      <c r="P12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28" spans="1:16">
      <c r="A128" s="20" t="s">
        <v>1742</v>
      </c>
      <c r="B128" s="21" t="s">
        <v>265</v>
      </c>
      <c r="C128" s="21" t="s">
        <v>5675</v>
      </c>
      <c r="D128" s="29">
        <v>6.4</v>
      </c>
      <c r="E128" s="24">
        <v>63648</v>
      </c>
      <c r="F128" s="21" t="s">
        <v>5677</v>
      </c>
      <c r="G128" s="21" t="s">
        <v>5693</v>
      </c>
      <c r="H128" s="21" t="b">
        <v>0</v>
      </c>
      <c r="I128" s="21" t="b">
        <v>0</v>
      </c>
      <c r="J128" s="29">
        <v>6.8</v>
      </c>
      <c r="K128" s="35" t="b">
        <v>1</v>
      </c>
      <c r="L128">
        <f>IF(COUNTIFS(tblAccounts[account_id],tblDealDeskAudit[[#This Row],[Account ID]],tblAccounts[employee_count],"")&gt;0,"",_xlfn.XLOOKUP(tblDealDeskAudit[[#This Row],[Account ID]],tblAccounts[account_id],tblAccounts[employee_count],""))</f>
        <v>718</v>
      </c>
      <c r="M12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8">
        <f>COUNTIF(tblApprovals[opportunity_id],tblDealDeskAudit[[#This Row],[Opportunity ID]])</f>
        <v>1</v>
      </c>
      <c r="P12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29" spans="1:16">
      <c r="A129" s="22" t="s">
        <v>2252</v>
      </c>
      <c r="B129" s="23" t="s">
        <v>183</v>
      </c>
      <c r="C129" s="23" t="s">
        <v>5675</v>
      </c>
      <c r="D129" s="30">
        <v>8.1999999999999993</v>
      </c>
      <c r="E129" s="25">
        <v>27540</v>
      </c>
      <c r="F129" s="23" t="s">
        <v>5735</v>
      </c>
      <c r="G129" s="23" t="s">
        <v>5677</v>
      </c>
      <c r="H129" s="23" t="b">
        <v>0</v>
      </c>
      <c r="I129" s="23" t="b">
        <v>0</v>
      </c>
      <c r="J129" s="30">
        <v>5.5</v>
      </c>
      <c r="K129" s="36" t="b">
        <v>1</v>
      </c>
      <c r="L129">
        <f>IF(COUNTIFS(tblAccounts[account_id],tblDealDeskAudit[[#This Row],[Account ID]],tblAccounts[employee_count],"")&gt;0,"",_xlfn.XLOOKUP(tblDealDeskAudit[[#This Row],[Account ID]],tblAccounts[account_id],tblAccounts[employee_count],""))</f>
        <v>128</v>
      </c>
      <c r="M12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2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29">
        <f>COUNTIF(tblApprovals[opportunity_id],tblDealDeskAudit[[#This Row],[Opportunity ID]])</f>
        <v>0</v>
      </c>
      <c r="P12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30" spans="1:16">
      <c r="A130" s="20" t="s">
        <v>5910</v>
      </c>
      <c r="B130" s="21" t="s">
        <v>600</v>
      </c>
      <c r="C130" s="21" t="s">
        <v>5686</v>
      </c>
      <c r="D130" s="29">
        <v>22.8</v>
      </c>
      <c r="E130" s="24">
        <v>38600</v>
      </c>
      <c r="F130" s="21" t="s">
        <v>5665</v>
      </c>
      <c r="G130" s="21" t="s">
        <v>5666</v>
      </c>
      <c r="H130" s="21" t="b">
        <v>0</v>
      </c>
      <c r="I130" s="21" t="b">
        <v>0</v>
      </c>
      <c r="J130" s="29">
        <v>17.7</v>
      </c>
      <c r="K130" s="35" t="b">
        <v>0</v>
      </c>
      <c r="L130">
        <f>IF(COUNTIFS(tblAccounts[account_id],tblDealDeskAudit[[#This Row],[Account ID]],tblAccounts[employee_count],"")&gt;0,"",_xlfn.XLOOKUP(tblDealDeskAudit[[#This Row],[Account ID]],tblAccounts[account_id],tblAccounts[employee_count],""))</f>
        <v>129</v>
      </c>
      <c r="M13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130">
        <f>COUNTIF(tblApprovals[opportunity_id],tblDealDeskAudit[[#This Row],[Opportunity ID]])</f>
        <v>1</v>
      </c>
      <c r="P13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31" spans="1:16">
      <c r="A131" s="22" t="s">
        <v>5911</v>
      </c>
      <c r="B131" s="23" t="s">
        <v>942</v>
      </c>
      <c r="C131" s="23" t="s">
        <v>5663</v>
      </c>
      <c r="D131" s="30">
        <v>5.7</v>
      </c>
      <c r="E131" s="25">
        <v>35834</v>
      </c>
      <c r="F131" s="23" t="s">
        <v>5665</v>
      </c>
      <c r="G131" s="23" t="s">
        <v>5666</v>
      </c>
      <c r="H131" s="23" t="b">
        <v>0</v>
      </c>
      <c r="I131" s="23" t="b">
        <v>0</v>
      </c>
      <c r="J131" s="30">
        <v>5.2</v>
      </c>
      <c r="K131" s="36" t="b">
        <v>0</v>
      </c>
      <c r="L131">
        <f>IF(COUNTIFS(tblAccounts[account_id],tblDealDeskAudit[[#This Row],[Account ID]],tblAccounts[employee_count],"")&gt;0,"",_xlfn.XLOOKUP(tblDealDeskAudit[[#This Row],[Account ID]],tblAccounts[account_id],tblAccounts[employee_count],""))</f>
        <v>783</v>
      </c>
      <c r="M13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3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31">
        <f>COUNTIF(tblApprovals[opportunity_id],tblDealDeskAudit[[#This Row],[Opportunity ID]])</f>
        <v>0</v>
      </c>
      <c r="P13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32" spans="1:16">
      <c r="A132" s="20" t="s">
        <v>1571</v>
      </c>
      <c r="B132" s="21" t="s">
        <v>73</v>
      </c>
      <c r="C132" s="21" t="s">
        <v>5691</v>
      </c>
      <c r="D132" s="29">
        <v>18</v>
      </c>
      <c r="E132" s="24">
        <v>49200</v>
      </c>
      <c r="F132" s="21" t="s">
        <v>5735</v>
      </c>
      <c r="G132" s="21" t="s">
        <v>5666</v>
      </c>
      <c r="H132" s="21" t="b">
        <v>1</v>
      </c>
      <c r="I132" s="21" t="b">
        <v>0</v>
      </c>
      <c r="J132" s="29">
        <v>1.9</v>
      </c>
      <c r="K132" s="35" t="b">
        <v>1</v>
      </c>
      <c r="L132">
        <f>IF(COUNTIFS(tblAccounts[account_id],tblDealDeskAudit[[#This Row],[Account ID]],tblAccounts[employee_count],"")&gt;0,"",_xlfn.XLOOKUP(tblDealDeskAudit[[#This Row],[Account ID]],tblAccounts[account_id],tblAccounts[employee_count],""))</f>
        <v>2018</v>
      </c>
      <c r="M13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2">
        <f>COUNTIF(tblApprovals[opportunity_id],tblDealDeskAudit[[#This Row],[Opportunity ID]])</f>
        <v>0</v>
      </c>
      <c r="P13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33" spans="1:16">
      <c r="A133" s="22" t="s">
        <v>5913</v>
      </c>
      <c r="B133" s="23" t="s">
        <v>165</v>
      </c>
      <c r="C133" s="23" t="s">
        <v>5663</v>
      </c>
      <c r="D133" s="30">
        <v>6.4</v>
      </c>
      <c r="E133" s="25">
        <v>18720</v>
      </c>
      <c r="F133" s="23" t="s">
        <v>5665</v>
      </c>
      <c r="G133" s="23" t="s">
        <v>5666</v>
      </c>
      <c r="H133" s="23" t="b">
        <v>0</v>
      </c>
      <c r="I133" s="23" t="b">
        <v>0</v>
      </c>
      <c r="J133" s="30">
        <v>0</v>
      </c>
      <c r="K133" s="36" t="b">
        <v>0</v>
      </c>
      <c r="L133">
        <f>IF(COUNTIFS(tblAccounts[account_id],tblDealDeskAudit[[#This Row],[Account ID]],tblAccounts[employee_count],"")&gt;0,"",_xlfn.XLOOKUP(tblDealDeskAudit[[#This Row],[Account ID]],tblAccounts[account_id],tblAccounts[employee_count],""))</f>
        <v>149</v>
      </c>
      <c r="M13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3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33">
        <f>COUNTIF(tblApprovals[opportunity_id],tblDealDeskAudit[[#This Row],[Opportunity ID]])</f>
        <v>0</v>
      </c>
      <c r="P13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34" spans="1:16">
      <c r="A134" s="20" t="s">
        <v>2175</v>
      </c>
      <c r="B134" s="21" t="s">
        <v>942</v>
      </c>
      <c r="C134" s="21" t="s">
        <v>5663</v>
      </c>
      <c r="D134" s="29">
        <v>2.8</v>
      </c>
      <c r="E134" s="24">
        <v>62208</v>
      </c>
      <c r="F134" s="21" t="s">
        <v>5665</v>
      </c>
      <c r="G134" s="21" t="s">
        <v>5780</v>
      </c>
      <c r="H134" s="21" t="b">
        <v>0</v>
      </c>
      <c r="I134" s="21" t="b">
        <v>0</v>
      </c>
      <c r="J134" s="29">
        <v>3.4</v>
      </c>
      <c r="K134" s="35" t="b">
        <v>1</v>
      </c>
      <c r="L134">
        <f>IF(COUNTIFS(tblAccounts[account_id],tblDealDeskAudit[[#This Row],[Account ID]],tblAccounts[employee_count],"")&gt;0,"",_xlfn.XLOOKUP(tblDealDeskAudit[[#This Row],[Account ID]],tblAccounts[account_id],tblAccounts[employee_count],""))</f>
        <v>783</v>
      </c>
      <c r="M13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4">
        <f>COUNTIF(tblApprovals[opportunity_id],tblDealDeskAudit[[#This Row],[Opportunity ID]])</f>
        <v>1</v>
      </c>
      <c r="P13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35" spans="1:16">
      <c r="A135" s="22" t="s">
        <v>5916</v>
      </c>
      <c r="B135" s="23" t="s">
        <v>623</v>
      </c>
      <c r="C135" s="23" t="s">
        <v>5740</v>
      </c>
      <c r="D135" s="30">
        <v>21.4</v>
      </c>
      <c r="E135" s="25">
        <v>14148</v>
      </c>
      <c r="F135" s="23" t="s">
        <v>5665</v>
      </c>
      <c r="G135" s="23" t="s">
        <v>5666</v>
      </c>
      <c r="H135" s="23" t="b">
        <v>0</v>
      </c>
      <c r="I135" s="23" t="b">
        <v>0</v>
      </c>
      <c r="J135" s="30">
        <v>0</v>
      </c>
      <c r="K135" s="36" t="b">
        <v>1</v>
      </c>
      <c r="L135">
        <f>IF(COUNTIFS(tblAccounts[account_id],tblDealDeskAudit[[#This Row],[Account ID]],tblAccounts[employee_count],"")&gt;0,"",_xlfn.XLOOKUP(tblDealDeskAudit[[#This Row],[Account ID]],tblAccounts[account_id],tblAccounts[employee_count],""))</f>
        <v>96</v>
      </c>
      <c r="M13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5">
        <f>COUNTIF(tblApprovals[opportunity_id],tblDealDeskAudit[[#This Row],[Opportunity ID]])</f>
        <v>0</v>
      </c>
      <c r="P13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36" spans="1:16">
      <c r="A136" s="20" t="s">
        <v>1719</v>
      </c>
      <c r="B136" s="21" t="s">
        <v>509</v>
      </c>
      <c r="C136" s="21" t="s">
        <v>5663</v>
      </c>
      <c r="D136" s="29">
        <v>16.5</v>
      </c>
      <c r="E136" s="24">
        <v>15030</v>
      </c>
      <c r="F136" s="21" t="s">
        <v>5665</v>
      </c>
      <c r="G136" s="21" t="s">
        <v>5666</v>
      </c>
      <c r="H136" s="21" t="b">
        <v>0</v>
      </c>
      <c r="I136" s="21" t="b">
        <v>0</v>
      </c>
      <c r="J136" s="29">
        <v>14.7</v>
      </c>
      <c r="K136" s="35" t="b">
        <v>1</v>
      </c>
      <c r="L136">
        <f>IF(COUNTIFS(tblAccounts[account_id],tblDealDeskAudit[[#This Row],[Account ID]],tblAccounts[employee_count],"")&gt;0,"",_xlfn.XLOOKUP(tblDealDeskAudit[[#This Row],[Account ID]],tblAccounts[account_id],tblAccounts[employee_count],""))</f>
        <v>82</v>
      </c>
      <c r="M13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6">
        <f>COUNTIF(tblApprovals[opportunity_id],tblDealDeskAudit[[#This Row],[Opportunity ID]])</f>
        <v>0</v>
      </c>
      <c r="P13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37" spans="1:16">
      <c r="A137" s="22" t="s">
        <v>5919</v>
      </c>
      <c r="B137" s="23" t="s">
        <v>945</v>
      </c>
      <c r="C137" s="23" t="s">
        <v>5663</v>
      </c>
      <c r="D137" s="30">
        <v>21.4</v>
      </c>
      <c r="E137" s="25">
        <v>33012</v>
      </c>
      <c r="F137" s="23" t="s">
        <v>5665</v>
      </c>
      <c r="G137" s="23" t="s">
        <v>5666</v>
      </c>
      <c r="H137" s="23" t="b">
        <v>0</v>
      </c>
      <c r="I137" s="23" t="b">
        <v>0</v>
      </c>
      <c r="J137" s="30">
        <v>3.9</v>
      </c>
      <c r="K137" s="36" t="b">
        <v>1</v>
      </c>
      <c r="L137">
        <f>IF(COUNTIFS(tblAccounts[account_id],tblDealDeskAudit[[#This Row],[Account ID]],tblAccounts[employee_count],"")&gt;0,"",_xlfn.XLOOKUP(tblDealDeskAudit[[#This Row],[Account ID]],tblAccounts[account_id],tblAccounts[employee_count],""))</f>
        <v>452</v>
      </c>
      <c r="M13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7">
        <f>COUNTIF(tblApprovals[opportunity_id],tblDealDeskAudit[[#This Row],[Opportunity ID]])</f>
        <v>1</v>
      </c>
      <c r="P13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38" spans="1:16">
      <c r="A138" s="20" t="s">
        <v>5921</v>
      </c>
      <c r="B138" s="21" t="s">
        <v>748</v>
      </c>
      <c r="C138" s="21" t="s">
        <v>5663</v>
      </c>
      <c r="D138" s="29">
        <v>8.3000000000000007</v>
      </c>
      <c r="E138" s="24">
        <v>53186</v>
      </c>
      <c r="F138" s="21" t="s">
        <v>5665</v>
      </c>
      <c r="G138" s="21" t="s">
        <v>5693</v>
      </c>
      <c r="H138" s="21" t="b">
        <v>0</v>
      </c>
      <c r="I138" s="21" t="b">
        <v>0</v>
      </c>
      <c r="J138" s="29">
        <v>2.4</v>
      </c>
      <c r="K138" s="35" t="b">
        <v>1</v>
      </c>
      <c r="L138">
        <f>IF(COUNTIFS(tblAccounts[account_id],tblDealDeskAudit[[#This Row],[Account ID]],tblAccounts[employee_count],"")&gt;0,"",_xlfn.XLOOKUP(tblDealDeskAudit[[#This Row],[Account ID]],tblAccounts[account_id],tblAccounts[employee_count],""))</f>
        <v>695</v>
      </c>
      <c r="M13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8">
        <f>COUNTIF(tblApprovals[opportunity_id],tblDealDeskAudit[[#This Row],[Opportunity ID]])</f>
        <v>0</v>
      </c>
      <c r="P13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39" spans="1:16">
      <c r="A139" s="22" t="s">
        <v>2377</v>
      </c>
      <c r="B139" s="23" t="s">
        <v>876</v>
      </c>
      <c r="C139" s="23" t="s">
        <v>5740</v>
      </c>
      <c r="D139" s="30">
        <v>22.2</v>
      </c>
      <c r="E139" s="25">
        <v>32676</v>
      </c>
      <c r="F139" s="23" t="s">
        <v>5665</v>
      </c>
      <c r="G139" s="23" t="s">
        <v>5666</v>
      </c>
      <c r="H139" s="23" t="b">
        <v>0</v>
      </c>
      <c r="I139" s="23" t="b">
        <v>1</v>
      </c>
      <c r="J139" s="30">
        <v>2.6</v>
      </c>
      <c r="K139" s="36" t="b">
        <v>1</v>
      </c>
      <c r="L139">
        <f>IF(COUNTIFS(tblAccounts[account_id],tblDealDeskAudit[[#This Row],[Account ID]],tblAccounts[employee_count],"")&gt;0,"",_xlfn.XLOOKUP(tblDealDeskAudit[[#This Row],[Account ID]],tblAccounts[account_id],tblAccounts[employee_count],""))</f>
        <v>587</v>
      </c>
      <c r="M13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3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39">
        <f>COUNTIF(tblApprovals[opportunity_id],tblDealDeskAudit[[#This Row],[Opportunity ID]])</f>
        <v>1</v>
      </c>
      <c r="P13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40" spans="1:16">
      <c r="A140" s="20" t="s">
        <v>2443</v>
      </c>
      <c r="B140" s="21" t="s">
        <v>246</v>
      </c>
      <c r="C140" s="21" t="s">
        <v>5725</v>
      </c>
      <c r="D140" s="29">
        <v>6.4</v>
      </c>
      <c r="E140" s="24">
        <v>82368</v>
      </c>
      <c r="F140" s="21" t="s">
        <v>5665</v>
      </c>
      <c r="G140" s="21" t="s">
        <v>5666</v>
      </c>
      <c r="H140" s="21" t="b">
        <v>0</v>
      </c>
      <c r="I140" s="21" t="b">
        <v>0</v>
      </c>
      <c r="J140" s="29">
        <v>13.4</v>
      </c>
      <c r="K140" s="35" t="b">
        <v>0</v>
      </c>
      <c r="L140">
        <f>IF(COUNTIFS(tblAccounts[account_id],tblDealDeskAudit[[#This Row],[Account ID]],tblAccounts[employee_count],"")&gt;0,"",_xlfn.XLOOKUP(tblDealDeskAudit[[#This Row],[Account ID]],tblAccounts[account_id],tblAccounts[employee_count],""))</f>
        <v>2096</v>
      </c>
      <c r="M14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0">
        <f>COUNTIF(tblApprovals[opportunity_id],tblDealDeskAudit[[#This Row],[Opportunity ID]])</f>
        <v>0</v>
      </c>
      <c r="P14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41" spans="1:16">
      <c r="A141" s="22" t="s">
        <v>5925</v>
      </c>
      <c r="B141" s="23" t="s">
        <v>183</v>
      </c>
      <c r="C141" s="23" t="s">
        <v>5686</v>
      </c>
      <c r="D141" s="30">
        <v>6.1</v>
      </c>
      <c r="E141" s="25">
        <v>15024</v>
      </c>
      <c r="F141" s="23" t="s">
        <v>5665</v>
      </c>
      <c r="G141" s="23" t="s">
        <v>5666</v>
      </c>
      <c r="H141" s="23" t="b">
        <v>0</v>
      </c>
      <c r="I141" s="23" t="b">
        <v>0</v>
      </c>
      <c r="J141" s="30">
        <v>4.2</v>
      </c>
      <c r="K141" s="36" t="b">
        <v>0</v>
      </c>
      <c r="L141">
        <f>IF(COUNTIFS(tblAccounts[account_id],tblDealDeskAudit[[#This Row],[Account ID]],tblAccounts[employee_count],"")&gt;0,"",_xlfn.XLOOKUP(tblDealDeskAudit[[#This Row],[Account ID]],tblAccounts[account_id],tblAccounts[employee_count],""))</f>
        <v>128</v>
      </c>
      <c r="M14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1">
        <f>COUNTIF(tblApprovals[opportunity_id],tblDealDeskAudit[[#This Row],[Opportunity ID]])</f>
        <v>0</v>
      </c>
      <c r="P14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42" spans="1:16">
      <c r="A142" s="20" t="s">
        <v>1382</v>
      </c>
      <c r="B142" s="21" t="s">
        <v>230</v>
      </c>
      <c r="C142" s="21" t="s">
        <v>5681</v>
      </c>
      <c r="D142" s="29">
        <v>7.9</v>
      </c>
      <c r="E142" s="24">
        <v>31314</v>
      </c>
      <c r="F142" s="21" t="s">
        <v>5665</v>
      </c>
      <c r="G142" s="21" t="s">
        <v>5666</v>
      </c>
      <c r="H142" s="21" t="b">
        <v>0</v>
      </c>
      <c r="I142" s="21" t="b">
        <v>0</v>
      </c>
      <c r="J142" s="29">
        <v>8</v>
      </c>
      <c r="K142" s="35" t="b">
        <v>0</v>
      </c>
      <c r="L142">
        <f>IF(COUNTIFS(tblAccounts[account_id],tblDealDeskAudit[[#This Row],[Account ID]],tblAccounts[employee_count],"")&gt;0,"",_xlfn.XLOOKUP(tblDealDeskAudit[[#This Row],[Account ID]],tblAccounts[account_id],tblAccounts[employee_count],""))</f>
        <v>113</v>
      </c>
      <c r="M14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2">
        <f>COUNTIF(tblApprovals[opportunity_id],tblDealDeskAudit[[#This Row],[Opportunity ID]])</f>
        <v>0</v>
      </c>
      <c r="P14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43" spans="1:16">
      <c r="A143" s="22" t="s">
        <v>1561</v>
      </c>
      <c r="B143" s="23" t="s">
        <v>382</v>
      </c>
      <c r="C143" s="23" t="s">
        <v>5675</v>
      </c>
      <c r="D143" s="30">
        <v>6.8</v>
      </c>
      <c r="E143" s="25">
        <v>67104</v>
      </c>
      <c r="F143" s="23" t="s">
        <v>5665</v>
      </c>
      <c r="G143" s="23" t="s">
        <v>5666</v>
      </c>
      <c r="H143" s="23" t="b">
        <v>0</v>
      </c>
      <c r="I143" s="23" t="b">
        <v>0</v>
      </c>
      <c r="J143" s="30">
        <v>7.9</v>
      </c>
      <c r="K143" s="36" t="b">
        <v>0</v>
      </c>
      <c r="L143">
        <f>IF(COUNTIFS(tblAccounts[account_id],tblDealDeskAudit[[#This Row],[Account ID]],tblAccounts[employee_count],"")&gt;0,"",_xlfn.XLOOKUP(tblDealDeskAudit[[#This Row],[Account ID]],tblAccounts[account_id],tblAccounts[employee_count],""))</f>
        <v>609</v>
      </c>
      <c r="M14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3">
        <f>COUNTIF(tblApprovals[opportunity_id],tblDealDeskAudit[[#This Row],[Opportunity ID]])</f>
        <v>0</v>
      </c>
      <c r="P14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44" spans="1:16">
      <c r="A144" s="20" t="s">
        <v>5928</v>
      </c>
      <c r="B144" s="21" t="s">
        <v>360</v>
      </c>
      <c r="C144" s="21" t="s">
        <v>5663</v>
      </c>
      <c r="D144" s="29">
        <v>4.5</v>
      </c>
      <c r="E144" s="24">
        <v>28650</v>
      </c>
      <c r="F144" s="21" t="s">
        <v>5665</v>
      </c>
      <c r="G144" s="21" t="s">
        <v>5666</v>
      </c>
      <c r="H144" s="21" t="b">
        <v>0</v>
      </c>
      <c r="I144" s="21" t="b">
        <v>0</v>
      </c>
      <c r="J144" s="29">
        <v>20</v>
      </c>
      <c r="K144" s="35" t="b">
        <v>0</v>
      </c>
      <c r="L144">
        <f>IF(COUNTIFS(tblAccounts[account_id],tblDealDeskAudit[[#This Row],[Account ID]],tblAccounts[employee_count],"")&gt;0,"",_xlfn.XLOOKUP(tblDealDeskAudit[[#This Row],[Account ID]],tblAccounts[account_id],tblAccounts[employee_count],""))</f>
        <v>87</v>
      </c>
      <c r="M14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4">
        <f>COUNTIF(tblApprovals[opportunity_id],tblDealDeskAudit[[#This Row],[Opportunity ID]])</f>
        <v>0</v>
      </c>
      <c r="P14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45" spans="1:16">
      <c r="A145" s="22" t="s">
        <v>2114</v>
      </c>
      <c r="B145" s="23" t="s">
        <v>918</v>
      </c>
      <c r="C145" s="23" t="s">
        <v>5663</v>
      </c>
      <c r="D145" s="30">
        <v>3</v>
      </c>
      <c r="E145" s="25">
        <v>83420</v>
      </c>
      <c r="F145" s="23" t="s">
        <v>5665</v>
      </c>
      <c r="G145" s="23" t="s">
        <v>5666</v>
      </c>
      <c r="H145" s="23" t="b">
        <v>0</v>
      </c>
      <c r="I145" s="23" t="b">
        <v>0</v>
      </c>
      <c r="J145" s="30">
        <v>11.5</v>
      </c>
      <c r="K145" s="36" t="b">
        <v>0</v>
      </c>
      <c r="L145">
        <f>IF(COUNTIFS(tblAccounts[account_id],tblDealDeskAudit[[#This Row],[Account ID]],tblAccounts[employee_count],"")&gt;0,"",_xlfn.XLOOKUP(tblDealDeskAudit[[#This Row],[Account ID]],tblAccounts[account_id],tblAccounts[employee_count],""))</f>
        <v>1561</v>
      </c>
      <c r="M14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5">
        <f>COUNTIF(tblApprovals[opportunity_id],tblDealDeskAudit[[#This Row],[Opportunity ID]])</f>
        <v>0</v>
      </c>
      <c r="P14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46" spans="1:16">
      <c r="A146" s="20" t="s">
        <v>5929</v>
      </c>
      <c r="B146" s="21" t="s">
        <v>453</v>
      </c>
      <c r="C146" s="21" t="s">
        <v>5681</v>
      </c>
      <c r="D146" s="29">
        <v>3.8</v>
      </c>
      <c r="E146" s="24">
        <v>34632</v>
      </c>
      <c r="F146" s="21" t="s">
        <v>5665</v>
      </c>
      <c r="G146" s="21" t="s">
        <v>5693</v>
      </c>
      <c r="H146" s="21" t="b">
        <v>0</v>
      </c>
      <c r="I146" s="21" t="b">
        <v>0</v>
      </c>
      <c r="J146" s="29">
        <v>7.2</v>
      </c>
      <c r="K146" s="35" t="b">
        <v>1</v>
      </c>
      <c r="L146">
        <f>IF(COUNTIFS(tblAccounts[account_id],tblDealDeskAudit[[#This Row],[Account ID]],tblAccounts[employee_count],"")&gt;0,"",_xlfn.XLOOKUP(tblDealDeskAudit[[#This Row],[Account ID]],tblAccounts[account_id],tblAccounts[employee_count],""))</f>
        <v>162</v>
      </c>
      <c r="M14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4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46">
        <f>COUNTIF(tblApprovals[opportunity_id],tblDealDeskAudit[[#This Row],[Opportunity ID]])</f>
        <v>0</v>
      </c>
      <c r="P14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47" spans="1:16">
      <c r="A147" s="22" t="s">
        <v>2537</v>
      </c>
      <c r="B147" s="23" t="s">
        <v>789</v>
      </c>
      <c r="C147" s="23" t="s">
        <v>5675</v>
      </c>
      <c r="D147" s="30">
        <v>13.8</v>
      </c>
      <c r="E147" s="25">
        <v>27584</v>
      </c>
      <c r="F147" s="23" t="s">
        <v>5665</v>
      </c>
      <c r="G147" s="23" t="s">
        <v>5666</v>
      </c>
      <c r="H147" s="23" t="b">
        <v>0</v>
      </c>
      <c r="I147" s="23" t="b">
        <v>0</v>
      </c>
      <c r="J147" s="30">
        <v>4.3</v>
      </c>
      <c r="K147" s="36" t="b">
        <v>1</v>
      </c>
      <c r="L147">
        <f>IF(COUNTIFS(tblAccounts[account_id],tblDealDeskAudit[[#This Row],[Account ID]],tblAccounts[employee_count],"")&gt;0,"",_xlfn.XLOOKUP(tblDealDeskAudit[[#This Row],[Account ID]],tblAccounts[account_id],tblAccounts[employee_count],""))</f>
        <v>55</v>
      </c>
      <c r="M14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4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47">
        <f>COUNTIF(tblApprovals[opportunity_id],tblDealDeskAudit[[#This Row],[Opportunity ID]])</f>
        <v>0</v>
      </c>
      <c r="P14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48" spans="1:16">
      <c r="A148" s="20" t="s">
        <v>5932</v>
      </c>
      <c r="B148" s="21" t="s">
        <v>963</v>
      </c>
      <c r="C148" s="21" t="s">
        <v>5686</v>
      </c>
      <c r="D148" s="29">
        <v>4.0999999999999996</v>
      </c>
      <c r="E148" s="24">
        <v>32606</v>
      </c>
      <c r="F148" s="21" t="s">
        <v>5665</v>
      </c>
      <c r="G148" s="21" t="s">
        <v>5666</v>
      </c>
      <c r="H148" s="21" t="b">
        <v>0</v>
      </c>
      <c r="I148" s="21" t="b">
        <v>0</v>
      </c>
      <c r="J148" s="29">
        <v>0.8</v>
      </c>
      <c r="K148" s="35" t="b">
        <v>0</v>
      </c>
      <c r="L148">
        <f>IF(COUNTIFS(tblAccounts[account_id],tblDealDeskAudit[[#This Row],[Account ID]],tblAccounts[employee_count],"")&gt;0,"",_xlfn.XLOOKUP(tblDealDeskAudit[[#This Row],[Account ID]],tblAccounts[account_id],tblAccounts[employee_count],""))</f>
        <v>314</v>
      </c>
      <c r="M14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4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48">
        <f>COUNTIF(tblApprovals[opportunity_id],tblDealDeskAudit[[#This Row],[Opportunity ID]])</f>
        <v>0</v>
      </c>
      <c r="P14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49" spans="1:16">
      <c r="A149" s="22" t="s">
        <v>1324</v>
      </c>
      <c r="B149" s="23" t="s">
        <v>703</v>
      </c>
      <c r="C149" s="23" t="s">
        <v>5675</v>
      </c>
      <c r="D149" s="30">
        <v>3.2</v>
      </c>
      <c r="E149" s="25">
        <v>11616</v>
      </c>
      <c r="F149" s="23" t="s">
        <v>5688</v>
      </c>
      <c r="G149" s="23" t="s">
        <v>5666</v>
      </c>
      <c r="H149" s="23" t="b">
        <v>0</v>
      </c>
      <c r="I149" s="23" t="b">
        <v>0</v>
      </c>
      <c r="J149" s="30">
        <v>0.2</v>
      </c>
      <c r="K149" s="36" t="b">
        <v>1</v>
      </c>
      <c r="L149">
        <f>IF(COUNTIFS(tblAccounts[account_id],tblDealDeskAudit[[#This Row],[Account ID]],tblAccounts[employee_count],"")&gt;0,"",_xlfn.XLOOKUP(tblDealDeskAudit[[#This Row],[Account ID]],tblAccounts[account_id],tblAccounts[employee_count],""))</f>
        <v>93</v>
      </c>
      <c r="M14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4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49">
        <f>COUNTIF(tblApprovals[opportunity_id],tblDealDeskAudit[[#This Row],[Opportunity ID]])</f>
        <v>0</v>
      </c>
      <c r="P14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50" spans="1:16">
      <c r="A150" s="20" t="s">
        <v>2513</v>
      </c>
      <c r="B150" s="21" t="s">
        <v>612</v>
      </c>
      <c r="C150" s="21" t="s">
        <v>5740</v>
      </c>
      <c r="D150" s="29">
        <v>12.7</v>
      </c>
      <c r="E150" s="24">
        <v>52380</v>
      </c>
      <c r="F150" s="21" t="s">
        <v>5665</v>
      </c>
      <c r="G150" s="21" t="s">
        <v>5693</v>
      </c>
      <c r="H150" s="21" t="b">
        <v>0</v>
      </c>
      <c r="I150" s="21" t="b">
        <v>0</v>
      </c>
      <c r="J150" s="29">
        <v>1.8</v>
      </c>
      <c r="K150" s="35" t="b">
        <v>1</v>
      </c>
      <c r="L150">
        <f>IF(COUNTIFS(tblAccounts[account_id],tblDealDeskAudit[[#This Row],[Account ID]],tblAccounts[employee_count],"")&gt;0,"",_xlfn.XLOOKUP(tblDealDeskAudit[[#This Row],[Account ID]],tblAccounts[account_id],tblAccounts[employee_count],""))</f>
        <v>447</v>
      </c>
      <c r="M15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0">
        <f>COUNTIF(tblApprovals[opportunity_id],tblDealDeskAudit[[#This Row],[Opportunity ID]])</f>
        <v>1</v>
      </c>
      <c r="P15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51" spans="1:16">
      <c r="A151" s="22" t="s">
        <v>1350</v>
      </c>
      <c r="B151" s="23" t="s">
        <v>975</v>
      </c>
      <c r="C151" s="23" t="s">
        <v>5663</v>
      </c>
      <c r="D151" s="30">
        <v>16.899999999999999</v>
      </c>
      <c r="E151" s="25">
        <v>24930</v>
      </c>
      <c r="F151" s="23" t="s">
        <v>5665</v>
      </c>
      <c r="G151" s="23" t="s">
        <v>5666</v>
      </c>
      <c r="H151" s="23" t="b">
        <v>0</v>
      </c>
      <c r="I151" s="23" t="b">
        <v>0</v>
      </c>
      <c r="J151" s="30">
        <v>24</v>
      </c>
      <c r="K151" s="36" t="b">
        <v>1</v>
      </c>
      <c r="L151">
        <f>IF(COUNTIFS(tblAccounts[account_id],tblDealDeskAudit[[#This Row],[Account ID]],tblAccounts[employee_count],"")&gt;0,"",_xlfn.XLOOKUP(tblDealDeskAudit[[#This Row],[Account ID]],tblAccounts[account_id],tblAccounts[employee_count],""))</f>
        <v>117</v>
      </c>
      <c r="M15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1">
        <f>COUNTIF(tblApprovals[opportunity_id],tblDealDeskAudit[[#This Row],[Opportunity ID]])</f>
        <v>0</v>
      </c>
      <c r="P15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52" spans="1:16">
      <c r="A152" s="20" t="s">
        <v>5937</v>
      </c>
      <c r="B152" s="21" t="s">
        <v>739</v>
      </c>
      <c r="C152" s="21" t="s">
        <v>5663</v>
      </c>
      <c r="D152" s="29">
        <v>1.6</v>
      </c>
      <c r="E152" s="24">
        <v>90528</v>
      </c>
      <c r="F152" s="21" t="s">
        <v>5665</v>
      </c>
      <c r="G152" s="21" t="s">
        <v>5666</v>
      </c>
      <c r="H152" s="21" t="b">
        <v>1</v>
      </c>
      <c r="I152" s="21" t="b">
        <v>0</v>
      </c>
      <c r="J152" s="29">
        <v>7.1</v>
      </c>
      <c r="K152" s="35" t="b">
        <v>1</v>
      </c>
      <c r="L152">
        <f>IF(COUNTIFS(tblAccounts[account_id],tblDealDeskAudit[[#This Row],[Account ID]],tblAccounts[employee_count],"")&gt;0,"",_xlfn.XLOOKUP(tblDealDeskAudit[[#This Row],[Account ID]],tblAccounts[account_id],tblAccounts[employee_count],""))</f>
        <v>2214</v>
      </c>
      <c r="M15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2">
        <f>COUNTIF(tblApprovals[opportunity_id],tblDealDeskAudit[[#This Row],[Opportunity ID]])</f>
        <v>1</v>
      </c>
      <c r="P15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53" spans="1:16">
      <c r="A153" s="22" t="s">
        <v>5939</v>
      </c>
      <c r="B153" s="23" t="s">
        <v>906</v>
      </c>
      <c r="C153" s="23" t="s">
        <v>5681</v>
      </c>
      <c r="D153" s="30">
        <v>6.1</v>
      </c>
      <c r="E153" s="25">
        <v>82632</v>
      </c>
      <c r="F153" s="23" t="s">
        <v>5665</v>
      </c>
      <c r="G153" s="23" t="s">
        <v>5666</v>
      </c>
      <c r="H153" s="23" t="b">
        <v>0</v>
      </c>
      <c r="I153" s="23" t="b">
        <v>0</v>
      </c>
      <c r="J153" s="30">
        <v>8.3000000000000007</v>
      </c>
      <c r="K153" s="36" t="b">
        <v>0</v>
      </c>
      <c r="L153">
        <f>IF(COUNTIFS(tblAccounts[account_id],tblDealDeskAudit[[#This Row],[Account ID]],tblAccounts[employee_count],"")&gt;0,"",_xlfn.XLOOKUP(tblDealDeskAudit[[#This Row],[Account ID]],tblAccounts[account_id],tblAccounts[employee_count],""))</f>
        <v>2011</v>
      </c>
      <c r="M15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5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53">
        <f>COUNTIF(tblApprovals[opportunity_id],tblDealDeskAudit[[#This Row],[Opportunity ID]])</f>
        <v>0</v>
      </c>
      <c r="P15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54" spans="1:16">
      <c r="A154" s="20" t="s">
        <v>5941</v>
      </c>
      <c r="B154" s="21" t="s">
        <v>763</v>
      </c>
      <c r="C154" s="21" t="s">
        <v>5663</v>
      </c>
      <c r="D154" s="29">
        <v>14</v>
      </c>
      <c r="E154" s="24">
        <v>10320</v>
      </c>
      <c r="F154" s="21" t="s">
        <v>5665</v>
      </c>
      <c r="G154" s="21" t="s">
        <v>5693</v>
      </c>
      <c r="H154" s="21" t="b">
        <v>0</v>
      </c>
      <c r="I154" s="21" t="b">
        <v>0</v>
      </c>
      <c r="J154" s="29">
        <v>0</v>
      </c>
      <c r="K154" s="35" t="b">
        <v>1</v>
      </c>
      <c r="L154">
        <f>IF(COUNTIFS(tblAccounts[account_id],tblDealDeskAudit[[#This Row],[Account ID]],tblAccounts[employee_count],"")&gt;0,"",_xlfn.XLOOKUP(tblDealDeskAudit[[#This Row],[Account ID]],tblAccounts[account_id],tblAccounts[employee_count],""))</f>
        <v>441</v>
      </c>
      <c r="M15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4">
        <f>COUNTIF(tblApprovals[opportunity_id],tblDealDeskAudit[[#This Row],[Opportunity ID]])</f>
        <v>2</v>
      </c>
      <c r="P15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55" spans="1:16">
      <c r="A155" s="22" t="s">
        <v>2123</v>
      </c>
      <c r="B155" s="23" t="s">
        <v>447</v>
      </c>
      <c r="C155" s="23" t="s">
        <v>5675</v>
      </c>
      <c r="D155" s="30">
        <v>10.5</v>
      </c>
      <c r="E155" s="25">
        <v>37590</v>
      </c>
      <c r="F155" s="23" t="s">
        <v>5665</v>
      </c>
      <c r="G155" s="23" t="s">
        <v>5666</v>
      </c>
      <c r="H155" s="23" t="b">
        <v>0</v>
      </c>
      <c r="I155" s="23" t="b">
        <v>0</v>
      </c>
      <c r="J155" s="30">
        <v>6.8</v>
      </c>
      <c r="K155" s="36" t="b">
        <v>1</v>
      </c>
      <c r="L155">
        <f>IF(COUNTIFS(tblAccounts[account_id],tblDealDeskAudit[[#This Row],[Account ID]],tblAccounts[employee_count],"")&gt;0,"",_xlfn.XLOOKUP(tblDealDeskAudit[[#This Row],[Account ID]],tblAccounts[account_id],tblAccounts[employee_count],""))</f>
        <v>160</v>
      </c>
      <c r="M15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5">
        <f>COUNTIF(tblApprovals[opportunity_id],tblDealDeskAudit[[#This Row],[Opportunity ID]])</f>
        <v>1</v>
      </c>
      <c r="P15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56" spans="1:16">
      <c r="A156" s="20" t="s">
        <v>1882</v>
      </c>
      <c r="B156" s="21" t="s">
        <v>897</v>
      </c>
      <c r="C156" s="21" t="s">
        <v>5675</v>
      </c>
      <c r="D156" s="29">
        <v>8</v>
      </c>
      <c r="E156" s="24">
        <v>53360</v>
      </c>
      <c r="F156" s="21" t="s">
        <v>5665</v>
      </c>
      <c r="G156" s="21" t="s">
        <v>5666</v>
      </c>
      <c r="H156" s="21" t="b">
        <v>0</v>
      </c>
      <c r="I156" s="21" t="b">
        <v>0</v>
      </c>
      <c r="J156" s="29">
        <v>14.5</v>
      </c>
      <c r="K156" s="35" t="b">
        <v>0</v>
      </c>
      <c r="L156">
        <f>IF(COUNTIFS(tblAccounts[account_id],tblDealDeskAudit[[#This Row],[Account ID]],tblAccounts[employee_count],"")&gt;0,"",_xlfn.XLOOKUP(tblDealDeskAudit[[#This Row],[Account ID]],tblAccounts[account_id],tblAccounts[employee_count],""))</f>
        <v>618</v>
      </c>
      <c r="M15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5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56">
        <f>COUNTIF(tblApprovals[opportunity_id],tblDealDeskAudit[[#This Row],[Opportunity ID]])</f>
        <v>0</v>
      </c>
      <c r="P15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57" spans="1:16">
      <c r="A157" s="22" t="s">
        <v>1375</v>
      </c>
      <c r="B157" s="23" t="s">
        <v>363</v>
      </c>
      <c r="C157" s="23" t="s">
        <v>5675</v>
      </c>
      <c r="D157" s="30">
        <v>17</v>
      </c>
      <c r="E157" s="25">
        <v>54780</v>
      </c>
      <c r="F157" s="23" t="s">
        <v>5665</v>
      </c>
      <c r="G157" s="23" t="s">
        <v>5666</v>
      </c>
      <c r="H157" s="23" t="b">
        <v>0</v>
      </c>
      <c r="I157" s="23" t="b">
        <v>0</v>
      </c>
      <c r="J157" s="30">
        <v>7.5</v>
      </c>
      <c r="K157" s="36" t="b">
        <v>1</v>
      </c>
      <c r="L157">
        <f>IF(COUNTIFS(tblAccounts[account_id],tblDealDeskAudit[[#This Row],[Account ID]],tblAccounts[employee_count],"")&gt;0,"",_xlfn.XLOOKUP(tblDealDeskAudit[[#This Row],[Account ID]],tblAccounts[account_id],tblAccounts[employee_count],""))</f>
        <v>1136</v>
      </c>
      <c r="M15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5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57">
        <f>COUNTIF(tblApprovals[opportunity_id],tblDealDeskAudit[[#This Row],[Opportunity ID]])</f>
        <v>0</v>
      </c>
      <c r="P15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58" spans="1:16">
      <c r="A158" s="20" t="s">
        <v>2259</v>
      </c>
      <c r="B158" s="21" t="s">
        <v>497</v>
      </c>
      <c r="C158" s="21" t="s">
        <v>5663</v>
      </c>
      <c r="D158" s="29">
        <v>2.5</v>
      </c>
      <c r="E158" s="24">
        <v>15600</v>
      </c>
      <c r="F158" s="21" t="s">
        <v>5665</v>
      </c>
      <c r="G158" s="21" t="s">
        <v>5666</v>
      </c>
      <c r="H158" s="21" t="b">
        <v>0</v>
      </c>
      <c r="I158" s="21" t="b">
        <v>0</v>
      </c>
      <c r="J158" s="29">
        <v>1.4</v>
      </c>
      <c r="K158" s="35" t="b">
        <v>0</v>
      </c>
      <c r="L158">
        <f>IF(COUNTIFS(tblAccounts[account_id],tblDealDeskAudit[[#This Row],[Account ID]],tblAccounts[employee_count],"")&gt;0,"",_xlfn.XLOOKUP(tblDealDeskAudit[[#This Row],[Account ID]],tblAccounts[account_id],tblAccounts[employee_count],""))</f>
        <v>162</v>
      </c>
      <c r="M15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5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58">
        <f>COUNTIF(tblApprovals[opportunity_id],tblDealDeskAudit[[#This Row],[Opportunity ID]])</f>
        <v>0</v>
      </c>
      <c r="P15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59" spans="1:16">
      <c r="A159" s="22" t="s">
        <v>1498</v>
      </c>
      <c r="B159" s="23" t="s">
        <v>812</v>
      </c>
      <c r="C159" s="23" t="s">
        <v>5675</v>
      </c>
      <c r="D159" s="30">
        <v>4.0999999999999996</v>
      </c>
      <c r="E159" s="25">
        <v>19180</v>
      </c>
      <c r="F159" s="23" t="s">
        <v>5665</v>
      </c>
      <c r="G159" s="23" t="s">
        <v>5666</v>
      </c>
      <c r="H159" s="23" t="b">
        <v>0</v>
      </c>
      <c r="I159" s="23" t="b">
        <v>0</v>
      </c>
      <c r="J159" s="30">
        <v>19</v>
      </c>
      <c r="K159" s="36" t="b">
        <v>0</v>
      </c>
      <c r="L159">
        <f>IF(COUNTIFS(tblAccounts[account_id],tblDealDeskAudit[[#This Row],[Account ID]],tblAccounts[employee_count],"")&gt;0,"",_xlfn.XLOOKUP(tblDealDeskAudit[[#This Row],[Account ID]],tblAccounts[account_id],tblAccounts[employee_count],""))</f>
        <v>52</v>
      </c>
      <c r="M15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5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59">
        <f>COUNTIF(tblApprovals[opportunity_id],tblDealDeskAudit[[#This Row],[Opportunity ID]])</f>
        <v>0</v>
      </c>
      <c r="P15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60" spans="1:16">
      <c r="A160" s="20" t="s">
        <v>2040</v>
      </c>
      <c r="B160" s="21" t="s">
        <v>639</v>
      </c>
      <c r="C160" s="21" t="s">
        <v>5675</v>
      </c>
      <c r="D160" s="29">
        <v>2.8</v>
      </c>
      <c r="E160" s="24">
        <v>66096</v>
      </c>
      <c r="F160" s="21" t="s">
        <v>5677</v>
      </c>
      <c r="G160" s="21" t="s">
        <v>5666</v>
      </c>
      <c r="H160" s="21" t="b">
        <v>0</v>
      </c>
      <c r="I160" s="21" t="b">
        <v>0</v>
      </c>
      <c r="J160" s="29">
        <v>4.0999999999999996</v>
      </c>
      <c r="K160" s="35" t="b">
        <v>1</v>
      </c>
      <c r="L160">
        <f>IF(COUNTIFS(tblAccounts[account_id],tblDealDeskAudit[[#This Row],[Account ID]],tblAccounts[employee_count],"")&gt;0,"",_xlfn.XLOOKUP(tblDealDeskAudit[[#This Row],[Account ID]],tblAccounts[account_id],tblAccounts[employee_count],""))</f>
        <v>693</v>
      </c>
      <c r="M16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0">
        <f>COUNTIF(tblApprovals[opportunity_id],tblDealDeskAudit[[#This Row],[Opportunity ID]])</f>
        <v>1</v>
      </c>
      <c r="P16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61" spans="1:16">
      <c r="A161" s="22" t="s">
        <v>1728</v>
      </c>
      <c r="B161" s="23" t="s">
        <v>31</v>
      </c>
      <c r="C161" s="23" t="s">
        <v>5669</v>
      </c>
      <c r="D161" s="30">
        <v>22.9</v>
      </c>
      <c r="E161" s="25">
        <v>23130</v>
      </c>
      <c r="F161" s="23" t="s">
        <v>5665</v>
      </c>
      <c r="G161" s="23" t="s">
        <v>5666</v>
      </c>
      <c r="H161" s="23" t="b">
        <v>0</v>
      </c>
      <c r="I161" s="23" t="b">
        <v>0</v>
      </c>
      <c r="J161" s="30">
        <v>8.1</v>
      </c>
      <c r="K161" s="36" t="b">
        <v>1</v>
      </c>
      <c r="L161">
        <f>IF(COUNTIFS(tblAccounts[account_id],tblDealDeskAudit[[#This Row],[Account ID]],tblAccounts[employee_count],"")&gt;0,"",_xlfn.XLOOKUP(tblDealDeskAudit[[#This Row],[Account ID]],tblAccounts[account_id],tblAccounts[employee_count],""))</f>
        <v>595</v>
      </c>
      <c r="M16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1">
        <f>COUNTIF(tblApprovals[opportunity_id],tblDealDeskAudit[[#This Row],[Opportunity ID]])</f>
        <v>1</v>
      </c>
      <c r="P16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62" spans="1:16">
      <c r="A162" s="20" t="s">
        <v>2130</v>
      </c>
      <c r="B162" s="21" t="s">
        <v>151</v>
      </c>
      <c r="C162" s="21" t="s">
        <v>5675</v>
      </c>
      <c r="D162" s="29">
        <v>8.4</v>
      </c>
      <c r="E162" s="24">
        <v>32976</v>
      </c>
      <c r="F162" s="21" t="s">
        <v>5665</v>
      </c>
      <c r="G162" s="21" t="s">
        <v>5666</v>
      </c>
      <c r="H162" s="21" t="b">
        <v>0</v>
      </c>
      <c r="I162" s="21" t="b">
        <v>0</v>
      </c>
      <c r="J162" s="29">
        <v>23</v>
      </c>
      <c r="K162" s="35" t="b">
        <v>1</v>
      </c>
      <c r="L162">
        <f>IF(COUNTIFS(tblAccounts[account_id],tblDealDeskAudit[[#This Row],[Account ID]],tblAccounts[employee_count],"")&gt;0,"",_xlfn.XLOOKUP(tblDealDeskAudit[[#This Row],[Account ID]],tblAccounts[account_id],tblAccounts[employee_count],""))</f>
        <v>91</v>
      </c>
      <c r="M16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2">
        <f>COUNTIF(tblApprovals[opportunity_id],tblDealDeskAudit[[#This Row],[Opportunity ID]])</f>
        <v>0</v>
      </c>
      <c r="P16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63" spans="1:16">
      <c r="A163" s="22" t="s">
        <v>5951</v>
      </c>
      <c r="B163" s="23" t="s">
        <v>777</v>
      </c>
      <c r="C163" s="23" t="s">
        <v>5669</v>
      </c>
      <c r="D163" s="30">
        <v>7.3</v>
      </c>
      <c r="E163" s="25">
        <v>27810</v>
      </c>
      <c r="F163" s="23" t="s">
        <v>5665</v>
      </c>
      <c r="G163" s="23" t="s">
        <v>5780</v>
      </c>
      <c r="H163" s="23" t="b">
        <v>0</v>
      </c>
      <c r="I163" s="23" t="b">
        <v>0</v>
      </c>
      <c r="J163" s="30">
        <v>5.4</v>
      </c>
      <c r="K163" s="36" t="b">
        <v>1</v>
      </c>
      <c r="L163">
        <f>IF(COUNTIFS(tblAccounts[account_id],tblDealDeskAudit[[#This Row],[Account ID]],tblAccounts[employee_count],"")&gt;0,"",_xlfn.XLOOKUP(tblDealDeskAudit[[#This Row],[Account ID]],tblAccounts[account_id],tblAccounts[employee_count],""))</f>
        <v>169</v>
      </c>
      <c r="M16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3">
        <f>COUNTIF(tblApprovals[opportunity_id],tblDealDeskAudit[[#This Row],[Opportunity ID]])</f>
        <v>0</v>
      </c>
      <c r="P16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64" spans="1:16">
      <c r="A164" s="20" t="s">
        <v>5952</v>
      </c>
      <c r="B164" s="21" t="s">
        <v>1016</v>
      </c>
      <c r="C164" s="21" t="s">
        <v>5686</v>
      </c>
      <c r="D164" s="29">
        <v>3.6</v>
      </c>
      <c r="E164" s="24">
        <v>52056</v>
      </c>
      <c r="F164" s="21" t="s">
        <v>5665</v>
      </c>
      <c r="G164" s="21" t="s">
        <v>5666</v>
      </c>
      <c r="H164" s="21" t="b">
        <v>0</v>
      </c>
      <c r="I164" s="21" t="b">
        <v>0</v>
      </c>
      <c r="J164" s="29">
        <v>2.2999999999999998</v>
      </c>
      <c r="K164" s="35" t="b">
        <v>0</v>
      </c>
      <c r="L164">
        <f>IF(COUNTIFS(tblAccounts[account_id],tblDealDeskAudit[[#This Row],[Account ID]],tblAccounts[employee_count],"")&gt;0,"",_xlfn.XLOOKUP(tblDealDeskAudit[[#This Row],[Account ID]],tblAccounts[account_id],tblAccounts[employee_count],""))</f>
        <v>587</v>
      </c>
      <c r="M16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6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64">
        <f>COUNTIF(tblApprovals[opportunity_id],tblDealDeskAudit[[#This Row],[Opportunity ID]])</f>
        <v>0</v>
      </c>
      <c r="P16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65" spans="1:16">
      <c r="A165" s="22" t="s">
        <v>5955</v>
      </c>
      <c r="B165" s="23" t="s">
        <v>873</v>
      </c>
      <c r="C165" s="23" t="s">
        <v>5663</v>
      </c>
      <c r="D165" s="30">
        <v>6.2</v>
      </c>
      <c r="E165" s="25">
        <v>11256</v>
      </c>
      <c r="F165" s="23" t="s">
        <v>5735</v>
      </c>
      <c r="G165" s="23" t="s">
        <v>5666</v>
      </c>
      <c r="H165" s="23" t="b">
        <v>0</v>
      </c>
      <c r="I165" s="23" t="b">
        <v>0</v>
      </c>
      <c r="J165" s="30">
        <v>3.2</v>
      </c>
      <c r="K165" s="36" t="b">
        <v>1</v>
      </c>
      <c r="L165">
        <f>IF(COUNTIFS(tblAccounts[account_id],tblDealDeskAudit[[#This Row],[Account ID]],tblAccounts[employee_count],"")&gt;0,"",_xlfn.XLOOKUP(tblDealDeskAudit[[#This Row],[Account ID]],tblAccounts[account_id],tblAccounts[employee_count],""))</f>
        <v>37</v>
      </c>
      <c r="M16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5">
        <f>COUNTIF(tblApprovals[opportunity_id],tblDealDeskAudit[[#This Row],[Opportunity ID]])</f>
        <v>0</v>
      </c>
      <c r="P16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66" spans="1:16">
      <c r="A166" s="20" t="s">
        <v>2576</v>
      </c>
      <c r="B166" s="21" t="s">
        <v>548</v>
      </c>
      <c r="C166" s="21" t="s">
        <v>5725</v>
      </c>
      <c r="D166" s="29">
        <v>5.9</v>
      </c>
      <c r="E166" s="24">
        <v>43286</v>
      </c>
      <c r="F166" s="21" t="s">
        <v>5665</v>
      </c>
      <c r="G166" s="21" t="s">
        <v>5666</v>
      </c>
      <c r="H166" s="21" t="b">
        <v>0</v>
      </c>
      <c r="I166" s="21" t="b">
        <v>0</v>
      </c>
      <c r="J166" s="29">
        <v>8.1</v>
      </c>
      <c r="K166" s="35" t="b">
        <v>0</v>
      </c>
      <c r="L166">
        <f>IF(COUNTIFS(tblAccounts[account_id],tblDealDeskAudit[[#This Row],[Account ID]],tblAccounts[employee_count],"")&gt;0,"",_xlfn.XLOOKUP(tblDealDeskAudit[[#This Row],[Account ID]],tblAccounts[account_id],tblAccounts[employee_count],""))</f>
        <v>323</v>
      </c>
      <c r="M16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6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66">
        <f>COUNTIF(tblApprovals[opportunity_id],tblDealDeskAudit[[#This Row],[Opportunity ID]])</f>
        <v>0</v>
      </c>
      <c r="P16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67" spans="1:16">
      <c r="A167" s="22" t="s">
        <v>2428</v>
      </c>
      <c r="B167" s="23" t="s">
        <v>694</v>
      </c>
      <c r="C167" s="23" t="s">
        <v>5675</v>
      </c>
      <c r="D167" s="30">
        <v>5.6</v>
      </c>
      <c r="E167" s="25">
        <v>47200</v>
      </c>
      <c r="F167" s="23" t="s">
        <v>5735</v>
      </c>
      <c r="G167" s="23" t="s">
        <v>5666</v>
      </c>
      <c r="H167" s="23" t="b">
        <v>0</v>
      </c>
      <c r="I167" s="23" t="b">
        <v>0</v>
      </c>
      <c r="J167" s="30">
        <v>3.4</v>
      </c>
      <c r="K167" s="36" t="b">
        <v>1</v>
      </c>
      <c r="L167">
        <f>IF(COUNTIFS(tblAccounts[account_id],tblDealDeskAudit[[#This Row],[Account ID]],tblAccounts[employee_count],"")&gt;0,"",_xlfn.XLOOKUP(tblDealDeskAudit[[#This Row],[Account ID]],tblAccounts[account_id],tblAccounts[employee_count],""))</f>
        <v>1557</v>
      </c>
      <c r="M16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7">
        <f>COUNTIF(tblApprovals[opportunity_id],tblDealDeskAudit[[#This Row],[Opportunity ID]])</f>
        <v>0</v>
      </c>
      <c r="P16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68" spans="1:16">
      <c r="A168" s="20" t="s">
        <v>5958</v>
      </c>
      <c r="B168" s="21" t="s">
        <v>921</v>
      </c>
      <c r="C168" s="21" t="s">
        <v>5663</v>
      </c>
      <c r="D168" s="29">
        <v>19</v>
      </c>
      <c r="E168" s="24">
        <v>12960</v>
      </c>
      <c r="F168" s="21" t="s">
        <v>5665</v>
      </c>
      <c r="G168" s="21" t="s">
        <v>5666</v>
      </c>
      <c r="H168" s="21" t="b">
        <v>0</v>
      </c>
      <c r="I168" s="21" t="b">
        <v>0</v>
      </c>
      <c r="J168" s="29">
        <v>15.1</v>
      </c>
      <c r="K168" s="35" t="b">
        <v>1</v>
      </c>
      <c r="L168">
        <f>IF(COUNTIFS(tblAccounts[account_id],tblDealDeskAudit[[#This Row],[Account ID]],tblAccounts[employee_count],"")&gt;0,"",_xlfn.XLOOKUP(tblDealDeskAudit[[#This Row],[Account ID]],tblAccounts[account_id],tblAccounts[employee_count],""))</f>
        <v>130</v>
      </c>
      <c r="M16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6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68">
        <f>COUNTIF(tblApprovals[opportunity_id],tblDealDeskAudit[[#This Row],[Opportunity ID]])</f>
        <v>0</v>
      </c>
      <c r="P16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69" spans="1:16">
      <c r="A169" s="22" t="s">
        <v>5961</v>
      </c>
      <c r="B169" s="23" t="s">
        <v>60</v>
      </c>
      <c r="C169" s="23" t="s">
        <v>5691</v>
      </c>
      <c r="D169" s="30">
        <v>9.9</v>
      </c>
      <c r="E169" s="25">
        <v>88298</v>
      </c>
      <c r="F169" s="23" t="s">
        <v>5665</v>
      </c>
      <c r="G169" s="23" t="s">
        <v>5666</v>
      </c>
      <c r="H169" s="23" t="b">
        <v>0</v>
      </c>
      <c r="I169" s="23" t="b">
        <v>0</v>
      </c>
      <c r="J169" s="30">
        <v>8.5</v>
      </c>
      <c r="K169" s="36" t="b">
        <v>0</v>
      </c>
      <c r="L169">
        <f>IF(COUNTIFS(tblAccounts[account_id],tblDealDeskAudit[[#This Row],[Account ID]],tblAccounts[employee_count],"")&gt;0,"",_xlfn.XLOOKUP(tblDealDeskAudit[[#This Row],[Account ID]],tblAccounts[account_id],tblAccounts[employee_count],""))</f>
        <v>1255</v>
      </c>
      <c r="M16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6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69">
        <f>COUNTIF(tblApprovals[opportunity_id],tblDealDeskAudit[[#This Row],[Opportunity ID]])</f>
        <v>0</v>
      </c>
      <c r="P16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70" spans="1:16">
      <c r="A170" s="20" t="s">
        <v>2313</v>
      </c>
      <c r="B170" s="21" t="s">
        <v>945</v>
      </c>
      <c r="C170" s="21" t="s">
        <v>5663</v>
      </c>
      <c r="D170" s="29">
        <v>6.6</v>
      </c>
      <c r="E170" s="24">
        <v>67248</v>
      </c>
      <c r="F170" s="21" t="s">
        <v>5665</v>
      </c>
      <c r="G170" s="21" t="s">
        <v>5666</v>
      </c>
      <c r="H170" s="21" t="b">
        <v>0</v>
      </c>
      <c r="I170" s="21" t="b">
        <v>0</v>
      </c>
      <c r="J170" s="29">
        <v>0.2</v>
      </c>
      <c r="K170" s="35" t="b">
        <v>0</v>
      </c>
      <c r="L170">
        <f>IF(COUNTIFS(tblAccounts[account_id],tblDealDeskAudit[[#This Row],[Account ID]],tblAccounts[employee_count],"")&gt;0,"",_xlfn.XLOOKUP(tblDealDeskAudit[[#This Row],[Account ID]],tblAccounts[account_id],tblAccounts[employee_count],""))</f>
        <v>452</v>
      </c>
      <c r="M17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0">
        <f>COUNTIF(tblApprovals[opportunity_id],tblDealDeskAudit[[#This Row],[Opportunity ID]])</f>
        <v>0</v>
      </c>
      <c r="P17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71" spans="1:16">
      <c r="A171" s="22" t="s">
        <v>1678</v>
      </c>
      <c r="B171" s="23" t="s">
        <v>870</v>
      </c>
      <c r="C171" s="23" t="s">
        <v>5675</v>
      </c>
      <c r="D171" s="30">
        <v>12.7</v>
      </c>
      <c r="E171" s="25">
        <v>36666</v>
      </c>
      <c r="F171" s="23" t="s">
        <v>5688</v>
      </c>
      <c r="G171" s="23" t="s">
        <v>5666</v>
      </c>
      <c r="H171" s="23" t="b">
        <v>0</v>
      </c>
      <c r="I171" s="23" t="b">
        <v>0</v>
      </c>
      <c r="J171" s="30">
        <v>1.6</v>
      </c>
      <c r="K171" s="36" t="b">
        <v>1</v>
      </c>
      <c r="L171">
        <f>IF(COUNTIFS(tblAccounts[account_id],tblDealDeskAudit[[#This Row],[Account ID]],tblAccounts[employee_count],"")&gt;0,"",_xlfn.XLOOKUP(tblDealDeskAudit[[#This Row],[Account ID]],tblAccounts[account_id],tblAccounts[employee_count],""))</f>
        <v>143</v>
      </c>
      <c r="M17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7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71">
        <f>COUNTIF(tblApprovals[opportunity_id],tblDealDeskAudit[[#This Row],[Opportunity ID]])</f>
        <v>2</v>
      </c>
      <c r="P17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72" spans="1:16">
      <c r="A172" s="20" t="s">
        <v>1669</v>
      </c>
      <c r="B172" s="21" t="s">
        <v>995</v>
      </c>
      <c r="C172" s="21" t="s">
        <v>5675</v>
      </c>
      <c r="D172" s="29">
        <v>2</v>
      </c>
      <c r="E172" s="24">
        <v>86240</v>
      </c>
      <c r="F172" s="21" t="s">
        <v>5665</v>
      </c>
      <c r="G172" s="21" t="s">
        <v>5666</v>
      </c>
      <c r="H172" s="21" t="b">
        <v>0</v>
      </c>
      <c r="I172" s="21" t="b">
        <v>0</v>
      </c>
      <c r="J172" s="29">
        <v>2.2999999999999998</v>
      </c>
      <c r="K172" s="35" t="b">
        <v>0</v>
      </c>
      <c r="L172">
        <f>IF(COUNTIFS(tblAccounts[account_id],tblDealDeskAudit[[#This Row],[Account ID]],tblAccounts[employee_count],"")&gt;0,"",_xlfn.XLOOKUP(tblDealDeskAudit[[#This Row],[Account ID]],tblAccounts[account_id],tblAccounts[employee_count],""))</f>
        <v>1669</v>
      </c>
      <c r="M17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2">
        <f>COUNTIF(tblApprovals[opportunity_id],tblDealDeskAudit[[#This Row],[Opportunity ID]])</f>
        <v>0</v>
      </c>
      <c r="P17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73" spans="1:16">
      <c r="A173" s="22" t="s">
        <v>5966</v>
      </c>
      <c r="B173" s="23" t="s">
        <v>279</v>
      </c>
      <c r="C173" s="23" t="s">
        <v>5663</v>
      </c>
      <c r="D173" s="30">
        <v>6.7</v>
      </c>
      <c r="E173" s="25">
        <v>18660</v>
      </c>
      <c r="F173" s="23" t="s">
        <v>5665</v>
      </c>
      <c r="G173" s="23" t="s">
        <v>5666</v>
      </c>
      <c r="H173" s="23" t="b">
        <v>0</v>
      </c>
      <c r="I173" s="23" t="b">
        <v>0</v>
      </c>
      <c r="J173" s="30">
        <v>6.1</v>
      </c>
      <c r="K173" s="36" t="b">
        <v>0</v>
      </c>
      <c r="L173">
        <f>IF(COUNTIFS(tblAccounts[account_id],tblDealDeskAudit[[#This Row],[Account ID]],tblAccounts[employee_count],"")&gt;0,"",_xlfn.XLOOKUP(tblDealDeskAudit[[#This Row],[Account ID]],tblAccounts[account_id],tblAccounts[employee_count],""))</f>
        <v>93</v>
      </c>
      <c r="M17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3">
        <f>COUNTIF(tblApprovals[opportunity_id],tblDealDeskAudit[[#This Row],[Opportunity ID]])</f>
        <v>0</v>
      </c>
      <c r="P17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74" spans="1:16">
      <c r="A174" s="20" t="s">
        <v>2056</v>
      </c>
      <c r="B174" s="21" t="s">
        <v>488</v>
      </c>
      <c r="C174" s="21" t="s">
        <v>5663</v>
      </c>
      <c r="D174" s="29">
        <v>0.1</v>
      </c>
      <c r="E174" s="24">
        <v>87912</v>
      </c>
      <c r="F174" s="21" t="s">
        <v>5665</v>
      </c>
      <c r="G174" s="21" t="s">
        <v>5666</v>
      </c>
      <c r="H174" s="21" t="b">
        <v>0</v>
      </c>
      <c r="I174" s="21" t="b">
        <v>0</v>
      </c>
      <c r="J174" s="29">
        <v>16.2</v>
      </c>
      <c r="K174" s="35" t="b">
        <v>0</v>
      </c>
      <c r="L174">
        <f>IF(COUNTIFS(tblAccounts[account_id],tblDealDeskAudit[[#This Row],[Account ID]],tblAccounts[employee_count],"")&gt;0,"",_xlfn.XLOOKUP(tblDealDeskAudit[[#This Row],[Account ID]],tblAccounts[account_id],tblAccounts[employee_count],""))</f>
        <v>1642</v>
      </c>
      <c r="M17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4">
        <f>COUNTIF(tblApprovals[opportunity_id],tblDealDeskAudit[[#This Row],[Opportunity ID]])</f>
        <v>0</v>
      </c>
      <c r="P17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75" spans="1:16">
      <c r="A175" s="22" t="s">
        <v>1544</v>
      </c>
      <c r="B175" s="23" t="s">
        <v>488</v>
      </c>
      <c r="C175" s="23" t="s">
        <v>5675</v>
      </c>
      <c r="D175" s="30">
        <v>1.3</v>
      </c>
      <c r="E175" s="25">
        <v>90804</v>
      </c>
      <c r="F175" s="23" t="s">
        <v>5688</v>
      </c>
      <c r="G175" s="23" t="s">
        <v>5666</v>
      </c>
      <c r="H175" s="23" t="b">
        <v>0</v>
      </c>
      <c r="I175" s="23" t="b">
        <v>0</v>
      </c>
      <c r="J175" s="30">
        <v>4.4000000000000004</v>
      </c>
      <c r="K175" s="36" t="b">
        <v>1</v>
      </c>
      <c r="L175">
        <f>IF(COUNTIFS(tblAccounts[account_id],tblDealDeskAudit[[#This Row],[Account ID]],tblAccounts[employee_count],"")&gt;0,"",_xlfn.XLOOKUP(tblDealDeskAudit[[#This Row],[Account ID]],tblAccounts[account_id],tblAccounts[employee_count],""))</f>
        <v>1642</v>
      </c>
      <c r="M17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7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75">
        <f>COUNTIF(tblApprovals[opportunity_id],tblDealDeskAudit[[#This Row],[Opportunity ID]])</f>
        <v>0</v>
      </c>
      <c r="P17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76" spans="1:16">
      <c r="A176" s="20" t="s">
        <v>5968</v>
      </c>
      <c r="B176" s="21" t="s">
        <v>100</v>
      </c>
      <c r="C176" s="21" t="s">
        <v>5663</v>
      </c>
      <c r="D176" s="29">
        <v>8.1999999999999993</v>
      </c>
      <c r="E176" s="24">
        <v>38556</v>
      </c>
      <c r="F176" s="21" t="s">
        <v>5665</v>
      </c>
      <c r="G176" s="21" t="s">
        <v>5666</v>
      </c>
      <c r="H176" s="21" t="b">
        <v>0</v>
      </c>
      <c r="I176" s="21" t="b">
        <v>0</v>
      </c>
      <c r="J176" s="29">
        <v>5.9</v>
      </c>
      <c r="K176" s="35" t="b">
        <v>0</v>
      </c>
      <c r="L176">
        <f>IF(COUNTIFS(tblAccounts[account_id],tblDealDeskAudit[[#This Row],[Account ID]],tblAccounts[employee_count],"")&gt;0,"",_xlfn.XLOOKUP(tblDealDeskAudit[[#This Row],[Account ID]],tblAccounts[account_id],tblAccounts[employee_count],""))</f>
        <v>74</v>
      </c>
      <c r="M17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6">
        <f>COUNTIF(tblApprovals[opportunity_id],tblDealDeskAudit[[#This Row],[Opportunity ID]])</f>
        <v>0</v>
      </c>
      <c r="P17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77" spans="1:16">
      <c r="A177" s="22" t="s">
        <v>5969</v>
      </c>
      <c r="B177" s="23" t="s">
        <v>183</v>
      </c>
      <c r="C177" s="23" t="s">
        <v>5691</v>
      </c>
      <c r="D177" s="30">
        <v>6.7</v>
      </c>
      <c r="E177" s="25">
        <v>26124</v>
      </c>
      <c r="F177" s="23" t="s">
        <v>5665</v>
      </c>
      <c r="G177" s="23" t="s">
        <v>5666</v>
      </c>
      <c r="H177" s="23" t="b">
        <v>0</v>
      </c>
      <c r="I177" s="23" t="b">
        <v>0</v>
      </c>
      <c r="J177" s="30">
        <v>8.1</v>
      </c>
      <c r="K177" s="36" t="b">
        <v>0</v>
      </c>
      <c r="L177">
        <f>IF(COUNTIFS(tblAccounts[account_id],tblDealDeskAudit[[#This Row],[Account ID]],tblAccounts[employee_count],"")&gt;0,"",_xlfn.XLOOKUP(tblDealDeskAudit[[#This Row],[Account ID]],tblAccounts[account_id],tblAccounts[employee_count],""))</f>
        <v>128</v>
      </c>
      <c r="M17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7">
        <f>COUNTIF(tblApprovals[opportunity_id],tblDealDeskAudit[[#This Row],[Opportunity ID]])</f>
        <v>0</v>
      </c>
      <c r="P17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78" spans="1:16">
      <c r="A178" s="20" t="s">
        <v>1902</v>
      </c>
      <c r="B178" s="21" t="s">
        <v>73</v>
      </c>
      <c r="C178" s="21" t="s">
        <v>5691</v>
      </c>
      <c r="D178" s="29">
        <v>15.2</v>
      </c>
      <c r="E178" s="24">
        <v>78016</v>
      </c>
      <c r="F178" s="21" t="s">
        <v>5665</v>
      </c>
      <c r="G178" s="21" t="s">
        <v>5666</v>
      </c>
      <c r="H178" s="21" t="b">
        <v>0</v>
      </c>
      <c r="I178" s="21" t="b">
        <v>0</v>
      </c>
      <c r="J178" s="29">
        <v>6</v>
      </c>
      <c r="K178" s="35" t="b">
        <v>1</v>
      </c>
      <c r="L178">
        <f>IF(COUNTIFS(tblAccounts[account_id],tblDealDeskAudit[[#This Row],[Account ID]],tblAccounts[employee_count],"")&gt;0,"",_xlfn.XLOOKUP(tblDealDeskAudit[[#This Row],[Account ID]],tblAccounts[account_id],tblAccounts[employee_count],""))</f>
        <v>2018</v>
      </c>
      <c r="M17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7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78">
        <f>COUNTIF(tblApprovals[opportunity_id],tblDealDeskAudit[[#This Row],[Opportunity ID]])</f>
        <v>1</v>
      </c>
      <c r="P17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79" spans="1:16">
      <c r="A179" s="22" t="s">
        <v>5971</v>
      </c>
      <c r="B179" s="23" t="s">
        <v>533</v>
      </c>
      <c r="C179" s="23" t="s">
        <v>5686</v>
      </c>
      <c r="D179" s="30">
        <v>9.6999999999999993</v>
      </c>
      <c r="E179" s="25">
        <v>61404</v>
      </c>
      <c r="F179" s="23" t="s">
        <v>5665</v>
      </c>
      <c r="G179" s="23" t="s">
        <v>5666</v>
      </c>
      <c r="H179" s="23" t="b">
        <v>0</v>
      </c>
      <c r="I179" s="23" t="b">
        <v>0</v>
      </c>
      <c r="J179" s="30">
        <v>4.9000000000000004</v>
      </c>
      <c r="K179" s="36" t="b">
        <v>0</v>
      </c>
      <c r="L179">
        <f>IF(COUNTIFS(tblAccounts[account_id],tblDealDeskAudit[[#This Row],[Account ID]],tblAccounts[employee_count],"")&gt;0,"",_xlfn.XLOOKUP(tblDealDeskAudit[[#This Row],[Account ID]],tblAccounts[account_id],tblAccounts[employee_count],""))</f>
        <v>235</v>
      </c>
      <c r="M17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7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79">
        <f>COUNTIF(tblApprovals[opportunity_id],tblDealDeskAudit[[#This Row],[Opportunity ID]])</f>
        <v>0</v>
      </c>
      <c r="P17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80" spans="1:16">
      <c r="A180" s="20" t="s">
        <v>1508</v>
      </c>
      <c r="B180" s="21" t="s">
        <v>441</v>
      </c>
      <c r="C180" s="21" t="s">
        <v>5681</v>
      </c>
      <c r="D180" s="29">
        <v>6.1</v>
      </c>
      <c r="E180" s="24">
        <v>43194</v>
      </c>
      <c r="F180" s="21" t="s">
        <v>5665</v>
      </c>
      <c r="G180" s="21" t="s">
        <v>5666</v>
      </c>
      <c r="H180" s="21" t="b">
        <v>0</v>
      </c>
      <c r="I180" s="21" t="b">
        <v>0</v>
      </c>
      <c r="J180" s="29">
        <v>4.3</v>
      </c>
      <c r="K180" s="35" t="b">
        <v>0</v>
      </c>
      <c r="L180">
        <f>IF(COUNTIFS(tblAccounts[account_id],tblDealDeskAudit[[#This Row],[Account ID]],tblAccounts[employee_count],"")&gt;0,"",_xlfn.XLOOKUP(tblDealDeskAudit[[#This Row],[Account ID]],tblAccounts[account_id],tblAccounts[employee_count],""))</f>
        <v>577</v>
      </c>
      <c r="M18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8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80">
        <f>COUNTIF(tblApprovals[opportunity_id],tblDealDeskAudit[[#This Row],[Opportunity ID]])</f>
        <v>0</v>
      </c>
      <c r="P18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81" spans="1:16">
      <c r="A181" s="22" t="s">
        <v>5973</v>
      </c>
      <c r="B181" s="23" t="s">
        <v>100</v>
      </c>
      <c r="C181" s="23" t="s">
        <v>5663</v>
      </c>
      <c r="D181" s="30">
        <v>20.9</v>
      </c>
      <c r="E181" s="25">
        <v>9492</v>
      </c>
      <c r="F181" s="23" t="s">
        <v>5665</v>
      </c>
      <c r="G181" s="23" t="s">
        <v>5666</v>
      </c>
      <c r="H181" s="23" t="b">
        <v>1</v>
      </c>
      <c r="I181" s="23" t="b">
        <v>0</v>
      </c>
      <c r="J181" s="30">
        <v>5.2</v>
      </c>
      <c r="K181" s="36" t="b">
        <v>1</v>
      </c>
      <c r="L181">
        <f>IF(COUNTIFS(tblAccounts[account_id],tblDealDeskAudit[[#This Row],[Account ID]],tblAccounts[employee_count],"")&gt;0,"",_xlfn.XLOOKUP(tblDealDeskAudit[[#This Row],[Account ID]],tblAccounts[account_id],tblAccounts[employee_count],""))</f>
        <v>74</v>
      </c>
      <c r="M18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8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81">
        <f>COUNTIF(tblApprovals[opportunity_id],tblDealDeskAudit[[#This Row],[Opportunity ID]])</f>
        <v>1</v>
      </c>
      <c r="P18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82" spans="1:16">
      <c r="A182" s="20" t="s">
        <v>1873</v>
      </c>
      <c r="B182" s="21" t="s">
        <v>906</v>
      </c>
      <c r="C182" s="21" t="s">
        <v>5691</v>
      </c>
      <c r="D182" s="29">
        <v>4.5999999999999996</v>
      </c>
      <c r="E182" s="24">
        <v>87768</v>
      </c>
      <c r="F182" s="21" t="s">
        <v>5665</v>
      </c>
      <c r="G182" s="21" t="s">
        <v>5666</v>
      </c>
      <c r="H182" s="21" t="b">
        <v>0</v>
      </c>
      <c r="I182" s="21" t="b">
        <v>0</v>
      </c>
      <c r="J182" s="29">
        <v>9.4</v>
      </c>
      <c r="K182" s="35" t="b">
        <v>0</v>
      </c>
      <c r="L182">
        <f>IF(COUNTIFS(tblAccounts[account_id],tblDealDeskAudit[[#This Row],[Account ID]],tblAccounts[employee_count],"")&gt;0,"",_xlfn.XLOOKUP(tblDealDeskAudit[[#This Row],[Account ID]],tblAccounts[account_id],tblAccounts[employee_count],""))</f>
        <v>2011</v>
      </c>
      <c r="M18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8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82">
        <f>COUNTIF(tblApprovals[opportunity_id],tblDealDeskAudit[[#This Row],[Opportunity ID]])</f>
        <v>0</v>
      </c>
      <c r="P18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83" spans="1:16">
      <c r="A183" s="22" t="s">
        <v>1752</v>
      </c>
      <c r="B183" s="23" t="s">
        <v>876</v>
      </c>
      <c r="C183" s="23" t="s">
        <v>5663</v>
      </c>
      <c r="D183" s="30">
        <v>7.9</v>
      </c>
      <c r="E183" s="25">
        <v>46050</v>
      </c>
      <c r="F183" s="23" t="s">
        <v>5735</v>
      </c>
      <c r="G183" s="23" t="s">
        <v>5666</v>
      </c>
      <c r="H183" s="23" t="b">
        <v>0</v>
      </c>
      <c r="I183" s="23" t="b">
        <v>0</v>
      </c>
      <c r="J183" s="30">
        <v>2</v>
      </c>
      <c r="K183" s="36" t="b">
        <v>1</v>
      </c>
      <c r="L183">
        <f>IF(COUNTIFS(tblAccounts[account_id],tblDealDeskAudit[[#This Row],[Account ID]],tblAccounts[employee_count],"")&gt;0,"",_xlfn.XLOOKUP(tblDealDeskAudit[[#This Row],[Account ID]],tblAccounts[account_id],tblAccounts[employee_count],""))</f>
        <v>587</v>
      </c>
      <c r="M18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8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83">
        <f>COUNTIF(tblApprovals[opportunity_id],tblDealDeskAudit[[#This Row],[Opportunity ID]])</f>
        <v>0</v>
      </c>
      <c r="P18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84" spans="1:16">
      <c r="A184" s="20" t="s">
        <v>5975</v>
      </c>
      <c r="B184" s="21" t="s">
        <v>450</v>
      </c>
      <c r="C184" s="21" t="s">
        <v>5663</v>
      </c>
      <c r="D184" s="29">
        <v>11.5</v>
      </c>
      <c r="E184" s="24">
        <v>40710</v>
      </c>
      <c r="F184" s="21" t="s">
        <v>5665</v>
      </c>
      <c r="G184" s="21" t="s">
        <v>5666</v>
      </c>
      <c r="H184" s="21" t="b">
        <v>0</v>
      </c>
      <c r="I184" s="21" t="b">
        <v>0</v>
      </c>
      <c r="J184" s="29">
        <v>6</v>
      </c>
      <c r="K184" s="35" t="b">
        <v>1</v>
      </c>
      <c r="L184">
        <f>IF(COUNTIFS(tblAccounts[account_id],tblDealDeskAudit[[#This Row],[Account ID]],tblAccounts[employee_count],"")&gt;0,"",_xlfn.XLOOKUP(tblDealDeskAudit[[#This Row],[Account ID]],tblAccounts[account_id],tblAccounts[employee_count],""))</f>
        <v>582</v>
      </c>
      <c r="M18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8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84">
        <f>COUNTIF(tblApprovals[opportunity_id],tblDealDeskAudit[[#This Row],[Opportunity ID]])</f>
        <v>0</v>
      </c>
      <c r="P18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85" spans="1:16">
      <c r="A185" s="22" t="s">
        <v>1565</v>
      </c>
      <c r="B185" s="23" t="s">
        <v>918</v>
      </c>
      <c r="C185" s="23" t="s">
        <v>5663</v>
      </c>
      <c r="D185" s="30">
        <v>30.1</v>
      </c>
      <c r="E185" s="25">
        <v>64308</v>
      </c>
      <c r="F185" s="23" t="s">
        <v>5665</v>
      </c>
      <c r="G185" s="23" t="s">
        <v>5677</v>
      </c>
      <c r="H185" s="23" t="b">
        <v>0</v>
      </c>
      <c r="I185" s="23" t="b">
        <v>0</v>
      </c>
      <c r="J185" s="30">
        <v>4.7</v>
      </c>
      <c r="K185" s="36" t="b">
        <v>1</v>
      </c>
      <c r="L185">
        <f>IF(COUNTIFS(tblAccounts[account_id],tblDealDeskAudit[[#This Row],[Account ID]],tblAccounts[employee_count],"")&gt;0,"",_xlfn.XLOOKUP(tblDealDeskAudit[[#This Row],[Account ID]],tblAccounts[account_id],tblAccounts[employee_count],""))</f>
        <v>1561</v>
      </c>
      <c r="M18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8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85">
        <f>COUNTIF(tblApprovals[opportunity_id],tblDealDeskAudit[[#This Row],[Opportunity ID]])</f>
        <v>0</v>
      </c>
      <c r="P18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86" spans="1:16">
      <c r="A186" s="20" t="s">
        <v>1914</v>
      </c>
      <c r="B186" s="21" t="s">
        <v>731</v>
      </c>
      <c r="C186" s="21" t="s">
        <v>5675</v>
      </c>
      <c r="D186" s="29">
        <v>8</v>
      </c>
      <c r="E186" s="24">
        <v>11040</v>
      </c>
      <c r="F186" s="21" t="s">
        <v>5665</v>
      </c>
      <c r="G186" s="21" t="s">
        <v>5666</v>
      </c>
      <c r="H186" s="21" t="b">
        <v>0</v>
      </c>
      <c r="I186" s="21" t="b">
        <v>0</v>
      </c>
      <c r="J186" s="29">
        <v>1.9</v>
      </c>
      <c r="K186" s="35" t="b">
        <v>0</v>
      </c>
      <c r="L186">
        <f>IF(COUNTIFS(tblAccounts[account_id],tblDealDeskAudit[[#This Row],[Account ID]],tblAccounts[employee_count],"")&gt;0,"",_xlfn.XLOOKUP(tblDealDeskAudit[[#This Row],[Account ID]],tblAccounts[account_id],tblAccounts[employee_count],""))</f>
        <v>61</v>
      </c>
      <c r="M18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8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86">
        <f>COUNTIF(tblApprovals[opportunity_id],tblDealDeskAudit[[#This Row],[Opportunity ID]])</f>
        <v>0</v>
      </c>
      <c r="P18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87" spans="1:16">
      <c r="A187" s="22" t="s">
        <v>5979</v>
      </c>
      <c r="B187" s="23" t="s">
        <v>801</v>
      </c>
      <c r="C187" s="23" t="s">
        <v>5663</v>
      </c>
      <c r="D187" s="30">
        <v>2.9</v>
      </c>
      <c r="E187" s="25">
        <v>64086</v>
      </c>
      <c r="F187" s="23" t="s">
        <v>5665</v>
      </c>
      <c r="G187" s="23" t="s">
        <v>5666</v>
      </c>
      <c r="H187" s="23" t="b">
        <v>1</v>
      </c>
      <c r="I187" s="23" t="b">
        <v>0</v>
      </c>
      <c r="J187" s="30">
        <v>13.3</v>
      </c>
      <c r="K187" s="36" t="b">
        <v>1</v>
      </c>
      <c r="L187">
        <f>IF(COUNTIFS(tblAccounts[account_id],tblDealDeskAudit[[#This Row],[Account ID]],tblAccounts[employee_count],"")&gt;0,"",_xlfn.XLOOKUP(tblDealDeskAudit[[#This Row],[Account ID]],tblAccounts[account_id],tblAccounts[employee_count],""))</f>
        <v>2013</v>
      </c>
      <c r="M18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8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87">
        <f>COUNTIF(tblApprovals[opportunity_id],tblDealDeskAudit[[#This Row],[Opportunity ID]])</f>
        <v>0</v>
      </c>
      <c r="P18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88" spans="1:16">
      <c r="A188" s="20" t="s">
        <v>5981</v>
      </c>
      <c r="B188" s="21" t="s">
        <v>843</v>
      </c>
      <c r="C188" s="21" t="s">
        <v>5663</v>
      </c>
      <c r="D188" s="29">
        <v>9.1</v>
      </c>
      <c r="E188" s="24">
        <v>36360</v>
      </c>
      <c r="F188" s="21" t="s">
        <v>5665</v>
      </c>
      <c r="G188" s="21" t="s">
        <v>5666</v>
      </c>
      <c r="H188" s="21" t="b">
        <v>0</v>
      </c>
      <c r="I188" s="21" t="b">
        <v>0</v>
      </c>
      <c r="J188" s="29">
        <v>15.1</v>
      </c>
      <c r="K188" s="35" t="b">
        <v>0</v>
      </c>
      <c r="L188">
        <f>IF(COUNTIFS(tblAccounts[account_id],tblDealDeskAudit[[#This Row],[Account ID]],tblAccounts[employee_count],"")&gt;0,"",_xlfn.XLOOKUP(tblDealDeskAudit[[#This Row],[Account ID]],tblAccounts[account_id],tblAccounts[employee_count],""))</f>
        <v>308</v>
      </c>
      <c r="M18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8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88">
        <f>COUNTIF(tblApprovals[opportunity_id],tblDealDeskAudit[[#This Row],[Opportunity ID]])</f>
        <v>0</v>
      </c>
      <c r="P18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89" spans="1:16">
      <c r="A189" s="22" t="s">
        <v>1275</v>
      </c>
      <c r="B189" s="23" t="s">
        <v>354</v>
      </c>
      <c r="C189" s="23" t="s">
        <v>5740</v>
      </c>
      <c r="D189" s="30">
        <v>4.9000000000000004</v>
      </c>
      <c r="E189" s="25">
        <v>53256</v>
      </c>
      <c r="F189" s="23" t="s">
        <v>5665</v>
      </c>
      <c r="G189" s="23" t="s">
        <v>5666</v>
      </c>
      <c r="H189" s="23" t="b">
        <v>0</v>
      </c>
      <c r="I189" s="23" t="b">
        <v>0</v>
      </c>
      <c r="J189" s="30">
        <v>3.1</v>
      </c>
      <c r="K189" s="36" t="b">
        <v>0</v>
      </c>
      <c r="L189">
        <f>IF(COUNTIFS(tblAccounts[account_id],tblDealDeskAudit[[#This Row],[Account ID]],tblAccounts[employee_count],"")&gt;0,"",_xlfn.XLOOKUP(tblDealDeskAudit[[#This Row],[Account ID]],tblAccounts[account_id],tblAccounts[employee_count],""))</f>
        <v>725</v>
      </c>
      <c r="M18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8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89">
        <f>COUNTIF(tblApprovals[opportunity_id],tblDealDeskAudit[[#This Row],[Opportunity ID]])</f>
        <v>0</v>
      </c>
      <c r="P18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90" spans="1:16">
      <c r="A190" s="20" t="s">
        <v>2182</v>
      </c>
      <c r="B190" s="21" t="s">
        <v>677</v>
      </c>
      <c r="C190" s="21" t="s">
        <v>5663</v>
      </c>
      <c r="D190" s="29">
        <v>35.200000000000003</v>
      </c>
      <c r="E190" s="24">
        <v>53136</v>
      </c>
      <c r="F190" s="21" t="s">
        <v>5665</v>
      </c>
      <c r="G190" s="21" t="s">
        <v>5666</v>
      </c>
      <c r="H190" s="21" t="b">
        <v>0</v>
      </c>
      <c r="I190" s="21" t="b">
        <v>0</v>
      </c>
      <c r="J190" s="29">
        <v>7</v>
      </c>
      <c r="K190" s="35" t="b">
        <v>1</v>
      </c>
      <c r="L190">
        <f>IF(COUNTIFS(tblAccounts[account_id],tblDealDeskAudit[[#This Row],[Account ID]],tblAccounts[employee_count],"")&gt;0,"",_xlfn.XLOOKUP(tblDealDeskAudit[[#This Row],[Account ID]],tblAccounts[account_id],tblAccounts[employee_count],""))</f>
        <v>1296</v>
      </c>
      <c r="M19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90">
        <f>COUNTIF(tblApprovals[opportunity_id],tblDealDeskAudit[[#This Row],[Opportunity ID]])</f>
        <v>2</v>
      </c>
      <c r="P19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91" spans="1:16">
      <c r="A191" s="22" t="s">
        <v>5986</v>
      </c>
      <c r="B191" s="23" t="s">
        <v>302</v>
      </c>
      <c r="C191" s="23" t="s">
        <v>5663</v>
      </c>
      <c r="D191" s="30">
        <v>6.8</v>
      </c>
      <c r="E191" s="25">
        <v>46600</v>
      </c>
      <c r="F191" s="23" t="s">
        <v>5665</v>
      </c>
      <c r="G191" s="23" t="s">
        <v>5666</v>
      </c>
      <c r="H191" s="23" t="b">
        <v>0</v>
      </c>
      <c r="I191" s="23" t="b">
        <v>0</v>
      </c>
      <c r="J191" s="30">
        <v>2.2000000000000002</v>
      </c>
      <c r="K191" s="36" t="b">
        <v>0</v>
      </c>
      <c r="L191">
        <f>IF(COUNTIFS(tblAccounts[account_id],tblDealDeskAudit[[#This Row],[Account ID]],tblAccounts[employee_count],"")&gt;0,"",_xlfn.XLOOKUP(tblDealDeskAudit[[#This Row],[Account ID]],tblAccounts[account_id],tblAccounts[employee_count],""))</f>
        <v>707</v>
      </c>
      <c r="M19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9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91">
        <f>COUNTIF(tblApprovals[opportunity_id],tblDealDeskAudit[[#This Row],[Opportunity ID]])</f>
        <v>0</v>
      </c>
      <c r="P19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92" spans="1:16">
      <c r="A192" s="20" t="s">
        <v>1328</v>
      </c>
      <c r="B192" s="21" t="s">
        <v>450</v>
      </c>
      <c r="C192" s="21" t="s">
        <v>5663</v>
      </c>
      <c r="D192" s="29">
        <v>19.8</v>
      </c>
      <c r="E192" s="24">
        <v>36892</v>
      </c>
      <c r="F192" s="21" t="s">
        <v>5735</v>
      </c>
      <c r="G192" s="21" t="s">
        <v>5666</v>
      </c>
      <c r="H192" s="21" t="b">
        <v>1</v>
      </c>
      <c r="I192" s="21" t="b">
        <v>0</v>
      </c>
      <c r="J192" s="29">
        <v>5.3</v>
      </c>
      <c r="K192" s="35" t="b">
        <v>0</v>
      </c>
      <c r="L192">
        <f>IF(COUNTIFS(tblAccounts[account_id],tblDealDeskAudit[[#This Row],[Account ID]],tblAccounts[employee_count],"")&gt;0,"",_xlfn.XLOOKUP(tblDealDeskAudit[[#This Row],[Account ID]],tblAccounts[account_id],tblAccounts[employee_count],""))</f>
        <v>582</v>
      </c>
      <c r="M19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192">
        <f>COUNTIF(tblApprovals[opportunity_id],tblDealDeskAudit[[#This Row],[Opportunity ID]])</f>
        <v>0</v>
      </c>
      <c r="P19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93" spans="1:16">
      <c r="A193" s="22" t="s">
        <v>2305</v>
      </c>
      <c r="B193" s="23" t="s">
        <v>694</v>
      </c>
      <c r="C193" s="23" t="s">
        <v>5681</v>
      </c>
      <c r="D193" s="30">
        <v>7.5</v>
      </c>
      <c r="E193" s="25">
        <v>72150</v>
      </c>
      <c r="F193" s="23" t="s">
        <v>5665</v>
      </c>
      <c r="G193" s="23" t="s">
        <v>5666</v>
      </c>
      <c r="H193" s="23" t="b">
        <v>0</v>
      </c>
      <c r="I193" s="23" t="b">
        <v>0</v>
      </c>
      <c r="J193" s="30">
        <v>0.2</v>
      </c>
      <c r="K193" s="36" t="b">
        <v>0</v>
      </c>
      <c r="L193">
        <f>IF(COUNTIFS(tblAccounts[account_id],tblDealDeskAudit[[#This Row],[Account ID]],tblAccounts[employee_count],"")&gt;0,"",_xlfn.XLOOKUP(tblDealDeskAudit[[#This Row],[Account ID]],tblAccounts[account_id],tblAccounts[employee_count],""))</f>
        <v>1557</v>
      </c>
      <c r="M19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9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93">
        <f>COUNTIF(tblApprovals[opportunity_id],tblDealDeskAudit[[#This Row],[Opportunity ID]])</f>
        <v>0</v>
      </c>
      <c r="P19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94" spans="1:16">
      <c r="A194" s="20" t="s">
        <v>5988</v>
      </c>
      <c r="B194" s="21" t="s">
        <v>183</v>
      </c>
      <c r="C194" s="21" t="s">
        <v>5691</v>
      </c>
      <c r="D194" s="29">
        <v>4.0999999999999996</v>
      </c>
      <c r="E194" s="24">
        <v>19180</v>
      </c>
      <c r="F194" s="21" t="s">
        <v>5735</v>
      </c>
      <c r="G194" s="21" t="s">
        <v>5666</v>
      </c>
      <c r="H194" s="21" t="b">
        <v>0</v>
      </c>
      <c r="I194" s="21" t="b">
        <v>0</v>
      </c>
      <c r="J194" s="29">
        <v>0.6</v>
      </c>
      <c r="K194" s="35" t="b">
        <v>1</v>
      </c>
      <c r="L194">
        <f>IF(COUNTIFS(tblAccounts[account_id],tblDealDeskAudit[[#This Row],[Account ID]],tblAccounts[employee_count],"")&gt;0,"",_xlfn.XLOOKUP(tblDealDeskAudit[[#This Row],[Account ID]],tblAccounts[account_id],tblAccounts[employee_count],""))</f>
        <v>128</v>
      </c>
      <c r="M19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94">
        <f>COUNTIF(tblApprovals[opportunity_id],tblDealDeskAudit[[#This Row],[Opportunity ID]])</f>
        <v>0</v>
      </c>
      <c r="P19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195" spans="1:16">
      <c r="A195" s="22" t="s">
        <v>5989</v>
      </c>
      <c r="B195" s="23" t="s">
        <v>142</v>
      </c>
      <c r="C195" s="23" t="s">
        <v>5663</v>
      </c>
      <c r="D195" s="30">
        <v>11.4</v>
      </c>
      <c r="E195" s="25">
        <v>33668</v>
      </c>
      <c r="F195" s="23" t="s">
        <v>5665</v>
      </c>
      <c r="G195" s="23" t="s">
        <v>5666</v>
      </c>
      <c r="H195" s="23" t="b">
        <v>0</v>
      </c>
      <c r="I195" s="23" t="b">
        <v>0</v>
      </c>
      <c r="J195" s="30">
        <v>5.8</v>
      </c>
      <c r="K195" s="36" t="b">
        <v>1</v>
      </c>
      <c r="L195">
        <f>IF(COUNTIFS(tblAccounts[account_id],tblDealDeskAudit[[#This Row],[Account ID]],tblAccounts[employee_count],"")&gt;0,"",_xlfn.XLOOKUP(tblDealDeskAudit[[#This Row],[Account ID]],tblAccounts[account_id],tblAccounts[employee_count],""))</f>
        <v>79</v>
      </c>
      <c r="M19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95">
        <f>COUNTIF(tblApprovals[opportunity_id],tblDealDeskAudit[[#This Row],[Opportunity ID]])</f>
        <v>0</v>
      </c>
      <c r="P19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196" spans="1:16">
      <c r="A196" s="20" t="s">
        <v>5990</v>
      </c>
      <c r="B196" s="21" t="s">
        <v>340</v>
      </c>
      <c r="C196" s="21" t="s">
        <v>5663</v>
      </c>
      <c r="D196" s="29">
        <v>8.5</v>
      </c>
      <c r="E196" s="24">
        <v>18300</v>
      </c>
      <c r="F196" s="21" t="s">
        <v>5665</v>
      </c>
      <c r="G196" s="21" t="s">
        <v>5666</v>
      </c>
      <c r="H196" s="21" t="b">
        <v>0</v>
      </c>
      <c r="I196" s="21" t="b">
        <v>0</v>
      </c>
      <c r="J196" s="29">
        <v>0</v>
      </c>
      <c r="K196" s="35" t="b">
        <v>0</v>
      </c>
      <c r="L196">
        <f>IF(COUNTIFS(tblAccounts[account_id],tblDealDeskAudit[[#This Row],[Account ID]],tblAccounts[employee_count],"")&gt;0,"",_xlfn.XLOOKUP(tblDealDeskAudit[[#This Row],[Account ID]],tblAccounts[account_id],tblAccounts[employee_count],""))</f>
        <v>391</v>
      </c>
      <c r="M19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9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96">
        <f>COUNTIF(tblApprovals[opportunity_id],tblDealDeskAudit[[#This Row],[Opportunity ID]])</f>
        <v>0</v>
      </c>
      <c r="P19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97" spans="1:16">
      <c r="A197" s="22" t="s">
        <v>2317</v>
      </c>
      <c r="B197" s="23" t="s">
        <v>273</v>
      </c>
      <c r="C197" s="23" t="s">
        <v>5663</v>
      </c>
      <c r="D197" s="30">
        <v>4</v>
      </c>
      <c r="E197" s="25">
        <v>30720</v>
      </c>
      <c r="F197" s="23" t="s">
        <v>5735</v>
      </c>
      <c r="G197" s="23" t="s">
        <v>5666</v>
      </c>
      <c r="H197" s="23" t="b">
        <v>0</v>
      </c>
      <c r="I197" s="23" t="b">
        <v>0</v>
      </c>
      <c r="J197" s="30">
        <v>5.7</v>
      </c>
      <c r="K197" s="36" t="b">
        <v>1</v>
      </c>
      <c r="L197">
        <f>IF(COUNTIFS(tblAccounts[account_id],tblDealDeskAudit[[#This Row],[Account ID]],tblAccounts[employee_count],"")&gt;0,"",_xlfn.XLOOKUP(tblDealDeskAudit[[#This Row],[Account ID]],tblAccounts[account_id],tblAccounts[employee_count],""))</f>
        <v>864</v>
      </c>
      <c r="M19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97">
        <f>COUNTIF(tblApprovals[opportunity_id],tblDealDeskAudit[[#This Row],[Opportunity ID]])</f>
        <v>1</v>
      </c>
      <c r="P19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198" spans="1:16">
      <c r="A198" s="20" t="s">
        <v>5994</v>
      </c>
      <c r="B198" s="21" t="s">
        <v>623</v>
      </c>
      <c r="C198" s="21" t="s">
        <v>5663</v>
      </c>
      <c r="D198" s="29">
        <v>4.9000000000000004</v>
      </c>
      <c r="E198" s="24">
        <v>28530</v>
      </c>
      <c r="F198" s="21" t="s">
        <v>5665</v>
      </c>
      <c r="G198" s="21" t="s">
        <v>5666</v>
      </c>
      <c r="H198" s="21" t="b">
        <v>0</v>
      </c>
      <c r="I198" s="21" t="b">
        <v>0</v>
      </c>
      <c r="J198" s="29">
        <v>3.4</v>
      </c>
      <c r="K198" s="35" t="b">
        <v>0</v>
      </c>
      <c r="L198">
        <f>IF(COUNTIFS(tblAccounts[account_id],tblDealDeskAudit[[#This Row],[Account ID]],tblAccounts[employee_count],"")&gt;0,"",_xlfn.XLOOKUP(tblDealDeskAudit[[#This Row],[Account ID]],tblAccounts[account_id],tblAccounts[employee_count],""))</f>
        <v>96</v>
      </c>
      <c r="M19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19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198">
        <f>COUNTIF(tblApprovals[opportunity_id],tblDealDeskAudit[[#This Row],[Opportunity ID]])</f>
        <v>0</v>
      </c>
      <c r="P19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199" spans="1:16">
      <c r="A199" s="22" t="s">
        <v>2248</v>
      </c>
      <c r="B199" s="23" t="s">
        <v>491</v>
      </c>
      <c r="C199" s="23" t="s">
        <v>5725</v>
      </c>
      <c r="D199" s="30">
        <v>0.6</v>
      </c>
      <c r="E199" s="25">
        <v>79520</v>
      </c>
      <c r="F199" s="23" t="s">
        <v>5665</v>
      </c>
      <c r="G199" s="23" t="s">
        <v>5666</v>
      </c>
      <c r="H199" s="23" t="b">
        <v>0</v>
      </c>
      <c r="I199" s="23" t="b">
        <v>1</v>
      </c>
      <c r="J199" s="30">
        <v>0.3</v>
      </c>
      <c r="K199" s="36" t="b">
        <v>1</v>
      </c>
      <c r="L199">
        <f>IF(COUNTIFS(tblAccounts[account_id],tblDealDeskAudit[[#This Row],[Account ID]],tblAccounts[employee_count],"")&gt;0,"",_xlfn.XLOOKUP(tblDealDeskAudit[[#This Row],[Account ID]],tblAccounts[account_id],tblAccounts[employee_count],""))</f>
        <v>2121</v>
      </c>
      <c r="M19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19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199">
        <f>COUNTIF(tblApprovals[opportunity_id],tblDealDeskAudit[[#This Row],[Opportunity ID]])</f>
        <v>1</v>
      </c>
      <c r="P19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00" spans="1:16">
      <c r="A200" s="20" t="s">
        <v>1683</v>
      </c>
      <c r="B200" s="21" t="s">
        <v>392</v>
      </c>
      <c r="C200" s="21" t="s">
        <v>5663</v>
      </c>
      <c r="D200" s="29">
        <v>5.6</v>
      </c>
      <c r="E200" s="24">
        <v>47200</v>
      </c>
      <c r="F200" s="21" t="s">
        <v>5665</v>
      </c>
      <c r="G200" s="21" t="s">
        <v>5666</v>
      </c>
      <c r="H200" s="21" t="b">
        <v>0</v>
      </c>
      <c r="I200" s="21" t="b">
        <v>0</v>
      </c>
      <c r="J200" s="29">
        <v>8.3000000000000007</v>
      </c>
      <c r="K200" s="35" t="b">
        <v>0</v>
      </c>
      <c r="L200">
        <f>IF(COUNTIFS(tblAccounts[account_id],tblDealDeskAudit[[#This Row],[Account ID]],tblAccounts[employee_count],"")&gt;0,"",_xlfn.XLOOKUP(tblDealDeskAudit[[#This Row],[Account ID]],tblAccounts[account_id],tblAccounts[employee_count],""))</f>
        <v>1191</v>
      </c>
      <c r="M20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0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00">
        <f>COUNTIF(tblApprovals[opportunity_id],tblDealDeskAudit[[#This Row],[Opportunity ID]])</f>
        <v>0</v>
      </c>
      <c r="P20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01" spans="1:16">
      <c r="A201" s="22" t="s">
        <v>2488</v>
      </c>
      <c r="B201" s="23" t="s">
        <v>561</v>
      </c>
      <c r="C201" s="23" t="s">
        <v>5663</v>
      </c>
      <c r="D201" s="30">
        <v>7.1</v>
      </c>
      <c r="E201" s="25">
        <v>11148</v>
      </c>
      <c r="F201" s="23" t="s">
        <v>5688</v>
      </c>
      <c r="G201" s="23" t="s">
        <v>5666</v>
      </c>
      <c r="H201" s="23" t="b">
        <v>0</v>
      </c>
      <c r="I201" s="23" t="b">
        <v>0</v>
      </c>
      <c r="J201" s="30">
        <v>0.9</v>
      </c>
      <c r="K201" s="36" t="b">
        <v>1</v>
      </c>
      <c r="L201">
        <f>IF(COUNTIFS(tblAccounts[account_id],tblDealDeskAudit[[#This Row],[Account ID]],tblAccounts[employee_count],"")&gt;0,"",_xlfn.XLOOKUP(tblDealDeskAudit[[#This Row],[Account ID]],tblAccounts[account_id],tblAccounts[employee_count],""))</f>
        <v>142</v>
      </c>
      <c r="M20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0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01">
        <f>COUNTIF(tblApprovals[opportunity_id],tblDealDeskAudit[[#This Row],[Opportunity ID]])</f>
        <v>1</v>
      </c>
      <c r="P20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02" spans="1:16">
      <c r="A202" s="20" t="s">
        <v>5998</v>
      </c>
      <c r="B202" s="21" t="s">
        <v>960</v>
      </c>
      <c r="C202" s="21" t="s">
        <v>5686</v>
      </c>
      <c r="D202" s="29">
        <v>7.1</v>
      </c>
      <c r="E202" s="24">
        <v>11148</v>
      </c>
      <c r="F202" s="21" t="s">
        <v>5665</v>
      </c>
      <c r="G202" s="21" t="s">
        <v>5666</v>
      </c>
      <c r="H202" s="21" t="b">
        <v>0</v>
      </c>
      <c r="I202" s="21" t="b">
        <v>0</v>
      </c>
      <c r="J202" s="29">
        <v>2.7</v>
      </c>
      <c r="K202" s="35" t="b">
        <v>0</v>
      </c>
      <c r="L202">
        <f>IF(COUNTIFS(tblAccounts[account_id],tblDealDeskAudit[[#This Row],[Account ID]],tblAccounts[employee_count],"")&gt;0,"",_xlfn.XLOOKUP(tblDealDeskAudit[[#This Row],[Account ID]],tblAccounts[account_id],tblAccounts[employee_count],""))</f>
        <v>60</v>
      </c>
      <c r="M20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0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02">
        <f>COUNTIF(tblApprovals[opportunity_id],tblDealDeskAudit[[#This Row],[Opportunity ID]])</f>
        <v>0</v>
      </c>
      <c r="P20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03" spans="1:16">
      <c r="A203" s="22" t="s">
        <v>2277</v>
      </c>
      <c r="B203" s="23" t="s">
        <v>980</v>
      </c>
      <c r="C203" s="23" t="s">
        <v>5675</v>
      </c>
      <c r="D203" s="30">
        <v>2.4</v>
      </c>
      <c r="E203" s="25">
        <v>21472</v>
      </c>
      <c r="F203" s="23" t="s">
        <v>5665</v>
      </c>
      <c r="G203" s="23" t="s">
        <v>5666</v>
      </c>
      <c r="H203" s="23" t="b">
        <v>0</v>
      </c>
      <c r="I203" s="23" t="b">
        <v>0</v>
      </c>
      <c r="J203" s="30">
        <v>12</v>
      </c>
      <c r="K203" s="36" t="b">
        <v>0</v>
      </c>
      <c r="L203">
        <f>IF(COUNTIFS(tblAccounts[account_id],tblDealDeskAudit[[#This Row],[Account ID]],tblAccounts[employee_count],"")&gt;0,"",_xlfn.XLOOKUP(tblDealDeskAudit[[#This Row],[Account ID]],tblAccounts[account_id],tblAccounts[employee_count],""))</f>
        <v>89</v>
      </c>
      <c r="M20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0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03">
        <f>COUNTIF(tblApprovals[opportunity_id],tblDealDeskAudit[[#This Row],[Opportunity ID]])</f>
        <v>0</v>
      </c>
      <c r="P20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04" spans="1:16">
      <c r="A204" s="20" t="s">
        <v>6002</v>
      </c>
      <c r="B204" s="21" t="s">
        <v>567</v>
      </c>
      <c r="C204" s="21" t="s">
        <v>5681</v>
      </c>
      <c r="D204" s="29">
        <v>23.8</v>
      </c>
      <c r="E204" s="24">
        <v>9144</v>
      </c>
      <c r="F204" s="21" t="s">
        <v>5665</v>
      </c>
      <c r="G204" s="21" t="s">
        <v>5666</v>
      </c>
      <c r="H204" s="21" t="b">
        <v>0</v>
      </c>
      <c r="I204" s="21" t="b">
        <v>0</v>
      </c>
      <c r="J204" s="29">
        <v>19.399999999999999</v>
      </c>
      <c r="K204" s="35" t="b">
        <v>1</v>
      </c>
      <c r="L204">
        <f>IF(COUNTIFS(tblAccounts[account_id],tblDealDeskAudit[[#This Row],[Account ID]],tblAccounts[employee_count],"")&gt;0,"",_xlfn.XLOOKUP(tblDealDeskAudit[[#This Row],[Account ID]],tblAccounts[account_id],tblAccounts[employee_count],""))</f>
        <v>59</v>
      </c>
      <c r="M20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0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04">
        <f>COUNTIF(tblApprovals[opportunity_id],tblDealDeskAudit[[#This Row],[Opportunity ID]])</f>
        <v>1</v>
      </c>
      <c r="P20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05" spans="1:16">
      <c r="A205" s="22" t="s">
        <v>2023</v>
      </c>
      <c r="B205" s="23" t="s">
        <v>723</v>
      </c>
      <c r="C205" s="23" t="s">
        <v>5663</v>
      </c>
      <c r="D205" s="30">
        <v>7.2</v>
      </c>
      <c r="E205" s="25">
        <v>74240</v>
      </c>
      <c r="F205" s="23" t="s">
        <v>5665</v>
      </c>
      <c r="G205" s="23" t="s">
        <v>5666</v>
      </c>
      <c r="H205" s="23" t="b">
        <v>0</v>
      </c>
      <c r="I205" s="23" t="b">
        <v>0</v>
      </c>
      <c r="J205" s="30">
        <v>18.600000000000001</v>
      </c>
      <c r="K205" s="36" t="b">
        <v>0</v>
      </c>
      <c r="L205">
        <f>IF(COUNTIFS(tblAccounts[account_id],tblDealDeskAudit[[#This Row],[Account ID]],tblAccounts[employee_count],"")&gt;0,"",_xlfn.XLOOKUP(tblDealDeskAudit[[#This Row],[Account ID]],tblAccounts[account_id],tblAccounts[employee_count],""))</f>
        <v>1910</v>
      </c>
      <c r="M20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0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05">
        <f>COUNTIF(tblApprovals[opportunity_id],tblDealDeskAudit[[#This Row],[Opportunity ID]])</f>
        <v>0</v>
      </c>
      <c r="P20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06" spans="1:16">
      <c r="A206" s="20" t="s">
        <v>6004</v>
      </c>
      <c r="B206" s="21" t="s">
        <v>846</v>
      </c>
      <c r="C206" s="21" t="s">
        <v>5669</v>
      </c>
      <c r="D206" s="29">
        <v>1</v>
      </c>
      <c r="E206" s="24">
        <v>15840</v>
      </c>
      <c r="F206" s="21" t="s">
        <v>5665</v>
      </c>
      <c r="G206" s="21" t="s">
        <v>5666</v>
      </c>
      <c r="H206" s="21" t="b">
        <v>0</v>
      </c>
      <c r="I206" s="21" t="b">
        <v>0</v>
      </c>
      <c r="J206" s="29">
        <v>18.600000000000001</v>
      </c>
      <c r="K206" s="35" t="b">
        <v>0</v>
      </c>
      <c r="L206">
        <f>IF(COUNTIFS(tblAccounts[account_id],tblDealDeskAudit[[#This Row],[Account ID]],tblAccounts[employee_count],"")&gt;0,"",_xlfn.XLOOKUP(tblDealDeskAudit[[#This Row],[Account ID]],tblAccounts[account_id],tblAccounts[employee_count],""))</f>
        <v>127</v>
      </c>
      <c r="M20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0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06">
        <f>COUNTIF(tblApprovals[opportunity_id],tblDealDeskAudit[[#This Row],[Opportunity ID]])</f>
        <v>0</v>
      </c>
      <c r="P20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07" spans="1:16">
      <c r="A207" s="22" t="s">
        <v>2545</v>
      </c>
      <c r="B207" s="23" t="s">
        <v>370</v>
      </c>
      <c r="C207" s="23" t="s">
        <v>5675</v>
      </c>
      <c r="D207" s="30">
        <v>1.2</v>
      </c>
      <c r="E207" s="25">
        <v>84968</v>
      </c>
      <c r="F207" s="23" t="s">
        <v>5677</v>
      </c>
      <c r="G207" s="23" t="s">
        <v>5693</v>
      </c>
      <c r="H207" s="23" t="b">
        <v>0</v>
      </c>
      <c r="I207" s="23" t="b">
        <v>0</v>
      </c>
      <c r="J207" s="30">
        <v>2.2999999999999998</v>
      </c>
      <c r="K207" s="36" t="b">
        <v>1</v>
      </c>
      <c r="L207">
        <f>IF(COUNTIFS(tblAccounts[account_id],tblDealDeskAudit[[#This Row],[Account ID]],tblAccounts[employee_count],"")&gt;0,"",_xlfn.XLOOKUP(tblDealDeskAudit[[#This Row],[Account ID]],tblAccounts[account_id],tblAccounts[employee_count],""))</f>
        <v>2097</v>
      </c>
      <c r="M20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0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07">
        <f>COUNTIF(tblApprovals[opportunity_id],tblDealDeskAudit[[#This Row],[Opportunity ID]])</f>
        <v>0</v>
      </c>
      <c r="P20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08" spans="1:16">
      <c r="A208" s="20" t="s">
        <v>6008</v>
      </c>
      <c r="B208" s="21" t="s">
        <v>401</v>
      </c>
      <c r="C208" s="21" t="s">
        <v>5686</v>
      </c>
      <c r="D208" s="29">
        <v>0.5</v>
      </c>
      <c r="E208" s="24">
        <v>59700</v>
      </c>
      <c r="F208" s="21" t="s">
        <v>5688</v>
      </c>
      <c r="G208" s="21" t="s">
        <v>5666</v>
      </c>
      <c r="H208" s="21" t="b">
        <v>0</v>
      </c>
      <c r="I208" s="21" t="b">
        <v>0</v>
      </c>
      <c r="J208" s="29">
        <v>16.100000000000001</v>
      </c>
      <c r="K208" s="35" t="b">
        <v>1</v>
      </c>
      <c r="L208">
        <f>IF(COUNTIFS(tblAccounts[account_id],tblDealDeskAudit[[#This Row],[Account ID]],tblAccounts[employee_count],"")&gt;0,"",_xlfn.XLOOKUP(tblDealDeskAudit[[#This Row],[Account ID]],tblAccounts[account_id],tblAccounts[employee_count],""))</f>
        <v>3048</v>
      </c>
      <c r="M20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0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08">
        <f>COUNTIF(tblApprovals[opportunity_id],tblDealDeskAudit[[#This Row],[Opportunity ID]])</f>
        <v>1</v>
      </c>
      <c r="P20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09" spans="1:16">
      <c r="A209" s="22" t="s">
        <v>6010</v>
      </c>
      <c r="B209" s="23" t="s">
        <v>629</v>
      </c>
      <c r="C209" s="23" t="s">
        <v>5663</v>
      </c>
      <c r="D209" s="30">
        <v>3.5</v>
      </c>
      <c r="E209" s="25">
        <v>65620</v>
      </c>
      <c r="F209" s="23" t="s">
        <v>5688</v>
      </c>
      <c r="G209" s="23" t="s">
        <v>5666</v>
      </c>
      <c r="H209" s="23" t="b">
        <v>0</v>
      </c>
      <c r="I209" s="23" t="b">
        <v>0</v>
      </c>
      <c r="J209" s="30">
        <v>4</v>
      </c>
      <c r="K209" s="36" t="b">
        <v>1</v>
      </c>
      <c r="L209">
        <f>IF(COUNTIFS(tblAccounts[account_id],tblDealDeskAudit[[#This Row],[Account ID]],tblAccounts[employee_count],"")&gt;0,"",_xlfn.XLOOKUP(tblDealDeskAudit[[#This Row],[Account ID]],tblAccounts[account_id],tblAccounts[employee_count],""))</f>
        <v>356</v>
      </c>
      <c r="M20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0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09">
        <f>COUNTIF(tblApprovals[opportunity_id],tblDealDeskAudit[[#This Row],[Opportunity ID]])</f>
        <v>1</v>
      </c>
      <c r="P20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10" spans="1:16">
      <c r="A210" s="20" t="s">
        <v>1910</v>
      </c>
      <c r="B210" s="21" t="s">
        <v>809</v>
      </c>
      <c r="C210" s="21" t="s">
        <v>5675</v>
      </c>
      <c r="D210" s="29">
        <v>19.100000000000001</v>
      </c>
      <c r="E210" s="24">
        <v>35596</v>
      </c>
      <c r="F210" s="21" t="s">
        <v>5665</v>
      </c>
      <c r="G210" s="21" t="s">
        <v>5666</v>
      </c>
      <c r="H210" s="21" t="b">
        <v>0</v>
      </c>
      <c r="I210" s="21" t="b">
        <v>0</v>
      </c>
      <c r="J210" s="29">
        <v>3.1</v>
      </c>
      <c r="K210" s="35" t="b">
        <v>1</v>
      </c>
      <c r="L210">
        <f>IF(COUNTIFS(tblAccounts[account_id],tblDealDeskAudit[[#This Row],[Account ID]],tblAccounts[employee_count],"")&gt;0,"",_xlfn.XLOOKUP(tblDealDeskAudit[[#This Row],[Account ID]],tblAccounts[account_id],tblAccounts[employee_count],""))</f>
        <v>377</v>
      </c>
      <c r="M21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1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10">
        <f>COUNTIF(tblApprovals[opportunity_id],tblDealDeskAudit[[#This Row],[Opportunity ID]])</f>
        <v>0</v>
      </c>
      <c r="P21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11" spans="1:16">
      <c r="A211" s="22" t="s">
        <v>2529</v>
      </c>
      <c r="B211" s="23" t="s">
        <v>1001</v>
      </c>
      <c r="C211" s="23" t="s">
        <v>5663</v>
      </c>
      <c r="D211" s="30">
        <v>10.5</v>
      </c>
      <c r="E211" s="25">
        <v>53700</v>
      </c>
      <c r="F211" s="23" t="s">
        <v>5665</v>
      </c>
      <c r="G211" s="23" t="s">
        <v>5666</v>
      </c>
      <c r="H211" s="23" t="b">
        <v>0</v>
      </c>
      <c r="I211" s="23" t="b">
        <v>0</v>
      </c>
      <c r="J211" s="30">
        <v>15.3</v>
      </c>
      <c r="K211" s="36" t="b">
        <v>1</v>
      </c>
      <c r="L211">
        <f>IF(COUNTIFS(tblAccounts[account_id],tblDealDeskAudit[[#This Row],[Account ID]],tblAccounts[employee_count],"")&gt;0,"",_xlfn.XLOOKUP(tblDealDeskAudit[[#This Row],[Account ID]],tblAccounts[account_id],tblAccounts[employee_count],""))</f>
        <v>474</v>
      </c>
      <c r="M21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1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11">
        <f>COUNTIF(tblApprovals[opportunity_id],tblDealDeskAudit[[#This Row],[Opportunity ID]])</f>
        <v>1</v>
      </c>
      <c r="P21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12" spans="1:16">
      <c r="A212" s="20" t="s">
        <v>1693</v>
      </c>
      <c r="B212" s="21" t="s">
        <v>379</v>
      </c>
      <c r="C212" s="21" t="s">
        <v>5663</v>
      </c>
      <c r="D212" s="29">
        <v>7.8</v>
      </c>
      <c r="E212" s="24">
        <v>18440</v>
      </c>
      <c r="F212" s="21" t="s">
        <v>5665</v>
      </c>
      <c r="G212" s="21" t="s">
        <v>5666</v>
      </c>
      <c r="H212" s="21" t="b">
        <v>0</v>
      </c>
      <c r="I212" s="21" t="b">
        <v>0</v>
      </c>
      <c r="J212" s="29">
        <v>3</v>
      </c>
      <c r="K212" s="35" t="b">
        <v>0</v>
      </c>
      <c r="L212">
        <f>IF(COUNTIFS(tblAccounts[account_id],tblDealDeskAudit[[#This Row],[Account ID]],tblAccounts[employee_count],"")&gt;0,"",_xlfn.XLOOKUP(tblDealDeskAudit[[#This Row],[Account ID]],tblAccounts[account_id],tblAccounts[employee_count],""))</f>
        <v>139</v>
      </c>
      <c r="M21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1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12">
        <f>COUNTIF(tblApprovals[opportunity_id],tblDealDeskAudit[[#This Row],[Opportunity ID]])</f>
        <v>0</v>
      </c>
      <c r="P21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13" spans="1:16">
      <c r="A213" s="22" t="s">
        <v>1643</v>
      </c>
      <c r="B213" s="23" t="s">
        <v>431</v>
      </c>
      <c r="C213" s="23" t="s">
        <v>5681</v>
      </c>
      <c r="D213" s="30">
        <v>8</v>
      </c>
      <c r="E213" s="25">
        <v>18400</v>
      </c>
      <c r="F213" s="23" t="s">
        <v>5665</v>
      </c>
      <c r="G213" s="23" t="s">
        <v>5666</v>
      </c>
      <c r="H213" s="23" t="b">
        <v>0</v>
      </c>
      <c r="I213" s="23" t="b">
        <v>0</v>
      </c>
      <c r="J213" s="30">
        <v>10.1</v>
      </c>
      <c r="K213" s="36" t="b">
        <v>0</v>
      </c>
      <c r="L213">
        <f>IF(COUNTIFS(tblAccounts[account_id],tblDealDeskAudit[[#This Row],[Account ID]],tblAccounts[employee_count],"")&gt;0,"",_xlfn.XLOOKUP(tblDealDeskAudit[[#This Row],[Account ID]],tblAccounts[account_id],tblAccounts[employee_count],""))</f>
        <v>261</v>
      </c>
      <c r="M21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1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13">
        <f>COUNTIF(tblApprovals[opportunity_id],tblDealDeskAudit[[#This Row],[Opportunity ID]])</f>
        <v>0</v>
      </c>
      <c r="P21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14" spans="1:16">
      <c r="A214" s="20" t="s">
        <v>2273</v>
      </c>
      <c r="B214" s="21" t="s">
        <v>360</v>
      </c>
      <c r="C214" s="21" t="s">
        <v>5663</v>
      </c>
      <c r="D214" s="29">
        <v>1.6</v>
      </c>
      <c r="E214" s="24">
        <v>17712</v>
      </c>
      <c r="F214" s="21" t="s">
        <v>5688</v>
      </c>
      <c r="G214" s="21" t="s">
        <v>5666</v>
      </c>
      <c r="H214" s="21" t="b">
        <v>0</v>
      </c>
      <c r="I214" s="21" t="b">
        <v>0</v>
      </c>
      <c r="J214" s="29">
        <v>9.9</v>
      </c>
      <c r="K214" s="35" t="b">
        <v>1</v>
      </c>
      <c r="L214">
        <f>IF(COUNTIFS(tblAccounts[account_id],tblDealDeskAudit[[#This Row],[Account ID]],tblAccounts[employee_count],"")&gt;0,"",_xlfn.XLOOKUP(tblDealDeskAudit[[#This Row],[Account ID]],tblAccounts[account_id],tblAccounts[employee_count],""))</f>
        <v>87</v>
      </c>
      <c r="M21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1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14">
        <f>COUNTIF(tblApprovals[opportunity_id],tblDealDeskAudit[[#This Row],[Opportunity ID]])</f>
        <v>0</v>
      </c>
      <c r="P21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15" spans="1:16">
      <c r="A215" s="22" t="s">
        <v>1401</v>
      </c>
      <c r="B215" s="23" t="s">
        <v>357</v>
      </c>
      <c r="C215" s="23" t="s">
        <v>5663</v>
      </c>
      <c r="D215" s="30">
        <v>7.2</v>
      </c>
      <c r="E215" s="25">
        <v>74240</v>
      </c>
      <c r="F215" s="23" t="s">
        <v>5665</v>
      </c>
      <c r="G215" s="23" t="s">
        <v>5666</v>
      </c>
      <c r="H215" s="23" t="b">
        <v>0</v>
      </c>
      <c r="I215" s="23" t="b">
        <v>0</v>
      </c>
      <c r="J215" s="30">
        <v>17.899999999999999</v>
      </c>
      <c r="K215" s="36" t="b">
        <v>0</v>
      </c>
      <c r="L215">
        <f>IF(COUNTIFS(tblAccounts[account_id],tblDealDeskAudit[[#This Row],[Account ID]],tblAccounts[employee_count],"")&gt;0,"",_xlfn.XLOOKUP(tblDealDeskAudit[[#This Row],[Account ID]],tblAccounts[account_id],tblAccounts[employee_count],""))</f>
        <v>2073</v>
      </c>
      <c r="M21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1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15">
        <f>COUNTIF(tblApprovals[opportunity_id],tblDealDeskAudit[[#This Row],[Opportunity ID]])</f>
        <v>0</v>
      </c>
      <c r="P21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16" spans="1:16">
      <c r="A216" s="20" t="s">
        <v>6017</v>
      </c>
      <c r="B216" s="21" t="s">
        <v>554</v>
      </c>
      <c r="C216" s="21" t="s">
        <v>5663</v>
      </c>
      <c r="D216" s="29">
        <v>7.4</v>
      </c>
      <c r="E216" s="24">
        <v>11112</v>
      </c>
      <c r="F216" s="21" t="s">
        <v>5665</v>
      </c>
      <c r="G216" s="21" t="s">
        <v>5780</v>
      </c>
      <c r="H216" s="21" t="b">
        <v>0</v>
      </c>
      <c r="I216" s="21" t="b">
        <v>0</v>
      </c>
      <c r="J216" s="29">
        <v>0</v>
      </c>
      <c r="K216" s="35" t="b">
        <v>1</v>
      </c>
      <c r="L216">
        <f>IF(COUNTIFS(tblAccounts[account_id],tblDealDeskAudit[[#This Row],[Account ID]],tblAccounts[employee_count],"")&gt;0,"",_xlfn.XLOOKUP(tblDealDeskAudit[[#This Row],[Account ID]],tblAccounts[account_id],tblAccounts[employee_count],""))</f>
        <v>67</v>
      </c>
      <c r="M21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1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16">
        <f>COUNTIF(tblApprovals[opportunity_id],tblDealDeskAudit[[#This Row],[Opportunity ID]])</f>
        <v>1</v>
      </c>
      <c r="P21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17" spans="1:16">
      <c r="A217" s="22" t="s">
        <v>6018</v>
      </c>
      <c r="B217" s="23" t="s">
        <v>629</v>
      </c>
      <c r="C217" s="23" t="s">
        <v>5663</v>
      </c>
      <c r="D217" s="30">
        <v>14.1</v>
      </c>
      <c r="E217" s="25">
        <v>10308</v>
      </c>
      <c r="F217" s="23" t="s">
        <v>5665</v>
      </c>
      <c r="G217" s="23" t="s">
        <v>5666</v>
      </c>
      <c r="H217" s="23" t="b">
        <v>0</v>
      </c>
      <c r="I217" s="23" t="b">
        <v>0</v>
      </c>
      <c r="J217" s="30">
        <v>0</v>
      </c>
      <c r="K217" s="36" t="b">
        <v>1</v>
      </c>
      <c r="L217">
        <f>IF(COUNTIFS(tblAccounts[account_id],tblDealDeskAudit[[#This Row],[Account ID]],tblAccounts[employee_count],"")&gt;0,"",_xlfn.XLOOKUP(tblDealDeskAudit[[#This Row],[Account ID]],tblAccounts[account_id],tblAccounts[employee_count],""))</f>
        <v>356</v>
      </c>
      <c r="M21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1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17">
        <f>COUNTIF(tblApprovals[opportunity_id],tblDealDeskAudit[[#This Row],[Opportunity ID]])</f>
        <v>1</v>
      </c>
      <c r="P21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18" spans="1:16">
      <c r="A218" s="20" t="s">
        <v>6020</v>
      </c>
      <c r="B218" s="21" t="s">
        <v>729</v>
      </c>
      <c r="C218" s="21" t="s">
        <v>5681</v>
      </c>
      <c r="D218" s="29">
        <v>3.9</v>
      </c>
      <c r="E218" s="24">
        <v>48050</v>
      </c>
      <c r="F218" s="21" t="s">
        <v>5665</v>
      </c>
      <c r="G218" s="21" t="s">
        <v>5666</v>
      </c>
      <c r="H218" s="21" t="b">
        <v>0</v>
      </c>
      <c r="I218" s="21" t="b">
        <v>0</v>
      </c>
      <c r="J218" s="29">
        <v>2.2999999999999998</v>
      </c>
      <c r="K218" s="35" t="b">
        <v>0</v>
      </c>
      <c r="L218">
        <f>IF(COUNTIFS(tblAccounts[account_id],tblDealDeskAudit[[#This Row],[Account ID]],tblAccounts[employee_count],"")&gt;0,"",_xlfn.XLOOKUP(tblDealDeskAudit[[#This Row],[Account ID]],tblAccounts[account_id],tblAccounts[employee_count],""))</f>
        <v>365</v>
      </c>
      <c r="M21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1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18">
        <f>COUNTIF(tblApprovals[opportunity_id],tblDealDeskAudit[[#This Row],[Opportunity ID]])</f>
        <v>0</v>
      </c>
      <c r="P21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19" spans="1:16">
      <c r="A219" s="22" t="s">
        <v>2163</v>
      </c>
      <c r="B219" s="23" t="s">
        <v>428</v>
      </c>
      <c r="C219" s="23" t="s">
        <v>5663</v>
      </c>
      <c r="D219" s="30">
        <v>9.5</v>
      </c>
      <c r="E219" s="25">
        <v>54300</v>
      </c>
      <c r="F219" s="23" t="s">
        <v>5688</v>
      </c>
      <c r="G219" s="23" t="s">
        <v>5666</v>
      </c>
      <c r="H219" s="23" t="b">
        <v>0</v>
      </c>
      <c r="I219" s="23" t="b">
        <v>0</v>
      </c>
      <c r="J219" s="30">
        <v>1.8</v>
      </c>
      <c r="K219" s="36" t="b">
        <v>1</v>
      </c>
      <c r="L219">
        <f>IF(COUNTIFS(tblAccounts[account_id],tblDealDeskAudit[[#This Row],[Account ID]],tblAccounts[employee_count],"")&gt;0,"",_xlfn.XLOOKUP(tblDealDeskAudit[[#This Row],[Account ID]],tblAccounts[account_id],tblAccounts[employee_count],""))</f>
        <v>490</v>
      </c>
      <c r="M21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1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19">
        <f>COUNTIF(tblApprovals[opportunity_id],tblDealDeskAudit[[#This Row],[Opportunity ID]])</f>
        <v>0</v>
      </c>
      <c r="P21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20" spans="1:16">
      <c r="A220" s="20" t="s">
        <v>2381</v>
      </c>
      <c r="B220" s="21" t="s">
        <v>598</v>
      </c>
      <c r="C220" s="21" t="s">
        <v>5663</v>
      </c>
      <c r="D220" s="29">
        <v>0.5</v>
      </c>
      <c r="E220" s="24">
        <v>43780</v>
      </c>
      <c r="F220" s="21" t="s">
        <v>5665</v>
      </c>
      <c r="G220" s="21" t="s">
        <v>5666</v>
      </c>
      <c r="H220" s="21" t="b">
        <v>0</v>
      </c>
      <c r="I220" s="21" t="b">
        <v>0</v>
      </c>
      <c r="J220" s="29">
        <v>7.5</v>
      </c>
      <c r="K220" s="35" t="b">
        <v>0</v>
      </c>
      <c r="L220">
        <f>IF(COUNTIFS(tblAccounts[account_id],tblDealDeskAudit[[#This Row],[Account ID]],tblAccounts[employee_count],"")&gt;0,"",_xlfn.XLOOKUP(tblDealDeskAudit[[#This Row],[Account ID]],tblAccounts[account_id],tblAccounts[employee_count],""))</f>
        <v>131</v>
      </c>
      <c r="M22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2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20">
        <f>COUNTIF(tblApprovals[opportunity_id],tblDealDeskAudit[[#This Row],[Opportunity ID]])</f>
        <v>0</v>
      </c>
      <c r="P22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21" spans="1:16">
      <c r="A221" s="22" t="s">
        <v>6024</v>
      </c>
      <c r="B221" s="23" t="s">
        <v>37</v>
      </c>
      <c r="C221" s="23" t="s">
        <v>5740</v>
      </c>
      <c r="D221" s="30">
        <v>4.5999999999999996</v>
      </c>
      <c r="E221" s="25">
        <v>15264</v>
      </c>
      <c r="F221" s="23" t="s">
        <v>5665</v>
      </c>
      <c r="G221" s="23" t="s">
        <v>5666</v>
      </c>
      <c r="H221" s="23" t="b">
        <v>0</v>
      </c>
      <c r="I221" s="23" t="b">
        <v>0</v>
      </c>
      <c r="J221" s="30">
        <v>18.899999999999999</v>
      </c>
      <c r="K221" s="36" t="b">
        <v>0</v>
      </c>
      <c r="L221">
        <f>IF(COUNTIFS(tblAccounts[account_id],tblDealDeskAudit[[#This Row],[Account ID]],tblAccounts[employee_count],"")&gt;0,"",_xlfn.XLOOKUP(tblDealDeskAudit[[#This Row],[Account ID]],tblAccounts[account_id],tblAccounts[employee_count],""))</f>
        <v>137</v>
      </c>
      <c r="M22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2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21">
        <f>COUNTIF(tblApprovals[opportunity_id],tblDealDeskAudit[[#This Row],[Opportunity ID]])</f>
        <v>0</v>
      </c>
      <c r="P22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22" spans="1:16">
      <c r="A222" s="20" t="s">
        <v>6027</v>
      </c>
      <c r="B222" s="21" t="s">
        <v>542</v>
      </c>
      <c r="C222" s="21" t="s">
        <v>5669</v>
      </c>
      <c r="D222" s="29">
        <v>24.1</v>
      </c>
      <c r="E222" s="24">
        <v>24288</v>
      </c>
      <c r="F222" s="21" t="s">
        <v>5665</v>
      </c>
      <c r="G222" s="21" t="s">
        <v>5666</v>
      </c>
      <c r="H222" s="21" t="b">
        <v>0</v>
      </c>
      <c r="I222" s="21" t="b">
        <v>0</v>
      </c>
      <c r="J222" s="29">
        <v>15.4</v>
      </c>
      <c r="K222" s="35" t="b">
        <v>1</v>
      </c>
      <c r="L222">
        <f>IF(COUNTIFS(tblAccounts[account_id],tblDealDeskAudit[[#This Row],[Account ID]],tblAccounts[employee_count],"")&gt;0,"",_xlfn.XLOOKUP(tblDealDeskAudit[[#This Row],[Account ID]],tblAccounts[account_id],tblAccounts[employee_count],""))</f>
        <v>154</v>
      </c>
      <c r="M22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2">
        <f>COUNTIF(tblApprovals[opportunity_id],tblDealDeskAudit[[#This Row],[Opportunity ID]])</f>
        <v>1</v>
      </c>
      <c r="P22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23" spans="1:16">
      <c r="A223" s="22" t="s">
        <v>1594</v>
      </c>
      <c r="B223" s="23" t="s">
        <v>259</v>
      </c>
      <c r="C223" s="23" t="s">
        <v>5675</v>
      </c>
      <c r="D223" s="30">
        <v>25</v>
      </c>
      <c r="E223" s="25">
        <v>22500</v>
      </c>
      <c r="F223" s="23" t="s">
        <v>5665</v>
      </c>
      <c r="G223" s="23" t="s">
        <v>5666</v>
      </c>
      <c r="H223" s="23" t="b">
        <v>1</v>
      </c>
      <c r="I223" s="23" t="b">
        <v>0</v>
      </c>
      <c r="J223" s="30">
        <v>8.4</v>
      </c>
      <c r="K223" s="36" t="b">
        <v>1</v>
      </c>
      <c r="L223">
        <f>IF(COUNTIFS(tblAccounts[account_id],tblDealDeskAudit[[#This Row],[Account ID]],tblAccounts[employee_count],"")&gt;0,"",_xlfn.XLOOKUP(tblDealDeskAudit[[#This Row],[Account ID]],tblAccounts[account_id],tblAccounts[employee_count],""))</f>
        <v>641</v>
      </c>
      <c r="M22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3">
        <f>COUNTIF(tblApprovals[opportunity_id],tblDealDeskAudit[[#This Row],[Opportunity ID]])</f>
        <v>1</v>
      </c>
      <c r="P22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24" spans="1:16">
      <c r="A224" s="20" t="s">
        <v>1674</v>
      </c>
      <c r="B224" s="21" t="s">
        <v>983</v>
      </c>
      <c r="C224" s="21" t="s">
        <v>5675</v>
      </c>
      <c r="D224" s="29">
        <v>0.2</v>
      </c>
      <c r="E224" s="24">
        <v>25948</v>
      </c>
      <c r="F224" s="21" t="s">
        <v>5665</v>
      </c>
      <c r="G224" s="21" t="s">
        <v>5666</v>
      </c>
      <c r="H224" s="21" t="b">
        <v>0</v>
      </c>
      <c r="I224" s="21" t="b">
        <v>1</v>
      </c>
      <c r="J224" s="29">
        <v>20.2</v>
      </c>
      <c r="K224" s="35" t="b">
        <v>1</v>
      </c>
      <c r="L224">
        <f>IF(COUNTIFS(tblAccounts[account_id],tblDealDeskAudit[[#This Row],[Account ID]],tblAccounts[employee_count],"")&gt;0,"",_xlfn.XLOOKUP(tblDealDeskAudit[[#This Row],[Account ID]],tblAccounts[account_id],tblAccounts[employee_count],""))</f>
        <v>139</v>
      </c>
      <c r="M22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4">
        <f>COUNTIF(tblApprovals[opportunity_id],tblDealDeskAudit[[#This Row],[Opportunity ID]])</f>
        <v>0</v>
      </c>
      <c r="P22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25" spans="1:16">
      <c r="A225" s="22" t="s">
        <v>1769</v>
      </c>
      <c r="B225" s="23" t="s">
        <v>861</v>
      </c>
      <c r="C225" s="23" t="s">
        <v>5681</v>
      </c>
      <c r="D225" s="30">
        <v>2.5</v>
      </c>
      <c r="E225" s="25">
        <v>19500</v>
      </c>
      <c r="F225" s="23" t="s">
        <v>5665</v>
      </c>
      <c r="G225" s="23" t="s">
        <v>5666</v>
      </c>
      <c r="H225" s="23" t="b">
        <v>0</v>
      </c>
      <c r="I225" s="23" t="b">
        <v>0</v>
      </c>
      <c r="J225" s="30">
        <v>8.6</v>
      </c>
      <c r="K225" s="36" t="b">
        <v>0</v>
      </c>
      <c r="L225">
        <f>IF(COUNTIFS(tblAccounts[account_id],tblDealDeskAudit[[#This Row],[Account ID]],tblAccounts[employee_count],"")&gt;0,"",_xlfn.XLOOKUP(tblDealDeskAudit[[#This Row],[Account ID]],tblAccounts[account_id],tblAccounts[employee_count],""))</f>
        <v>147</v>
      </c>
      <c r="M22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2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25">
        <f>COUNTIF(tblApprovals[opportunity_id],tblDealDeskAudit[[#This Row],[Opportunity ID]])</f>
        <v>0</v>
      </c>
      <c r="P22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26" spans="1:16">
      <c r="A226" s="20" t="s">
        <v>2225</v>
      </c>
      <c r="B226" s="21" t="s">
        <v>885</v>
      </c>
      <c r="C226" s="21" t="s">
        <v>5725</v>
      </c>
      <c r="D226" s="29">
        <v>0.5</v>
      </c>
      <c r="E226" s="24">
        <v>19900</v>
      </c>
      <c r="F226" s="21" t="s">
        <v>5665</v>
      </c>
      <c r="G226" s="21" t="s">
        <v>5666</v>
      </c>
      <c r="H226" s="21" t="b">
        <v>1</v>
      </c>
      <c r="I226" s="21" t="b">
        <v>0</v>
      </c>
      <c r="J226" s="29">
        <v>1.4</v>
      </c>
      <c r="K226" s="35" t="b">
        <v>1</v>
      </c>
      <c r="L226">
        <f>IF(COUNTIFS(tblAccounts[account_id],tblDealDeskAudit[[#This Row],[Account ID]],tblAccounts[employee_count],"")&gt;0,"",_xlfn.XLOOKUP(tblDealDeskAudit[[#This Row],[Account ID]],tblAccounts[account_id],tblAccounts[employee_count],""))</f>
        <v>97</v>
      </c>
      <c r="M22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6">
        <f>COUNTIF(tblApprovals[opportunity_id],tblDealDeskAudit[[#This Row],[Opportunity ID]])</f>
        <v>1</v>
      </c>
      <c r="P22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27" spans="1:16">
      <c r="A227" s="22" t="s">
        <v>6031</v>
      </c>
      <c r="B227" s="23" t="s">
        <v>250</v>
      </c>
      <c r="C227" s="23" t="s">
        <v>5663</v>
      </c>
      <c r="D227" s="30">
        <v>22.6</v>
      </c>
      <c r="E227" s="25">
        <v>40248</v>
      </c>
      <c r="F227" s="23" t="s">
        <v>5665</v>
      </c>
      <c r="G227" s="23" t="s">
        <v>5666</v>
      </c>
      <c r="H227" s="23" t="b">
        <v>0</v>
      </c>
      <c r="I227" s="23" t="b">
        <v>0</v>
      </c>
      <c r="J227" s="30">
        <v>6.2</v>
      </c>
      <c r="K227" s="36" t="b">
        <v>1</v>
      </c>
      <c r="L227">
        <f>IF(COUNTIFS(tblAccounts[account_id],tblDealDeskAudit[[#This Row],[Account ID]],tblAccounts[employee_count],"")&gt;0,"",_xlfn.XLOOKUP(tblDealDeskAudit[[#This Row],[Account ID]],tblAccounts[account_id],tblAccounts[employee_count],""))</f>
        <v>502</v>
      </c>
      <c r="M22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7">
        <f>COUNTIF(tblApprovals[opportunity_id],tblDealDeskAudit[[#This Row],[Opportunity ID]])</f>
        <v>0</v>
      </c>
      <c r="P22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28" spans="1:16">
      <c r="A228" s="20" t="s">
        <v>2517</v>
      </c>
      <c r="B228" s="21" t="s">
        <v>401</v>
      </c>
      <c r="C228" s="21" t="s">
        <v>5663</v>
      </c>
      <c r="D228" s="29">
        <v>19.399999999999999</v>
      </c>
      <c r="E228" s="24">
        <v>48360</v>
      </c>
      <c r="F228" s="21" t="s">
        <v>5665</v>
      </c>
      <c r="G228" s="21" t="s">
        <v>5666</v>
      </c>
      <c r="H228" s="21" t="b">
        <v>0</v>
      </c>
      <c r="I228" s="21" t="b">
        <v>0</v>
      </c>
      <c r="J228" s="29">
        <v>26</v>
      </c>
      <c r="K228" s="35" t="b">
        <v>1</v>
      </c>
      <c r="L228">
        <f>IF(COUNTIFS(tblAccounts[account_id],tblDealDeskAudit[[#This Row],[Account ID]],tblAccounts[employee_count],"")&gt;0,"",_xlfn.XLOOKUP(tblDealDeskAudit[[#This Row],[Account ID]],tblAccounts[account_id],tblAccounts[employee_count],""))</f>
        <v>3048</v>
      </c>
      <c r="M22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8">
        <f>COUNTIF(tblApprovals[opportunity_id],tblDealDeskAudit[[#This Row],[Opportunity ID]])</f>
        <v>0</v>
      </c>
      <c r="P22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29" spans="1:16">
      <c r="A229" s="22" t="s">
        <v>2484</v>
      </c>
      <c r="B229" s="23" t="s">
        <v>31</v>
      </c>
      <c r="C229" s="23" t="s">
        <v>5725</v>
      </c>
      <c r="D229" s="30">
        <v>23</v>
      </c>
      <c r="E229" s="25">
        <v>29260</v>
      </c>
      <c r="F229" s="23" t="s">
        <v>5665</v>
      </c>
      <c r="G229" s="23" t="s">
        <v>5666</v>
      </c>
      <c r="H229" s="23" t="b">
        <v>0</v>
      </c>
      <c r="I229" s="23" t="b">
        <v>0</v>
      </c>
      <c r="J229" s="30">
        <v>24.2</v>
      </c>
      <c r="K229" s="36" t="b">
        <v>1</v>
      </c>
      <c r="L229">
        <f>IF(COUNTIFS(tblAccounts[account_id],tblDealDeskAudit[[#This Row],[Account ID]],tblAccounts[employee_count],"")&gt;0,"",_xlfn.XLOOKUP(tblDealDeskAudit[[#This Row],[Account ID]],tblAccounts[account_id],tblAccounts[employee_count],""))</f>
        <v>595</v>
      </c>
      <c r="M22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2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29">
        <f>COUNTIF(tblApprovals[opportunity_id],tblDealDeskAudit[[#This Row],[Opportunity ID]])</f>
        <v>2</v>
      </c>
      <c r="P22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30" spans="1:16">
      <c r="A230" s="20" t="s">
        <v>6033</v>
      </c>
      <c r="B230" s="21" t="s">
        <v>742</v>
      </c>
      <c r="C230" s="21" t="s">
        <v>5663</v>
      </c>
      <c r="D230" s="29">
        <v>3.3</v>
      </c>
      <c r="E230" s="24">
        <v>11604</v>
      </c>
      <c r="F230" s="21" t="s">
        <v>5665</v>
      </c>
      <c r="G230" s="21" t="s">
        <v>5666</v>
      </c>
      <c r="H230" s="21" t="b">
        <v>0</v>
      </c>
      <c r="I230" s="21" t="b">
        <v>0</v>
      </c>
      <c r="J230" s="29">
        <v>0</v>
      </c>
      <c r="K230" s="35" t="b">
        <v>0</v>
      </c>
      <c r="L230">
        <f>IF(COUNTIFS(tblAccounts[account_id],tblDealDeskAudit[[#This Row],[Account ID]],tblAccounts[employee_count],"")&gt;0,"",_xlfn.XLOOKUP(tblDealDeskAudit[[#This Row],[Account ID]],tblAccounts[account_id],tblAccounts[employee_count],""))</f>
        <v>122</v>
      </c>
      <c r="M23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0">
        <f>COUNTIF(tblApprovals[opportunity_id],tblDealDeskAudit[[#This Row],[Opportunity ID]])</f>
        <v>0</v>
      </c>
      <c r="P23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31" spans="1:16">
      <c r="A231" s="22" t="s">
        <v>1736</v>
      </c>
      <c r="B231" s="23" t="s">
        <v>12</v>
      </c>
      <c r="C231" s="23" t="s">
        <v>5675</v>
      </c>
      <c r="D231" s="30">
        <v>3.1</v>
      </c>
      <c r="E231" s="25">
        <v>77520</v>
      </c>
      <c r="F231" s="23" t="s">
        <v>5665</v>
      </c>
      <c r="G231" s="23" t="s">
        <v>5666</v>
      </c>
      <c r="H231" s="23" t="b">
        <v>0</v>
      </c>
      <c r="I231" s="23" t="b">
        <v>0</v>
      </c>
      <c r="J231" s="30">
        <v>23.2</v>
      </c>
      <c r="K231" s="36" t="b">
        <v>1</v>
      </c>
      <c r="L231" t="str">
        <f>IF(COUNTIFS(tblAccounts[account_id],tblDealDeskAudit[[#This Row],[Account ID]],tblAccounts[employee_count],"")&gt;0,"",_xlfn.XLOOKUP(tblDealDeskAudit[[#This Row],[Account ID]],tblAccounts[account_id],tblAccounts[employee_count],""))</f>
        <v/>
      </c>
      <c r="M23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3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31">
        <f>COUNTIF(tblApprovals[opportunity_id],tblDealDeskAudit[[#This Row],[Opportunity ID]])</f>
        <v>0</v>
      </c>
      <c r="P23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32" spans="1:16">
      <c r="A232" s="20" t="s">
        <v>6037</v>
      </c>
      <c r="B232" s="21" t="s">
        <v>217</v>
      </c>
      <c r="C232" s="21" t="s">
        <v>5663</v>
      </c>
      <c r="D232" s="29">
        <v>4.2</v>
      </c>
      <c r="E232" s="24">
        <v>24908</v>
      </c>
      <c r="F232" s="21" t="s">
        <v>5665</v>
      </c>
      <c r="G232" s="21" t="s">
        <v>5666</v>
      </c>
      <c r="H232" s="21" t="b">
        <v>0</v>
      </c>
      <c r="I232" s="21" t="b">
        <v>0</v>
      </c>
      <c r="J232" s="29">
        <v>4.0999999999999996</v>
      </c>
      <c r="K232" s="35" t="b">
        <v>0</v>
      </c>
      <c r="L232">
        <f>IF(COUNTIFS(tblAccounts[account_id],tblDealDeskAudit[[#This Row],[Account ID]],tblAccounts[employee_count],"")&gt;0,"",_xlfn.XLOOKUP(tblDealDeskAudit[[#This Row],[Account ID]],tblAccounts[account_id],tblAccounts[employee_count],""))</f>
        <v>126</v>
      </c>
      <c r="M23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2">
        <f>COUNTIF(tblApprovals[opportunity_id],tblDealDeskAudit[[#This Row],[Opportunity ID]])</f>
        <v>0</v>
      </c>
      <c r="P23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33" spans="1:16">
      <c r="A233" s="22" t="s">
        <v>1304</v>
      </c>
      <c r="B233" s="23" t="s">
        <v>265</v>
      </c>
      <c r="C233" s="23" t="s">
        <v>5675</v>
      </c>
      <c r="D233" s="30">
        <v>17.100000000000001</v>
      </c>
      <c r="E233" s="25">
        <v>69636</v>
      </c>
      <c r="F233" s="23" t="s">
        <v>5665</v>
      </c>
      <c r="G233" s="23" t="s">
        <v>5693</v>
      </c>
      <c r="H233" s="23" t="b">
        <v>0</v>
      </c>
      <c r="I233" s="23" t="b">
        <v>0</v>
      </c>
      <c r="J233" s="30">
        <v>3.9</v>
      </c>
      <c r="K233" s="36" t="b">
        <v>1</v>
      </c>
      <c r="L233">
        <f>IF(COUNTIFS(tblAccounts[account_id],tblDealDeskAudit[[#This Row],[Account ID]],tblAccounts[employee_count],"")&gt;0,"",_xlfn.XLOOKUP(tblDealDeskAudit[[#This Row],[Account ID]],tblAccounts[account_id],tblAccounts[employee_count],""))</f>
        <v>718</v>
      </c>
      <c r="M23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3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33">
        <f>COUNTIF(tblApprovals[opportunity_id],tblDealDeskAudit[[#This Row],[Opportunity ID]])</f>
        <v>0</v>
      </c>
      <c r="P23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34" spans="1:16">
      <c r="A234" s="20" t="s">
        <v>1974</v>
      </c>
      <c r="B234" s="21" t="s">
        <v>939</v>
      </c>
      <c r="C234" s="21" t="s">
        <v>5675</v>
      </c>
      <c r="D234" s="29">
        <v>0.5</v>
      </c>
      <c r="E234" s="24">
        <v>53730</v>
      </c>
      <c r="F234" s="21" t="s">
        <v>5665</v>
      </c>
      <c r="G234" s="21" t="s">
        <v>5666</v>
      </c>
      <c r="H234" s="21" t="b">
        <v>0</v>
      </c>
      <c r="I234" s="21" t="b">
        <v>0</v>
      </c>
      <c r="J234" s="29">
        <v>5.3</v>
      </c>
      <c r="K234" s="35" t="b">
        <v>0</v>
      </c>
      <c r="L234">
        <f>IF(COUNTIFS(tblAccounts[account_id],tblDealDeskAudit[[#This Row],[Account ID]],tblAccounts[employee_count],"")&gt;0,"",_xlfn.XLOOKUP(tblDealDeskAudit[[#This Row],[Account ID]],tblAccounts[account_id],tblAccounts[employee_count],""))</f>
        <v>612</v>
      </c>
      <c r="M23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4">
        <f>COUNTIF(tblApprovals[opportunity_id],tblDealDeskAudit[[#This Row],[Opportunity ID]])</f>
        <v>0</v>
      </c>
      <c r="P23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35" spans="1:16">
      <c r="A235" s="22" t="s">
        <v>6040</v>
      </c>
      <c r="B235" s="23" t="s">
        <v>412</v>
      </c>
      <c r="C235" s="23" t="s">
        <v>5663</v>
      </c>
      <c r="D235" s="30">
        <v>14.9</v>
      </c>
      <c r="E235" s="25">
        <v>57868</v>
      </c>
      <c r="F235" s="23" t="s">
        <v>5665</v>
      </c>
      <c r="G235" s="23" t="s">
        <v>5666</v>
      </c>
      <c r="H235" s="23" t="b">
        <v>0</v>
      </c>
      <c r="I235" s="23" t="b">
        <v>0</v>
      </c>
      <c r="J235" s="30">
        <v>9.3000000000000007</v>
      </c>
      <c r="K235" s="36" t="b">
        <v>1</v>
      </c>
      <c r="L235">
        <f>IF(COUNTIFS(tblAccounts[account_id],tblDealDeskAudit[[#This Row],[Account ID]],tblAccounts[employee_count],"")&gt;0,"",_xlfn.XLOOKUP(tblDealDeskAudit[[#This Row],[Account ID]],tblAccounts[account_id],tblAccounts[employee_count],""))</f>
        <v>1879</v>
      </c>
      <c r="M23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3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35">
        <f>COUNTIF(tblApprovals[opportunity_id],tblDealDeskAudit[[#This Row],[Opportunity ID]])</f>
        <v>0</v>
      </c>
      <c r="P23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36" spans="1:16">
      <c r="A236" s="20" t="s">
        <v>2456</v>
      </c>
      <c r="B236" s="21" t="s">
        <v>739</v>
      </c>
      <c r="C236" s="21" t="s">
        <v>5663</v>
      </c>
      <c r="D236" s="29">
        <v>8.3000000000000007</v>
      </c>
      <c r="E236" s="24">
        <v>45850</v>
      </c>
      <c r="F236" s="21" t="s">
        <v>5665</v>
      </c>
      <c r="G236" s="21" t="s">
        <v>5666</v>
      </c>
      <c r="H236" s="21" t="b">
        <v>0</v>
      </c>
      <c r="I236" s="21" t="b">
        <v>0</v>
      </c>
      <c r="J236" s="29">
        <v>2</v>
      </c>
      <c r="K236" s="35" t="b">
        <v>0</v>
      </c>
      <c r="L236">
        <f>IF(COUNTIFS(tblAccounts[account_id],tblDealDeskAudit[[#This Row],[Account ID]],tblAccounts[employee_count],"")&gt;0,"",_xlfn.XLOOKUP(tblDealDeskAudit[[#This Row],[Account ID]],tblAccounts[account_id],tblAccounts[employee_count],""))</f>
        <v>2214</v>
      </c>
      <c r="M23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6">
        <f>COUNTIF(tblApprovals[opportunity_id],tblDealDeskAudit[[#This Row],[Opportunity ID]])</f>
        <v>0</v>
      </c>
      <c r="P23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37" spans="1:16">
      <c r="A237" s="22" t="s">
        <v>1855</v>
      </c>
      <c r="B237" s="23" t="s">
        <v>110</v>
      </c>
      <c r="C237" s="23" t="s">
        <v>5663</v>
      </c>
      <c r="D237" s="30">
        <v>1.5</v>
      </c>
      <c r="E237" s="25">
        <v>11820</v>
      </c>
      <c r="F237" s="23" t="s">
        <v>5665</v>
      </c>
      <c r="G237" s="23" t="s">
        <v>5666</v>
      </c>
      <c r="H237" s="23" t="b">
        <v>0</v>
      </c>
      <c r="I237" s="23" t="b">
        <v>0</v>
      </c>
      <c r="J237" s="30">
        <v>3.2</v>
      </c>
      <c r="K237" s="36" t="b">
        <v>0</v>
      </c>
      <c r="L237">
        <f>IF(COUNTIFS(tblAccounts[account_id],tblDealDeskAudit[[#This Row],[Account ID]],tblAccounts[employee_count],"")&gt;0,"",_xlfn.XLOOKUP(tblDealDeskAudit[[#This Row],[Account ID]],tblAccounts[account_id],tblAccounts[employee_count],""))</f>
        <v>46</v>
      </c>
      <c r="M23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7">
        <f>COUNTIF(tblApprovals[opportunity_id],tblDealDeskAudit[[#This Row],[Opportunity ID]])</f>
        <v>0</v>
      </c>
      <c r="P23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38" spans="1:16">
      <c r="A238" s="20" t="s">
        <v>6043</v>
      </c>
      <c r="B238" s="21" t="s">
        <v>777</v>
      </c>
      <c r="C238" s="21" t="s">
        <v>5686</v>
      </c>
      <c r="D238" s="29">
        <v>0.3</v>
      </c>
      <c r="E238" s="24">
        <v>25922</v>
      </c>
      <c r="F238" s="21" t="s">
        <v>5665</v>
      </c>
      <c r="G238" s="21" t="s">
        <v>5666</v>
      </c>
      <c r="H238" s="21" t="b">
        <v>0</v>
      </c>
      <c r="I238" s="21" t="b">
        <v>0</v>
      </c>
      <c r="J238" s="29">
        <v>9.8000000000000007</v>
      </c>
      <c r="K238" s="35" t="b">
        <v>0</v>
      </c>
      <c r="L238">
        <f>IF(COUNTIFS(tblAccounts[account_id],tblDealDeskAudit[[#This Row],[Account ID]],tblAccounts[employee_count],"")&gt;0,"",_xlfn.XLOOKUP(tblDealDeskAudit[[#This Row],[Account ID]],tblAccounts[account_id],tblAccounts[employee_count],""))</f>
        <v>169</v>
      </c>
      <c r="M23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8">
        <f>COUNTIF(tblApprovals[opportunity_id],tblDealDeskAudit[[#This Row],[Opportunity ID]])</f>
        <v>0</v>
      </c>
      <c r="P23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39" spans="1:16">
      <c r="A239" s="22" t="s">
        <v>6044</v>
      </c>
      <c r="B239" s="23" t="s">
        <v>1001</v>
      </c>
      <c r="C239" s="23" t="s">
        <v>5663</v>
      </c>
      <c r="D239" s="30">
        <v>2.2999999999999998</v>
      </c>
      <c r="E239" s="25">
        <v>13678</v>
      </c>
      <c r="F239" s="23" t="s">
        <v>5665</v>
      </c>
      <c r="G239" s="23" t="s">
        <v>5666</v>
      </c>
      <c r="H239" s="23" t="b">
        <v>0</v>
      </c>
      <c r="I239" s="23" t="b">
        <v>0</v>
      </c>
      <c r="J239" s="30">
        <v>0</v>
      </c>
      <c r="K239" s="36" t="b">
        <v>0</v>
      </c>
      <c r="L239">
        <f>IF(COUNTIFS(tblAccounts[account_id],tblDealDeskAudit[[#This Row],[Account ID]],tblAccounts[employee_count],"")&gt;0,"",_xlfn.XLOOKUP(tblDealDeskAudit[[#This Row],[Account ID]],tblAccounts[account_id],tblAccounts[employee_count],""))</f>
        <v>474</v>
      </c>
      <c r="M23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3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39">
        <f>COUNTIF(tblApprovals[opportunity_id],tblDealDeskAudit[[#This Row],[Opportunity ID]])</f>
        <v>0</v>
      </c>
      <c r="P23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40" spans="1:16">
      <c r="A240" s="20" t="s">
        <v>2472</v>
      </c>
      <c r="B240" s="21" t="s">
        <v>479</v>
      </c>
      <c r="C240" s="21" t="s">
        <v>5675</v>
      </c>
      <c r="D240" s="29">
        <v>3.4</v>
      </c>
      <c r="E240" s="24">
        <v>32844</v>
      </c>
      <c r="F240" s="21" t="s">
        <v>5665</v>
      </c>
      <c r="G240" s="21" t="s">
        <v>5666</v>
      </c>
      <c r="H240" s="21" t="b">
        <v>0</v>
      </c>
      <c r="I240" s="21" t="b">
        <v>0</v>
      </c>
      <c r="J240" s="29">
        <v>7.8</v>
      </c>
      <c r="K240" s="35" t="b">
        <v>0</v>
      </c>
      <c r="L240">
        <f>IF(COUNTIFS(tblAccounts[account_id],tblDealDeskAudit[[#This Row],[Account ID]],tblAccounts[employee_count],"")&gt;0,"",_xlfn.XLOOKUP(tblDealDeskAudit[[#This Row],[Account ID]],tblAccounts[account_id],tblAccounts[employee_count],""))</f>
        <v>299</v>
      </c>
      <c r="M24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4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40">
        <f>COUNTIF(tblApprovals[opportunity_id],tblDealDeskAudit[[#This Row],[Opportunity ID]])</f>
        <v>0</v>
      </c>
      <c r="P24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41" spans="1:16">
      <c r="A241" s="22" t="s">
        <v>6046</v>
      </c>
      <c r="B241" s="23" t="s">
        <v>500</v>
      </c>
      <c r="C241" s="23" t="s">
        <v>5663</v>
      </c>
      <c r="D241" s="30">
        <v>20.5</v>
      </c>
      <c r="E241" s="25">
        <v>17490</v>
      </c>
      <c r="F241" s="23" t="s">
        <v>5665</v>
      </c>
      <c r="G241" s="23" t="s">
        <v>5666</v>
      </c>
      <c r="H241" s="23" t="b">
        <v>0</v>
      </c>
      <c r="I241" s="23" t="b">
        <v>0</v>
      </c>
      <c r="J241" s="30">
        <v>9.9</v>
      </c>
      <c r="K241" s="36" t="b">
        <v>1</v>
      </c>
      <c r="L241">
        <f>IF(COUNTIFS(tblAccounts[account_id],tblDealDeskAudit[[#This Row],[Account ID]],tblAccounts[employee_count],"")&gt;0,"",_xlfn.XLOOKUP(tblDealDeskAudit[[#This Row],[Account ID]],tblAccounts[account_id],tblAccounts[employee_count],""))</f>
        <v>150</v>
      </c>
      <c r="M24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4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41">
        <f>COUNTIF(tblApprovals[opportunity_id],tblDealDeskAudit[[#This Row],[Opportunity ID]])</f>
        <v>0</v>
      </c>
      <c r="P24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42" spans="1:16">
      <c r="A242" s="20" t="s">
        <v>6047</v>
      </c>
      <c r="B242" s="21" t="s">
        <v>327</v>
      </c>
      <c r="C242" s="21" t="s">
        <v>5663</v>
      </c>
      <c r="D242" s="29">
        <v>12.9</v>
      </c>
      <c r="E242" s="24">
        <v>12194</v>
      </c>
      <c r="F242" s="21" t="s">
        <v>5665</v>
      </c>
      <c r="G242" s="21" t="s">
        <v>5666</v>
      </c>
      <c r="H242" s="21" t="b">
        <v>0</v>
      </c>
      <c r="I242" s="21" t="b">
        <v>0</v>
      </c>
      <c r="J242" s="29">
        <v>0</v>
      </c>
      <c r="K242" s="35" t="b">
        <v>1</v>
      </c>
      <c r="L242">
        <f>IF(COUNTIFS(tblAccounts[account_id],tblDealDeskAudit[[#This Row],[Account ID]],tblAccounts[employee_count],"")&gt;0,"",_xlfn.XLOOKUP(tblDealDeskAudit[[#This Row],[Account ID]],tblAccounts[account_id],tblAccounts[employee_count],""))</f>
        <v>80</v>
      </c>
      <c r="M24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4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42">
        <f>COUNTIF(tblApprovals[opportunity_id],tblDealDeskAudit[[#This Row],[Opportunity ID]])</f>
        <v>0</v>
      </c>
      <c r="P24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43" spans="1:16">
      <c r="A243" s="22" t="s">
        <v>1519</v>
      </c>
      <c r="B243" s="23" t="s">
        <v>515</v>
      </c>
      <c r="C243" s="23" t="s">
        <v>5675</v>
      </c>
      <c r="D243" s="30">
        <v>5.7</v>
      </c>
      <c r="E243" s="25">
        <v>11316</v>
      </c>
      <c r="F243" s="23" t="s">
        <v>5665</v>
      </c>
      <c r="G243" s="23" t="s">
        <v>5666</v>
      </c>
      <c r="H243" s="23" t="b">
        <v>0</v>
      </c>
      <c r="I243" s="23" t="b">
        <v>0</v>
      </c>
      <c r="J243" s="30">
        <v>4.4000000000000004</v>
      </c>
      <c r="K243" s="36" t="b">
        <v>0</v>
      </c>
      <c r="L243">
        <f>IF(COUNTIFS(tblAccounts[account_id],tblDealDeskAudit[[#This Row],[Account ID]],tblAccounts[employee_count],"")&gt;0,"",_xlfn.XLOOKUP(tblDealDeskAudit[[#This Row],[Account ID]],tblAccounts[account_id],tblAccounts[employee_count],""))</f>
        <v>65</v>
      </c>
      <c r="M24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4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43">
        <f>COUNTIF(tblApprovals[opportunity_id],tblDealDeskAudit[[#This Row],[Opportunity ID]])</f>
        <v>0</v>
      </c>
      <c r="P24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44" spans="1:16">
      <c r="A244" s="20" t="s">
        <v>2198</v>
      </c>
      <c r="B244" s="21" t="s">
        <v>103</v>
      </c>
      <c r="C244" s="21" t="s">
        <v>5675</v>
      </c>
      <c r="D244" s="29">
        <v>7</v>
      </c>
      <c r="E244" s="24">
        <v>11160</v>
      </c>
      <c r="F244" s="21" t="s">
        <v>5665</v>
      </c>
      <c r="G244" s="21" t="s">
        <v>5666</v>
      </c>
      <c r="H244" s="21" t="b">
        <v>0</v>
      </c>
      <c r="I244" s="21" t="b">
        <v>0</v>
      </c>
      <c r="J244" s="29">
        <v>10</v>
      </c>
      <c r="K244" s="35" t="b">
        <v>0</v>
      </c>
      <c r="L244">
        <f>IF(COUNTIFS(tblAccounts[account_id],tblDealDeskAudit[[#This Row],[Account ID]],tblAccounts[employee_count],"")&gt;0,"",_xlfn.XLOOKUP(tblDealDeskAudit[[#This Row],[Account ID]],tblAccounts[account_id],tblAccounts[employee_count],""))</f>
        <v>66</v>
      </c>
      <c r="M24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4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44">
        <f>COUNTIF(tblApprovals[opportunity_id],tblDealDeskAudit[[#This Row],[Opportunity ID]])</f>
        <v>0</v>
      </c>
      <c r="P24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45" spans="1:16">
      <c r="A245" s="22" t="s">
        <v>1608</v>
      </c>
      <c r="B245" s="23" t="s">
        <v>500</v>
      </c>
      <c r="C245" s="23" t="s">
        <v>5663</v>
      </c>
      <c r="D245" s="30">
        <v>11.4</v>
      </c>
      <c r="E245" s="25">
        <v>24808</v>
      </c>
      <c r="F245" s="23" t="s">
        <v>5665</v>
      </c>
      <c r="G245" s="23" t="s">
        <v>5666</v>
      </c>
      <c r="H245" s="23" t="b">
        <v>0</v>
      </c>
      <c r="I245" s="23" t="b">
        <v>0</v>
      </c>
      <c r="J245" s="30">
        <v>13.5</v>
      </c>
      <c r="K245" s="36" t="b">
        <v>1</v>
      </c>
      <c r="L245">
        <f>IF(COUNTIFS(tblAccounts[account_id],tblDealDeskAudit[[#This Row],[Account ID]],tblAccounts[employee_count],"")&gt;0,"",_xlfn.XLOOKUP(tblDealDeskAudit[[#This Row],[Account ID]],tblAccounts[account_id],tblAccounts[employee_count],""))</f>
        <v>150</v>
      </c>
      <c r="M24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4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45">
        <f>COUNTIF(tblApprovals[opportunity_id],tblDealDeskAudit[[#This Row],[Opportunity ID]])</f>
        <v>0</v>
      </c>
      <c r="P24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46" spans="1:16">
      <c r="A246" s="20" t="s">
        <v>1781</v>
      </c>
      <c r="B246" s="21" t="s">
        <v>527</v>
      </c>
      <c r="C246" s="21" t="s">
        <v>5663</v>
      </c>
      <c r="D246" s="29">
        <v>0.6</v>
      </c>
      <c r="E246" s="24">
        <v>11928</v>
      </c>
      <c r="F246" s="21" t="s">
        <v>5735</v>
      </c>
      <c r="G246" s="21" t="s">
        <v>5666</v>
      </c>
      <c r="H246" s="21" t="b">
        <v>0</v>
      </c>
      <c r="I246" s="21" t="b">
        <v>0</v>
      </c>
      <c r="J246" s="29">
        <v>7.4</v>
      </c>
      <c r="K246" s="35" t="b">
        <v>1</v>
      </c>
      <c r="L246">
        <f>IF(COUNTIFS(tblAccounts[account_id],tblDealDeskAudit[[#This Row],[Account ID]],tblAccounts[employee_count],"")&gt;0,"",_xlfn.XLOOKUP(tblDealDeskAudit[[#This Row],[Account ID]],tblAccounts[account_id],tblAccounts[employee_count],""))</f>
        <v>71</v>
      </c>
      <c r="M24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4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46">
        <f>COUNTIF(tblApprovals[opportunity_id],tblDealDeskAudit[[#This Row],[Opportunity ID]])</f>
        <v>0</v>
      </c>
      <c r="P24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47" spans="1:16">
      <c r="A247" s="22" t="s">
        <v>6052</v>
      </c>
      <c r="B247" s="23" t="s">
        <v>1025</v>
      </c>
      <c r="C247" s="23" t="s">
        <v>5663</v>
      </c>
      <c r="D247" s="30">
        <v>16.3</v>
      </c>
      <c r="E247" s="25">
        <v>73656</v>
      </c>
      <c r="F247" s="23" t="s">
        <v>5665</v>
      </c>
      <c r="G247" s="23" t="s">
        <v>5666</v>
      </c>
      <c r="H247" s="23" t="b">
        <v>0</v>
      </c>
      <c r="I247" s="23" t="b">
        <v>0</v>
      </c>
      <c r="J247" s="30">
        <v>7.9</v>
      </c>
      <c r="K247" s="36" t="b">
        <v>1</v>
      </c>
      <c r="L247">
        <f>IF(COUNTIFS(tblAccounts[account_id],tblDealDeskAudit[[#This Row],[Account ID]],tblAccounts[employee_count],"")&gt;0,"",_xlfn.XLOOKUP(tblDealDeskAudit[[#This Row],[Account ID]],tblAccounts[account_id],tblAccounts[employee_count],""))</f>
        <v>1510</v>
      </c>
      <c r="M24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4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47">
        <f>COUNTIF(tblApprovals[opportunity_id],tblDealDeskAudit[[#This Row],[Opportunity ID]])</f>
        <v>0</v>
      </c>
      <c r="P24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48" spans="1:16">
      <c r="A248" s="20" t="s">
        <v>2351</v>
      </c>
      <c r="B248" s="21" t="s">
        <v>623</v>
      </c>
      <c r="C248" s="21" t="s">
        <v>5675</v>
      </c>
      <c r="D248" s="29">
        <v>9</v>
      </c>
      <c r="E248" s="24">
        <v>20020</v>
      </c>
      <c r="F248" s="21" t="s">
        <v>5665</v>
      </c>
      <c r="G248" s="21" t="s">
        <v>5666</v>
      </c>
      <c r="H248" s="21" t="b">
        <v>0</v>
      </c>
      <c r="I248" s="21" t="b">
        <v>0</v>
      </c>
      <c r="J248" s="29">
        <v>9.8000000000000007</v>
      </c>
      <c r="K248" s="35" t="b">
        <v>0</v>
      </c>
      <c r="L248">
        <f>IF(COUNTIFS(tblAccounts[account_id],tblDealDeskAudit[[#This Row],[Account ID]],tblAccounts[employee_count],"")&gt;0,"",_xlfn.XLOOKUP(tblDealDeskAudit[[#This Row],[Account ID]],tblAccounts[account_id],tblAccounts[employee_count],""))</f>
        <v>96</v>
      </c>
      <c r="M24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4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48">
        <f>COUNTIF(tblApprovals[opportunity_id],tblDealDeskAudit[[#This Row],[Opportunity ID]])</f>
        <v>0</v>
      </c>
      <c r="P24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49" spans="1:16">
      <c r="A249" s="22" t="s">
        <v>6054</v>
      </c>
      <c r="B249" s="23" t="s">
        <v>193</v>
      </c>
      <c r="C249" s="23" t="s">
        <v>5663</v>
      </c>
      <c r="D249" s="30">
        <v>7.7</v>
      </c>
      <c r="E249" s="25">
        <v>11076</v>
      </c>
      <c r="F249" s="23" t="s">
        <v>5665</v>
      </c>
      <c r="G249" s="23" t="s">
        <v>5666</v>
      </c>
      <c r="H249" s="23" t="b">
        <v>0</v>
      </c>
      <c r="I249" s="23" t="b">
        <v>0</v>
      </c>
      <c r="J249" s="30">
        <v>4.9000000000000004</v>
      </c>
      <c r="K249" s="36" t="b">
        <v>0</v>
      </c>
      <c r="L249">
        <f>IF(COUNTIFS(tblAccounts[account_id],tblDealDeskAudit[[#This Row],[Account ID]],tblAccounts[employee_count],"")&gt;0,"",_xlfn.XLOOKUP(tblDealDeskAudit[[#This Row],[Account ID]],tblAccounts[account_id],tblAccounts[employee_count],""))</f>
        <v>64</v>
      </c>
      <c r="M24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4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49">
        <f>COUNTIF(tblApprovals[opportunity_id],tblDealDeskAudit[[#This Row],[Opportunity ID]])</f>
        <v>0</v>
      </c>
      <c r="P24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50" spans="1:16">
      <c r="A250" s="20" t="s">
        <v>1825</v>
      </c>
      <c r="B250" s="21" t="s">
        <v>521</v>
      </c>
      <c r="C250" s="21" t="s">
        <v>5691</v>
      </c>
      <c r="D250" s="29">
        <v>21.1</v>
      </c>
      <c r="E250" s="24">
        <v>15780</v>
      </c>
      <c r="F250" s="21" t="s">
        <v>5665</v>
      </c>
      <c r="G250" s="21" t="s">
        <v>5780</v>
      </c>
      <c r="H250" s="21" t="b">
        <v>0</v>
      </c>
      <c r="I250" s="21" t="b">
        <v>0</v>
      </c>
      <c r="J250" s="29">
        <v>0.8</v>
      </c>
      <c r="K250" s="35" t="b">
        <v>1</v>
      </c>
      <c r="L250">
        <f>IF(COUNTIFS(tblAccounts[account_id],tblDealDeskAudit[[#This Row],[Account ID]],tblAccounts[employee_count],"")&gt;0,"",_xlfn.XLOOKUP(tblDealDeskAudit[[#This Row],[Account ID]],tblAccounts[account_id],tblAccounts[employee_count],""))</f>
        <v>69</v>
      </c>
      <c r="M25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5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50">
        <f>COUNTIF(tblApprovals[opportunity_id],tblDealDeskAudit[[#This Row],[Opportunity ID]])</f>
        <v>2</v>
      </c>
      <c r="P25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51" spans="1:16">
      <c r="A251" s="22" t="s">
        <v>6057</v>
      </c>
      <c r="B251" s="23" t="s">
        <v>1031</v>
      </c>
      <c r="C251" s="23" t="s">
        <v>5691</v>
      </c>
      <c r="D251" s="30">
        <v>7</v>
      </c>
      <c r="E251" s="25">
        <v>74400</v>
      </c>
      <c r="F251" s="23" t="s">
        <v>5665</v>
      </c>
      <c r="G251" s="23" t="s">
        <v>5666</v>
      </c>
      <c r="H251" s="23" t="b">
        <v>0</v>
      </c>
      <c r="I251" s="23" t="b">
        <v>0</v>
      </c>
      <c r="J251" s="30">
        <v>5.6</v>
      </c>
      <c r="K251" s="36" t="b">
        <v>0</v>
      </c>
      <c r="L251">
        <f>IF(COUNTIFS(tblAccounts[account_id],tblDealDeskAudit[[#This Row],[Account ID]],tblAccounts[employee_count],"")&gt;0,"",_xlfn.XLOOKUP(tblDealDeskAudit[[#This Row],[Account ID]],tblAccounts[account_id],tblAccounts[employee_count],""))</f>
        <v>1614</v>
      </c>
      <c r="M25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5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51">
        <f>COUNTIF(tblApprovals[opportunity_id],tblDealDeskAudit[[#This Row],[Opportunity ID]])</f>
        <v>0</v>
      </c>
      <c r="P25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52" spans="1:16">
      <c r="A252" s="20" t="s">
        <v>1732</v>
      </c>
      <c r="B252" s="21" t="s">
        <v>536</v>
      </c>
      <c r="C252" s="21" t="s">
        <v>5675</v>
      </c>
      <c r="D252" s="29">
        <v>2.1</v>
      </c>
      <c r="E252" s="24">
        <v>58740</v>
      </c>
      <c r="F252" s="21" t="s">
        <v>5665</v>
      </c>
      <c r="G252" s="21" t="s">
        <v>5666</v>
      </c>
      <c r="H252" s="21" t="b">
        <v>0</v>
      </c>
      <c r="I252" s="21" t="b">
        <v>0</v>
      </c>
      <c r="J252" s="29">
        <v>5.2</v>
      </c>
      <c r="K252" s="35" t="b">
        <v>0</v>
      </c>
      <c r="L252">
        <f>IF(COUNTIFS(tblAccounts[account_id],tblDealDeskAudit[[#This Row],[Account ID]],tblAccounts[employee_count],"")&gt;0,"",_xlfn.XLOOKUP(tblDealDeskAudit[[#This Row],[Account ID]],tblAccounts[account_id],tblAccounts[employee_count],""))</f>
        <v>513</v>
      </c>
      <c r="M25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5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52">
        <f>COUNTIF(tblApprovals[opportunity_id],tblDealDeskAudit[[#This Row],[Opportunity ID]])</f>
        <v>0</v>
      </c>
      <c r="P25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53" spans="1:16">
      <c r="A253" s="22" t="s">
        <v>1795</v>
      </c>
      <c r="B253" s="23" t="s">
        <v>217</v>
      </c>
      <c r="C253" s="23" t="s">
        <v>5663</v>
      </c>
      <c r="D253" s="30">
        <v>34.4</v>
      </c>
      <c r="E253" s="25">
        <v>24928</v>
      </c>
      <c r="F253" s="23" t="s">
        <v>5665</v>
      </c>
      <c r="G253" s="23" t="s">
        <v>5693</v>
      </c>
      <c r="H253" s="23" t="b">
        <v>0</v>
      </c>
      <c r="I253" s="23" t="b">
        <v>0</v>
      </c>
      <c r="J253" s="30">
        <v>9.1</v>
      </c>
      <c r="K253" s="36" t="b">
        <v>1</v>
      </c>
      <c r="L253">
        <f>IF(COUNTIFS(tblAccounts[account_id],tblDealDeskAudit[[#This Row],[Account ID]],tblAccounts[employee_count],"")&gt;0,"",_xlfn.XLOOKUP(tblDealDeskAudit[[#This Row],[Account ID]],tblAccounts[account_id],tblAccounts[employee_count],""))</f>
        <v>126</v>
      </c>
      <c r="M25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5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53">
        <f>COUNTIF(tblApprovals[opportunity_id],tblDealDeskAudit[[#This Row],[Opportunity ID]])</f>
        <v>1</v>
      </c>
      <c r="P25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54" spans="1:16">
      <c r="A254" s="20" t="s">
        <v>6061</v>
      </c>
      <c r="B254" s="21" t="s">
        <v>598</v>
      </c>
      <c r="C254" s="21" t="s">
        <v>5663</v>
      </c>
      <c r="D254" s="29">
        <v>5.3</v>
      </c>
      <c r="E254" s="24">
        <v>34092</v>
      </c>
      <c r="F254" s="21" t="s">
        <v>5665</v>
      </c>
      <c r="G254" s="21" t="s">
        <v>5666</v>
      </c>
      <c r="H254" s="21" t="b">
        <v>0</v>
      </c>
      <c r="I254" s="21" t="b">
        <v>0</v>
      </c>
      <c r="J254" s="29">
        <v>8.5</v>
      </c>
      <c r="K254" s="35" t="b">
        <v>0</v>
      </c>
      <c r="L254">
        <f>IF(COUNTIFS(tblAccounts[account_id],tblDealDeskAudit[[#This Row],[Account ID]],tblAccounts[employee_count],"")&gt;0,"",_xlfn.XLOOKUP(tblDealDeskAudit[[#This Row],[Account ID]],tblAccounts[account_id],tblAccounts[employee_count],""))</f>
        <v>131</v>
      </c>
      <c r="M25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5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54">
        <f>COUNTIF(tblApprovals[opportunity_id],tblDealDeskAudit[[#This Row],[Opportunity ID]])</f>
        <v>0</v>
      </c>
      <c r="P25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55" spans="1:16">
      <c r="A255" s="22" t="s">
        <v>2094</v>
      </c>
      <c r="B255" s="23" t="s">
        <v>677</v>
      </c>
      <c r="C255" s="23" t="s">
        <v>5663</v>
      </c>
      <c r="D255" s="30">
        <v>11.3</v>
      </c>
      <c r="E255" s="25">
        <v>72734</v>
      </c>
      <c r="F255" s="23" t="s">
        <v>5665</v>
      </c>
      <c r="G255" s="23" t="s">
        <v>5666</v>
      </c>
      <c r="H255" s="23" t="b">
        <v>0</v>
      </c>
      <c r="I255" s="23" t="b">
        <v>0</v>
      </c>
      <c r="J255" s="30">
        <v>1.9</v>
      </c>
      <c r="K255" s="36" t="b">
        <v>1</v>
      </c>
      <c r="L255">
        <f>IF(COUNTIFS(tblAccounts[account_id],tblDealDeskAudit[[#This Row],[Account ID]],tblAccounts[employee_count],"")&gt;0,"",_xlfn.XLOOKUP(tblDealDeskAudit[[#This Row],[Account ID]],tblAccounts[account_id],tblAccounts[employee_count],""))</f>
        <v>1296</v>
      </c>
      <c r="M25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5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55">
        <f>COUNTIF(tblApprovals[opportunity_id],tblDealDeskAudit[[#This Row],[Opportunity ID]])</f>
        <v>1</v>
      </c>
      <c r="P25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56" spans="1:16">
      <c r="A256" s="20" t="s">
        <v>6062</v>
      </c>
      <c r="B256" s="21" t="s">
        <v>296</v>
      </c>
      <c r="C256" s="21" t="s">
        <v>5681</v>
      </c>
      <c r="D256" s="29">
        <v>3.7</v>
      </c>
      <c r="E256" s="24">
        <v>48150</v>
      </c>
      <c r="F256" s="21" t="s">
        <v>5665</v>
      </c>
      <c r="G256" s="21" t="s">
        <v>5666</v>
      </c>
      <c r="H256" s="21" t="b">
        <v>0</v>
      </c>
      <c r="I256" s="21" t="b">
        <v>0</v>
      </c>
      <c r="J256" s="29">
        <v>5.7</v>
      </c>
      <c r="K256" s="35" t="b">
        <v>0</v>
      </c>
      <c r="L256">
        <f>IF(COUNTIFS(tblAccounts[account_id],tblDealDeskAudit[[#This Row],[Account ID]],tblAccounts[employee_count],"")&gt;0,"",_xlfn.XLOOKUP(tblDealDeskAudit[[#This Row],[Account ID]],tblAccounts[account_id],tblAccounts[employee_count],""))</f>
        <v>586</v>
      </c>
      <c r="M25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5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56">
        <f>COUNTIF(tblApprovals[opportunity_id],tblDealDeskAudit[[#This Row],[Opportunity ID]])</f>
        <v>0</v>
      </c>
      <c r="P25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57" spans="1:16">
      <c r="A257" s="22" t="s">
        <v>6064</v>
      </c>
      <c r="B257" s="23" t="s">
        <v>888</v>
      </c>
      <c r="C257" s="23" t="s">
        <v>5669</v>
      </c>
      <c r="D257" s="30">
        <v>9.9</v>
      </c>
      <c r="E257" s="25">
        <v>41446</v>
      </c>
      <c r="F257" s="23" t="s">
        <v>5665</v>
      </c>
      <c r="G257" s="23" t="s">
        <v>5693</v>
      </c>
      <c r="H257" s="23" t="b">
        <v>0</v>
      </c>
      <c r="I257" s="23" t="b">
        <v>0</v>
      </c>
      <c r="J257" s="30">
        <v>5.7</v>
      </c>
      <c r="K257" s="36" t="b">
        <v>1</v>
      </c>
      <c r="L257">
        <f>IF(COUNTIFS(tblAccounts[account_id],tblDealDeskAudit[[#This Row],[Account ID]],tblAccounts[employee_count],"")&gt;0,"",_xlfn.XLOOKUP(tblDealDeskAudit[[#This Row],[Account ID]],tblAccounts[account_id],tblAccounts[employee_count],""))</f>
        <v>713</v>
      </c>
      <c r="M25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5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57">
        <f>COUNTIF(tblApprovals[opportunity_id],tblDealDeskAudit[[#This Row],[Opportunity ID]])</f>
        <v>0</v>
      </c>
      <c r="P25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58" spans="1:16">
      <c r="A258" s="20" t="s">
        <v>1836</v>
      </c>
      <c r="B258" s="21" t="s">
        <v>834</v>
      </c>
      <c r="C258" s="21" t="s">
        <v>5725</v>
      </c>
      <c r="D258" s="29">
        <v>9.6</v>
      </c>
      <c r="E258" s="24">
        <v>70512</v>
      </c>
      <c r="F258" s="21" t="s">
        <v>5665</v>
      </c>
      <c r="G258" s="21" t="s">
        <v>5693</v>
      </c>
      <c r="H258" s="21" t="b">
        <v>0</v>
      </c>
      <c r="I258" s="21" t="b">
        <v>0</v>
      </c>
      <c r="J258" s="29">
        <v>8.6999999999999993</v>
      </c>
      <c r="K258" s="35" t="b">
        <v>1</v>
      </c>
      <c r="L258">
        <f>IF(COUNTIFS(tblAccounts[account_id],tblDealDeskAudit[[#This Row],[Account ID]],tblAccounts[employee_count],"")&gt;0,"",_xlfn.XLOOKUP(tblDealDeskAudit[[#This Row],[Account ID]],tblAccounts[account_id],tblAccounts[employee_count],""))</f>
        <v>711</v>
      </c>
      <c r="M25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5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58">
        <f>COUNTIF(tblApprovals[opportunity_id],tblDealDeskAudit[[#This Row],[Opportunity ID]])</f>
        <v>0</v>
      </c>
      <c r="P25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59" spans="1:16">
      <c r="A259" s="22" t="s">
        <v>6067</v>
      </c>
      <c r="B259" s="23" t="s">
        <v>106</v>
      </c>
      <c r="C259" s="23" t="s">
        <v>5686</v>
      </c>
      <c r="D259" s="30">
        <v>0.5</v>
      </c>
      <c r="E259" s="25">
        <v>29850</v>
      </c>
      <c r="F259" s="23" t="s">
        <v>5665</v>
      </c>
      <c r="G259" s="23" t="s">
        <v>5666</v>
      </c>
      <c r="H259" s="23" t="b">
        <v>0</v>
      </c>
      <c r="I259" s="23" t="b">
        <v>0</v>
      </c>
      <c r="J259" s="30">
        <v>0.2</v>
      </c>
      <c r="K259" s="36" t="b">
        <v>0</v>
      </c>
      <c r="L259">
        <f>IF(COUNTIFS(tblAccounts[account_id],tblDealDeskAudit[[#This Row],[Account ID]],tblAccounts[employee_count],"")&gt;0,"",_xlfn.XLOOKUP(tblDealDeskAudit[[#This Row],[Account ID]],tblAccounts[account_id],tblAccounts[employee_count],""))</f>
        <v>691</v>
      </c>
      <c r="M25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5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59">
        <f>COUNTIF(tblApprovals[opportunity_id],tblDealDeskAudit[[#This Row],[Opportunity ID]])</f>
        <v>0</v>
      </c>
      <c r="P25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60" spans="1:16">
      <c r="A260" s="20" t="s">
        <v>1777</v>
      </c>
      <c r="B260" s="21" t="s">
        <v>20</v>
      </c>
      <c r="C260" s="21" t="s">
        <v>5675</v>
      </c>
      <c r="D260" s="29">
        <v>9.6999999999999993</v>
      </c>
      <c r="E260" s="24">
        <v>14448</v>
      </c>
      <c r="F260" s="21" t="s">
        <v>5665</v>
      </c>
      <c r="G260" s="21" t="s">
        <v>5666</v>
      </c>
      <c r="H260" s="21" t="b">
        <v>0</v>
      </c>
      <c r="I260" s="21" t="b">
        <v>0</v>
      </c>
      <c r="J260" s="29">
        <v>6.4</v>
      </c>
      <c r="K260" s="35" t="b">
        <v>0</v>
      </c>
      <c r="L260">
        <f>IF(COUNTIFS(tblAccounts[account_id],tblDealDeskAudit[[#This Row],[Account ID]],tblAccounts[employee_count],"")&gt;0,"",_xlfn.XLOOKUP(tblDealDeskAudit[[#This Row],[Account ID]],tblAccounts[account_id],tblAccounts[employee_count],""))</f>
        <v>130</v>
      </c>
      <c r="M26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0">
        <f>COUNTIF(tblApprovals[opportunity_id],tblDealDeskAudit[[#This Row],[Opportunity ID]])</f>
        <v>0</v>
      </c>
      <c r="P26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61" spans="1:16">
      <c r="A261" s="22" t="s">
        <v>1658</v>
      </c>
      <c r="B261" s="23" t="s">
        <v>798</v>
      </c>
      <c r="C261" s="23" t="s">
        <v>5740</v>
      </c>
      <c r="D261" s="30">
        <v>2</v>
      </c>
      <c r="E261" s="25">
        <v>62720</v>
      </c>
      <c r="F261" s="23" t="s">
        <v>5665</v>
      </c>
      <c r="G261" s="23" t="s">
        <v>5666</v>
      </c>
      <c r="H261" s="23" t="b">
        <v>0</v>
      </c>
      <c r="I261" s="23" t="b">
        <v>0</v>
      </c>
      <c r="J261" s="30">
        <v>8.3000000000000007</v>
      </c>
      <c r="K261" s="36" t="b">
        <v>0</v>
      </c>
      <c r="L261" t="str">
        <f>IF(COUNTIFS(tblAccounts[account_id],tblDealDeskAudit[[#This Row],[Account ID]],tblAccounts[employee_count],"")&gt;0,"",_xlfn.XLOOKUP(tblDealDeskAudit[[#This Row],[Account ID]],tblAccounts[account_id],tblAccounts[employee_count],""))</f>
        <v/>
      </c>
      <c r="M26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1">
        <f>COUNTIF(tblApprovals[opportunity_id],tblDealDeskAudit[[#This Row],[Opportunity ID]])</f>
        <v>0</v>
      </c>
      <c r="P26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62" spans="1:16">
      <c r="A262" s="20" t="s">
        <v>2341</v>
      </c>
      <c r="B262" s="21" t="s">
        <v>317</v>
      </c>
      <c r="C262" s="21" t="s">
        <v>5675</v>
      </c>
      <c r="D262" s="29">
        <v>9.6999999999999993</v>
      </c>
      <c r="E262" s="24">
        <v>21672</v>
      </c>
      <c r="F262" s="21" t="s">
        <v>5665</v>
      </c>
      <c r="G262" s="21" t="s">
        <v>5666</v>
      </c>
      <c r="H262" s="21" t="b">
        <v>0</v>
      </c>
      <c r="I262" s="21" t="b">
        <v>0</v>
      </c>
      <c r="J262" s="29">
        <v>18</v>
      </c>
      <c r="K262" s="35" t="b">
        <v>0</v>
      </c>
      <c r="L262">
        <f>IF(COUNTIFS(tblAccounts[account_id],tblDealDeskAudit[[#This Row],[Account ID]],tblAccounts[employee_count],"")&gt;0,"",_xlfn.XLOOKUP(tblDealDeskAudit[[#This Row],[Account ID]],tblAccounts[account_id],tblAccounts[employee_count],""))</f>
        <v>104</v>
      </c>
      <c r="M26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2">
        <f>COUNTIF(tblApprovals[opportunity_id],tblDealDeskAudit[[#This Row],[Opportunity ID]])</f>
        <v>0</v>
      </c>
      <c r="P26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63" spans="1:16">
      <c r="A263" s="22" t="s">
        <v>6072</v>
      </c>
      <c r="B263" s="23" t="s">
        <v>1007</v>
      </c>
      <c r="C263" s="23" t="s">
        <v>5663</v>
      </c>
      <c r="D263" s="30">
        <v>2.2000000000000002</v>
      </c>
      <c r="E263" s="25">
        <v>70416</v>
      </c>
      <c r="F263" s="23" t="s">
        <v>5735</v>
      </c>
      <c r="G263" s="23" t="s">
        <v>5666</v>
      </c>
      <c r="H263" s="23" t="b">
        <v>0</v>
      </c>
      <c r="I263" s="23" t="b">
        <v>0</v>
      </c>
      <c r="J263" s="30">
        <v>8.9</v>
      </c>
      <c r="K263" s="36" t="b">
        <v>1</v>
      </c>
      <c r="L263">
        <f>IF(COUNTIFS(tblAccounts[account_id],tblDealDeskAudit[[#This Row],[Account ID]],tblAccounts[employee_count],"")&gt;0,"",_xlfn.XLOOKUP(tblDealDeskAudit[[#This Row],[Account ID]],tblAccounts[account_id],tblAccounts[employee_count],""))</f>
        <v>303</v>
      </c>
      <c r="M26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6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63">
        <f>COUNTIF(tblApprovals[opportunity_id],tblDealDeskAudit[[#This Row],[Opportunity ID]])</f>
        <v>1</v>
      </c>
      <c r="P26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64" spans="1:16">
      <c r="A264" s="20" t="s">
        <v>2081</v>
      </c>
      <c r="B264" s="21" t="s">
        <v>363</v>
      </c>
      <c r="C264" s="21" t="s">
        <v>5675</v>
      </c>
      <c r="D264" s="29">
        <v>2</v>
      </c>
      <c r="E264" s="24">
        <v>86240</v>
      </c>
      <c r="F264" s="21" t="s">
        <v>5665</v>
      </c>
      <c r="G264" s="21" t="s">
        <v>5666</v>
      </c>
      <c r="H264" s="21" t="b">
        <v>0</v>
      </c>
      <c r="I264" s="21" t="b">
        <v>0</v>
      </c>
      <c r="J264" s="29">
        <v>5.2</v>
      </c>
      <c r="K264" s="35" t="b">
        <v>0</v>
      </c>
      <c r="L264">
        <f>IF(COUNTIFS(tblAccounts[account_id],tblDealDeskAudit[[#This Row],[Account ID]],tblAccounts[employee_count],"")&gt;0,"",_xlfn.XLOOKUP(tblDealDeskAudit[[#This Row],[Account ID]],tblAccounts[account_id],tblAccounts[employee_count],""))</f>
        <v>1136</v>
      </c>
      <c r="M26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4">
        <f>COUNTIF(tblApprovals[opportunity_id],tblDealDeskAudit[[#This Row],[Opportunity ID]])</f>
        <v>0</v>
      </c>
      <c r="P26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65" spans="1:16">
      <c r="A265" s="22" t="s">
        <v>2213</v>
      </c>
      <c r="B265" s="23" t="s">
        <v>551</v>
      </c>
      <c r="C265" s="23" t="s">
        <v>5675</v>
      </c>
      <c r="D265" s="30">
        <v>8.6999999999999993</v>
      </c>
      <c r="E265" s="25">
        <v>32868</v>
      </c>
      <c r="F265" s="23" t="s">
        <v>5665</v>
      </c>
      <c r="G265" s="23" t="s">
        <v>5666</v>
      </c>
      <c r="H265" s="23" t="b">
        <v>0</v>
      </c>
      <c r="I265" s="23" t="b">
        <v>0</v>
      </c>
      <c r="J265" s="30">
        <v>2</v>
      </c>
      <c r="K265" s="36" t="b">
        <v>0</v>
      </c>
      <c r="L265">
        <f>IF(COUNTIFS(tblAccounts[account_id],tblDealDeskAudit[[#This Row],[Account ID]],tblAccounts[employee_count],"")&gt;0,"",_xlfn.XLOOKUP(tblDealDeskAudit[[#This Row],[Account ID]],tblAccounts[account_id],tblAccounts[employee_count],""))</f>
        <v>61</v>
      </c>
      <c r="M26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5">
        <f>COUNTIF(tblApprovals[opportunity_id],tblDealDeskAudit[[#This Row],[Opportunity ID]])</f>
        <v>0</v>
      </c>
      <c r="P26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66" spans="1:16">
      <c r="A266" s="20" t="s">
        <v>2202</v>
      </c>
      <c r="B266" s="21" t="s">
        <v>769</v>
      </c>
      <c r="C266" s="21" t="s">
        <v>5675</v>
      </c>
      <c r="D266" s="29">
        <v>9.6999999999999993</v>
      </c>
      <c r="E266" s="24">
        <v>10836</v>
      </c>
      <c r="F266" s="21" t="s">
        <v>5665</v>
      </c>
      <c r="G266" s="21" t="s">
        <v>5693</v>
      </c>
      <c r="H266" s="21" t="b">
        <v>0</v>
      </c>
      <c r="I266" s="21" t="b">
        <v>0</v>
      </c>
      <c r="J266" s="29">
        <v>0.3</v>
      </c>
      <c r="K266" s="35" t="b">
        <v>1</v>
      </c>
      <c r="L266">
        <f>IF(COUNTIFS(tblAccounts[account_id],tblDealDeskAudit[[#This Row],[Account ID]],tblAccounts[employee_count],"")&gt;0,"",_xlfn.XLOOKUP(tblDealDeskAudit[[#This Row],[Account ID]],tblAccounts[account_id],tblAccounts[employee_count],""))</f>
        <v>89</v>
      </c>
      <c r="M26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6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66">
        <f>COUNTIF(tblApprovals[opportunity_id],tblDealDeskAudit[[#This Row],[Opportunity ID]])</f>
        <v>0</v>
      </c>
      <c r="P26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67" spans="1:16">
      <c r="A267" s="22" t="s">
        <v>6077</v>
      </c>
      <c r="B267" s="23" t="s">
        <v>183</v>
      </c>
      <c r="C267" s="23" t="s">
        <v>5669</v>
      </c>
      <c r="D267" s="30">
        <v>8.5</v>
      </c>
      <c r="E267" s="25">
        <v>14640</v>
      </c>
      <c r="F267" s="23" t="s">
        <v>5665</v>
      </c>
      <c r="G267" s="23" t="s">
        <v>5666</v>
      </c>
      <c r="H267" s="23" t="b">
        <v>0</v>
      </c>
      <c r="I267" s="23" t="b">
        <v>0</v>
      </c>
      <c r="J267" s="30">
        <v>16.2</v>
      </c>
      <c r="K267" s="36" t="b">
        <v>0</v>
      </c>
      <c r="L267">
        <f>IF(COUNTIFS(tblAccounts[account_id],tblDealDeskAudit[[#This Row],[Account ID]],tblAccounts[employee_count],"")&gt;0,"",_xlfn.XLOOKUP(tblDealDeskAudit[[#This Row],[Account ID]],tblAccounts[account_id],tblAccounts[employee_count],""))</f>
        <v>128</v>
      </c>
      <c r="M26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7">
        <f>COUNTIF(tblApprovals[opportunity_id],tblDealDeskAudit[[#This Row],[Opportunity ID]])</f>
        <v>0</v>
      </c>
      <c r="P26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68" spans="1:16">
      <c r="A268" s="20" t="s">
        <v>6078</v>
      </c>
      <c r="B268" s="21" t="s">
        <v>824</v>
      </c>
      <c r="C268" s="21" t="s">
        <v>5663</v>
      </c>
      <c r="D268" s="29">
        <v>5.7</v>
      </c>
      <c r="E268" s="24">
        <v>7544</v>
      </c>
      <c r="F268" s="21" t="s">
        <v>5665</v>
      </c>
      <c r="G268" s="21" t="s">
        <v>5666</v>
      </c>
      <c r="H268" s="21" t="b">
        <v>0</v>
      </c>
      <c r="I268" s="21" t="b">
        <v>0</v>
      </c>
      <c r="J268" s="29">
        <v>0</v>
      </c>
      <c r="K268" s="35" t="b">
        <v>0</v>
      </c>
      <c r="L268">
        <f>IF(COUNTIFS(tblAccounts[account_id],tblDealDeskAudit[[#This Row],[Account ID]],tblAccounts[employee_count],"")&gt;0,"",_xlfn.XLOOKUP(tblDealDeskAudit[[#This Row],[Account ID]],tblAccounts[account_id],tblAccounts[employee_count],""))</f>
        <v>2169</v>
      </c>
      <c r="M26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6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68">
        <f>COUNTIF(tblApprovals[opportunity_id],tblDealDeskAudit[[#This Row],[Opportunity ID]])</f>
        <v>0</v>
      </c>
      <c r="P26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69" spans="1:16">
      <c r="A269" s="22" t="s">
        <v>1450</v>
      </c>
      <c r="B269" s="23" t="s">
        <v>189</v>
      </c>
      <c r="C269" s="23" t="s">
        <v>5675</v>
      </c>
      <c r="D269" s="30">
        <v>27.9</v>
      </c>
      <c r="E269" s="25">
        <v>14420</v>
      </c>
      <c r="F269" s="23" t="s">
        <v>5665</v>
      </c>
      <c r="G269" s="23" t="s">
        <v>5666</v>
      </c>
      <c r="H269" s="23" t="b">
        <v>0</v>
      </c>
      <c r="I269" s="23" t="b">
        <v>0</v>
      </c>
      <c r="J269" s="30">
        <v>1.1000000000000001</v>
      </c>
      <c r="K269" s="36" t="b">
        <v>1</v>
      </c>
      <c r="L269">
        <f>IF(COUNTIFS(tblAccounts[account_id],tblDealDeskAudit[[#This Row],[Account ID]],tblAccounts[employee_count],"")&gt;0,"",_xlfn.XLOOKUP(tblDealDeskAudit[[#This Row],[Account ID]],tblAccounts[account_id],tblAccounts[employee_count],""))</f>
        <v>5</v>
      </c>
      <c r="M26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6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69">
        <f>COUNTIF(tblApprovals[opportunity_id],tblDealDeskAudit[[#This Row],[Opportunity ID]])</f>
        <v>3</v>
      </c>
      <c r="P26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70" spans="1:16">
      <c r="A270" s="20" t="s">
        <v>6082</v>
      </c>
      <c r="B270" s="21" t="s">
        <v>409</v>
      </c>
      <c r="C270" s="21" t="s">
        <v>5663</v>
      </c>
      <c r="D270" s="29">
        <v>12.9</v>
      </c>
      <c r="E270" s="24">
        <v>17420</v>
      </c>
      <c r="F270" s="21" t="s">
        <v>5665</v>
      </c>
      <c r="G270" s="21" t="s">
        <v>5666</v>
      </c>
      <c r="H270" s="21" t="b">
        <v>0</v>
      </c>
      <c r="I270" s="21" t="b">
        <v>0</v>
      </c>
      <c r="J270" s="29">
        <v>11.1</v>
      </c>
      <c r="K270" s="35" t="b">
        <v>1</v>
      </c>
      <c r="L270">
        <f>IF(COUNTIFS(tblAccounts[account_id],tblDealDeskAudit[[#This Row],[Account ID]],tblAccounts[employee_count],"")&gt;0,"",_xlfn.XLOOKUP(tblDealDeskAudit[[#This Row],[Account ID]],tblAccounts[account_id],tblAccounts[employee_count],""))</f>
        <v>135</v>
      </c>
      <c r="M27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7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70">
        <f>COUNTIF(tblApprovals[opportunity_id],tblDealDeskAudit[[#This Row],[Opportunity ID]])</f>
        <v>0</v>
      </c>
      <c r="P27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71" spans="1:16">
      <c r="A271" s="22" t="s">
        <v>1800</v>
      </c>
      <c r="B271" s="23" t="s">
        <v>906</v>
      </c>
      <c r="C271" s="23" t="s">
        <v>5725</v>
      </c>
      <c r="D271" s="30">
        <v>8.3000000000000007</v>
      </c>
      <c r="E271" s="25">
        <v>78862</v>
      </c>
      <c r="F271" s="23" t="s">
        <v>5665</v>
      </c>
      <c r="G271" s="23" t="s">
        <v>5666</v>
      </c>
      <c r="H271" s="23" t="b">
        <v>0</v>
      </c>
      <c r="I271" s="23" t="b">
        <v>0</v>
      </c>
      <c r="J271" s="30">
        <v>7.6</v>
      </c>
      <c r="K271" s="36" t="b">
        <v>0</v>
      </c>
      <c r="L271">
        <f>IF(COUNTIFS(tblAccounts[account_id],tblDealDeskAudit[[#This Row],[Account ID]],tblAccounts[employee_count],"")&gt;0,"",_xlfn.XLOOKUP(tblDealDeskAudit[[#This Row],[Account ID]],tblAccounts[account_id],tblAccounts[employee_count],""))</f>
        <v>2011</v>
      </c>
      <c r="M27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7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71">
        <f>COUNTIF(tblApprovals[opportunity_id],tblDealDeskAudit[[#This Row],[Opportunity ID]])</f>
        <v>0</v>
      </c>
      <c r="P27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72" spans="1:16">
      <c r="A272" s="20" t="s">
        <v>6084</v>
      </c>
      <c r="B272" s="21" t="s">
        <v>751</v>
      </c>
      <c r="C272" s="21" t="s">
        <v>5686</v>
      </c>
      <c r="D272" s="29">
        <v>4.7</v>
      </c>
      <c r="E272" s="24">
        <v>15248</v>
      </c>
      <c r="F272" s="21" t="s">
        <v>5665</v>
      </c>
      <c r="G272" s="21" t="s">
        <v>5666</v>
      </c>
      <c r="H272" s="21" t="b">
        <v>0</v>
      </c>
      <c r="I272" s="21" t="b">
        <v>0</v>
      </c>
      <c r="J272" s="29">
        <v>3.9</v>
      </c>
      <c r="K272" s="35" t="b">
        <v>0</v>
      </c>
      <c r="L272">
        <f>IF(COUNTIFS(tblAccounts[account_id],tblDealDeskAudit[[#This Row],[Account ID]],tblAccounts[employee_count],"")&gt;0,"",_xlfn.XLOOKUP(tblDealDeskAudit[[#This Row],[Account ID]],tblAccounts[account_id],tblAccounts[employee_count],""))</f>
        <v>174</v>
      </c>
      <c r="M27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7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72">
        <f>COUNTIF(tblApprovals[opportunity_id],tblDealDeskAudit[[#This Row],[Opportunity ID]])</f>
        <v>0</v>
      </c>
      <c r="P27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73" spans="1:16">
      <c r="A273" s="22" t="s">
        <v>6087</v>
      </c>
      <c r="B273" s="23" t="s">
        <v>437</v>
      </c>
      <c r="C273" s="23" t="s">
        <v>5691</v>
      </c>
      <c r="D273" s="30">
        <v>14.1</v>
      </c>
      <c r="E273" s="25">
        <v>25770</v>
      </c>
      <c r="F273" s="23" t="s">
        <v>5665</v>
      </c>
      <c r="G273" s="23" t="s">
        <v>5666</v>
      </c>
      <c r="H273" s="23" t="b">
        <v>0</v>
      </c>
      <c r="I273" s="23" t="b">
        <v>0</v>
      </c>
      <c r="J273" s="30">
        <v>26.6</v>
      </c>
      <c r="K273" s="36" t="b">
        <v>1</v>
      </c>
      <c r="L273">
        <f>IF(COUNTIFS(tblAccounts[account_id],tblDealDeskAudit[[#This Row],[Account ID]],tblAccounts[employee_count],"")&gt;0,"",_xlfn.XLOOKUP(tblDealDeskAudit[[#This Row],[Account ID]],tblAccounts[account_id],tblAccounts[employee_count],""))</f>
        <v>662</v>
      </c>
      <c r="M27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7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73">
        <f>COUNTIF(tblApprovals[opportunity_id],tblDealDeskAudit[[#This Row],[Opportunity ID]])</f>
        <v>1</v>
      </c>
      <c r="P27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74" spans="1:16">
      <c r="A274" s="20" t="s">
        <v>6090</v>
      </c>
      <c r="B274" s="21" t="s">
        <v>639</v>
      </c>
      <c r="C274" s="21" t="s">
        <v>5681</v>
      </c>
      <c r="D274" s="29">
        <v>22.1</v>
      </c>
      <c r="E274" s="24">
        <v>29602</v>
      </c>
      <c r="F274" s="21" t="s">
        <v>5665</v>
      </c>
      <c r="G274" s="21" t="s">
        <v>5666</v>
      </c>
      <c r="H274" s="21" t="b">
        <v>0</v>
      </c>
      <c r="I274" s="21" t="b">
        <v>0</v>
      </c>
      <c r="J274" s="29">
        <v>3.5</v>
      </c>
      <c r="K274" s="35" t="b">
        <v>1</v>
      </c>
      <c r="L274">
        <f>IF(COUNTIFS(tblAccounts[account_id],tblDealDeskAudit[[#This Row],[Account ID]],tblAccounts[employee_count],"")&gt;0,"",_xlfn.XLOOKUP(tblDealDeskAudit[[#This Row],[Account ID]],tblAccounts[account_id],tblAccounts[employee_count],""))</f>
        <v>693</v>
      </c>
      <c r="M27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7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74">
        <f>COUNTIF(tblApprovals[opportunity_id],tblDealDeskAudit[[#This Row],[Opportunity ID]])</f>
        <v>1</v>
      </c>
      <c r="P27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75" spans="1:16">
      <c r="A275" s="22" t="s">
        <v>1639</v>
      </c>
      <c r="B275" s="23" t="s">
        <v>506</v>
      </c>
      <c r="C275" s="23" t="s">
        <v>5675</v>
      </c>
      <c r="D275" s="30">
        <v>3</v>
      </c>
      <c r="E275" s="25">
        <v>58200</v>
      </c>
      <c r="F275" s="23" t="s">
        <v>5665</v>
      </c>
      <c r="G275" s="23" t="s">
        <v>5666</v>
      </c>
      <c r="H275" s="23" t="b">
        <v>0</v>
      </c>
      <c r="I275" s="23" t="b">
        <v>0</v>
      </c>
      <c r="J275" s="30">
        <v>10.199999999999999</v>
      </c>
      <c r="K275" s="36" t="b">
        <v>0</v>
      </c>
      <c r="L275">
        <f>IF(COUNTIFS(tblAccounts[account_id],tblDealDeskAudit[[#This Row],[Account ID]],tblAccounts[employee_count],"")&gt;0,"",_xlfn.XLOOKUP(tblDealDeskAudit[[#This Row],[Account ID]],tblAccounts[account_id],tblAccounts[employee_count],""))</f>
        <v>744</v>
      </c>
      <c r="M27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7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75">
        <f>COUNTIF(tblApprovals[opportunity_id],tblDealDeskAudit[[#This Row],[Opportunity ID]])</f>
        <v>0</v>
      </c>
      <c r="P27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76" spans="1:16">
      <c r="A276" s="20" t="s">
        <v>2581</v>
      </c>
      <c r="B276" s="21" t="s">
        <v>398</v>
      </c>
      <c r="C276" s="21" t="s">
        <v>5675</v>
      </c>
      <c r="D276" s="29">
        <v>17.5</v>
      </c>
      <c r="E276" s="24">
        <v>49500</v>
      </c>
      <c r="F276" s="21" t="s">
        <v>5665</v>
      </c>
      <c r="G276" s="21" t="s">
        <v>5666</v>
      </c>
      <c r="H276" s="21" t="b">
        <v>0</v>
      </c>
      <c r="I276" s="21" t="b">
        <v>0</v>
      </c>
      <c r="J276" s="29">
        <v>3.4</v>
      </c>
      <c r="K276" s="35" t="b">
        <v>0</v>
      </c>
      <c r="L276">
        <f>IF(COUNTIFS(tblAccounts[account_id],tblDealDeskAudit[[#This Row],[Account ID]],tblAccounts[employee_count],"")&gt;0,"",_xlfn.XLOOKUP(tblDealDeskAudit[[#This Row],[Account ID]],tblAccounts[account_id],tblAccounts[employee_count],""))</f>
        <v>553</v>
      </c>
      <c r="M27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7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276">
        <f>COUNTIF(tblApprovals[opportunity_id],tblDealDeskAudit[[#This Row],[Opportunity ID]])</f>
        <v>0</v>
      </c>
      <c r="P27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77" spans="1:16">
      <c r="A277" s="22" t="s">
        <v>2337</v>
      </c>
      <c r="B277" s="23" t="s">
        <v>12</v>
      </c>
      <c r="C277" s="23" t="s">
        <v>5675</v>
      </c>
      <c r="D277" s="30">
        <v>26.3</v>
      </c>
      <c r="E277" s="25">
        <v>58960</v>
      </c>
      <c r="F277" s="23" t="s">
        <v>5665</v>
      </c>
      <c r="G277" s="23" t="s">
        <v>5666</v>
      </c>
      <c r="H277" s="23" t="b">
        <v>0</v>
      </c>
      <c r="I277" s="23" t="b">
        <v>0</v>
      </c>
      <c r="J277" s="30">
        <v>2.1</v>
      </c>
      <c r="K277" s="36" t="b">
        <v>1</v>
      </c>
      <c r="L277" t="str">
        <f>IF(COUNTIFS(tblAccounts[account_id],tblDealDeskAudit[[#This Row],[Account ID]],tblAccounts[employee_count],"")&gt;0,"",_xlfn.XLOOKUP(tblDealDeskAudit[[#This Row],[Account ID]],tblAccounts[account_id],tblAccounts[employee_count],""))</f>
        <v/>
      </c>
      <c r="M27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7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77">
        <f>COUNTIF(tblApprovals[opportunity_id],tblDealDeskAudit[[#This Row],[Opportunity ID]])</f>
        <v>1</v>
      </c>
      <c r="P27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78" spans="1:16">
      <c r="A278" s="20" t="s">
        <v>2233</v>
      </c>
      <c r="B278" s="21" t="s">
        <v>1035</v>
      </c>
      <c r="C278" s="21" t="s">
        <v>5675</v>
      </c>
      <c r="D278" s="29">
        <v>2.2999999999999998</v>
      </c>
      <c r="E278" s="24">
        <v>41034</v>
      </c>
      <c r="F278" s="21" t="s">
        <v>5665</v>
      </c>
      <c r="G278" s="21" t="s">
        <v>5666</v>
      </c>
      <c r="H278" s="21" t="b">
        <v>0</v>
      </c>
      <c r="I278" s="21" t="b">
        <v>0</v>
      </c>
      <c r="J278" s="29">
        <v>8.9</v>
      </c>
      <c r="K278" s="35" t="b">
        <v>0</v>
      </c>
      <c r="L278">
        <f>IF(COUNTIFS(tblAccounts[account_id],tblDealDeskAudit[[#This Row],[Account ID]],tblAccounts[employee_count],"")&gt;0,"",_xlfn.XLOOKUP(tblDealDeskAudit[[#This Row],[Account ID]],tblAccounts[account_id],tblAccounts[employee_count],""))</f>
        <v>39</v>
      </c>
      <c r="M27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7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78">
        <f>COUNTIF(tblApprovals[opportunity_id],tblDealDeskAudit[[#This Row],[Opportunity ID]])</f>
        <v>0</v>
      </c>
      <c r="P27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79" spans="1:16">
      <c r="A279" s="22" t="s">
        <v>6094</v>
      </c>
      <c r="B279" s="23" t="s">
        <v>240</v>
      </c>
      <c r="C279" s="23" t="s">
        <v>5663</v>
      </c>
      <c r="D279" s="30">
        <v>3</v>
      </c>
      <c r="E279" s="25">
        <v>19400</v>
      </c>
      <c r="F279" s="23" t="s">
        <v>5665</v>
      </c>
      <c r="G279" s="23" t="s">
        <v>5666</v>
      </c>
      <c r="H279" s="23" t="b">
        <v>0</v>
      </c>
      <c r="I279" s="23" t="b">
        <v>0</v>
      </c>
      <c r="J279" s="30">
        <v>8.1</v>
      </c>
      <c r="K279" s="36" t="b">
        <v>0</v>
      </c>
      <c r="L279">
        <f>IF(COUNTIFS(tblAccounts[account_id],tblDealDeskAudit[[#This Row],[Account ID]],tblAccounts[employee_count],"")&gt;0,"",_xlfn.XLOOKUP(tblDealDeskAudit[[#This Row],[Account ID]],tblAccounts[account_id],tblAccounts[employee_count],""))</f>
        <v>462</v>
      </c>
      <c r="M27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7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79">
        <f>COUNTIF(tblApprovals[opportunity_id],tblDealDeskAudit[[#This Row],[Opportunity ID]])</f>
        <v>0</v>
      </c>
      <c r="P27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80" spans="1:16">
      <c r="A280" s="20" t="s">
        <v>6095</v>
      </c>
      <c r="B280" s="21" t="s">
        <v>87</v>
      </c>
      <c r="C280" s="21" t="s">
        <v>5691</v>
      </c>
      <c r="D280" s="29">
        <v>23.1</v>
      </c>
      <c r="E280" s="24">
        <v>23070</v>
      </c>
      <c r="F280" s="21" t="s">
        <v>5665</v>
      </c>
      <c r="G280" s="21" t="s">
        <v>5693</v>
      </c>
      <c r="H280" s="21" t="b">
        <v>0</v>
      </c>
      <c r="I280" s="21" t="b">
        <v>0</v>
      </c>
      <c r="J280" s="29">
        <v>1.4</v>
      </c>
      <c r="K280" s="35" t="b">
        <v>1</v>
      </c>
      <c r="L280">
        <f>IF(COUNTIFS(tblAccounts[account_id],tblDealDeskAudit[[#This Row],[Account ID]],tblAccounts[employee_count],"")&gt;0,"",_xlfn.XLOOKUP(tblDealDeskAudit[[#This Row],[Account ID]],tblAccounts[account_id],tblAccounts[employee_count],""))</f>
        <v>140</v>
      </c>
      <c r="M28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0">
        <f>COUNTIF(tblApprovals[opportunity_id],tblDealDeskAudit[[#This Row],[Opportunity ID]])</f>
        <v>2</v>
      </c>
      <c r="P28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81" spans="1:16">
      <c r="A281" s="22" t="s">
        <v>2003</v>
      </c>
      <c r="B281" s="23" t="s">
        <v>168</v>
      </c>
      <c r="C281" s="23" t="s">
        <v>5675</v>
      </c>
      <c r="D281" s="30">
        <v>23.6</v>
      </c>
      <c r="E281" s="25">
        <v>24448</v>
      </c>
      <c r="F281" s="23" t="s">
        <v>5665</v>
      </c>
      <c r="G281" s="23" t="s">
        <v>5666</v>
      </c>
      <c r="H281" s="23" t="b">
        <v>0</v>
      </c>
      <c r="I281" s="23" t="b">
        <v>0</v>
      </c>
      <c r="J281" s="30">
        <v>3.6</v>
      </c>
      <c r="K281" s="36" t="b">
        <v>1</v>
      </c>
      <c r="L281">
        <f>IF(COUNTIFS(tblAccounts[account_id],tblDealDeskAudit[[#This Row],[Account ID]],tblAccounts[employee_count],"")&gt;0,"",_xlfn.XLOOKUP(tblDealDeskAudit[[#This Row],[Account ID]],tblAccounts[account_id],tblAccounts[employee_count],""))</f>
        <v>41</v>
      </c>
      <c r="M28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1">
        <f>COUNTIF(tblApprovals[opportunity_id],tblDealDeskAudit[[#This Row],[Opportunity ID]])</f>
        <v>1</v>
      </c>
      <c r="P28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82" spans="1:16">
      <c r="A282" s="20" t="s">
        <v>2217</v>
      </c>
      <c r="B282" s="21" t="s">
        <v>595</v>
      </c>
      <c r="C282" s="21" t="s">
        <v>5663</v>
      </c>
      <c r="D282" s="29">
        <v>5.0999999999999996</v>
      </c>
      <c r="E282" s="24">
        <v>11388</v>
      </c>
      <c r="F282" s="21" t="s">
        <v>5665</v>
      </c>
      <c r="G282" s="21" t="s">
        <v>5666</v>
      </c>
      <c r="H282" s="21" t="b">
        <v>0</v>
      </c>
      <c r="I282" s="21" t="b">
        <v>0</v>
      </c>
      <c r="J282" s="29">
        <v>28.9</v>
      </c>
      <c r="K282" s="35" t="b">
        <v>1</v>
      </c>
      <c r="L282">
        <f>IF(COUNTIFS(tblAccounts[account_id],tblDealDeskAudit[[#This Row],[Account ID]],tblAccounts[employee_count],"")&gt;0,"",_xlfn.XLOOKUP(tblDealDeskAudit[[#This Row],[Account ID]],tblAccounts[account_id],tblAccounts[employee_count],""))</f>
        <v>164</v>
      </c>
      <c r="M28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2">
        <f>COUNTIF(tblApprovals[opportunity_id],tblDealDeskAudit[[#This Row],[Opportunity ID]])</f>
        <v>0</v>
      </c>
      <c r="P28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83" spans="1:16">
      <c r="A283" s="22" t="s">
        <v>6100</v>
      </c>
      <c r="B283" s="23" t="s">
        <v>603</v>
      </c>
      <c r="C283" s="23" t="s">
        <v>5663</v>
      </c>
      <c r="D283" s="30">
        <v>9.9</v>
      </c>
      <c r="E283" s="25">
        <v>27030</v>
      </c>
      <c r="F283" s="23" t="s">
        <v>5665</v>
      </c>
      <c r="G283" s="23" t="s">
        <v>5666</v>
      </c>
      <c r="H283" s="23" t="b">
        <v>0</v>
      </c>
      <c r="I283" s="23" t="b">
        <v>0</v>
      </c>
      <c r="J283" s="30">
        <v>0.9</v>
      </c>
      <c r="K283" s="36" t="b">
        <v>0</v>
      </c>
      <c r="L283">
        <f>IF(COUNTIFS(tblAccounts[account_id],tblDealDeskAudit[[#This Row],[Account ID]],tblAccounts[employee_count],"")&gt;0,"",_xlfn.XLOOKUP(tblDealDeskAudit[[#This Row],[Account ID]],tblAccounts[account_id],tblAccounts[employee_count],""))</f>
        <v>65</v>
      </c>
      <c r="M28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8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83">
        <f>COUNTIF(tblApprovals[opportunity_id],tblDealDeskAudit[[#This Row],[Opportunity ID]])</f>
        <v>0</v>
      </c>
      <c r="P28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84" spans="1:16">
      <c r="A284" s="20" t="s">
        <v>2086</v>
      </c>
      <c r="B284" s="21" t="s">
        <v>128</v>
      </c>
      <c r="C284" s="21" t="s">
        <v>5740</v>
      </c>
      <c r="D284" s="29">
        <v>3.5</v>
      </c>
      <c r="E284" s="24">
        <v>44390</v>
      </c>
      <c r="F284" s="21" t="s">
        <v>5665</v>
      </c>
      <c r="G284" s="21" t="s">
        <v>5666</v>
      </c>
      <c r="H284" s="21" t="b">
        <v>0</v>
      </c>
      <c r="I284" s="21" t="b">
        <v>0</v>
      </c>
      <c r="J284" s="29">
        <v>16.600000000000001</v>
      </c>
      <c r="K284" s="35" t="b">
        <v>0</v>
      </c>
      <c r="L284">
        <f>IF(COUNTIFS(tblAccounts[account_id],tblDealDeskAudit[[#This Row],[Account ID]],tblAccounts[employee_count],"")&gt;0,"",_xlfn.XLOOKUP(tblDealDeskAudit[[#This Row],[Account ID]],tblAccounts[account_id],tblAccounts[employee_count],""))</f>
        <v>483</v>
      </c>
      <c r="M28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8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84">
        <f>COUNTIF(tblApprovals[opportunity_id],tblDealDeskAudit[[#This Row],[Opportunity ID]])</f>
        <v>0</v>
      </c>
      <c r="P28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85" spans="1:16">
      <c r="A285" s="22" t="s">
        <v>2159</v>
      </c>
      <c r="B285" s="23" t="s">
        <v>830</v>
      </c>
      <c r="C285" s="23" t="s">
        <v>5663</v>
      </c>
      <c r="D285" s="30">
        <v>9.6999999999999993</v>
      </c>
      <c r="E285" s="25">
        <v>28896</v>
      </c>
      <c r="F285" s="23" t="s">
        <v>5665</v>
      </c>
      <c r="G285" s="23" t="s">
        <v>5666</v>
      </c>
      <c r="H285" s="23" t="b">
        <v>0</v>
      </c>
      <c r="I285" s="23" t="b">
        <v>1</v>
      </c>
      <c r="J285" s="30">
        <v>15.6</v>
      </c>
      <c r="K285" s="36" t="b">
        <v>1</v>
      </c>
      <c r="L285">
        <f>IF(COUNTIFS(tblAccounts[account_id],tblDealDeskAudit[[#This Row],[Account ID]],tblAccounts[employee_count],"")&gt;0,"",_xlfn.XLOOKUP(tblDealDeskAudit[[#This Row],[Account ID]],tblAccounts[account_id],tblAccounts[employee_count],""))</f>
        <v>55</v>
      </c>
      <c r="M28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5">
        <f>COUNTIF(tblApprovals[opportunity_id],tblDealDeskAudit[[#This Row],[Opportunity ID]])</f>
        <v>0</v>
      </c>
      <c r="P28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86" spans="1:16">
      <c r="A286" s="20" t="s">
        <v>1978</v>
      </c>
      <c r="B286" s="21" t="s">
        <v>509</v>
      </c>
      <c r="C286" s="21" t="s">
        <v>5675</v>
      </c>
      <c r="D286" s="29">
        <v>2.6</v>
      </c>
      <c r="E286" s="24">
        <v>23376</v>
      </c>
      <c r="F286" s="21" t="s">
        <v>5665</v>
      </c>
      <c r="G286" s="21" t="s">
        <v>5666</v>
      </c>
      <c r="H286" s="21" t="b">
        <v>0</v>
      </c>
      <c r="I286" s="21" t="b">
        <v>0</v>
      </c>
      <c r="J286" s="29">
        <v>4.8</v>
      </c>
      <c r="K286" s="35" t="b">
        <v>0</v>
      </c>
      <c r="L286">
        <f>IF(COUNTIFS(tblAccounts[account_id],tblDealDeskAudit[[#This Row],[Account ID]],tblAccounts[employee_count],"")&gt;0,"",_xlfn.XLOOKUP(tblDealDeskAudit[[#This Row],[Account ID]],tblAccounts[account_id],tblAccounts[employee_count],""))</f>
        <v>82</v>
      </c>
      <c r="M28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8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86">
        <f>COUNTIF(tblApprovals[opportunity_id],tblDealDeskAudit[[#This Row],[Opportunity ID]])</f>
        <v>0</v>
      </c>
      <c r="P28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87" spans="1:16">
      <c r="A287" s="22" t="s">
        <v>1439</v>
      </c>
      <c r="B287" s="23" t="s">
        <v>742</v>
      </c>
      <c r="C287" s="23" t="s">
        <v>5663</v>
      </c>
      <c r="D287" s="30">
        <v>16.7</v>
      </c>
      <c r="E287" s="25">
        <v>16660</v>
      </c>
      <c r="F287" s="23" t="s">
        <v>5665</v>
      </c>
      <c r="G287" s="23" t="s">
        <v>5666</v>
      </c>
      <c r="H287" s="23" t="b">
        <v>0</v>
      </c>
      <c r="I287" s="23" t="b">
        <v>0</v>
      </c>
      <c r="J287" s="30">
        <v>11.8</v>
      </c>
      <c r="K287" s="36" t="b">
        <v>1</v>
      </c>
      <c r="L287">
        <f>IF(COUNTIFS(tblAccounts[account_id],tblDealDeskAudit[[#This Row],[Account ID]],tblAccounts[employee_count],"")&gt;0,"",_xlfn.XLOOKUP(tblDealDeskAudit[[#This Row],[Account ID]],tblAccounts[account_id],tblAccounts[employee_count],""))</f>
        <v>122</v>
      </c>
      <c r="M28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7">
        <f>COUNTIF(tblApprovals[opportunity_id],tblDealDeskAudit[[#This Row],[Opportunity ID]])</f>
        <v>0</v>
      </c>
      <c r="P28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88" spans="1:16">
      <c r="A288" s="20" t="s">
        <v>6105</v>
      </c>
      <c r="B288" s="21" t="s">
        <v>912</v>
      </c>
      <c r="C288" s="21" t="s">
        <v>5663</v>
      </c>
      <c r="D288" s="29">
        <v>8.9</v>
      </c>
      <c r="E288" s="24">
        <v>51016</v>
      </c>
      <c r="F288" s="21" t="s">
        <v>5665</v>
      </c>
      <c r="G288" s="21" t="s">
        <v>5666</v>
      </c>
      <c r="H288" s="21" t="b">
        <v>0</v>
      </c>
      <c r="I288" s="21" t="b">
        <v>0</v>
      </c>
      <c r="J288" s="29">
        <v>5.3</v>
      </c>
      <c r="K288" s="35" t="b">
        <v>0</v>
      </c>
      <c r="L288">
        <f>IF(COUNTIFS(tblAccounts[account_id],tblDealDeskAudit[[#This Row],[Account ID]],tblAccounts[employee_count],"")&gt;0,"",_xlfn.XLOOKUP(tblDealDeskAudit[[#This Row],[Account ID]],tblAccounts[account_id],tblAccounts[employee_count],""))</f>
        <v>542</v>
      </c>
      <c r="M28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8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88">
        <f>COUNTIF(tblApprovals[opportunity_id],tblDealDeskAudit[[#This Row],[Opportunity ID]])</f>
        <v>0</v>
      </c>
      <c r="P28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89" spans="1:16">
      <c r="A289" s="22" t="s">
        <v>1878</v>
      </c>
      <c r="B289" s="23" t="s">
        <v>193</v>
      </c>
      <c r="C289" s="23" t="s">
        <v>5675</v>
      </c>
      <c r="D289" s="30">
        <v>8.5</v>
      </c>
      <c r="E289" s="25">
        <v>21960</v>
      </c>
      <c r="F289" s="23" t="s">
        <v>5665</v>
      </c>
      <c r="G289" s="23" t="s">
        <v>5780</v>
      </c>
      <c r="H289" s="23" t="b">
        <v>0</v>
      </c>
      <c r="I289" s="23" t="b">
        <v>0</v>
      </c>
      <c r="J289" s="30">
        <v>19.100000000000001</v>
      </c>
      <c r="K289" s="36" t="b">
        <v>1</v>
      </c>
      <c r="L289">
        <f>IF(COUNTIFS(tblAccounts[account_id],tblDealDeskAudit[[#This Row],[Account ID]],tblAccounts[employee_count],"")&gt;0,"",_xlfn.XLOOKUP(tblDealDeskAudit[[#This Row],[Account ID]],tblAccounts[account_id],tblAccounts[employee_count],""))</f>
        <v>64</v>
      </c>
      <c r="M28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8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89">
        <f>COUNTIF(tblApprovals[opportunity_id],tblDealDeskAudit[[#This Row],[Opportunity ID]])</f>
        <v>0</v>
      </c>
      <c r="P28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90" spans="1:16">
      <c r="A290" s="20" t="s">
        <v>6106</v>
      </c>
      <c r="B290" s="21" t="s">
        <v>688</v>
      </c>
      <c r="C290" s="21" t="s">
        <v>5663</v>
      </c>
      <c r="D290" s="29">
        <v>8.5</v>
      </c>
      <c r="E290" s="24">
        <v>43920</v>
      </c>
      <c r="F290" s="21" t="s">
        <v>5665</v>
      </c>
      <c r="G290" s="21" t="s">
        <v>5666</v>
      </c>
      <c r="H290" s="21" t="b">
        <v>0</v>
      </c>
      <c r="I290" s="21" t="b">
        <v>0</v>
      </c>
      <c r="J290" s="29">
        <v>29.4</v>
      </c>
      <c r="K290" s="35" t="b">
        <v>1</v>
      </c>
      <c r="L290">
        <f>IF(COUNTIFS(tblAccounts[account_id],tblDealDeskAudit[[#This Row],[Account ID]],tblAccounts[employee_count],"")&gt;0,"",_xlfn.XLOOKUP(tblDealDeskAudit[[#This Row],[Account ID]],tblAccounts[account_id],tblAccounts[employee_count],""))</f>
        <v>476</v>
      </c>
      <c r="M29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0">
        <f>COUNTIF(tblApprovals[opportunity_id],tblDealDeskAudit[[#This Row],[Opportunity ID]])</f>
        <v>0</v>
      </c>
      <c r="P29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91" spans="1:16">
      <c r="A291" s="22" t="s">
        <v>6108</v>
      </c>
      <c r="B291" s="23" t="s">
        <v>320</v>
      </c>
      <c r="C291" s="23" t="s">
        <v>5686</v>
      </c>
      <c r="D291" s="30">
        <v>8.3000000000000007</v>
      </c>
      <c r="E291" s="25">
        <v>36680</v>
      </c>
      <c r="F291" s="23" t="s">
        <v>5665</v>
      </c>
      <c r="G291" s="23" t="s">
        <v>5666</v>
      </c>
      <c r="H291" s="23" t="b">
        <v>0</v>
      </c>
      <c r="I291" s="23" t="b">
        <v>0</v>
      </c>
      <c r="J291" s="30">
        <v>6.5</v>
      </c>
      <c r="K291" s="36" t="b">
        <v>0</v>
      </c>
      <c r="L291">
        <f>IF(COUNTIFS(tblAccounts[account_id],tblDealDeskAudit[[#This Row],[Account ID]],tblAccounts[employee_count],"")&gt;0,"",_xlfn.XLOOKUP(tblDealDeskAudit[[#This Row],[Account ID]],tblAccounts[account_id],tblAccounts[employee_count],""))</f>
        <v>402</v>
      </c>
      <c r="M29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9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91">
        <f>COUNTIF(tblApprovals[opportunity_id],tblDealDeskAudit[[#This Row],[Opportunity ID]])</f>
        <v>0</v>
      </c>
      <c r="P29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292" spans="1:16">
      <c r="A292" s="20" t="s">
        <v>1615</v>
      </c>
      <c r="B292" s="21" t="s">
        <v>286</v>
      </c>
      <c r="C292" s="21" t="s">
        <v>5663</v>
      </c>
      <c r="D292" s="29">
        <v>4.7</v>
      </c>
      <c r="E292" s="24">
        <v>40026</v>
      </c>
      <c r="F292" s="21" t="s">
        <v>5735</v>
      </c>
      <c r="G292" s="21" t="s">
        <v>5666</v>
      </c>
      <c r="H292" s="21" t="b">
        <v>0</v>
      </c>
      <c r="I292" s="21" t="b">
        <v>0</v>
      </c>
      <c r="J292" s="29">
        <v>15.5</v>
      </c>
      <c r="K292" s="35" t="b">
        <v>1</v>
      </c>
      <c r="L292">
        <f>IF(COUNTIFS(tblAccounts[account_id],tblDealDeskAudit[[#This Row],[Account ID]],tblAccounts[employee_count],"")&gt;0,"",_xlfn.XLOOKUP(tblDealDeskAudit[[#This Row],[Account ID]],tblAccounts[account_id],tblAccounts[employee_count],""))</f>
        <v>73</v>
      </c>
      <c r="M29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2">
        <f>COUNTIF(tblApprovals[opportunity_id],tblDealDeskAudit[[#This Row],[Opportunity ID]])</f>
        <v>1</v>
      </c>
      <c r="P29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93" spans="1:16">
      <c r="A293" s="22" t="s">
        <v>6112</v>
      </c>
      <c r="B293" s="23" t="s">
        <v>834</v>
      </c>
      <c r="C293" s="23" t="s">
        <v>5663</v>
      </c>
      <c r="D293" s="30">
        <v>3.3</v>
      </c>
      <c r="E293" s="25">
        <v>34812</v>
      </c>
      <c r="F293" s="23" t="s">
        <v>5665</v>
      </c>
      <c r="G293" s="23" t="s">
        <v>5666</v>
      </c>
      <c r="H293" s="23" t="b">
        <v>0</v>
      </c>
      <c r="I293" s="23" t="b">
        <v>0</v>
      </c>
      <c r="J293" s="30">
        <v>7</v>
      </c>
      <c r="K293" s="36" t="b">
        <v>0</v>
      </c>
      <c r="L293">
        <f>IF(COUNTIFS(tblAccounts[account_id],tblDealDeskAudit[[#This Row],[Account ID]],tblAccounts[employee_count],"")&gt;0,"",_xlfn.XLOOKUP(tblDealDeskAudit[[#This Row],[Account ID]],tblAccounts[account_id],tblAccounts[employee_count],""))</f>
        <v>711</v>
      </c>
      <c r="M29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9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93">
        <f>COUNTIF(tblApprovals[opportunity_id],tblDealDeskAudit[[#This Row],[Opportunity ID]])</f>
        <v>0</v>
      </c>
      <c r="P29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94" spans="1:16">
      <c r="A294" s="20" t="s">
        <v>2541</v>
      </c>
      <c r="B294" s="21" t="s">
        <v>824</v>
      </c>
      <c r="C294" s="21" t="s">
        <v>5675</v>
      </c>
      <c r="D294" s="29">
        <v>7</v>
      </c>
      <c r="E294" s="24">
        <v>74400</v>
      </c>
      <c r="F294" s="21" t="s">
        <v>5665</v>
      </c>
      <c r="G294" s="21" t="s">
        <v>5666</v>
      </c>
      <c r="H294" s="21" t="b">
        <v>0</v>
      </c>
      <c r="I294" s="21" t="b">
        <v>0</v>
      </c>
      <c r="J294" s="29">
        <v>5.8</v>
      </c>
      <c r="K294" s="35" t="b">
        <v>0</v>
      </c>
      <c r="L294">
        <f>IF(COUNTIFS(tblAccounts[account_id],tblDealDeskAudit[[#This Row],[Account ID]],tblAccounts[employee_count],"")&gt;0,"",_xlfn.XLOOKUP(tblDealDeskAudit[[#This Row],[Account ID]],tblAccounts[account_id],tblAccounts[employee_count],""))</f>
        <v>2169</v>
      </c>
      <c r="M29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9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94">
        <f>COUNTIF(tblApprovals[opportunity_id],tblDealDeskAudit[[#This Row],[Opportunity ID]])</f>
        <v>0</v>
      </c>
      <c r="P29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95" spans="1:16">
      <c r="A295" s="22" t="s">
        <v>1362</v>
      </c>
      <c r="B295" s="23" t="s">
        <v>615</v>
      </c>
      <c r="C295" s="23" t="s">
        <v>5675</v>
      </c>
      <c r="D295" s="30">
        <v>2.4</v>
      </c>
      <c r="E295" s="25">
        <v>85888</v>
      </c>
      <c r="F295" s="23" t="s">
        <v>5665</v>
      </c>
      <c r="G295" s="23" t="s">
        <v>5666</v>
      </c>
      <c r="H295" s="23" t="b">
        <v>0</v>
      </c>
      <c r="I295" s="23" t="b">
        <v>0</v>
      </c>
      <c r="J295" s="30">
        <v>28.7</v>
      </c>
      <c r="K295" s="36" t="b">
        <v>1</v>
      </c>
      <c r="L295">
        <f>IF(COUNTIFS(tblAccounts[account_id],tblDealDeskAudit[[#This Row],[Account ID]],tblAccounts[employee_count],"")&gt;0,"",_xlfn.XLOOKUP(tblDealDeskAudit[[#This Row],[Account ID]],tblAccounts[account_id],tblAccounts[employee_count],""))</f>
        <v>1224</v>
      </c>
      <c r="M29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5">
        <f>COUNTIF(tblApprovals[opportunity_id],tblDealDeskAudit[[#This Row],[Opportunity ID]])</f>
        <v>0</v>
      </c>
      <c r="P29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96" spans="1:16">
      <c r="A296" s="20" t="s">
        <v>1969</v>
      </c>
      <c r="B296" s="21" t="s">
        <v>598</v>
      </c>
      <c r="C296" s="21" t="s">
        <v>5663</v>
      </c>
      <c r="D296" s="29">
        <v>14.5</v>
      </c>
      <c r="E296" s="24">
        <v>18810</v>
      </c>
      <c r="F296" s="21" t="s">
        <v>5688</v>
      </c>
      <c r="G296" s="21" t="s">
        <v>5666</v>
      </c>
      <c r="H296" s="21" t="b">
        <v>0</v>
      </c>
      <c r="I296" s="21" t="b">
        <v>0</v>
      </c>
      <c r="J296" s="29">
        <v>0.3</v>
      </c>
      <c r="K296" s="35" t="b">
        <v>1</v>
      </c>
      <c r="L296">
        <f>IF(COUNTIFS(tblAccounts[account_id],tblDealDeskAudit[[#This Row],[Account ID]],tblAccounts[employee_count],"")&gt;0,"",_xlfn.XLOOKUP(tblDealDeskAudit[[#This Row],[Account ID]],tblAccounts[account_id],tblAccounts[employee_count],""))</f>
        <v>131</v>
      </c>
      <c r="M29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6">
        <f>COUNTIF(tblApprovals[opportunity_id],tblDealDeskAudit[[#This Row],[Opportunity ID]])</f>
        <v>2</v>
      </c>
      <c r="P29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297" spans="1:16">
      <c r="A297" s="22" t="s">
        <v>2447</v>
      </c>
      <c r="B297" s="23" t="s">
        <v>663</v>
      </c>
      <c r="C297" s="23" t="s">
        <v>5675</v>
      </c>
      <c r="D297" s="30">
        <v>3.1</v>
      </c>
      <c r="E297" s="25">
        <v>25194</v>
      </c>
      <c r="F297" s="23" t="s">
        <v>5665</v>
      </c>
      <c r="G297" s="23" t="s">
        <v>5666</v>
      </c>
      <c r="H297" s="23" t="b">
        <v>0</v>
      </c>
      <c r="I297" s="23" t="b">
        <v>0</v>
      </c>
      <c r="J297" s="30">
        <v>1.5</v>
      </c>
      <c r="K297" s="36" t="b">
        <v>0</v>
      </c>
      <c r="L297">
        <f>IF(COUNTIFS(tblAccounts[account_id],tblDealDeskAudit[[#This Row],[Account ID]],tblAccounts[employee_count],"")&gt;0,"",_xlfn.XLOOKUP(tblDealDeskAudit[[#This Row],[Account ID]],tblAccounts[account_id],tblAccounts[employee_count],""))</f>
        <v>80</v>
      </c>
      <c r="M29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29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297">
        <f>COUNTIF(tblApprovals[opportunity_id],tblDealDeskAudit[[#This Row],[Opportunity ID]])</f>
        <v>0</v>
      </c>
      <c r="P29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298" spans="1:16">
      <c r="A298" s="20" t="s">
        <v>1702</v>
      </c>
      <c r="B298" s="21" t="s">
        <v>357</v>
      </c>
      <c r="C298" s="21" t="s">
        <v>5675</v>
      </c>
      <c r="D298" s="29">
        <v>14.9</v>
      </c>
      <c r="E298" s="24">
        <v>73186</v>
      </c>
      <c r="F298" s="21" t="s">
        <v>5735</v>
      </c>
      <c r="G298" s="21" t="s">
        <v>5666</v>
      </c>
      <c r="H298" s="21" t="b">
        <v>0</v>
      </c>
      <c r="I298" s="21" t="b">
        <v>0</v>
      </c>
      <c r="J298" s="29">
        <v>1.8</v>
      </c>
      <c r="K298" s="35" t="b">
        <v>1</v>
      </c>
      <c r="L298">
        <f>IF(COUNTIFS(tblAccounts[account_id],tblDealDeskAudit[[#This Row],[Account ID]],tblAccounts[employee_count],"")&gt;0,"",_xlfn.XLOOKUP(tblDealDeskAudit[[#This Row],[Account ID]],tblAccounts[account_id],tblAccounts[employee_count],""))</f>
        <v>2073</v>
      </c>
      <c r="M29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8">
        <f>COUNTIF(tblApprovals[opportunity_id],tblDealDeskAudit[[#This Row],[Opportunity ID]])</f>
        <v>0</v>
      </c>
      <c r="P29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299" spans="1:16">
      <c r="A299" s="22" t="s">
        <v>1845</v>
      </c>
      <c r="B299" s="23" t="s">
        <v>476</v>
      </c>
      <c r="C299" s="23" t="s">
        <v>5663</v>
      </c>
      <c r="D299" s="30">
        <v>10</v>
      </c>
      <c r="E299" s="25">
        <v>63000</v>
      </c>
      <c r="F299" s="23" t="s">
        <v>5665</v>
      </c>
      <c r="G299" s="23" t="s">
        <v>5780</v>
      </c>
      <c r="H299" s="23" t="b">
        <v>0</v>
      </c>
      <c r="I299" s="23" t="b">
        <v>0</v>
      </c>
      <c r="J299" s="30">
        <v>25.5</v>
      </c>
      <c r="K299" s="36" t="b">
        <v>1</v>
      </c>
      <c r="L299">
        <f>IF(COUNTIFS(tblAccounts[account_id],tblDealDeskAudit[[#This Row],[Account ID]],tblAccounts[employee_count],"")&gt;0,"",_xlfn.XLOOKUP(tblDealDeskAudit[[#This Row],[Account ID]],tblAccounts[account_id],tblAccounts[employee_count],""))</f>
        <v>842</v>
      </c>
      <c r="M29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29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299">
        <f>COUNTIF(tblApprovals[opportunity_id],tblDealDeskAudit[[#This Row],[Opportunity ID]])</f>
        <v>1</v>
      </c>
      <c r="P29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00" spans="1:16">
      <c r="A300" s="20" t="s">
        <v>6116</v>
      </c>
      <c r="B300" s="21" t="s">
        <v>1019</v>
      </c>
      <c r="C300" s="21" t="s">
        <v>5691</v>
      </c>
      <c r="D300" s="29">
        <v>32.4</v>
      </c>
      <c r="E300" s="24">
        <v>33800</v>
      </c>
      <c r="F300" s="21" t="s">
        <v>5665</v>
      </c>
      <c r="G300" s="21" t="s">
        <v>5666</v>
      </c>
      <c r="H300" s="21" t="b">
        <v>0</v>
      </c>
      <c r="I300" s="21" t="b">
        <v>0</v>
      </c>
      <c r="J300" s="29">
        <v>9.8000000000000007</v>
      </c>
      <c r="K300" s="35" t="b">
        <v>1</v>
      </c>
      <c r="L300">
        <f>IF(COUNTIFS(tblAccounts[account_id],tblDealDeskAudit[[#This Row],[Account ID]],tblAccounts[employee_count],"")&gt;0,"",_xlfn.XLOOKUP(tblDealDeskAudit[[#This Row],[Account ID]],tblAccounts[account_id],tblAccounts[employee_count],""))</f>
        <v>138</v>
      </c>
      <c r="M30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0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00">
        <f>COUNTIF(tblApprovals[opportunity_id],tblDealDeskAudit[[#This Row],[Opportunity ID]])</f>
        <v>1</v>
      </c>
      <c r="P30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01" spans="1:16">
      <c r="A301" s="22" t="s">
        <v>1868</v>
      </c>
      <c r="B301" s="23" t="s">
        <v>906</v>
      </c>
      <c r="C301" s="23" t="s">
        <v>5675</v>
      </c>
      <c r="D301" s="30">
        <v>4.2</v>
      </c>
      <c r="E301" s="25">
        <v>76640</v>
      </c>
      <c r="F301" s="23" t="s">
        <v>5665</v>
      </c>
      <c r="G301" s="23" t="s">
        <v>5666</v>
      </c>
      <c r="H301" s="23" t="b">
        <v>0</v>
      </c>
      <c r="I301" s="23" t="b">
        <v>0</v>
      </c>
      <c r="J301" s="30">
        <v>8.6</v>
      </c>
      <c r="K301" s="36" t="b">
        <v>0</v>
      </c>
      <c r="L301">
        <f>IF(COUNTIFS(tblAccounts[account_id],tblDealDeskAudit[[#This Row],[Account ID]],tblAccounts[employee_count],"")&gt;0,"",_xlfn.XLOOKUP(tblDealDeskAudit[[#This Row],[Account ID]],tblAccounts[account_id],tblAccounts[employee_count],""))</f>
        <v>2011</v>
      </c>
      <c r="M30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0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01">
        <f>COUNTIF(tblApprovals[opportunity_id],tblDealDeskAudit[[#This Row],[Opportunity ID]])</f>
        <v>0</v>
      </c>
      <c r="P30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02" spans="1:16">
      <c r="A302" s="20" t="s">
        <v>6119</v>
      </c>
      <c r="B302" s="21" t="s">
        <v>858</v>
      </c>
      <c r="C302" s="21" t="s">
        <v>5663</v>
      </c>
      <c r="D302" s="29">
        <v>22</v>
      </c>
      <c r="E302" s="24">
        <v>71760</v>
      </c>
      <c r="F302" s="21" t="s">
        <v>5665</v>
      </c>
      <c r="G302" s="21" t="s">
        <v>5666</v>
      </c>
      <c r="H302" s="21" t="b">
        <v>0</v>
      </c>
      <c r="I302" s="21" t="b">
        <v>0</v>
      </c>
      <c r="J302" s="29">
        <v>9.3000000000000007</v>
      </c>
      <c r="K302" s="35" t="b">
        <v>1</v>
      </c>
      <c r="L302">
        <f>IF(COUNTIFS(tblAccounts[account_id],tblDealDeskAudit[[#This Row],[Account ID]],tblAccounts[employee_count],"")&gt;0,"",_xlfn.XLOOKUP(tblDealDeskAudit[[#This Row],[Account ID]],tblAccounts[account_id],tblAccounts[employee_count],""))</f>
        <v>1448</v>
      </c>
      <c r="M30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0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02">
        <f>COUNTIF(tblApprovals[opportunity_id],tblDealDeskAudit[[#This Row],[Opportunity ID]])</f>
        <v>0</v>
      </c>
      <c r="P30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03" spans="1:16">
      <c r="A303" s="22" t="s">
        <v>6122</v>
      </c>
      <c r="B303" s="23" t="s">
        <v>888</v>
      </c>
      <c r="C303" s="23" t="s">
        <v>5681</v>
      </c>
      <c r="D303" s="30">
        <v>2</v>
      </c>
      <c r="E303" s="25">
        <v>56840</v>
      </c>
      <c r="F303" s="23" t="s">
        <v>5665</v>
      </c>
      <c r="G303" s="23" t="s">
        <v>5666</v>
      </c>
      <c r="H303" s="23" t="b">
        <v>0</v>
      </c>
      <c r="I303" s="23" t="b">
        <v>0</v>
      </c>
      <c r="J303" s="30">
        <v>8.6999999999999993</v>
      </c>
      <c r="K303" s="36" t="b">
        <v>0</v>
      </c>
      <c r="L303">
        <f>IF(COUNTIFS(tblAccounts[account_id],tblDealDeskAudit[[#This Row],[Account ID]],tblAccounts[employee_count],"")&gt;0,"",_xlfn.XLOOKUP(tblDealDeskAudit[[#This Row],[Account ID]],tblAccounts[account_id],tblAccounts[employee_count],""))</f>
        <v>713</v>
      </c>
      <c r="M30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0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03">
        <f>COUNTIF(tblApprovals[opportunity_id],tblDealDeskAudit[[#This Row],[Opportunity ID]])</f>
        <v>0</v>
      </c>
      <c r="P30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04" spans="1:16">
      <c r="A304" s="20" t="s">
        <v>6123</v>
      </c>
      <c r="B304" s="21" t="s">
        <v>677</v>
      </c>
      <c r="C304" s="21" t="s">
        <v>5663</v>
      </c>
      <c r="D304" s="29">
        <v>7.7</v>
      </c>
      <c r="E304" s="24">
        <v>27690</v>
      </c>
      <c r="F304" s="21" t="s">
        <v>5665</v>
      </c>
      <c r="G304" s="21" t="s">
        <v>5780</v>
      </c>
      <c r="H304" s="21" t="b">
        <v>0</v>
      </c>
      <c r="I304" s="21" t="b">
        <v>0</v>
      </c>
      <c r="J304" s="29">
        <v>11.1</v>
      </c>
      <c r="K304" s="35" t="b">
        <v>1</v>
      </c>
      <c r="L304">
        <f>IF(COUNTIFS(tblAccounts[account_id],tblDealDeskAudit[[#This Row],[Account ID]],tblAccounts[employee_count],"")&gt;0,"",_xlfn.XLOOKUP(tblDealDeskAudit[[#This Row],[Account ID]],tblAccounts[account_id],tblAccounts[employee_count],""))</f>
        <v>1296</v>
      </c>
      <c r="M30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0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04">
        <f>COUNTIF(tblApprovals[opportunity_id],tblDealDeskAudit[[#This Row],[Opportunity ID]])</f>
        <v>0</v>
      </c>
      <c r="P30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05" spans="1:16">
      <c r="A305" s="22" t="s">
        <v>6124</v>
      </c>
      <c r="B305" s="23" t="s">
        <v>1025</v>
      </c>
      <c r="C305" s="23" t="s">
        <v>5663</v>
      </c>
      <c r="D305" s="30">
        <v>6.7</v>
      </c>
      <c r="E305" s="25">
        <v>76506</v>
      </c>
      <c r="F305" s="23" t="s">
        <v>5665</v>
      </c>
      <c r="G305" s="23" t="s">
        <v>5666</v>
      </c>
      <c r="H305" s="23" t="b">
        <v>0</v>
      </c>
      <c r="I305" s="23" t="b">
        <v>0</v>
      </c>
      <c r="J305" s="30">
        <v>14.1</v>
      </c>
      <c r="K305" s="36" t="b">
        <v>0</v>
      </c>
      <c r="L305">
        <f>IF(COUNTIFS(tblAccounts[account_id],tblDealDeskAudit[[#This Row],[Account ID]],tblAccounts[employee_count],"")&gt;0,"",_xlfn.XLOOKUP(tblDealDeskAudit[[#This Row],[Account ID]],tblAccounts[account_id],tblAccounts[employee_count],""))</f>
        <v>1510</v>
      </c>
      <c r="M30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0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05">
        <f>COUNTIF(tblApprovals[opportunity_id],tblDealDeskAudit[[#This Row],[Opportunity ID]])</f>
        <v>0</v>
      </c>
      <c r="P30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06" spans="1:16">
      <c r="A306" s="20" t="s">
        <v>6125</v>
      </c>
      <c r="B306" s="21" t="s">
        <v>273</v>
      </c>
      <c r="C306" s="21" t="s">
        <v>5663</v>
      </c>
      <c r="D306" s="29">
        <v>1.9</v>
      </c>
      <c r="E306" s="24">
        <v>49050</v>
      </c>
      <c r="F306" s="21" t="s">
        <v>5665</v>
      </c>
      <c r="G306" s="21" t="s">
        <v>5666</v>
      </c>
      <c r="H306" s="21" t="b">
        <v>0</v>
      </c>
      <c r="I306" s="21" t="b">
        <v>0</v>
      </c>
      <c r="J306" s="29">
        <v>4.5</v>
      </c>
      <c r="K306" s="35" t="b">
        <v>0</v>
      </c>
      <c r="L306">
        <f>IF(COUNTIFS(tblAccounts[account_id],tblDealDeskAudit[[#This Row],[Account ID]],tblAccounts[employee_count],"")&gt;0,"",_xlfn.XLOOKUP(tblDealDeskAudit[[#This Row],[Account ID]],tblAccounts[account_id],tblAccounts[employee_count],""))</f>
        <v>864</v>
      </c>
      <c r="M30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0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06">
        <f>COUNTIF(tblApprovals[opportunity_id],tblDealDeskAudit[[#This Row],[Opportunity ID]])</f>
        <v>0</v>
      </c>
      <c r="P30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07" spans="1:16">
      <c r="A307" s="22" t="s">
        <v>6127</v>
      </c>
      <c r="B307" s="23" t="s">
        <v>589</v>
      </c>
      <c r="C307" s="23" t="s">
        <v>5669</v>
      </c>
      <c r="D307" s="30">
        <v>8.8000000000000007</v>
      </c>
      <c r="E307" s="25">
        <v>18240</v>
      </c>
      <c r="F307" s="23" t="s">
        <v>5665</v>
      </c>
      <c r="G307" s="23" t="s">
        <v>5666</v>
      </c>
      <c r="H307" s="23" t="b">
        <v>0</v>
      </c>
      <c r="I307" s="23" t="b">
        <v>0</v>
      </c>
      <c r="J307" s="30">
        <v>0</v>
      </c>
      <c r="K307" s="36" t="b">
        <v>0</v>
      </c>
      <c r="L307">
        <f>IF(COUNTIFS(tblAccounts[account_id],tblDealDeskAudit[[#This Row],[Account ID]],tblAccounts[employee_count],"")&gt;0,"",_xlfn.XLOOKUP(tblDealDeskAudit[[#This Row],[Account ID]],tblAccounts[account_id],tblAccounts[employee_count],""))</f>
        <v>113</v>
      </c>
      <c r="M30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0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07">
        <f>COUNTIF(tblApprovals[opportunity_id],tblDealDeskAudit[[#This Row],[Opportunity ID]])</f>
        <v>0</v>
      </c>
      <c r="P30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08" spans="1:16">
      <c r="A308" s="20" t="s">
        <v>1697</v>
      </c>
      <c r="B308" s="21" t="s">
        <v>314</v>
      </c>
      <c r="C308" s="21" t="s">
        <v>5663</v>
      </c>
      <c r="D308" s="29">
        <v>15.1</v>
      </c>
      <c r="E308" s="24">
        <v>35658</v>
      </c>
      <c r="F308" s="21" t="s">
        <v>5665</v>
      </c>
      <c r="G308" s="21" t="s">
        <v>5666</v>
      </c>
      <c r="H308" s="21" t="b">
        <v>0</v>
      </c>
      <c r="I308" s="21" t="b">
        <v>0</v>
      </c>
      <c r="J308" s="29">
        <v>6.4</v>
      </c>
      <c r="K308" s="35" t="b">
        <v>1</v>
      </c>
      <c r="L308">
        <f>IF(COUNTIFS(tblAccounts[account_id],tblDealDeskAudit[[#This Row],[Account ID]],tblAccounts[employee_count],"")&gt;0,"",_xlfn.XLOOKUP(tblDealDeskAudit[[#This Row],[Account ID]],tblAccounts[account_id],tblAccounts[employee_count],""))</f>
        <v>663</v>
      </c>
      <c r="M30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0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08">
        <f>COUNTIF(tblApprovals[opportunity_id],tblDealDeskAudit[[#This Row],[Opportunity ID]])</f>
        <v>0</v>
      </c>
      <c r="P30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09" spans="1:16">
      <c r="A309" s="22" t="s">
        <v>6130</v>
      </c>
      <c r="B309" s="23" t="s">
        <v>691</v>
      </c>
      <c r="C309" s="23" t="s">
        <v>5663</v>
      </c>
      <c r="D309" s="30">
        <v>21.5</v>
      </c>
      <c r="E309" s="25">
        <v>14130</v>
      </c>
      <c r="F309" s="23" t="s">
        <v>5665</v>
      </c>
      <c r="G309" s="23" t="s">
        <v>5666</v>
      </c>
      <c r="H309" s="23" t="b">
        <v>0</v>
      </c>
      <c r="I309" s="23" t="b">
        <v>0</v>
      </c>
      <c r="J309" s="30">
        <v>0</v>
      </c>
      <c r="K309" s="36" t="b">
        <v>1</v>
      </c>
      <c r="L309">
        <f>IF(COUNTIFS(tblAccounts[account_id],tblDealDeskAudit[[#This Row],[Account ID]],tblAccounts[employee_count],"")&gt;0,"",_xlfn.XLOOKUP(tblDealDeskAudit[[#This Row],[Account ID]],tblAccounts[account_id],tblAccounts[employee_count],""))</f>
        <v>83</v>
      </c>
      <c r="M30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0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09">
        <f>COUNTIF(tblApprovals[opportunity_id],tblDealDeskAudit[[#This Row],[Opportunity ID]])</f>
        <v>1</v>
      </c>
      <c r="P30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10" spans="1:16">
      <c r="A310" s="20" t="s">
        <v>6132</v>
      </c>
      <c r="B310" s="21" t="s">
        <v>276</v>
      </c>
      <c r="C310" s="21" t="s">
        <v>5691</v>
      </c>
      <c r="D310" s="29">
        <v>6.1</v>
      </c>
      <c r="E310" s="24">
        <v>28170</v>
      </c>
      <c r="F310" s="21" t="s">
        <v>5688</v>
      </c>
      <c r="G310" s="21" t="s">
        <v>5677</v>
      </c>
      <c r="H310" s="21" t="b">
        <v>0</v>
      </c>
      <c r="I310" s="21" t="b">
        <v>0</v>
      </c>
      <c r="J310" s="29">
        <v>4.4000000000000004</v>
      </c>
      <c r="K310" s="35" t="b">
        <v>0</v>
      </c>
      <c r="L310">
        <f>IF(COUNTIFS(tblAccounts[account_id],tblDealDeskAudit[[#This Row],[Account ID]],tblAccounts[employee_count],"")&gt;0,"",_xlfn.XLOOKUP(tblDealDeskAudit[[#This Row],[Account ID]],tblAccounts[account_id],tblAccounts[employee_count],""))</f>
        <v>288</v>
      </c>
      <c r="M31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1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310">
        <f>COUNTIF(tblApprovals[opportunity_id],tblDealDeskAudit[[#This Row],[Opportunity ID]])</f>
        <v>1</v>
      </c>
      <c r="P31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11" spans="1:16">
      <c r="A311" s="22" t="s">
        <v>2301</v>
      </c>
      <c r="B311" s="23" t="s">
        <v>760</v>
      </c>
      <c r="C311" s="23" t="s">
        <v>5675</v>
      </c>
      <c r="D311" s="30">
        <v>8.1</v>
      </c>
      <c r="E311" s="25">
        <v>31246</v>
      </c>
      <c r="F311" s="23" t="s">
        <v>5665</v>
      </c>
      <c r="G311" s="23" t="s">
        <v>5666</v>
      </c>
      <c r="H311" s="23" t="b">
        <v>0</v>
      </c>
      <c r="I311" s="23" t="b">
        <v>0</v>
      </c>
      <c r="J311" s="30">
        <v>22.7</v>
      </c>
      <c r="K311" s="36" t="b">
        <v>1</v>
      </c>
      <c r="L311">
        <f>IF(COUNTIFS(tblAccounts[account_id],tblDealDeskAudit[[#This Row],[Account ID]],tblAccounts[employee_count],"")&gt;0,"",_xlfn.XLOOKUP(tblDealDeskAudit[[#This Row],[Account ID]],tblAccounts[account_id],tblAccounts[employee_count],""))</f>
        <v>421</v>
      </c>
      <c r="M31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1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11">
        <f>COUNTIF(tblApprovals[opportunity_id],tblDealDeskAudit[[#This Row],[Opportunity ID]])</f>
        <v>0</v>
      </c>
      <c r="P31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12" spans="1:16">
      <c r="A312" s="20" t="s">
        <v>2468</v>
      </c>
      <c r="B312" s="21" t="s">
        <v>124</v>
      </c>
      <c r="C312" s="21" t="s">
        <v>5675</v>
      </c>
      <c r="D312" s="29">
        <v>5.6</v>
      </c>
      <c r="E312" s="24">
        <v>22656</v>
      </c>
      <c r="F312" s="21" t="s">
        <v>5665</v>
      </c>
      <c r="G312" s="21" t="s">
        <v>5666</v>
      </c>
      <c r="H312" s="21" t="b">
        <v>1</v>
      </c>
      <c r="I312" s="21" t="b">
        <v>0</v>
      </c>
      <c r="J312" s="29">
        <v>1.2</v>
      </c>
      <c r="K312" s="35" t="b">
        <v>1</v>
      </c>
      <c r="L312">
        <f>IF(COUNTIFS(tblAccounts[account_id],tblDealDeskAudit[[#This Row],[Account ID]],tblAccounts[employee_count],"")&gt;0,"",_xlfn.XLOOKUP(tblDealDeskAudit[[#This Row],[Account ID]],tblAccounts[account_id],tblAccounts[employee_count],""))</f>
        <v>158</v>
      </c>
      <c r="M31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1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12">
        <f>COUNTIF(tblApprovals[opportunity_id],tblDealDeskAudit[[#This Row],[Opportunity ID]])</f>
        <v>1</v>
      </c>
      <c r="P31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13" spans="1:16">
      <c r="A313" s="22" t="s">
        <v>2509</v>
      </c>
      <c r="B313" s="23" t="s">
        <v>524</v>
      </c>
      <c r="C313" s="23" t="s">
        <v>5675</v>
      </c>
      <c r="D313" s="30">
        <v>14</v>
      </c>
      <c r="E313" s="25">
        <v>56760</v>
      </c>
      <c r="F313" s="23" t="s">
        <v>5665</v>
      </c>
      <c r="G313" s="23" t="s">
        <v>5666</v>
      </c>
      <c r="H313" s="23" t="b">
        <v>0</v>
      </c>
      <c r="I313" s="23" t="b">
        <v>0</v>
      </c>
      <c r="J313" s="30">
        <v>17.600000000000001</v>
      </c>
      <c r="K313" s="36" t="b">
        <v>1</v>
      </c>
      <c r="L313">
        <f>IF(COUNTIFS(tblAccounts[account_id],tblDealDeskAudit[[#This Row],[Account ID]],tblAccounts[employee_count],"")&gt;0,"",_xlfn.XLOOKUP(tblDealDeskAudit[[#This Row],[Account ID]],tblAccounts[account_id],tblAccounts[employee_count],""))</f>
        <v>1073</v>
      </c>
      <c r="M31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1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13">
        <f>COUNTIF(tblApprovals[opportunity_id],tblDealDeskAudit[[#This Row],[Opportunity ID]])</f>
        <v>1</v>
      </c>
      <c r="P31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14" spans="1:16">
      <c r="A314" s="20" t="s">
        <v>1906</v>
      </c>
      <c r="B314" s="21" t="s">
        <v>202</v>
      </c>
      <c r="C314" s="21" t="s">
        <v>5675</v>
      </c>
      <c r="D314" s="29">
        <v>7.3</v>
      </c>
      <c r="E314" s="24">
        <v>27810</v>
      </c>
      <c r="F314" s="21" t="s">
        <v>5665</v>
      </c>
      <c r="G314" s="21" t="s">
        <v>5666</v>
      </c>
      <c r="H314" s="21" t="b">
        <v>0</v>
      </c>
      <c r="I314" s="21" t="b">
        <v>0</v>
      </c>
      <c r="J314" s="29">
        <v>2.7</v>
      </c>
      <c r="K314" s="35" t="b">
        <v>0</v>
      </c>
      <c r="L314">
        <f>IF(COUNTIFS(tblAccounts[account_id],tblDealDeskAudit[[#This Row],[Account ID]],tblAccounts[employee_count],"")&gt;0,"",_xlfn.XLOOKUP(tblDealDeskAudit[[#This Row],[Account ID]],tblAccounts[account_id],tblAccounts[employee_count],""))</f>
        <v>79</v>
      </c>
      <c r="M31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1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14">
        <f>COUNTIF(tblApprovals[opportunity_id],tblDealDeskAudit[[#This Row],[Opportunity ID]])</f>
        <v>0</v>
      </c>
      <c r="P31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15" spans="1:16">
      <c r="A315" s="22" t="s">
        <v>1986</v>
      </c>
      <c r="B315" s="23" t="s">
        <v>715</v>
      </c>
      <c r="C315" s="23" t="s">
        <v>5675</v>
      </c>
      <c r="D315" s="30">
        <v>4.0999999999999996</v>
      </c>
      <c r="E315" s="25">
        <v>63294</v>
      </c>
      <c r="F315" s="23" t="s">
        <v>5665</v>
      </c>
      <c r="G315" s="23" t="s">
        <v>5666</v>
      </c>
      <c r="H315" s="23" t="b">
        <v>0</v>
      </c>
      <c r="I315" s="23" t="b">
        <v>0</v>
      </c>
      <c r="J315" s="30">
        <v>9.6</v>
      </c>
      <c r="K315" s="36" t="b">
        <v>0</v>
      </c>
      <c r="L315">
        <f>IF(COUNTIFS(tblAccounts[account_id],tblDealDeskAudit[[#This Row],[Account ID]],tblAccounts[employee_count],"")&gt;0,"",_xlfn.XLOOKUP(tblDealDeskAudit[[#This Row],[Account ID]],tblAccounts[account_id],tblAccounts[employee_count],""))</f>
        <v>370</v>
      </c>
      <c r="M31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1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15">
        <f>COUNTIF(tblApprovals[opportunity_id],tblDealDeskAudit[[#This Row],[Opportunity ID]])</f>
        <v>0</v>
      </c>
      <c r="P31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16" spans="1:16">
      <c r="A316" s="20" t="s">
        <v>1422</v>
      </c>
      <c r="B316" s="21" t="s">
        <v>697</v>
      </c>
      <c r="C316" s="21" t="s">
        <v>5725</v>
      </c>
      <c r="D316" s="29">
        <v>5.3</v>
      </c>
      <c r="E316" s="24">
        <v>81442</v>
      </c>
      <c r="F316" s="21" t="s">
        <v>5688</v>
      </c>
      <c r="G316" s="21" t="s">
        <v>5666</v>
      </c>
      <c r="H316" s="21" t="b">
        <v>0</v>
      </c>
      <c r="I316" s="21" t="b">
        <v>0</v>
      </c>
      <c r="J316" s="29">
        <v>7.4</v>
      </c>
      <c r="K316" s="35" t="b">
        <v>1</v>
      </c>
      <c r="L316">
        <f>IF(COUNTIFS(tblAccounts[account_id],tblDealDeskAudit[[#This Row],[Account ID]],tblAccounts[employee_count],"")&gt;0,"",_xlfn.XLOOKUP(tblDealDeskAudit[[#This Row],[Account ID]],tblAccounts[account_id],tblAccounts[employee_count],""))</f>
        <v>3773</v>
      </c>
      <c r="M31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1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16">
        <f>COUNTIF(tblApprovals[opportunity_id],tblDealDeskAudit[[#This Row],[Opportunity ID]])</f>
        <v>1</v>
      </c>
      <c r="P31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17" spans="1:16">
      <c r="A317" s="22" t="s">
        <v>1995</v>
      </c>
      <c r="B317" s="23" t="s">
        <v>998</v>
      </c>
      <c r="C317" s="23" t="s">
        <v>5663</v>
      </c>
      <c r="D317" s="30">
        <v>0.3</v>
      </c>
      <c r="E317" s="25">
        <v>37886</v>
      </c>
      <c r="F317" s="23" t="s">
        <v>5665</v>
      </c>
      <c r="G317" s="23" t="s">
        <v>5666</v>
      </c>
      <c r="H317" s="23" t="b">
        <v>0</v>
      </c>
      <c r="I317" s="23" t="b">
        <v>0</v>
      </c>
      <c r="J317" s="30">
        <v>9.3000000000000007</v>
      </c>
      <c r="K317" s="36" t="b">
        <v>0</v>
      </c>
      <c r="L317">
        <f>IF(COUNTIFS(tblAccounts[account_id],tblDealDeskAudit[[#This Row],[Account ID]],tblAccounts[employee_count],"")&gt;0,"",_xlfn.XLOOKUP(tblDealDeskAudit[[#This Row],[Account ID]],tblAccounts[account_id],tblAccounts[employee_count],""))</f>
        <v>590</v>
      </c>
      <c r="M31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1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17">
        <f>COUNTIF(tblApprovals[opportunity_id],tblDealDeskAudit[[#This Row],[Opportunity ID]])</f>
        <v>0</v>
      </c>
      <c r="P31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18" spans="1:16">
      <c r="A318" s="20" t="s">
        <v>6139</v>
      </c>
      <c r="B318" s="21" t="s">
        <v>951</v>
      </c>
      <c r="C318" s="21" t="s">
        <v>5663</v>
      </c>
      <c r="D318" s="29">
        <v>4.2</v>
      </c>
      <c r="E318" s="24">
        <v>22992</v>
      </c>
      <c r="F318" s="21" t="s">
        <v>5665</v>
      </c>
      <c r="G318" s="21" t="s">
        <v>5666</v>
      </c>
      <c r="H318" s="21" t="b">
        <v>0</v>
      </c>
      <c r="I318" s="21" t="b">
        <v>0</v>
      </c>
      <c r="J318" s="29">
        <v>0</v>
      </c>
      <c r="K318" s="35" t="b">
        <v>0</v>
      </c>
      <c r="L318">
        <f>IF(COUNTIFS(tblAccounts[account_id],tblDealDeskAudit[[#This Row],[Account ID]],tblAccounts[employee_count],"")&gt;0,"",_xlfn.XLOOKUP(tblDealDeskAudit[[#This Row],[Account ID]],tblAccounts[account_id],tblAccounts[employee_count],""))</f>
        <v>93</v>
      </c>
      <c r="M31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1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18">
        <f>COUNTIF(tblApprovals[opportunity_id],tblDealDeskAudit[[#This Row],[Opportunity ID]])</f>
        <v>0</v>
      </c>
      <c r="P31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19" spans="1:16">
      <c r="A319" s="22" t="s">
        <v>2048</v>
      </c>
      <c r="B319" s="23" t="s">
        <v>485</v>
      </c>
      <c r="C319" s="23" t="s">
        <v>5663</v>
      </c>
      <c r="D319" s="30">
        <v>3</v>
      </c>
      <c r="E319" s="25">
        <v>54320</v>
      </c>
      <c r="F319" s="23" t="s">
        <v>5665</v>
      </c>
      <c r="G319" s="23" t="s">
        <v>5666</v>
      </c>
      <c r="H319" s="23" t="b">
        <v>0</v>
      </c>
      <c r="I319" s="23" t="b">
        <v>0</v>
      </c>
      <c r="J319" s="30">
        <v>6.5</v>
      </c>
      <c r="K319" s="36" t="b">
        <v>0</v>
      </c>
      <c r="L319">
        <f>IF(COUNTIFS(tblAccounts[account_id],tblDealDeskAudit[[#This Row],[Account ID]],tblAccounts[employee_count],"")&gt;0,"",_xlfn.XLOOKUP(tblDealDeskAudit[[#This Row],[Account ID]],tblAccounts[account_id],tblAccounts[employee_count],""))</f>
        <v>731</v>
      </c>
      <c r="M31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1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19">
        <f>COUNTIF(tblApprovals[opportunity_id],tblDealDeskAudit[[#This Row],[Opportunity ID]])</f>
        <v>0</v>
      </c>
      <c r="P31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20" spans="1:16">
      <c r="A320" s="20" t="s">
        <v>6142</v>
      </c>
      <c r="B320" s="21" t="s">
        <v>603</v>
      </c>
      <c r="C320" s="21" t="s">
        <v>5669</v>
      </c>
      <c r="D320" s="29">
        <v>14.6</v>
      </c>
      <c r="E320" s="24">
        <v>20496</v>
      </c>
      <c r="F320" s="21" t="s">
        <v>5665</v>
      </c>
      <c r="G320" s="21" t="s">
        <v>5666</v>
      </c>
      <c r="H320" s="21" t="b">
        <v>0</v>
      </c>
      <c r="I320" s="21" t="b">
        <v>0</v>
      </c>
      <c r="J320" s="29">
        <v>6.8</v>
      </c>
      <c r="K320" s="35" t="b">
        <v>1</v>
      </c>
      <c r="L320">
        <f>IF(COUNTIFS(tblAccounts[account_id],tblDealDeskAudit[[#This Row],[Account ID]],tblAccounts[employee_count],"")&gt;0,"",_xlfn.XLOOKUP(tblDealDeskAudit[[#This Row],[Account ID]],tblAccounts[account_id],tblAccounts[employee_count],""))</f>
        <v>65</v>
      </c>
      <c r="M32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2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20">
        <f>COUNTIF(tblApprovals[opportunity_id],tblDealDeskAudit[[#This Row],[Opportunity ID]])</f>
        <v>0</v>
      </c>
      <c r="P32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1" spans="1:16">
      <c r="A321" s="22" t="s">
        <v>1812</v>
      </c>
      <c r="B321" s="23" t="s">
        <v>666</v>
      </c>
      <c r="C321" s="23" t="s">
        <v>5675</v>
      </c>
      <c r="D321" s="30">
        <v>6.9</v>
      </c>
      <c r="E321" s="25">
        <v>24206</v>
      </c>
      <c r="F321" s="23" t="s">
        <v>5665</v>
      </c>
      <c r="G321" s="23" t="s">
        <v>5666</v>
      </c>
      <c r="H321" s="23" t="b">
        <v>0</v>
      </c>
      <c r="I321" s="23" t="b">
        <v>0</v>
      </c>
      <c r="J321" s="30">
        <v>9.3000000000000007</v>
      </c>
      <c r="K321" s="36" t="b">
        <v>0</v>
      </c>
      <c r="L321">
        <f>IF(COUNTIFS(tblAccounts[account_id],tblDealDeskAudit[[#This Row],[Account ID]],tblAccounts[employee_count],"")&gt;0,"",_xlfn.XLOOKUP(tblDealDeskAudit[[#This Row],[Account ID]],tblAccounts[account_id],tblAccounts[employee_count],""))</f>
        <v>83</v>
      </c>
      <c r="M32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2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21">
        <f>COUNTIF(tblApprovals[opportunity_id],tblDealDeskAudit[[#This Row],[Opportunity ID]])</f>
        <v>0</v>
      </c>
      <c r="P32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22" spans="1:16">
      <c r="A322" s="20" t="s">
        <v>6144</v>
      </c>
      <c r="B322" s="21" t="s">
        <v>494</v>
      </c>
      <c r="C322" s="21" t="s">
        <v>5691</v>
      </c>
      <c r="D322" s="29">
        <v>6.6</v>
      </c>
      <c r="E322" s="24">
        <v>69116</v>
      </c>
      <c r="F322" s="21" t="s">
        <v>5665</v>
      </c>
      <c r="G322" s="21" t="s">
        <v>5666</v>
      </c>
      <c r="H322" s="21" t="b">
        <v>0</v>
      </c>
      <c r="I322" s="21" t="b">
        <v>0</v>
      </c>
      <c r="J322" s="29">
        <v>19.899999999999999</v>
      </c>
      <c r="K322" s="35" t="b">
        <v>0</v>
      </c>
      <c r="L322">
        <f>IF(COUNTIFS(tblAccounts[account_id],tblDealDeskAudit[[#This Row],[Account ID]],tblAccounts[employee_count],"")&gt;0,"",_xlfn.XLOOKUP(tblDealDeskAudit[[#This Row],[Account ID]],tblAccounts[account_id],tblAccounts[employee_count],""))</f>
        <v>349</v>
      </c>
      <c r="M32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2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22">
        <f>COUNTIF(tblApprovals[opportunity_id],tblDealDeskAudit[[#This Row],[Opportunity ID]])</f>
        <v>0</v>
      </c>
      <c r="P32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3" spans="1:16">
      <c r="A323" s="22" t="s">
        <v>1550</v>
      </c>
      <c r="B323" s="23" t="s">
        <v>276</v>
      </c>
      <c r="C323" s="23" t="s">
        <v>5663</v>
      </c>
      <c r="D323" s="30">
        <v>8</v>
      </c>
      <c r="E323" s="25">
        <v>31280</v>
      </c>
      <c r="F323" s="23" t="s">
        <v>5665</v>
      </c>
      <c r="G323" s="23" t="s">
        <v>5666</v>
      </c>
      <c r="H323" s="23" t="b">
        <v>0</v>
      </c>
      <c r="I323" s="23" t="b">
        <v>0</v>
      </c>
      <c r="J323" s="30">
        <v>19.2</v>
      </c>
      <c r="K323" s="36" t="b">
        <v>0</v>
      </c>
      <c r="L323">
        <f>IF(COUNTIFS(tblAccounts[account_id],tblDealDeskAudit[[#This Row],[Account ID]],tblAccounts[employee_count],"")&gt;0,"",_xlfn.XLOOKUP(tblDealDeskAudit[[#This Row],[Account ID]],tblAccounts[account_id],tblAccounts[employee_count],""))</f>
        <v>288</v>
      </c>
      <c r="M32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2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23">
        <f>COUNTIF(tblApprovals[opportunity_id],tblDealDeskAudit[[#This Row],[Opportunity ID]])</f>
        <v>0</v>
      </c>
      <c r="P32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24" spans="1:16">
      <c r="A324" s="20" t="s">
        <v>1960</v>
      </c>
      <c r="B324" s="21" t="s">
        <v>296</v>
      </c>
      <c r="C324" s="21" t="s">
        <v>5691</v>
      </c>
      <c r="D324" s="29">
        <v>31</v>
      </c>
      <c r="E324" s="24">
        <v>28980</v>
      </c>
      <c r="F324" s="21" t="s">
        <v>5665</v>
      </c>
      <c r="G324" s="21" t="s">
        <v>5666</v>
      </c>
      <c r="H324" s="21" t="b">
        <v>0</v>
      </c>
      <c r="I324" s="21" t="b">
        <v>0</v>
      </c>
      <c r="J324" s="29">
        <v>4.0999999999999996</v>
      </c>
      <c r="K324" s="35" t="b">
        <v>1</v>
      </c>
      <c r="L324">
        <f>IF(COUNTIFS(tblAccounts[account_id],tblDealDeskAudit[[#This Row],[Account ID]],tblAccounts[employee_count],"")&gt;0,"",_xlfn.XLOOKUP(tblDealDeskAudit[[#This Row],[Account ID]],tblAccounts[account_id],tblAccounts[employee_count],""))</f>
        <v>586</v>
      </c>
      <c r="M32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2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24">
        <f>COUNTIF(tblApprovals[opportunity_id],tblDealDeskAudit[[#This Row],[Opportunity ID]])</f>
        <v>0</v>
      </c>
      <c r="P32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5" spans="1:16">
      <c r="A325" s="22" t="s">
        <v>6145</v>
      </c>
      <c r="B325" s="23" t="s">
        <v>717</v>
      </c>
      <c r="C325" s="23" t="s">
        <v>5691</v>
      </c>
      <c r="D325" s="30">
        <v>4.8</v>
      </c>
      <c r="E325" s="25">
        <v>68544</v>
      </c>
      <c r="F325" s="23" t="s">
        <v>5665</v>
      </c>
      <c r="G325" s="23" t="s">
        <v>5666</v>
      </c>
      <c r="H325" s="23" t="b">
        <v>0</v>
      </c>
      <c r="I325" s="23" t="b">
        <v>1</v>
      </c>
      <c r="J325" s="30">
        <v>3.9</v>
      </c>
      <c r="K325" s="36" t="b">
        <v>1</v>
      </c>
      <c r="L325">
        <f>IF(COUNTIFS(tblAccounts[account_id],tblDealDeskAudit[[#This Row],[Account ID]],tblAccounts[employee_count],"")&gt;0,"",_xlfn.XLOOKUP(tblDealDeskAudit[[#This Row],[Account ID]],tblAccounts[account_id],tblAccounts[employee_count],""))</f>
        <v>1329</v>
      </c>
      <c r="M32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2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25">
        <f>COUNTIF(tblApprovals[opportunity_id],tblDealDeskAudit[[#This Row],[Opportunity ID]])</f>
        <v>0</v>
      </c>
      <c r="P32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6" spans="1:16">
      <c r="A326" s="20" t="s">
        <v>6148</v>
      </c>
      <c r="B326" s="21" t="s">
        <v>989</v>
      </c>
      <c r="C326" s="21" t="s">
        <v>5686</v>
      </c>
      <c r="D326" s="29">
        <v>8.6999999999999993</v>
      </c>
      <c r="E326" s="24">
        <v>18260</v>
      </c>
      <c r="F326" s="21" t="s">
        <v>5665</v>
      </c>
      <c r="G326" s="21" t="s">
        <v>5666</v>
      </c>
      <c r="H326" s="21" t="b">
        <v>0</v>
      </c>
      <c r="I326" s="21" t="b">
        <v>0</v>
      </c>
      <c r="J326" s="29">
        <v>9.1999999999999993</v>
      </c>
      <c r="K326" s="35" t="b">
        <v>0</v>
      </c>
      <c r="L326">
        <f>IF(COUNTIFS(tblAccounts[account_id],tblDealDeskAudit[[#This Row],[Account ID]],tblAccounts[employee_count],"")&gt;0,"",_xlfn.XLOOKUP(tblDealDeskAudit[[#This Row],[Account ID]],tblAccounts[account_id],tblAccounts[employee_count],""))</f>
        <v>74</v>
      </c>
      <c r="M32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2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26">
        <f>COUNTIF(tblApprovals[opportunity_id],tblDealDeskAudit[[#This Row],[Opportunity ID]])</f>
        <v>0</v>
      </c>
      <c r="P32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7" spans="1:16">
      <c r="A327" s="22" t="s">
        <v>6151</v>
      </c>
      <c r="B327" s="23" t="s">
        <v>533</v>
      </c>
      <c r="C327" s="23" t="s">
        <v>5691</v>
      </c>
      <c r="D327" s="30">
        <v>7.5</v>
      </c>
      <c r="E327" s="25">
        <v>33300</v>
      </c>
      <c r="F327" s="23" t="s">
        <v>5665</v>
      </c>
      <c r="G327" s="23" t="s">
        <v>5693</v>
      </c>
      <c r="H327" s="23" t="b">
        <v>0</v>
      </c>
      <c r="I327" s="23" t="b">
        <v>0</v>
      </c>
      <c r="J327" s="30">
        <v>8.3000000000000007</v>
      </c>
      <c r="K327" s="36" t="b">
        <v>1</v>
      </c>
      <c r="L327">
        <f>IF(COUNTIFS(tblAccounts[account_id],tblDealDeskAudit[[#This Row],[Account ID]],tblAccounts[employee_count],"")&gt;0,"",_xlfn.XLOOKUP(tblDealDeskAudit[[#This Row],[Account ID]],tblAccounts[account_id],tblAccounts[employee_count],""))</f>
        <v>235</v>
      </c>
      <c r="M32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2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27">
        <f>COUNTIF(tblApprovals[opportunity_id],tblDealDeskAudit[[#This Row],[Opportunity ID]])</f>
        <v>0</v>
      </c>
      <c r="P32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28" spans="1:16">
      <c r="A328" s="20" t="s">
        <v>2036</v>
      </c>
      <c r="B328" s="21" t="s">
        <v>858</v>
      </c>
      <c r="C328" s="21" t="s">
        <v>5675</v>
      </c>
      <c r="D328" s="29">
        <v>4.9000000000000004</v>
      </c>
      <c r="E328" s="24">
        <v>76080</v>
      </c>
      <c r="F328" s="21" t="s">
        <v>5677</v>
      </c>
      <c r="G328" s="21" t="s">
        <v>5666</v>
      </c>
      <c r="H328" s="21" t="b">
        <v>0</v>
      </c>
      <c r="I328" s="21" t="b">
        <v>1</v>
      </c>
      <c r="J328" s="29">
        <v>6.7</v>
      </c>
      <c r="K328" s="35" t="b">
        <v>1</v>
      </c>
      <c r="L328">
        <f>IF(COUNTIFS(tblAccounts[account_id],tblDealDeskAudit[[#This Row],[Account ID]],tblAccounts[employee_count],"")&gt;0,"",_xlfn.XLOOKUP(tblDealDeskAudit[[#This Row],[Account ID]],tblAccounts[account_id],tblAccounts[employee_count],""))</f>
        <v>1448</v>
      </c>
      <c r="M32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2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28">
        <f>COUNTIF(tblApprovals[opportunity_id],tblDealDeskAudit[[#This Row],[Opportunity ID]])</f>
        <v>0</v>
      </c>
      <c r="P32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29" spans="1:16">
      <c r="A329" s="22" t="s">
        <v>6152</v>
      </c>
      <c r="B329" s="23" t="s">
        <v>909</v>
      </c>
      <c r="C329" s="23" t="s">
        <v>5669</v>
      </c>
      <c r="D329" s="30">
        <v>9.4</v>
      </c>
      <c r="E329" s="25">
        <v>45300</v>
      </c>
      <c r="F329" s="23" t="s">
        <v>5665</v>
      </c>
      <c r="G329" s="23" t="s">
        <v>5666</v>
      </c>
      <c r="H329" s="23" t="b">
        <v>0</v>
      </c>
      <c r="I329" s="23" t="b">
        <v>0</v>
      </c>
      <c r="J329" s="30">
        <v>4.5</v>
      </c>
      <c r="K329" s="36" t="b">
        <v>0</v>
      </c>
      <c r="L329">
        <f>IF(COUNTIFS(tblAccounts[account_id],tblDealDeskAudit[[#This Row],[Account ID]],tblAccounts[employee_count],"")&gt;0,"",_xlfn.XLOOKUP(tblDealDeskAudit[[#This Row],[Account ID]],tblAccounts[account_id],tblAccounts[employee_count],""))</f>
        <v>34</v>
      </c>
      <c r="M32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2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29">
        <f>COUNTIF(tblApprovals[opportunity_id],tblDealDeskAudit[[#This Row],[Opportunity ID]])</f>
        <v>0</v>
      </c>
      <c r="P32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30" spans="1:16">
      <c r="A330" s="20" t="s">
        <v>1297</v>
      </c>
      <c r="B330" s="21" t="s">
        <v>720</v>
      </c>
      <c r="C330" s="21" t="s">
        <v>5675</v>
      </c>
      <c r="D330" s="29">
        <v>0.6</v>
      </c>
      <c r="E330" s="24">
        <v>37772</v>
      </c>
      <c r="F330" s="21" t="s">
        <v>5735</v>
      </c>
      <c r="G330" s="21" t="s">
        <v>5666</v>
      </c>
      <c r="H330" s="21" t="b">
        <v>0</v>
      </c>
      <c r="I330" s="21" t="b">
        <v>0</v>
      </c>
      <c r="J330" s="29">
        <v>6</v>
      </c>
      <c r="K330" s="35" t="b">
        <v>0</v>
      </c>
      <c r="L330">
        <f>IF(COUNTIFS(tblAccounts[account_id],tblDealDeskAudit[[#This Row],[Account ID]],tblAccounts[employee_count],"")&gt;0,"",_xlfn.XLOOKUP(tblDealDeskAudit[[#This Row],[Account ID]],tblAccounts[account_id],tblAccounts[employee_count],""))</f>
        <v>130</v>
      </c>
      <c r="M33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330">
        <f>COUNTIF(tblApprovals[opportunity_id],tblDealDeskAudit[[#This Row],[Opportunity ID]])</f>
        <v>0</v>
      </c>
      <c r="P33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31" spans="1:16">
      <c r="A331" s="22" t="s">
        <v>6154</v>
      </c>
      <c r="B331" s="23" t="s">
        <v>754</v>
      </c>
      <c r="C331" s="23" t="s">
        <v>5686</v>
      </c>
      <c r="D331" s="30">
        <v>9.6</v>
      </c>
      <c r="E331" s="25">
        <v>83168</v>
      </c>
      <c r="F331" s="23" t="s">
        <v>5665</v>
      </c>
      <c r="G331" s="23" t="s">
        <v>5666</v>
      </c>
      <c r="H331" s="23" t="b">
        <v>1</v>
      </c>
      <c r="I331" s="23" t="b">
        <v>0</v>
      </c>
      <c r="J331" s="30">
        <v>14.5</v>
      </c>
      <c r="K331" s="36" t="b">
        <v>1</v>
      </c>
      <c r="L331">
        <f>IF(COUNTIFS(tblAccounts[account_id],tblDealDeskAudit[[#This Row],[Account ID]],tblAccounts[employee_count],"")&gt;0,"",_xlfn.XLOOKUP(tblDealDeskAudit[[#This Row],[Account ID]],tblAccounts[account_id],tblAccounts[employee_count],""))</f>
        <v>1853</v>
      </c>
      <c r="M33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31">
        <f>COUNTIF(tblApprovals[opportunity_id],tblDealDeskAudit[[#This Row],[Opportunity ID]])</f>
        <v>0</v>
      </c>
      <c r="P33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32" spans="1:16">
      <c r="A332" s="20" t="s">
        <v>6156</v>
      </c>
      <c r="B332" s="21" t="s">
        <v>412</v>
      </c>
      <c r="C332" s="21" t="s">
        <v>5663</v>
      </c>
      <c r="D332" s="29">
        <v>5.9</v>
      </c>
      <c r="E332" s="24">
        <v>11292</v>
      </c>
      <c r="F332" s="21" t="s">
        <v>5665</v>
      </c>
      <c r="G332" s="21" t="s">
        <v>5666</v>
      </c>
      <c r="H332" s="21" t="b">
        <v>0</v>
      </c>
      <c r="I332" s="21" t="b">
        <v>0</v>
      </c>
      <c r="J332" s="29">
        <v>0</v>
      </c>
      <c r="K332" s="35" t="b">
        <v>0</v>
      </c>
      <c r="L332">
        <f>IF(COUNTIFS(tblAccounts[account_id],tblDealDeskAudit[[#This Row],[Account ID]],tblAccounts[employee_count],"")&gt;0,"",_xlfn.XLOOKUP(tblDealDeskAudit[[#This Row],[Account ID]],tblAccounts[account_id],tblAccounts[employee_count],""))</f>
        <v>1879</v>
      </c>
      <c r="M33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3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32">
        <f>COUNTIF(tblApprovals[opportunity_id],tblDealDeskAudit[[#This Row],[Opportunity ID]])</f>
        <v>0</v>
      </c>
      <c r="P33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33" spans="1:16">
      <c r="A333" s="22" t="s">
        <v>6157</v>
      </c>
      <c r="B333" s="23" t="s">
        <v>470</v>
      </c>
      <c r="C333" s="23" t="s">
        <v>5681</v>
      </c>
      <c r="D333" s="30">
        <v>4.2</v>
      </c>
      <c r="E333" s="25">
        <v>19160</v>
      </c>
      <c r="F333" s="23" t="s">
        <v>5665</v>
      </c>
      <c r="G333" s="23" t="s">
        <v>5666</v>
      </c>
      <c r="H333" s="23" t="b">
        <v>0</v>
      </c>
      <c r="I333" s="23" t="b">
        <v>0</v>
      </c>
      <c r="J333" s="30">
        <v>2</v>
      </c>
      <c r="K333" s="36" t="b">
        <v>0</v>
      </c>
      <c r="L333">
        <f>IF(COUNTIFS(tblAccounts[account_id],tblDealDeskAudit[[#This Row],[Account ID]],tblAccounts[employee_count],"")&gt;0,"",_xlfn.XLOOKUP(tblDealDeskAudit[[#This Row],[Account ID]],tblAccounts[account_id],tblAccounts[employee_count],""))</f>
        <v>56</v>
      </c>
      <c r="M33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3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33">
        <f>COUNTIF(tblApprovals[opportunity_id],tblDealDeskAudit[[#This Row],[Opportunity ID]])</f>
        <v>0</v>
      </c>
      <c r="P33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34" spans="1:16">
      <c r="A334" s="20" t="s">
        <v>2557</v>
      </c>
      <c r="B334" s="21" t="s">
        <v>688</v>
      </c>
      <c r="C334" s="21" t="s">
        <v>5675</v>
      </c>
      <c r="D334" s="29">
        <v>0.5</v>
      </c>
      <c r="E334" s="24">
        <v>45770</v>
      </c>
      <c r="F334" s="21" t="s">
        <v>5665</v>
      </c>
      <c r="G334" s="21" t="s">
        <v>5666</v>
      </c>
      <c r="H334" s="21" t="b">
        <v>0</v>
      </c>
      <c r="I334" s="21" t="b">
        <v>0</v>
      </c>
      <c r="J334" s="29">
        <v>3.6</v>
      </c>
      <c r="K334" s="35" t="b">
        <v>0</v>
      </c>
      <c r="L334">
        <f>IF(COUNTIFS(tblAccounts[account_id],tblDealDeskAudit[[#This Row],[Account ID]],tblAccounts[employee_count],"")&gt;0,"",_xlfn.XLOOKUP(tblDealDeskAudit[[#This Row],[Account ID]],tblAccounts[account_id],tblAccounts[employee_count],""))</f>
        <v>476</v>
      </c>
      <c r="M33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3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34">
        <f>COUNTIF(tblApprovals[opportunity_id],tblDealDeskAudit[[#This Row],[Opportunity ID]])</f>
        <v>0</v>
      </c>
      <c r="P33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35" spans="1:16">
      <c r="A335" s="22" t="s">
        <v>2406</v>
      </c>
      <c r="B335" s="23" t="s">
        <v>936</v>
      </c>
      <c r="C335" s="23" t="s">
        <v>5681</v>
      </c>
      <c r="D335" s="30">
        <v>6.4</v>
      </c>
      <c r="E335" s="25">
        <v>37440</v>
      </c>
      <c r="F335" s="23" t="s">
        <v>5665</v>
      </c>
      <c r="G335" s="23" t="s">
        <v>5666</v>
      </c>
      <c r="H335" s="23" t="b">
        <v>0</v>
      </c>
      <c r="I335" s="23" t="b">
        <v>0</v>
      </c>
      <c r="J335" s="30">
        <v>8.6999999999999993</v>
      </c>
      <c r="K335" s="36" t="b">
        <v>0</v>
      </c>
      <c r="L335">
        <f>IF(COUNTIFS(tblAccounts[account_id],tblDealDeskAudit[[#This Row],[Account ID]],tblAccounts[employee_count],"")&gt;0,"",_xlfn.XLOOKUP(tblDealDeskAudit[[#This Row],[Account ID]],tblAccounts[account_id],tblAccounts[employee_count],""))</f>
        <v>701</v>
      </c>
      <c r="M33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3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35">
        <f>COUNTIF(tblApprovals[opportunity_id],tblDealDeskAudit[[#This Row],[Opportunity ID]])</f>
        <v>0</v>
      </c>
      <c r="P33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36" spans="1:16">
      <c r="A336" s="20" t="s">
        <v>1688</v>
      </c>
      <c r="B336" s="21" t="s">
        <v>1031</v>
      </c>
      <c r="C336" s="21" t="s">
        <v>5740</v>
      </c>
      <c r="D336" s="29">
        <v>5.5</v>
      </c>
      <c r="E336" s="24">
        <v>56700</v>
      </c>
      <c r="F336" s="21" t="s">
        <v>5665</v>
      </c>
      <c r="G336" s="21" t="s">
        <v>5666</v>
      </c>
      <c r="H336" s="21" t="b">
        <v>1</v>
      </c>
      <c r="I336" s="21" t="b">
        <v>0</v>
      </c>
      <c r="J336" s="29">
        <v>22.8</v>
      </c>
      <c r="K336" s="35" t="b">
        <v>1</v>
      </c>
      <c r="L336">
        <f>IF(COUNTIFS(tblAccounts[account_id],tblDealDeskAudit[[#This Row],[Account ID]],tblAccounts[employee_count],"")&gt;0,"",_xlfn.XLOOKUP(tblDealDeskAudit[[#This Row],[Account ID]],tblAccounts[account_id],tblAccounts[employee_count],""))</f>
        <v>1614</v>
      </c>
      <c r="M33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36">
        <f>COUNTIF(tblApprovals[opportunity_id],tblDealDeskAudit[[#This Row],[Opportunity ID]])</f>
        <v>1</v>
      </c>
      <c r="P33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37" spans="1:16">
      <c r="A337" s="22" t="s">
        <v>2588</v>
      </c>
      <c r="B337" s="23" t="s">
        <v>370</v>
      </c>
      <c r="C337" s="23" t="s">
        <v>5675</v>
      </c>
      <c r="D337" s="30">
        <v>20.5</v>
      </c>
      <c r="E337" s="25">
        <v>46110</v>
      </c>
      <c r="F337" s="23" t="s">
        <v>5665</v>
      </c>
      <c r="G337" s="23" t="s">
        <v>5666</v>
      </c>
      <c r="H337" s="23" t="b">
        <v>0</v>
      </c>
      <c r="I337" s="23" t="b">
        <v>0</v>
      </c>
      <c r="J337" s="30">
        <v>5.0999999999999996</v>
      </c>
      <c r="K337" s="36" t="b">
        <v>1</v>
      </c>
      <c r="L337">
        <f>IF(COUNTIFS(tblAccounts[account_id],tblDealDeskAudit[[#This Row],[Account ID]],tblAccounts[employee_count],"")&gt;0,"",_xlfn.XLOOKUP(tblDealDeskAudit[[#This Row],[Account ID]],tblAccounts[account_id],tblAccounts[employee_count],""))</f>
        <v>2097</v>
      </c>
      <c r="M33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37">
        <f>COUNTIF(tblApprovals[opportunity_id],tblDealDeskAudit[[#This Row],[Opportunity ID]])</f>
        <v>0</v>
      </c>
      <c r="P33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38" spans="1:16">
      <c r="A338" s="20" t="s">
        <v>1460</v>
      </c>
      <c r="B338" s="21" t="s">
        <v>250</v>
      </c>
      <c r="C338" s="21" t="s">
        <v>5663</v>
      </c>
      <c r="D338" s="29">
        <v>14.7</v>
      </c>
      <c r="E338" s="24">
        <v>25590</v>
      </c>
      <c r="F338" s="21" t="s">
        <v>5665</v>
      </c>
      <c r="G338" s="21" t="s">
        <v>5666</v>
      </c>
      <c r="H338" s="21" t="b">
        <v>0</v>
      </c>
      <c r="I338" s="21" t="b">
        <v>0</v>
      </c>
      <c r="J338" s="29">
        <v>5.5</v>
      </c>
      <c r="K338" s="35" t="b">
        <v>1</v>
      </c>
      <c r="L338">
        <f>IF(COUNTIFS(tblAccounts[account_id],tblDealDeskAudit[[#This Row],[Account ID]],tblAccounts[employee_count],"")&gt;0,"",_xlfn.XLOOKUP(tblDealDeskAudit[[#This Row],[Account ID]],tblAccounts[account_id],tblAccounts[employee_count],""))</f>
        <v>502</v>
      </c>
      <c r="M33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38">
        <f>COUNTIF(tblApprovals[opportunity_id],tblDealDeskAudit[[#This Row],[Opportunity ID]])</f>
        <v>0</v>
      </c>
      <c r="P33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39" spans="1:16">
      <c r="A339" s="22" t="s">
        <v>1765</v>
      </c>
      <c r="B339" s="23" t="s">
        <v>691</v>
      </c>
      <c r="C339" s="23" t="s">
        <v>5675</v>
      </c>
      <c r="D339" s="30">
        <v>10.199999999999999</v>
      </c>
      <c r="E339" s="25">
        <v>23348</v>
      </c>
      <c r="F339" s="23" t="s">
        <v>5665</v>
      </c>
      <c r="G339" s="23" t="s">
        <v>5666</v>
      </c>
      <c r="H339" s="23" t="b">
        <v>0</v>
      </c>
      <c r="I339" s="23" t="b">
        <v>0</v>
      </c>
      <c r="J339" s="30">
        <v>0.5</v>
      </c>
      <c r="K339" s="36" t="b">
        <v>1</v>
      </c>
      <c r="L339">
        <f>IF(COUNTIFS(tblAccounts[account_id],tblDealDeskAudit[[#This Row],[Account ID]],tblAccounts[employee_count],"")&gt;0,"",_xlfn.XLOOKUP(tblDealDeskAudit[[#This Row],[Account ID]],tblAccounts[account_id],tblAccounts[employee_count],""))</f>
        <v>83</v>
      </c>
      <c r="M33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3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39">
        <f>COUNTIF(tblApprovals[opportunity_id],tblDealDeskAudit[[#This Row],[Opportunity ID]])</f>
        <v>0</v>
      </c>
      <c r="P33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40" spans="1:16">
      <c r="A340" s="20" t="s">
        <v>6160</v>
      </c>
      <c r="B340" s="21" t="s">
        <v>589</v>
      </c>
      <c r="C340" s="21" t="s">
        <v>5663</v>
      </c>
      <c r="D340" s="29">
        <v>2.9</v>
      </c>
      <c r="E340" s="24">
        <v>11652</v>
      </c>
      <c r="F340" s="21" t="s">
        <v>5665</v>
      </c>
      <c r="G340" s="21" t="s">
        <v>5666</v>
      </c>
      <c r="H340" s="21" t="b">
        <v>0</v>
      </c>
      <c r="I340" s="21" t="b">
        <v>0</v>
      </c>
      <c r="J340" s="29">
        <v>0</v>
      </c>
      <c r="K340" s="35" t="b">
        <v>0</v>
      </c>
      <c r="L340">
        <f>IF(COUNTIFS(tblAccounts[account_id],tblDealDeskAudit[[#This Row],[Account ID]],tblAccounts[employee_count],"")&gt;0,"",_xlfn.XLOOKUP(tblDealDeskAudit[[#This Row],[Account ID]],tblAccounts[account_id],tblAccounts[employee_count],""))</f>
        <v>113</v>
      </c>
      <c r="M34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0">
        <f>COUNTIF(tblApprovals[opportunity_id],tblDealDeskAudit[[#This Row],[Opportunity ID]])</f>
        <v>0</v>
      </c>
      <c r="P34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41" spans="1:16">
      <c r="A341" s="22" t="s">
        <v>1620</v>
      </c>
      <c r="B341" s="23" t="s">
        <v>545</v>
      </c>
      <c r="C341" s="23" t="s">
        <v>5669</v>
      </c>
      <c r="D341" s="30">
        <v>15.1</v>
      </c>
      <c r="E341" s="25">
        <v>22074</v>
      </c>
      <c r="F341" s="23" t="s">
        <v>5665</v>
      </c>
      <c r="G341" s="23" t="s">
        <v>5666</v>
      </c>
      <c r="H341" s="23" t="b">
        <v>0</v>
      </c>
      <c r="I341" s="23" t="b">
        <v>0</v>
      </c>
      <c r="J341" s="30">
        <v>6.6</v>
      </c>
      <c r="K341" s="36" t="b">
        <v>1</v>
      </c>
      <c r="L341">
        <f>IF(COUNTIFS(tblAccounts[account_id],tblDealDeskAudit[[#This Row],[Account ID]],tblAccounts[employee_count],"")&gt;0,"",_xlfn.XLOOKUP(tblDealDeskAudit[[#This Row],[Account ID]],tblAccounts[account_id],tblAccounts[employee_count],""))</f>
        <v>127</v>
      </c>
      <c r="M34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4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41">
        <f>COUNTIF(tblApprovals[opportunity_id],tblDealDeskAudit[[#This Row],[Opportunity ID]])</f>
        <v>1</v>
      </c>
      <c r="P34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42" spans="1:16">
      <c r="A342" s="20" t="s">
        <v>6162</v>
      </c>
      <c r="B342" s="21" t="s">
        <v>224</v>
      </c>
      <c r="C342" s="21" t="s">
        <v>5686</v>
      </c>
      <c r="D342" s="29">
        <v>7.7</v>
      </c>
      <c r="E342" s="24">
        <v>60918</v>
      </c>
      <c r="F342" s="21" t="s">
        <v>5665</v>
      </c>
      <c r="G342" s="21" t="s">
        <v>5666</v>
      </c>
      <c r="H342" s="21" t="b">
        <v>0</v>
      </c>
      <c r="I342" s="21" t="b">
        <v>0</v>
      </c>
      <c r="J342" s="29">
        <v>2.4</v>
      </c>
      <c r="K342" s="35" t="b">
        <v>0</v>
      </c>
      <c r="L342">
        <f>IF(COUNTIFS(tblAccounts[account_id],tblDealDeskAudit[[#This Row],[Account ID]],tblAccounts[employee_count],"")&gt;0,"",_xlfn.XLOOKUP(tblDealDeskAudit[[#This Row],[Account ID]],tblAccounts[account_id],tblAccounts[employee_count],""))</f>
        <v>657</v>
      </c>
      <c r="M34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2">
        <f>COUNTIF(tblApprovals[opportunity_id],tblDealDeskAudit[[#This Row],[Opportunity ID]])</f>
        <v>0</v>
      </c>
      <c r="P34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43" spans="1:16">
      <c r="A343" s="22" t="s">
        <v>1444</v>
      </c>
      <c r="B343" s="23" t="s">
        <v>336</v>
      </c>
      <c r="C343" s="23" t="s">
        <v>5675</v>
      </c>
      <c r="D343" s="30">
        <v>18.3</v>
      </c>
      <c r="E343" s="25">
        <v>13072</v>
      </c>
      <c r="F343" s="23" t="s">
        <v>5665</v>
      </c>
      <c r="G343" s="23" t="s">
        <v>5666</v>
      </c>
      <c r="H343" s="23" t="b">
        <v>0</v>
      </c>
      <c r="I343" s="23" t="b">
        <v>0</v>
      </c>
      <c r="J343" s="30">
        <v>7.7</v>
      </c>
      <c r="K343" s="36" t="b">
        <v>1</v>
      </c>
      <c r="L343">
        <f>IF(COUNTIFS(tblAccounts[account_id],tblDealDeskAudit[[#This Row],[Account ID]],tblAccounts[employee_count],"")&gt;0,"",_xlfn.XLOOKUP(tblDealDeskAudit[[#This Row],[Account ID]],tblAccounts[account_id],tblAccounts[employee_count],""))</f>
        <v>165</v>
      </c>
      <c r="M34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4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43">
        <f>COUNTIF(tblApprovals[opportunity_id],tblDealDeskAudit[[#This Row],[Opportunity ID]])</f>
        <v>0</v>
      </c>
      <c r="P34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44" spans="1:16">
      <c r="A344" s="20" t="s">
        <v>6165</v>
      </c>
      <c r="B344" s="21" t="s">
        <v>583</v>
      </c>
      <c r="C344" s="21" t="s">
        <v>5663</v>
      </c>
      <c r="D344" s="29">
        <v>7.4</v>
      </c>
      <c r="E344" s="24">
        <v>62968</v>
      </c>
      <c r="F344" s="21" t="s">
        <v>5665</v>
      </c>
      <c r="G344" s="21" t="s">
        <v>5666</v>
      </c>
      <c r="H344" s="21" t="b">
        <v>0</v>
      </c>
      <c r="I344" s="21" t="b">
        <v>0</v>
      </c>
      <c r="J344" s="29">
        <v>10.4</v>
      </c>
      <c r="K344" s="35" t="b">
        <v>0</v>
      </c>
      <c r="L344">
        <f>IF(COUNTIFS(tblAccounts[account_id],tblDealDeskAudit[[#This Row],[Account ID]],tblAccounts[employee_count],"")&gt;0,"",_xlfn.XLOOKUP(tblDealDeskAudit[[#This Row],[Account ID]],tblAccounts[account_id],tblAccounts[employee_count],""))</f>
        <v>365</v>
      </c>
      <c r="M34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4">
        <f>COUNTIF(tblApprovals[opportunity_id],tblDealDeskAudit[[#This Row],[Opportunity ID]])</f>
        <v>0</v>
      </c>
      <c r="P34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45" spans="1:16">
      <c r="A345" s="22" t="s">
        <v>2480</v>
      </c>
      <c r="B345" s="23" t="s">
        <v>256</v>
      </c>
      <c r="C345" s="23" t="s">
        <v>5725</v>
      </c>
      <c r="D345" s="30">
        <v>5.2</v>
      </c>
      <c r="E345" s="25">
        <v>28440</v>
      </c>
      <c r="F345" s="23" t="s">
        <v>5665</v>
      </c>
      <c r="G345" s="23" t="s">
        <v>5666</v>
      </c>
      <c r="H345" s="23" t="b">
        <v>0</v>
      </c>
      <c r="I345" s="23" t="b">
        <v>0</v>
      </c>
      <c r="J345" s="30">
        <v>2.2999999999999998</v>
      </c>
      <c r="K345" s="36" t="b">
        <v>0</v>
      </c>
      <c r="L345">
        <f>IF(COUNTIFS(tblAccounts[account_id],tblDealDeskAudit[[#This Row],[Account ID]],tblAccounts[employee_count],"")&gt;0,"",_xlfn.XLOOKUP(tblDealDeskAudit[[#This Row],[Account ID]],tblAccounts[account_id],tblAccounts[employee_count],""))</f>
        <v>154</v>
      </c>
      <c r="M34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5">
        <f>COUNTIF(tblApprovals[opportunity_id],tblDealDeskAudit[[#This Row],[Opportunity ID]])</f>
        <v>0</v>
      </c>
      <c r="P34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46" spans="1:16">
      <c r="A346" s="20" t="s">
        <v>6169</v>
      </c>
      <c r="B346" s="21" t="s">
        <v>405</v>
      </c>
      <c r="C346" s="21" t="s">
        <v>5663</v>
      </c>
      <c r="D346" s="29">
        <v>35.5</v>
      </c>
      <c r="E346" s="24">
        <v>18060</v>
      </c>
      <c r="F346" s="21" t="s">
        <v>5665</v>
      </c>
      <c r="G346" s="21" t="s">
        <v>5666</v>
      </c>
      <c r="H346" s="21" t="b">
        <v>0</v>
      </c>
      <c r="I346" s="21" t="b">
        <v>0</v>
      </c>
      <c r="J346" s="29">
        <v>0</v>
      </c>
      <c r="K346" s="35" t="b">
        <v>1</v>
      </c>
      <c r="L346">
        <f>IF(COUNTIFS(tblAccounts[account_id],tblDealDeskAudit[[#This Row],[Account ID]],tblAccounts[employee_count],"")&gt;0,"",_xlfn.XLOOKUP(tblDealDeskAudit[[#This Row],[Account ID]],tblAccounts[account_id],tblAccounts[employee_count],""))</f>
        <v>1806</v>
      </c>
      <c r="M34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4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46">
        <f>COUNTIF(tblApprovals[opportunity_id],tblDealDeskAudit[[#This Row],[Opportunity ID]])</f>
        <v>0</v>
      </c>
      <c r="P34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47" spans="1:16">
      <c r="A347" s="22" t="s">
        <v>6172</v>
      </c>
      <c r="B347" s="23" t="s">
        <v>320</v>
      </c>
      <c r="C347" s="23" t="s">
        <v>5725</v>
      </c>
      <c r="D347" s="30">
        <v>3.8</v>
      </c>
      <c r="E347" s="25">
        <v>40404</v>
      </c>
      <c r="F347" s="23" t="s">
        <v>5735</v>
      </c>
      <c r="G347" s="23" t="s">
        <v>5666</v>
      </c>
      <c r="H347" s="23" t="b">
        <v>0</v>
      </c>
      <c r="I347" s="23" t="b">
        <v>0</v>
      </c>
      <c r="J347" s="30">
        <v>2</v>
      </c>
      <c r="K347" s="36" t="b">
        <v>1</v>
      </c>
      <c r="L347">
        <f>IF(COUNTIFS(tblAccounts[account_id],tblDealDeskAudit[[#This Row],[Account ID]],tblAccounts[employee_count],"")&gt;0,"",_xlfn.XLOOKUP(tblDealDeskAudit[[#This Row],[Account ID]],tblAccounts[account_id],tblAccounts[employee_count],""))</f>
        <v>402</v>
      </c>
      <c r="M34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4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47">
        <f>COUNTIF(tblApprovals[opportunity_id],tblDealDeskAudit[[#This Row],[Opportunity ID]])</f>
        <v>0</v>
      </c>
      <c r="P34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48" spans="1:16">
      <c r="A348" s="20" t="s">
        <v>6173</v>
      </c>
      <c r="B348" s="21" t="s">
        <v>503</v>
      </c>
      <c r="C348" s="21" t="s">
        <v>5663</v>
      </c>
      <c r="D348" s="29">
        <v>0.5</v>
      </c>
      <c r="E348" s="24">
        <v>29850</v>
      </c>
      <c r="F348" s="21" t="s">
        <v>5665</v>
      </c>
      <c r="G348" s="21" t="s">
        <v>5666</v>
      </c>
      <c r="H348" s="21" t="b">
        <v>0</v>
      </c>
      <c r="I348" s="21" t="b">
        <v>0</v>
      </c>
      <c r="J348" s="29">
        <v>0</v>
      </c>
      <c r="K348" s="35" t="b">
        <v>0</v>
      </c>
      <c r="L348">
        <f>IF(COUNTIFS(tblAccounts[account_id],tblDealDeskAudit[[#This Row],[Account ID]],tblAccounts[employee_count],"")&gt;0,"",_xlfn.XLOOKUP(tblDealDeskAudit[[#This Row],[Account ID]],tblAccounts[account_id],tblAccounts[employee_count],""))</f>
        <v>87</v>
      </c>
      <c r="M34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8">
        <f>COUNTIF(tblApprovals[opportunity_id],tblDealDeskAudit[[#This Row],[Opportunity ID]])</f>
        <v>0</v>
      </c>
      <c r="P34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49" spans="1:16">
      <c r="A349" s="22" t="s">
        <v>1582</v>
      </c>
      <c r="B349" s="23" t="s">
        <v>128</v>
      </c>
      <c r="C349" s="23" t="s">
        <v>5675</v>
      </c>
      <c r="D349" s="30">
        <v>2.2000000000000002</v>
      </c>
      <c r="E349" s="25">
        <v>29340</v>
      </c>
      <c r="F349" s="23" t="s">
        <v>5665</v>
      </c>
      <c r="G349" s="23" t="s">
        <v>5666</v>
      </c>
      <c r="H349" s="23" t="b">
        <v>0</v>
      </c>
      <c r="I349" s="23" t="b">
        <v>0</v>
      </c>
      <c r="J349" s="30">
        <v>5.6</v>
      </c>
      <c r="K349" s="36" t="b">
        <v>0</v>
      </c>
      <c r="L349">
        <f>IF(COUNTIFS(tblAccounts[account_id],tblDealDeskAudit[[#This Row],[Account ID]],tblAccounts[employee_count],"")&gt;0,"",_xlfn.XLOOKUP(tblDealDeskAudit[[#This Row],[Account ID]],tblAccounts[account_id],tblAccounts[employee_count],""))</f>
        <v>483</v>
      </c>
      <c r="M34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4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49">
        <f>COUNTIF(tblApprovals[opportunity_id],tblDealDeskAudit[[#This Row],[Opportunity ID]])</f>
        <v>0</v>
      </c>
      <c r="P34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50" spans="1:16">
      <c r="A350" s="20" t="s">
        <v>2139</v>
      </c>
      <c r="B350" s="21" t="s">
        <v>434</v>
      </c>
      <c r="C350" s="21" t="s">
        <v>5740</v>
      </c>
      <c r="D350" s="29">
        <v>8.8000000000000007</v>
      </c>
      <c r="E350" s="24">
        <v>80256</v>
      </c>
      <c r="F350" s="21" t="s">
        <v>5665</v>
      </c>
      <c r="G350" s="21" t="s">
        <v>5666</v>
      </c>
      <c r="H350" s="21" t="b">
        <v>0</v>
      </c>
      <c r="I350" s="21" t="b">
        <v>0</v>
      </c>
      <c r="J350" s="29">
        <v>26.8</v>
      </c>
      <c r="K350" s="35" t="b">
        <v>1</v>
      </c>
      <c r="L350">
        <f>IF(COUNTIFS(tblAccounts[account_id],tblDealDeskAudit[[#This Row],[Account ID]],tblAccounts[employee_count],"")&gt;0,"",_xlfn.XLOOKUP(tblDealDeskAudit[[#This Row],[Account ID]],tblAccounts[account_id],tblAccounts[employee_count],""))</f>
        <v>1398</v>
      </c>
      <c r="M35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5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50">
        <f>COUNTIF(tblApprovals[opportunity_id],tblDealDeskAudit[[#This Row],[Opportunity ID]])</f>
        <v>0</v>
      </c>
      <c r="P35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1" spans="1:16">
      <c r="A351" s="22" t="s">
        <v>6176</v>
      </c>
      <c r="B351" s="23" t="s">
        <v>450</v>
      </c>
      <c r="C351" s="23" t="s">
        <v>5663</v>
      </c>
      <c r="D351" s="30">
        <v>31.8</v>
      </c>
      <c r="E351" s="25">
        <v>12276</v>
      </c>
      <c r="F351" s="23" t="s">
        <v>5688</v>
      </c>
      <c r="G351" s="23" t="s">
        <v>5666</v>
      </c>
      <c r="H351" s="23" t="b">
        <v>0</v>
      </c>
      <c r="I351" s="23" t="b">
        <v>0</v>
      </c>
      <c r="J351" s="30">
        <v>0</v>
      </c>
      <c r="K351" s="36" t="b">
        <v>1</v>
      </c>
      <c r="L351">
        <f>IF(COUNTIFS(tblAccounts[account_id],tblDealDeskAudit[[#This Row],[Account ID]],tblAccounts[employee_count],"")&gt;0,"",_xlfn.XLOOKUP(tblDealDeskAudit[[#This Row],[Account ID]],tblAccounts[account_id],tblAccounts[employee_count],""))</f>
        <v>582</v>
      </c>
      <c r="M35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5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51">
        <f>COUNTIF(tblApprovals[opportunity_id],tblDealDeskAudit[[#This Row],[Opportunity ID]])</f>
        <v>0</v>
      </c>
      <c r="P35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52" spans="1:16">
      <c r="A352" s="20" t="s">
        <v>6178</v>
      </c>
      <c r="B352" s="21" t="s">
        <v>888</v>
      </c>
      <c r="C352" s="21" t="s">
        <v>5686</v>
      </c>
      <c r="D352" s="29">
        <v>4.8</v>
      </c>
      <c r="E352" s="24">
        <v>11424</v>
      </c>
      <c r="F352" s="21" t="s">
        <v>5665</v>
      </c>
      <c r="G352" s="21" t="s">
        <v>5666</v>
      </c>
      <c r="H352" s="21" t="b">
        <v>0</v>
      </c>
      <c r="I352" s="21" t="b">
        <v>0</v>
      </c>
      <c r="J352" s="29">
        <v>6.6</v>
      </c>
      <c r="K352" s="35" t="b">
        <v>0</v>
      </c>
      <c r="L352">
        <f>IF(COUNTIFS(tblAccounts[account_id],tblDealDeskAudit[[#This Row],[Account ID]],tblAccounts[employee_count],"")&gt;0,"",_xlfn.XLOOKUP(tblDealDeskAudit[[#This Row],[Account ID]],tblAccounts[account_id],tblAccounts[employee_count],""))</f>
        <v>713</v>
      </c>
      <c r="M35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5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52">
        <f>COUNTIF(tblApprovals[opportunity_id],tblDealDeskAudit[[#This Row],[Opportunity ID]])</f>
        <v>0</v>
      </c>
      <c r="P35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3" spans="1:16">
      <c r="A353" s="22" t="s">
        <v>6179</v>
      </c>
      <c r="B353" s="23" t="s">
        <v>134</v>
      </c>
      <c r="C353" s="23" t="s">
        <v>5686</v>
      </c>
      <c r="D353" s="30">
        <v>1.1000000000000001</v>
      </c>
      <c r="E353" s="25">
        <v>23736</v>
      </c>
      <c r="F353" s="23" t="s">
        <v>5665</v>
      </c>
      <c r="G353" s="23" t="s">
        <v>5666</v>
      </c>
      <c r="H353" s="23" t="b">
        <v>0</v>
      </c>
      <c r="I353" s="23" t="b">
        <v>0</v>
      </c>
      <c r="J353" s="30">
        <v>25.5</v>
      </c>
      <c r="K353" s="36" t="b">
        <v>1</v>
      </c>
      <c r="L353">
        <f>IF(COUNTIFS(tblAccounts[account_id],tblDealDeskAudit[[#This Row],[Account ID]],tblAccounts[employee_count],"")&gt;0,"",_xlfn.XLOOKUP(tblDealDeskAudit[[#This Row],[Account ID]],tblAccounts[account_id],tblAccounts[employee_count],""))</f>
        <v>19</v>
      </c>
      <c r="M35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5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53">
        <f>COUNTIF(tblApprovals[opportunity_id],tblDealDeskAudit[[#This Row],[Opportunity ID]])</f>
        <v>2</v>
      </c>
      <c r="P35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4" spans="1:16">
      <c r="A354" s="20" t="s">
        <v>6180</v>
      </c>
      <c r="B354" s="21" t="s">
        <v>77</v>
      </c>
      <c r="C354" s="21" t="s">
        <v>5686</v>
      </c>
      <c r="D354" s="29">
        <v>4.4000000000000004</v>
      </c>
      <c r="E354" s="24">
        <v>76480</v>
      </c>
      <c r="F354" s="21" t="s">
        <v>5665</v>
      </c>
      <c r="G354" s="21" t="s">
        <v>5666</v>
      </c>
      <c r="H354" s="21" t="b">
        <v>0</v>
      </c>
      <c r="I354" s="21" t="b">
        <v>0</v>
      </c>
      <c r="J354" s="29">
        <v>3.7</v>
      </c>
      <c r="K354" s="35" t="b">
        <v>0</v>
      </c>
      <c r="L354">
        <f>IF(COUNTIFS(tblAccounts[account_id],tblDealDeskAudit[[#This Row],[Account ID]],tblAccounts[employee_count],"")&gt;0,"",_xlfn.XLOOKUP(tblDealDeskAudit[[#This Row],[Account ID]],tblAccounts[account_id],tblAccounts[employee_count],""))</f>
        <v>1774</v>
      </c>
      <c r="M35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5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54">
        <f>COUNTIF(tblApprovals[opportunity_id],tblDealDeskAudit[[#This Row],[Opportunity ID]])</f>
        <v>0</v>
      </c>
      <c r="P35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5" spans="1:16">
      <c r="A355" s="22" t="s">
        <v>1790</v>
      </c>
      <c r="B355" s="23" t="s">
        <v>470</v>
      </c>
      <c r="C355" s="23" t="s">
        <v>5675</v>
      </c>
      <c r="D355" s="30">
        <v>1.8</v>
      </c>
      <c r="E355" s="25">
        <v>11784</v>
      </c>
      <c r="F355" s="23" t="s">
        <v>5665</v>
      </c>
      <c r="G355" s="23" t="s">
        <v>5666</v>
      </c>
      <c r="H355" s="23" t="b">
        <v>0</v>
      </c>
      <c r="I355" s="23" t="b">
        <v>0</v>
      </c>
      <c r="J355" s="30">
        <v>0.5</v>
      </c>
      <c r="K355" s="36" t="b">
        <v>0</v>
      </c>
      <c r="L355">
        <f>IF(COUNTIFS(tblAccounts[account_id],tblDealDeskAudit[[#This Row],[Account ID]],tblAccounts[employee_count],"")&gt;0,"",_xlfn.XLOOKUP(tblDealDeskAudit[[#This Row],[Account ID]],tblAccounts[account_id],tblAccounts[employee_count],""))</f>
        <v>56</v>
      </c>
      <c r="M35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5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55">
        <f>COUNTIF(tblApprovals[opportunity_id],tblDealDeskAudit[[#This Row],[Opportunity ID]])</f>
        <v>0</v>
      </c>
      <c r="P35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56" spans="1:16">
      <c r="A356" s="20" t="s">
        <v>6183</v>
      </c>
      <c r="B356" s="21" t="s">
        <v>1019</v>
      </c>
      <c r="C356" s="21" t="s">
        <v>5686</v>
      </c>
      <c r="D356" s="29">
        <v>5.6</v>
      </c>
      <c r="E356" s="24">
        <v>45312</v>
      </c>
      <c r="F356" s="21" t="s">
        <v>5665</v>
      </c>
      <c r="G356" s="21" t="s">
        <v>5666</v>
      </c>
      <c r="H356" s="21" t="b">
        <v>0</v>
      </c>
      <c r="I356" s="21" t="b">
        <v>0</v>
      </c>
      <c r="J356" s="29">
        <v>0.4</v>
      </c>
      <c r="K356" s="35" t="b">
        <v>0</v>
      </c>
      <c r="L356">
        <f>IF(COUNTIFS(tblAccounts[account_id],tblDealDeskAudit[[#This Row],[Account ID]],tblAccounts[employee_count],"")&gt;0,"",_xlfn.XLOOKUP(tblDealDeskAudit[[#This Row],[Account ID]],tblAccounts[account_id],tblAccounts[employee_count],""))</f>
        <v>138</v>
      </c>
      <c r="M35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5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56">
        <f>COUNTIF(tblApprovals[opportunity_id],tblDealDeskAudit[[#This Row],[Opportunity ID]])</f>
        <v>0</v>
      </c>
      <c r="P35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7" spans="1:16">
      <c r="A357" s="22" t="s">
        <v>1525</v>
      </c>
      <c r="B357" s="23" t="s">
        <v>145</v>
      </c>
      <c r="C357" s="23" t="s">
        <v>5675</v>
      </c>
      <c r="D357" s="30">
        <v>4.2</v>
      </c>
      <c r="E357" s="25">
        <v>22992</v>
      </c>
      <c r="F357" s="23" t="s">
        <v>5688</v>
      </c>
      <c r="G357" s="23" t="s">
        <v>5666</v>
      </c>
      <c r="H357" s="23" t="b">
        <v>0</v>
      </c>
      <c r="I357" s="23" t="b">
        <v>0</v>
      </c>
      <c r="J357" s="30">
        <v>1.1000000000000001</v>
      </c>
      <c r="K357" s="36" t="b">
        <v>1</v>
      </c>
      <c r="L357">
        <f>IF(COUNTIFS(tblAccounts[account_id],tblDealDeskAudit[[#This Row],[Account ID]],tblAccounts[employee_count],"")&gt;0,"",_xlfn.XLOOKUP(tblDealDeskAudit[[#This Row],[Account ID]],tblAccounts[account_id],tblAccounts[employee_count],""))</f>
        <v>53</v>
      </c>
      <c r="M35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5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57">
        <f>COUNTIF(tblApprovals[opportunity_id],tblDealDeskAudit[[#This Row],[Opportunity ID]])</f>
        <v>0</v>
      </c>
      <c r="P35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58" spans="1:16">
      <c r="A358" s="20" t="s">
        <v>6185</v>
      </c>
      <c r="B358" s="21" t="s">
        <v>26</v>
      </c>
      <c r="C358" s="21" t="s">
        <v>5686</v>
      </c>
      <c r="D358" s="29">
        <v>2.6</v>
      </c>
      <c r="E358" s="24">
        <v>44804</v>
      </c>
      <c r="F358" s="21" t="s">
        <v>5665</v>
      </c>
      <c r="G358" s="21" t="s">
        <v>5666</v>
      </c>
      <c r="H358" s="21" t="b">
        <v>0</v>
      </c>
      <c r="I358" s="21" t="b">
        <v>0</v>
      </c>
      <c r="J358" s="29">
        <v>4.7</v>
      </c>
      <c r="K358" s="35" t="b">
        <v>0</v>
      </c>
      <c r="L358">
        <f>IF(COUNTIFS(tblAccounts[account_id],tblDealDeskAudit[[#This Row],[Account ID]],tblAccounts[employee_count],"")&gt;0,"",_xlfn.XLOOKUP(tblDealDeskAudit[[#This Row],[Account ID]],tblAccounts[account_id],tblAccounts[employee_count],""))</f>
        <v>542</v>
      </c>
      <c r="M35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5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58">
        <f>COUNTIF(tblApprovals[opportunity_id],tblDealDeskAudit[[#This Row],[Opportunity ID]])</f>
        <v>0</v>
      </c>
      <c r="P35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59" spans="1:16">
      <c r="A359" s="22" t="s">
        <v>2044</v>
      </c>
      <c r="B359" s="23" t="s">
        <v>754</v>
      </c>
      <c r="C359" s="23" t="s">
        <v>5675</v>
      </c>
      <c r="D359" s="30">
        <v>22.6</v>
      </c>
      <c r="E359" s="25">
        <v>61920</v>
      </c>
      <c r="F359" s="23" t="s">
        <v>5665</v>
      </c>
      <c r="G359" s="23" t="s">
        <v>5780</v>
      </c>
      <c r="H359" s="23" t="b">
        <v>0</v>
      </c>
      <c r="I359" s="23" t="b">
        <v>0</v>
      </c>
      <c r="J359" s="30">
        <v>0.4</v>
      </c>
      <c r="K359" s="36" t="b">
        <v>1</v>
      </c>
      <c r="L359">
        <f>IF(COUNTIFS(tblAccounts[account_id],tblDealDeskAudit[[#This Row],[Account ID]],tblAccounts[employee_count],"")&gt;0,"",_xlfn.XLOOKUP(tblDealDeskAudit[[#This Row],[Account ID]],tblAccounts[account_id],tblAccounts[employee_count],""))</f>
        <v>1853</v>
      </c>
      <c r="M35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5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59">
        <f>COUNTIF(tblApprovals[opportunity_id],tblDealDeskAudit[[#This Row],[Opportunity ID]])</f>
        <v>2</v>
      </c>
      <c r="P35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60" spans="1:16">
      <c r="A360" s="20" t="s">
        <v>2525</v>
      </c>
      <c r="B360" s="21" t="s">
        <v>570</v>
      </c>
      <c r="C360" s="21" t="s">
        <v>5675</v>
      </c>
      <c r="D360" s="29">
        <v>8.9</v>
      </c>
      <c r="E360" s="24">
        <v>21864</v>
      </c>
      <c r="F360" s="21" t="s">
        <v>5665</v>
      </c>
      <c r="G360" s="21" t="s">
        <v>5666</v>
      </c>
      <c r="H360" s="21" t="b">
        <v>0</v>
      </c>
      <c r="I360" s="21" t="b">
        <v>1</v>
      </c>
      <c r="J360" s="29">
        <v>1</v>
      </c>
      <c r="K360" s="35" t="b">
        <v>1</v>
      </c>
      <c r="L360">
        <f>IF(COUNTIFS(tblAccounts[account_id],tblDealDeskAudit[[#This Row],[Account ID]],tblAccounts[employee_count],"")&gt;0,"",_xlfn.XLOOKUP(tblDealDeskAudit[[#This Row],[Account ID]],tblAccounts[account_id],tblAccounts[employee_count],""))</f>
        <v>112</v>
      </c>
      <c r="M36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6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60">
        <f>COUNTIF(tblApprovals[opportunity_id],tblDealDeskAudit[[#This Row],[Opportunity ID]])</f>
        <v>1</v>
      </c>
      <c r="P36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61" spans="1:16">
      <c r="A361" s="22" t="s">
        <v>6187</v>
      </c>
      <c r="B361" s="23" t="s">
        <v>726</v>
      </c>
      <c r="C361" s="23" t="s">
        <v>5686</v>
      </c>
      <c r="D361" s="30">
        <v>21.4</v>
      </c>
      <c r="E361" s="25">
        <v>47160</v>
      </c>
      <c r="F361" s="23" t="s">
        <v>5665</v>
      </c>
      <c r="G361" s="23" t="s">
        <v>5666</v>
      </c>
      <c r="H361" s="23" t="b">
        <v>0</v>
      </c>
      <c r="I361" s="23" t="b">
        <v>0</v>
      </c>
      <c r="J361" s="30">
        <v>8.1</v>
      </c>
      <c r="K361" s="36" t="b">
        <v>1</v>
      </c>
      <c r="L361">
        <f>IF(COUNTIFS(tblAccounts[account_id],tblDealDeskAudit[[#This Row],[Account ID]],tblAccounts[employee_count],"")&gt;0,"",_xlfn.XLOOKUP(tblDealDeskAudit[[#This Row],[Account ID]],tblAccounts[account_id],tblAccounts[employee_count],""))</f>
        <v>3090</v>
      </c>
      <c r="M36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6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61">
        <f>COUNTIF(tblApprovals[opportunity_id],tblDealDeskAudit[[#This Row],[Opportunity ID]])</f>
        <v>2</v>
      </c>
      <c r="P36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62" spans="1:16">
      <c r="A362" s="20" t="s">
        <v>1786</v>
      </c>
      <c r="B362" s="21" t="s">
        <v>434</v>
      </c>
      <c r="C362" s="21" t="s">
        <v>5686</v>
      </c>
      <c r="D362" s="29">
        <v>5.7</v>
      </c>
      <c r="E362" s="24">
        <v>64124</v>
      </c>
      <c r="F362" s="21" t="s">
        <v>5665</v>
      </c>
      <c r="G362" s="21" t="s">
        <v>5666</v>
      </c>
      <c r="H362" s="21" t="b">
        <v>0</v>
      </c>
      <c r="I362" s="21" t="b">
        <v>0</v>
      </c>
      <c r="J362" s="29">
        <v>2.2000000000000002</v>
      </c>
      <c r="K362" s="35" t="b">
        <v>0</v>
      </c>
      <c r="L362">
        <f>IF(COUNTIFS(tblAccounts[account_id],tblDealDeskAudit[[#This Row],[Account ID]],tblAccounts[employee_count],"")&gt;0,"",_xlfn.XLOOKUP(tblDealDeskAudit[[#This Row],[Account ID]],tblAccounts[account_id],tblAccounts[employee_count],""))</f>
        <v>1398</v>
      </c>
      <c r="M36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6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62">
        <f>COUNTIF(tblApprovals[opportunity_id],tblDealDeskAudit[[#This Row],[Opportunity ID]])</f>
        <v>0</v>
      </c>
      <c r="P36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63" spans="1:16">
      <c r="A363" s="22" t="s">
        <v>2229</v>
      </c>
      <c r="B363" s="23" t="s">
        <v>827</v>
      </c>
      <c r="C363" s="23" t="s">
        <v>5681</v>
      </c>
      <c r="D363" s="30">
        <v>9.8000000000000007</v>
      </c>
      <c r="E363" s="25">
        <v>39688</v>
      </c>
      <c r="F363" s="23" t="s">
        <v>5665</v>
      </c>
      <c r="G363" s="23" t="s">
        <v>5666</v>
      </c>
      <c r="H363" s="23" t="b">
        <v>0</v>
      </c>
      <c r="I363" s="23" t="b">
        <v>0</v>
      </c>
      <c r="J363" s="30">
        <v>0.1</v>
      </c>
      <c r="K363" s="36" t="b">
        <v>0</v>
      </c>
      <c r="L363">
        <f>IF(COUNTIFS(tblAccounts[account_id],tblDealDeskAudit[[#This Row],[Account ID]],tblAccounts[employee_count],"")&gt;0,"",_xlfn.XLOOKUP(tblDealDeskAudit[[#This Row],[Account ID]],tblAccounts[account_id],tblAccounts[employee_count],""))</f>
        <v>532</v>
      </c>
      <c r="M36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6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63">
        <f>COUNTIF(tblApprovals[opportunity_id],tblDealDeskAudit[[#This Row],[Opportunity ID]])</f>
        <v>0</v>
      </c>
      <c r="P36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64" spans="1:16">
      <c r="A364" s="20" t="s">
        <v>2464</v>
      </c>
      <c r="B364" s="21" t="s">
        <v>663</v>
      </c>
      <c r="C364" s="21" t="s">
        <v>5675</v>
      </c>
      <c r="D364" s="29">
        <v>9.6</v>
      </c>
      <c r="E364" s="24">
        <v>16272</v>
      </c>
      <c r="F364" s="21" t="s">
        <v>5665</v>
      </c>
      <c r="G364" s="21" t="s">
        <v>5666</v>
      </c>
      <c r="H364" s="21" t="b">
        <v>0</v>
      </c>
      <c r="I364" s="21" t="b">
        <v>0</v>
      </c>
      <c r="J364" s="29">
        <v>17.8</v>
      </c>
      <c r="K364" s="35" t="b">
        <v>0</v>
      </c>
      <c r="L364">
        <f>IF(COUNTIFS(tblAccounts[account_id],tblDealDeskAudit[[#This Row],[Account ID]],tblAccounts[employee_count],"")&gt;0,"",_xlfn.XLOOKUP(tblDealDeskAudit[[#This Row],[Account ID]],tblAccounts[account_id],tblAccounts[employee_count],""))</f>
        <v>80</v>
      </c>
      <c r="M36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6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64">
        <f>COUNTIF(tblApprovals[opportunity_id],tblDealDeskAudit[[#This Row],[Opportunity ID]])</f>
        <v>0</v>
      </c>
      <c r="P36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65" spans="1:16">
      <c r="A365" s="22" t="s">
        <v>1479</v>
      </c>
      <c r="B365" s="23" t="s">
        <v>220</v>
      </c>
      <c r="C365" s="23" t="s">
        <v>5663</v>
      </c>
      <c r="D365" s="30">
        <v>4.7</v>
      </c>
      <c r="E365" s="25">
        <v>40026</v>
      </c>
      <c r="F365" s="23" t="s">
        <v>5665</v>
      </c>
      <c r="G365" s="23" t="s">
        <v>5666</v>
      </c>
      <c r="H365" s="23" t="b">
        <v>0</v>
      </c>
      <c r="I365" s="23" t="b">
        <v>0</v>
      </c>
      <c r="J365" s="30">
        <v>1.8</v>
      </c>
      <c r="K365" s="36" t="b">
        <v>0</v>
      </c>
      <c r="L365">
        <f>IF(COUNTIFS(tblAccounts[account_id],tblDealDeskAudit[[#This Row],[Account ID]],tblAccounts[employee_count],"")&gt;0,"",_xlfn.XLOOKUP(tblDealDeskAudit[[#This Row],[Account ID]],tblAccounts[account_id],tblAccounts[employee_count],""))</f>
        <v>586</v>
      </c>
      <c r="M36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6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65">
        <f>COUNTIF(tblApprovals[opportunity_id],tblDealDeskAudit[[#This Row],[Opportunity ID]])</f>
        <v>0</v>
      </c>
      <c r="P36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66" spans="1:16">
      <c r="A366" s="20" t="s">
        <v>1892</v>
      </c>
      <c r="B366" s="21" t="s">
        <v>1013</v>
      </c>
      <c r="C366" s="21" t="s">
        <v>5691</v>
      </c>
      <c r="D366" s="29">
        <v>8.4</v>
      </c>
      <c r="E366" s="24">
        <v>10992</v>
      </c>
      <c r="F366" s="21" t="s">
        <v>5665</v>
      </c>
      <c r="G366" s="21" t="s">
        <v>5666</v>
      </c>
      <c r="H366" s="21" t="b">
        <v>0</v>
      </c>
      <c r="I366" s="21" t="b">
        <v>0</v>
      </c>
      <c r="J366" s="29">
        <v>9.1</v>
      </c>
      <c r="K366" s="35" t="b">
        <v>0</v>
      </c>
      <c r="L366">
        <f>IF(COUNTIFS(tblAccounts[account_id],tblDealDeskAudit[[#This Row],[Account ID]],tblAccounts[employee_count],"")&gt;0,"",_xlfn.XLOOKUP(tblDealDeskAudit[[#This Row],[Account ID]],tblAccounts[account_id],tblAccounts[employee_count],""))</f>
        <v>56</v>
      </c>
      <c r="M36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6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66">
        <f>COUNTIF(tblApprovals[opportunity_id],tblDealDeskAudit[[#This Row],[Opportunity ID]])</f>
        <v>0</v>
      </c>
      <c r="P36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67" spans="1:16">
      <c r="A367" s="22" t="s">
        <v>6193</v>
      </c>
      <c r="B367" s="23" t="s">
        <v>801</v>
      </c>
      <c r="C367" s="23" t="s">
        <v>5663</v>
      </c>
      <c r="D367" s="30">
        <v>39.9</v>
      </c>
      <c r="E367" s="25">
        <v>40868</v>
      </c>
      <c r="F367" s="23" t="s">
        <v>5735</v>
      </c>
      <c r="G367" s="23" t="s">
        <v>5666</v>
      </c>
      <c r="H367" s="23" t="b">
        <v>0</v>
      </c>
      <c r="I367" s="23" t="b">
        <v>0</v>
      </c>
      <c r="J367" s="30">
        <v>8.4</v>
      </c>
      <c r="K367" s="36" t="b">
        <v>1</v>
      </c>
      <c r="L367">
        <f>IF(COUNTIFS(tblAccounts[account_id],tblDealDeskAudit[[#This Row],[Account ID]],tblAccounts[employee_count],"")&gt;0,"",_xlfn.XLOOKUP(tblDealDeskAudit[[#This Row],[Account ID]],tblAccounts[account_id],tblAccounts[employee_count],""))</f>
        <v>2013</v>
      </c>
      <c r="M36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6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67">
        <f>COUNTIF(tblApprovals[opportunity_id],tblDealDeskAudit[[#This Row],[Opportunity ID]])</f>
        <v>2</v>
      </c>
      <c r="P36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68" spans="1:16">
      <c r="A368" s="20" t="s">
        <v>2424</v>
      </c>
      <c r="B368" s="21" t="s">
        <v>745</v>
      </c>
      <c r="C368" s="21" t="s">
        <v>5675</v>
      </c>
      <c r="D368" s="29">
        <v>8.1999999999999993</v>
      </c>
      <c r="E368" s="24">
        <v>16524</v>
      </c>
      <c r="F368" s="21" t="s">
        <v>5665</v>
      </c>
      <c r="G368" s="21" t="s">
        <v>5666</v>
      </c>
      <c r="H368" s="21" t="b">
        <v>0</v>
      </c>
      <c r="I368" s="21" t="b">
        <v>0</v>
      </c>
      <c r="J368" s="29">
        <v>23.7</v>
      </c>
      <c r="K368" s="35" t="b">
        <v>1</v>
      </c>
      <c r="L368">
        <f>IF(COUNTIFS(tblAccounts[account_id],tblDealDeskAudit[[#This Row],[Account ID]],tblAccounts[employee_count],"")&gt;0,"",_xlfn.XLOOKUP(tblDealDeskAudit[[#This Row],[Account ID]],tblAccounts[account_id],tblAccounts[employee_count],""))</f>
        <v>56</v>
      </c>
      <c r="M36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6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68">
        <f>COUNTIF(tblApprovals[opportunity_id],tblDealDeskAudit[[#This Row],[Opportunity ID]])</f>
        <v>1</v>
      </c>
      <c r="P36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69" spans="1:16">
      <c r="A369" s="22" t="s">
        <v>6195</v>
      </c>
      <c r="B369" s="23" t="s">
        <v>462</v>
      </c>
      <c r="C369" s="23" t="s">
        <v>5686</v>
      </c>
      <c r="D369" s="30">
        <v>5.5</v>
      </c>
      <c r="E369" s="25">
        <v>11340</v>
      </c>
      <c r="F369" s="23" t="s">
        <v>5688</v>
      </c>
      <c r="G369" s="23" t="s">
        <v>5693</v>
      </c>
      <c r="H369" s="23" t="b">
        <v>0</v>
      </c>
      <c r="I369" s="23" t="b">
        <v>0</v>
      </c>
      <c r="J369" s="30">
        <v>3.6</v>
      </c>
      <c r="K369" s="36" t="b">
        <v>1</v>
      </c>
      <c r="L369">
        <f>IF(COUNTIFS(tblAccounts[account_id],tblDealDeskAudit[[#This Row],[Account ID]],tblAccounts[employee_count],"")&gt;0,"",_xlfn.XLOOKUP(tblDealDeskAudit[[#This Row],[Account ID]],tblAccounts[account_id],tblAccounts[employee_count],""))</f>
        <v>48</v>
      </c>
      <c r="M36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6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69">
        <f>COUNTIF(tblApprovals[opportunity_id],tblDealDeskAudit[[#This Row],[Opportunity ID]])</f>
        <v>0</v>
      </c>
      <c r="P36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0" spans="1:16">
      <c r="A370" s="20" t="s">
        <v>6197</v>
      </c>
      <c r="B370" s="21" t="s">
        <v>56</v>
      </c>
      <c r="C370" s="21" t="s">
        <v>5691</v>
      </c>
      <c r="D370" s="29">
        <v>5.3</v>
      </c>
      <c r="E370" s="24">
        <v>20834</v>
      </c>
      <c r="F370" s="21" t="s">
        <v>5665</v>
      </c>
      <c r="G370" s="21" t="s">
        <v>5677</v>
      </c>
      <c r="H370" s="21" t="b">
        <v>0</v>
      </c>
      <c r="I370" s="21" t="b">
        <v>0</v>
      </c>
      <c r="J370" s="29">
        <v>7.3</v>
      </c>
      <c r="K370" s="35" t="b">
        <v>1</v>
      </c>
      <c r="L370">
        <f>IF(COUNTIFS(tblAccounts[account_id],tblDealDeskAudit[[#This Row],[Account ID]],tblAccounts[employee_count],"")&gt;0,"",_xlfn.XLOOKUP(tblDealDeskAudit[[#This Row],[Account ID]],tblAccounts[account_id],tblAccounts[employee_count],""))</f>
        <v>148</v>
      </c>
      <c r="M37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7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70">
        <f>COUNTIF(tblApprovals[opportunity_id],tblDealDeskAudit[[#This Row],[Opportunity ID]])</f>
        <v>1</v>
      </c>
      <c r="P37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1" spans="1:16">
      <c r="A371" s="22" t="s">
        <v>6199</v>
      </c>
      <c r="B371" s="23" t="s">
        <v>612</v>
      </c>
      <c r="C371" s="23" t="s">
        <v>5691</v>
      </c>
      <c r="D371" s="30">
        <v>14.2</v>
      </c>
      <c r="E371" s="25">
        <v>20592</v>
      </c>
      <c r="F371" s="23" t="s">
        <v>5665</v>
      </c>
      <c r="G371" s="23" t="s">
        <v>5666</v>
      </c>
      <c r="H371" s="23" t="b">
        <v>0</v>
      </c>
      <c r="I371" s="23" t="b">
        <v>0</v>
      </c>
      <c r="J371" s="30">
        <v>0</v>
      </c>
      <c r="K371" s="36" t="b">
        <v>1</v>
      </c>
      <c r="L371">
        <f>IF(COUNTIFS(tblAccounts[account_id],tblDealDeskAudit[[#This Row],[Account ID]],tblAccounts[employee_count],"")&gt;0,"",_xlfn.XLOOKUP(tblDealDeskAudit[[#This Row],[Account ID]],tblAccounts[account_id],tblAccounts[employee_count],""))</f>
        <v>447</v>
      </c>
      <c r="M37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7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71">
        <f>COUNTIF(tblApprovals[opportunity_id],tblDealDeskAudit[[#This Row],[Opportunity ID]])</f>
        <v>1</v>
      </c>
      <c r="P37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2" spans="1:16">
      <c r="A372" s="20" t="s">
        <v>6201</v>
      </c>
      <c r="B372" s="21" t="s">
        <v>392</v>
      </c>
      <c r="C372" s="21" t="s">
        <v>5669</v>
      </c>
      <c r="D372" s="29">
        <v>10.8</v>
      </c>
      <c r="E372" s="24">
        <v>76712</v>
      </c>
      <c r="F372" s="21" t="s">
        <v>5665</v>
      </c>
      <c r="G372" s="21" t="s">
        <v>5666</v>
      </c>
      <c r="H372" s="21" t="b">
        <v>0</v>
      </c>
      <c r="I372" s="21" t="b">
        <v>0</v>
      </c>
      <c r="J372" s="29">
        <v>28.7</v>
      </c>
      <c r="K372" s="35" t="b">
        <v>1</v>
      </c>
      <c r="L372">
        <f>IF(COUNTIFS(tblAccounts[account_id],tblDealDeskAudit[[#This Row],[Account ID]],tblAccounts[employee_count],"")&gt;0,"",_xlfn.XLOOKUP(tblDealDeskAudit[[#This Row],[Account ID]],tblAccounts[account_id],tblAccounts[employee_count],""))</f>
        <v>1191</v>
      </c>
      <c r="M37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7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72">
        <f>COUNTIF(tblApprovals[opportunity_id],tblDealDeskAudit[[#This Row],[Opportunity ID]])</f>
        <v>1</v>
      </c>
      <c r="P37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3" spans="1:16">
      <c r="A373" s="22" t="s">
        <v>2013</v>
      </c>
      <c r="B373" s="23" t="s">
        <v>729</v>
      </c>
      <c r="C373" s="23" t="s">
        <v>5681</v>
      </c>
      <c r="D373" s="30">
        <v>1.1000000000000001</v>
      </c>
      <c r="E373" s="25">
        <v>35604</v>
      </c>
      <c r="F373" s="23" t="s">
        <v>5665</v>
      </c>
      <c r="G373" s="23" t="s">
        <v>5666</v>
      </c>
      <c r="H373" s="23" t="b">
        <v>0</v>
      </c>
      <c r="I373" s="23" t="b">
        <v>0</v>
      </c>
      <c r="J373" s="30">
        <v>8.5</v>
      </c>
      <c r="K373" s="36" t="b">
        <v>0</v>
      </c>
      <c r="L373">
        <f>IF(COUNTIFS(tblAccounts[account_id],tblDealDeskAudit[[#This Row],[Account ID]],tblAccounts[employee_count],"")&gt;0,"",_xlfn.XLOOKUP(tblDealDeskAudit[[#This Row],[Account ID]],tblAccounts[account_id],tblAccounts[employee_count],""))</f>
        <v>365</v>
      </c>
      <c r="M37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7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73">
        <f>COUNTIF(tblApprovals[opportunity_id],tblDealDeskAudit[[#This Row],[Opportunity ID]])</f>
        <v>0</v>
      </c>
      <c r="P37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4" spans="1:16">
      <c r="A374" s="20" t="s">
        <v>2153</v>
      </c>
      <c r="B374" s="21" t="s">
        <v>900</v>
      </c>
      <c r="C374" s="21" t="s">
        <v>5675</v>
      </c>
      <c r="D374" s="29">
        <v>4.8</v>
      </c>
      <c r="E374" s="24">
        <v>28560</v>
      </c>
      <c r="F374" s="21" t="s">
        <v>5665</v>
      </c>
      <c r="G374" s="21" t="s">
        <v>5693</v>
      </c>
      <c r="H374" s="21" t="b">
        <v>0</v>
      </c>
      <c r="I374" s="21" t="b">
        <v>0</v>
      </c>
      <c r="J374" s="29">
        <v>19.100000000000001</v>
      </c>
      <c r="K374" s="35" t="b">
        <v>1</v>
      </c>
      <c r="L374">
        <f>IF(COUNTIFS(tblAccounts[account_id],tblDealDeskAudit[[#This Row],[Account ID]],tblAccounts[employee_count],"")&gt;0,"",_xlfn.XLOOKUP(tblDealDeskAudit[[#This Row],[Account ID]],tblAccounts[account_id],tblAccounts[employee_count],""))</f>
        <v>114</v>
      </c>
      <c r="M37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7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74">
        <f>COUNTIF(tblApprovals[opportunity_id],tblDealDeskAudit[[#This Row],[Opportunity ID]])</f>
        <v>0</v>
      </c>
      <c r="P37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75" spans="1:16">
      <c r="A375" s="22" t="s">
        <v>1948</v>
      </c>
      <c r="B375" s="23" t="s">
        <v>392</v>
      </c>
      <c r="C375" s="23" t="s">
        <v>5669</v>
      </c>
      <c r="D375" s="30">
        <v>20.6</v>
      </c>
      <c r="E375" s="25">
        <v>65108</v>
      </c>
      <c r="F375" s="23" t="s">
        <v>5665</v>
      </c>
      <c r="G375" s="23" t="s">
        <v>5666</v>
      </c>
      <c r="H375" s="23" t="b">
        <v>0</v>
      </c>
      <c r="I375" s="23" t="b">
        <v>0</v>
      </c>
      <c r="J375" s="30">
        <v>13.3</v>
      </c>
      <c r="K375" s="36" t="b">
        <v>1</v>
      </c>
      <c r="L375">
        <f>IF(COUNTIFS(tblAccounts[account_id],tblDealDeskAudit[[#This Row],[Account ID]],tblAccounts[employee_count],"")&gt;0,"",_xlfn.XLOOKUP(tblDealDeskAudit[[#This Row],[Account ID]],tblAccounts[account_id],tblAccounts[employee_count],""))</f>
        <v>1191</v>
      </c>
      <c r="M37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7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75">
        <f>COUNTIF(tblApprovals[opportunity_id],tblDealDeskAudit[[#This Row],[Opportunity ID]])</f>
        <v>0</v>
      </c>
      <c r="P37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76" spans="1:16">
      <c r="A376" s="20" t="s">
        <v>6204</v>
      </c>
      <c r="B376" s="21" t="s">
        <v>299</v>
      </c>
      <c r="C376" s="21" t="s">
        <v>5663</v>
      </c>
      <c r="D376" s="29">
        <v>4.7</v>
      </c>
      <c r="E376" s="24">
        <v>11436</v>
      </c>
      <c r="F376" s="21" t="s">
        <v>5665</v>
      </c>
      <c r="G376" s="21" t="s">
        <v>5666</v>
      </c>
      <c r="H376" s="21" t="b">
        <v>0</v>
      </c>
      <c r="I376" s="21" t="b">
        <v>0</v>
      </c>
      <c r="J376" s="29">
        <v>8</v>
      </c>
      <c r="K376" s="35" t="b">
        <v>0</v>
      </c>
      <c r="L376">
        <f>IF(COUNTIFS(tblAccounts[account_id],tblDealDeskAudit[[#This Row],[Account ID]],tblAccounts[employee_count],"")&gt;0,"",_xlfn.XLOOKUP(tblDealDeskAudit[[#This Row],[Account ID]],tblAccounts[account_id],tblAccounts[employee_count],""))</f>
        <v>37</v>
      </c>
      <c r="M37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7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76">
        <f>COUNTIF(tblApprovals[opportunity_id],tblDealDeskAudit[[#This Row],[Opportunity ID]])</f>
        <v>0</v>
      </c>
      <c r="P37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77" spans="1:16">
      <c r="A377" s="22" t="s">
        <v>6206</v>
      </c>
      <c r="B377" s="23" t="s">
        <v>401</v>
      </c>
      <c r="C377" s="23" t="s">
        <v>5663</v>
      </c>
      <c r="D377" s="30">
        <v>2.6</v>
      </c>
      <c r="E377" s="25">
        <v>83764</v>
      </c>
      <c r="F377" s="23" t="s">
        <v>5688</v>
      </c>
      <c r="G377" s="23" t="s">
        <v>5666</v>
      </c>
      <c r="H377" s="23" t="b">
        <v>0</v>
      </c>
      <c r="I377" s="23" t="b">
        <v>0</v>
      </c>
      <c r="J377" s="30">
        <v>19.600000000000001</v>
      </c>
      <c r="K377" s="36" t="b">
        <v>1</v>
      </c>
      <c r="L377">
        <f>IF(COUNTIFS(tblAccounts[account_id],tblDealDeskAudit[[#This Row],[Account ID]],tblAccounts[employee_count],"")&gt;0,"",_xlfn.XLOOKUP(tblDealDeskAudit[[#This Row],[Account ID]],tblAccounts[account_id],tblAccounts[employee_count],""))</f>
        <v>3048</v>
      </c>
      <c r="M37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7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77">
        <f>COUNTIF(tblApprovals[opportunity_id],tblDealDeskAudit[[#This Row],[Opportunity ID]])</f>
        <v>1</v>
      </c>
      <c r="P37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378" spans="1:16">
      <c r="A378" s="20" t="s">
        <v>1944</v>
      </c>
      <c r="B378" s="21" t="s">
        <v>936</v>
      </c>
      <c r="C378" s="21" t="s">
        <v>5675</v>
      </c>
      <c r="D378" s="29">
        <v>9.5</v>
      </c>
      <c r="E378" s="24">
        <v>10860</v>
      </c>
      <c r="F378" s="21" t="s">
        <v>5665</v>
      </c>
      <c r="G378" s="21" t="s">
        <v>5666</v>
      </c>
      <c r="H378" s="21" t="b">
        <v>0</v>
      </c>
      <c r="I378" s="21" t="b">
        <v>0</v>
      </c>
      <c r="J378" s="29">
        <v>2.5</v>
      </c>
      <c r="K378" s="35" t="b">
        <v>0</v>
      </c>
      <c r="L378">
        <f>IF(COUNTIFS(tblAccounts[account_id],tblDealDeskAudit[[#This Row],[Account ID]],tblAccounts[employee_count],"")&gt;0,"",_xlfn.XLOOKUP(tblDealDeskAudit[[#This Row],[Account ID]],tblAccounts[account_id],tblAccounts[employee_count],""))</f>
        <v>701</v>
      </c>
      <c r="M37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7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78">
        <f>COUNTIF(tblApprovals[opportunity_id],tblDealDeskAudit[[#This Row],[Opportunity ID]])</f>
        <v>0</v>
      </c>
      <c r="P37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79" spans="1:16">
      <c r="A379" s="22" t="s">
        <v>6207</v>
      </c>
      <c r="B379" s="23" t="s">
        <v>491</v>
      </c>
      <c r="C379" s="23" t="s">
        <v>5691</v>
      </c>
      <c r="D379" s="30">
        <v>5.6</v>
      </c>
      <c r="E379" s="25">
        <v>15104</v>
      </c>
      <c r="F379" s="23" t="s">
        <v>5665</v>
      </c>
      <c r="G379" s="23" t="s">
        <v>5666</v>
      </c>
      <c r="H379" s="23" t="b">
        <v>0</v>
      </c>
      <c r="I379" s="23" t="b">
        <v>0</v>
      </c>
      <c r="J379" s="30">
        <v>0</v>
      </c>
      <c r="K379" s="36" t="b">
        <v>0</v>
      </c>
      <c r="L379">
        <f>IF(COUNTIFS(tblAccounts[account_id],tblDealDeskAudit[[#This Row],[Account ID]],tblAccounts[employee_count],"")&gt;0,"",_xlfn.XLOOKUP(tblDealDeskAudit[[#This Row],[Account ID]],tblAccounts[account_id],tblAccounts[employee_count],""))</f>
        <v>2121</v>
      </c>
      <c r="M37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7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79">
        <f>COUNTIF(tblApprovals[opportunity_id],tblDealDeskAudit[[#This Row],[Opportunity ID]])</f>
        <v>0</v>
      </c>
      <c r="P37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80" spans="1:16">
      <c r="A380" s="20" t="s">
        <v>1939</v>
      </c>
      <c r="B380" s="21" t="s">
        <v>632</v>
      </c>
      <c r="C380" s="21" t="s">
        <v>5675</v>
      </c>
      <c r="D380" s="29">
        <v>7.5</v>
      </c>
      <c r="E380" s="24">
        <v>14800</v>
      </c>
      <c r="F380" s="21" t="s">
        <v>5665</v>
      </c>
      <c r="G380" s="21" t="s">
        <v>5666</v>
      </c>
      <c r="H380" s="21" t="b">
        <v>0</v>
      </c>
      <c r="I380" s="21" t="b">
        <v>0</v>
      </c>
      <c r="J380" s="29">
        <v>5.7</v>
      </c>
      <c r="K380" s="35" t="b">
        <v>0</v>
      </c>
      <c r="L380">
        <f>IF(COUNTIFS(tblAccounts[account_id],tblDealDeskAudit[[#This Row],[Account ID]],tblAccounts[employee_count],"")&gt;0,"",_xlfn.XLOOKUP(tblDealDeskAudit[[#This Row],[Account ID]],tblAccounts[account_id],tblAccounts[employee_count],""))</f>
        <v>162</v>
      </c>
      <c r="M38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8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80">
        <f>COUNTIF(tblApprovals[opportunity_id],tblDealDeskAudit[[#This Row],[Opportunity ID]])</f>
        <v>0</v>
      </c>
      <c r="P38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81" spans="1:16">
      <c r="A381" s="22" t="s">
        <v>6210</v>
      </c>
      <c r="B381" s="23" t="s">
        <v>720</v>
      </c>
      <c r="C381" s="23" t="s">
        <v>5691</v>
      </c>
      <c r="D381" s="30">
        <v>5.0999999999999996</v>
      </c>
      <c r="E381" s="25">
        <v>15184</v>
      </c>
      <c r="F381" s="23" t="s">
        <v>5665</v>
      </c>
      <c r="G381" s="23" t="s">
        <v>5666</v>
      </c>
      <c r="H381" s="23" t="b">
        <v>0</v>
      </c>
      <c r="I381" s="23" t="b">
        <v>0</v>
      </c>
      <c r="J381" s="30">
        <v>0.6</v>
      </c>
      <c r="K381" s="36" t="b">
        <v>0</v>
      </c>
      <c r="L381">
        <f>IF(COUNTIFS(tblAccounts[account_id],tblDealDeskAudit[[#This Row],[Account ID]],tblAccounts[employee_count],"")&gt;0,"",_xlfn.XLOOKUP(tblDealDeskAudit[[#This Row],[Account ID]],tblAccounts[account_id],tblAccounts[employee_count],""))</f>
        <v>130</v>
      </c>
      <c r="M38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8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81">
        <f>COUNTIF(tblApprovals[opportunity_id],tblDealDeskAudit[[#This Row],[Opportunity ID]])</f>
        <v>0</v>
      </c>
      <c r="P38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82" spans="1:16">
      <c r="A382" s="20" t="s">
        <v>2187</v>
      </c>
      <c r="B382" s="21" t="s">
        <v>840</v>
      </c>
      <c r="C382" s="21" t="s">
        <v>5675</v>
      </c>
      <c r="D382" s="29">
        <v>11.4</v>
      </c>
      <c r="E382" s="24">
        <v>14176</v>
      </c>
      <c r="F382" s="21" t="s">
        <v>5665</v>
      </c>
      <c r="G382" s="21" t="s">
        <v>5666</v>
      </c>
      <c r="H382" s="21" t="b">
        <v>0</v>
      </c>
      <c r="I382" s="21" t="b">
        <v>0</v>
      </c>
      <c r="J382" s="29">
        <v>1.7</v>
      </c>
      <c r="K382" s="35" t="b">
        <v>1</v>
      </c>
      <c r="L382">
        <f>IF(COUNTIFS(tblAccounts[account_id],tblDealDeskAudit[[#This Row],[Account ID]],tblAccounts[employee_count],"")&gt;0,"",_xlfn.XLOOKUP(tblDealDeskAudit[[#This Row],[Account ID]],tblAccounts[account_id],tblAccounts[employee_count],""))</f>
        <v>106</v>
      </c>
      <c r="M38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2">
        <f>COUNTIF(tblApprovals[opportunity_id],tblDealDeskAudit[[#This Row],[Opportunity ID]])</f>
        <v>0</v>
      </c>
      <c r="P38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83" spans="1:16">
      <c r="A383" s="22" t="s">
        <v>2432</v>
      </c>
      <c r="B383" s="23" t="s">
        <v>777</v>
      </c>
      <c r="C383" s="23" t="s">
        <v>5675</v>
      </c>
      <c r="D383" s="30">
        <v>5.9</v>
      </c>
      <c r="E383" s="25">
        <v>28230</v>
      </c>
      <c r="F383" s="23" t="s">
        <v>5688</v>
      </c>
      <c r="G383" s="23" t="s">
        <v>5666</v>
      </c>
      <c r="H383" s="23" t="b">
        <v>0</v>
      </c>
      <c r="I383" s="23" t="b">
        <v>0</v>
      </c>
      <c r="J383" s="30">
        <v>3.9</v>
      </c>
      <c r="K383" s="36" t="b">
        <v>1</v>
      </c>
      <c r="L383">
        <f>IF(COUNTIFS(tblAccounts[account_id],tblDealDeskAudit[[#This Row],[Account ID]],tblAccounts[employee_count],"")&gt;0,"",_xlfn.XLOOKUP(tblDealDeskAudit[[#This Row],[Account ID]],tblAccounts[account_id],tblAccounts[employee_count],""))</f>
        <v>169</v>
      </c>
      <c r="M38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3">
        <f>COUNTIF(tblApprovals[opportunity_id],tblDealDeskAudit[[#This Row],[Opportunity ID]])</f>
        <v>0</v>
      </c>
      <c r="P38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84" spans="1:16">
      <c r="A384" s="20" t="s">
        <v>6212</v>
      </c>
      <c r="B384" s="21" t="s">
        <v>567</v>
      </c>
      <c r="C384" s="21" t="s">
        <v>5686</v>
      </c>
      <c r="D384" s="29">
        <v>24.9</v>
      </c>
      <c r="E384" s="24">
        <v>15020</v>
      </c>
      <c r="F384" s="21" t="s">
        <v>5665</v>
      </c>
      <c r="G384" s="21" t="s">
        <v>5666</v>
      </c>
      <c r="H384" s="21" t="b">
        <v>0</v>
      </c>
      <c r="I384" s="21" t="b">
        <v>0</v>
      </c>
      <c r="J384" s="29">
        <v>20.9</v>
      </c>
      <c r="K384" s="35" t="b">
        <v>1</v>
      </c>
      <c r="L384">
        <f>IF(COUNTIFS(tblAccounts[account_id],tblDealDeskAudit[[#This Row],[Account ID]],tblAccounts[employee_count],"")&gt;0,"",_xlfn.XLOOKUP(tblDealDeskAudit[[#This Row],[Account ID]],tblAccounts[account_id],tblAccounts[employee_count],""))</f>
        <v>59</v>
      </c>
      <c r="M38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4">
        <f>COUNTIF(tblApprovals[opportunity_id],tblDealDeskAudit[[#This Row],[Opportunity ID]])</f>
        <v>0</v>
      </c>
      <c r="P38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85" spans="1:16">
      <c r="A385" s="22" t="s">
        <v>6213</v>
      </c>
      <c r="B385" s="23" t="s">
        <v>476</v>
      </c>
      <c r="C385" s="23" t="s">
        <v>5663</v>
      </c>
      <c r="D385" s="30">
        <v>10</v>
      </c>
      <c r="E385" s="25">
        <v>45000</v>
      </c>
      <c r="F385" s="23" t="s">
        <v>5665</v>
      </c>
      <c r="G385" s="23" t="s">
        <v>5666</v>
      </c>
      <c r="H385" s="23" t="b">
        <v>0</v>
      </c>
      <c r="I385" s="23" t="b">
        <v>0</v>
      </c>
      <c r="J385" s="30">
        <v>4.8</v>
      </c>
      <c r="K385" s="36" t="b">
        <v>0</v>
      </c>
      <c r="L385">
        <f>IF(COUNTIFS(tblAccounts[account_id],tblDealDeskAudit[[#This Row],[Account ID]],tblAccounts[employee_count],"")&gt;0,"",_xlfn.XLOOKUP(tblDealDeskAudit[[#This Row],[Account ID]],tblAccounts[account_id],tblAccounts[employee_count],""))</f>
        <v>842</v>
      </c>
      <c r="M38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8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85">
        <f>COUNTIF(tblApprovals[opportunity_id],tblDealDeskAudit[[#This Row],[Opportunity ID]])</f>
        <v>0</v>
      </c>
      <c r="P38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86" spans="1:16">
      <c r="A386" s="20" t="s">
        <v>6214</v>
      </c>
      <c r="B386" s="21" t="s">
        <v>882</v>
      </c>
      <c r="C386" s="21" t="s">
        <v>5663</v>
      </c>
      <c r="D386" s="29">
        <v>5.8</v>
      </c>
      <c r="E386" s="24">
        <v>18840</v>
      </c>
      <c r="F386" s="21" t="s">
        <v>5665</v>
      </c>
      <c r="G386" s="21" t="s">
        <v>5693</v>
      </c>
      <c r="H386" s="21" t="b">
        <v>0</v>
      </c>
      <c r="I386" s="21" t="b">
        <v>0</v>
      </c>
      <c r="J386" s="29">
        <v>0</v>
      </c>
      <c r="K386" s="35" t="b">
        <v>1</v>
      </c>
      <c r="L386">
        <f>IF(COUNTIFS(tblAccounts[account_id],tblDealDeskAudit[[#This Row],[Account ID]],tblAccounts[employee_count],"")&gt;0,"",_xlfn.XLOOKUP(tblDealDeskAudit[[#This Row],[Account ID]],tblAccounts[account_id],tblAccounts[employee_count],""))</f>
        <v>2368</v>
      </c>
      <c r="M38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6">
        <f>COUNTIF(tblApprovals[opportunity_id],tblDealDeskAudit[[#This Row],[Opportunity ID]])</f>
        <v>0</v>
      </c>
      <c r="P38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87" spans="1:16">
      <c r="A387" s="22" t="s">
        <v>2244</v>
      </c>
      <c r="B387" s="23" t="s">
        <v>409</v>
      </c>
      <c r="C387" s="23" t="s">
        <v>5725</v>
      </c>
      <c r="D387" s="30">
        <v>24.7</v>
      </c>
      <c r="E387" s="25">
        <v>16566</v>
      </c>
      <c r="F387" s="23" t="s">
        <v>5665</v>
      </c>
      <c r="G387" s="23" t="s">
        <v>5666</v>
      </c>
      <c r="H387" s="23" t="b">
        <v>0</v>
      </c>
      <c r="I387" s="23" t="b">
        <v>0</v>
      </c>
      <c r="J387" s="30">
        <v>15.2</v>
      </c>
      <c r="K387" s="36" t="b">
        <v>1</v>
      </c>
      <c r="L387">
        <f>IF(COUNTIFS(tblAccounts[account_id],tblDealDeskAudit[[#This Row],[Account ID]],tblAccounts[employee_count],"")&gt;0,"",_xlfn.XLOOKUP(tblDealDeskAudit[[#This Row],[Account ID]],tblAccounts[account_id],tblAccounts[employee_count],""))</f>
        <v>135</v>
      </c>
      <c r="M38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7">
        <f>COUNTIF(tblApprovals[opportunity_id],tblDealDeskAudit[[#This Row],[Opportunity ID]])</f>
        <v>0</v>
      </c>
      <c r="P38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88" spans="1:16">
      <c r="A388" s="20" t="s">
        <v>6217</v>
      </c>
      <c r="B388" s="21" t="s">
        <v>428</v>
      </c>
      <c r="C388" s="21" t="s">
        <v>5663</v>
      </c>
      <c r="D388" s="29">
        <v>7.8</v>
      </c>
      <c r="E388" s="24">
        <v>16596</v>
      </c>
      <c r="F388" s="21" t="s">
        <v>5665</v>
      </c>
      <c r="G388" s="21" t="s">
        <v>5693</v>
      </c>
      <c r="H388" s="21" t="b">
        <v>0</v>
      </c>
      <c r="I388" s="21" t="b">
        <v>0</v>
      </c>
      <c r="J388" s="29">
        <v>0</v>
      </c>
      <c r="K388" s="35" t="b">
        <v>1</v>
      </c>
      <c r="L388">
        <f>IF(COUNTIFS(tblAccounts[account_id],tblDealDeskAudit[[#This Row],[Account ID]],tblAccounts[employee_count],"")&gt;0,"",_xlfn.XLOOKUP(tblDealDeskAudit[[#This Row],[Account ID]],tblAccounts[account_id],tblAccounts[employee_count],""))</f>
        <v>490</v>
      </c>
      <c r="M38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88">
        <f>COUNTIF(tblApprovals[opportunity_id],tblDealDeskAudit[[#This Row],[Opportunity ID]])</f>
        <v>0</v>
      </c>
      <c r="P38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89" spans="1:16">
      <c r="A389" s="22" t="s">
        <v>6220</v>
      </c>
      <c r="B389" s="23" t="s">
        <v>189</v>
      </c>
      <c r="C389" s="23" t="s">
        <v>5740</v>
      </c>
      <c r="D389" s="30">
        <v>6.6</v>
      </c>
      <c r="E389" s="25">
        <v>11208</v>
      </c>
      <c r="F389" s="23" t="s">
        <v>5665</v>
      </c>
      <c r="G389" s="23" t="s">
        <v>5666</v>
      </c>
      <c r="H389" s="23" t="b">
        <v>1</v>
      </c>
      <c r="I389" s="23" t="b">
        <v>0</v>
      </c>
      <c r="J389" s="30">
        <v>4</v>
      </c>
      <c r="K389" s="36" t="b">
        <v>0</v>
      </c>
      <c r="L389">
        <f>IF(COUNTIFS(tblAccounts[account_id],tblDealDeskAudit[[#This Row],[Account ID]],tblAccounts[employee_count],"")&gt;0,"",_xlfn.XLOOKUP(tblDealDeskAudit[[#This Row],[Account ID]],tblAccounts[account_id],tblAccounts[employee_count],""))</f>
        <v>5</v>
      </c>
      <c r="M38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8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389">
        <f>COUNTIF(tblApprovals[opportunity_id],tblDealDeskAudit[[#This Row],[Opportunity ID]])</f>
        <v>0</v>
      </c>
      <c r="P38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90" spans="1:16">
      <c r="A390" s="20" t="s">
        <v>1388</v>
      </c>
      <c r="B390" s="21" t="s">
        <v>482</v>
      </c>
      <c r="C390" s="21" t="s">
        <v>5675</v>
      </c>
      <c r="D390" s="29">
        <v>5</v>
      </c>
      <c r="E390" s="24">
        <v>39900</v>
      </c>
      <c r="F390" s="21" t="s">
        <v>5665</v>
      </c>
      <c r="G390" s="21" t="s">
        <v>5666</v>
      </c>
      <c r="H390" s="21" t="b">
        <v>0</v>
      </c>
      <c r="I390" s="21" t="b">
        <v>0</v>
      </c>
      <c r="J390" s="29">
        <v>1.6</v>
      </c>
      <c r="K390" s="35" t="b">
        <v>0</v>
      </c>
      <c r="L390">
        <f>IF(COUNTIFS(tblAccounts[account_id],tblDealDeskAudit[[#This Row],[Account ID]],tblAccounts[employee_count],"")&gt;0,"",_xlfn.XLOOKUP(tblDealDeskAudit[[#This Row],[Account ID]],tblAccounts[account_id],tblAccounts[employee_count],""))</f>
        <v>122</v>
      </c>
      <c r="M39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0">
        <f>COUNTIF(tblApprovals[opportunity_id],tblDealDeskAudit[[#This Row],[Opportunity ID]])</f>
        <v>0</v>
      </c>
      <c r="P39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91" spans="1:16">
      <c r="A391" s="22" t="s">
        <v>6222</v>
      </c>
      <c r="B391" s="23" t="s">
        <v>193</v>
      </c>
      <c r="C391" s="23" t="s">
        <v>5663</v>
      </c>
      <c r="D391" s="30">
        <v>7.2</v>
      </c>
      <c r="E391" s="25">
        <v>7424</v>
      </c>
      <c r="F391" s="23" t="s">
        <v>5665</v>
      </c>
      <c r="G391" s="23" t="s">
        <v>5693</v>
      </c>
      <c r="H391" s="23" t="b">
        <v>0</v>
      </c>
      <c r="I391" s="23" t="b">
        <v>0</v>
      </c>
      <c r="J391" s="30">
        <v>0</v>
      </c>
      <c r="K391" s="36" t="b">
        <v>1</v>
      </c>
      <c r="L391">
        <f>IF(COUNTIFS(tblAccounts[account_id],tblDealDeskAudit[[#This Row],[Account ID]],tblAccounts[employee_count],"")&gt;0,"",_xlfn.XLOOKUP(tblDealDeskAudit[[#This Row],[Account ID]],tblAccounts[account_id],tblAccounts[employee_count],""))</f>
        <v>64</v>
      </c>
      <c r="M39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9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91">
        <f>COUNTIF(tblApprovals[opportunity_id],tblDealDeskAudit[[#This Row],[Opportunity ID]])</f>
        <v>0</v>
      </c>
      <c r="P39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392" spans="1:16">
      <c r="A392" s="20" t="s">
        <v>6224</v>
      </c>
      <c r="B392" s="21" t="s">
        <v>172</v>
      </c>
      <c r="C392" s="21" t="s">
        <v>5681</v>
      </c>
      <c r="D392" s="29">
        <v>24.3</v>
      </c>
      <c r="E392" s="24">
        <v>37850</v>
      </c>
      <c r="F392" s="21" t="s">
        <v>5665</v>
      </c>
      <c r="G392" s="21" t="s">
        <v>5666</v>
      </c>
      <c r="H392" s="21" t="b">
        <v>0</v>
      </c>
      <c r="I392" s="21" t="b">
        <v>0</v>
      </c>
      <c r="J392" s="29">
        <v>26.1</v>
      </c>
      <c r="K392" s="35" t="b">
        <v>1</v>
      </c>
      <c r="L392">
        <f>IF(COUNTIFS(tblAccounts[account_id],tblDealDeskAudit[[#This Row],[Account ID]],tblAccounts[employee_count],"")&gt;0,"",_xlfn.XLOOKUP(tblDealDeskAudit[[#This Row],[Account ID]],tblAccounts[account_id],tblAccounts[employee_count],""))</f>
        <v>361</v>
      </c>
      <c r="M39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9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92">
        <f>COUNTIF(tblApprovals[opportunity_id],tblDealDeskAudit[[#This Row],[Opportunity ID]])</f>
        <v>1</v>
      </c>
      <c r="P39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93" spans="1:16">
      <c r="A393" s="22" t="s">
        <v>2549</v>
      </c>
      <c r="B393" s="23" t="s">
        <v>395</v>
      </c>
      <c r="C393" s="23" t="s">
        <v>5725</v>
      </c>
      <c r="D393" s="30">
        <v>2.5</v>
      </c>
      <c r="E393" s="25">
        <v>23400</v>
      </c>
      <c r="F393" s="23" t="s">
        <v>5665</v>
      </c>
      <c r="G393" s="23" t="s">
        <v>5666</v>
      </c>
      <c r="H393" s="23" t="b">
        <v>0</v>
      </c>
      <c r="I393" s="23" t="b">
        <v>0</v>
      </c>
      <c r="J393" s="30">
        <v>16.3</v>
      </c>
      <c r="K393" s="36" t="b">
        <v>0</v>
      </c>
      <c r="L393">
        <f>IF(COUNTIFS(tblAccounts[account_id],tblDealDeskAudit[[#This Row],[Account ID]],tblAccounts[employee_count],"")&gt;0,"",_xlfn.XLOOKUP(tblDealDeskAudit[[#This Row],[Account ID]],tblAccounts[account_id],tblAccounts[employee_count],""))</f>
        <v>49</v>
      </c>
      <c r="M39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3">
        <f>COUNTIF(tblApprovals[opportunity_id],tblDealDeskAudit[[#This Row],[Opportunity ID]])</f>
        <v>0</v>
      </c>
      <c r="P39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94" spans="1:16">
      <c r="A394" s="20" t="s">
        <v>6227</v>
      </c>
      <c r="B394" s="21" t="s">
        <v>524</v>
      </c>
      <c r="C394" s="21" t="s">
        <v>5663</v>
      </c>
      <c r="D394" s="29">
        <v>8.1</v>
      </c>
      <c r="E394" s="24">
        <v>71682</v>
      </c>
      <c r="F394" s="21" t="s">
        <v>5665</v>
      </c>
      <c r="G394" s="21" t="s">
        <v>5666</v>
      </c>
      <c r="H394" s="21" t="b">
        <v>0</v>
      </c>
      <c r="I394" s="21" t="b">
        <v>0</v>
      </c>
      <c r="J394" s="29">
        <v>7.9</v>
      </c>
      <c r="K394" s="35" t="b">
        <v>0</v>
      </c>
      <c r="L394">
        <f>IF(COUNTIFS(tblAccounts[account_id],tblDealDeskAudit[[#This Row],[Account ID]],tblAccounts[employee_count],"")&gt;0,"",_xlfn.XLOOKUP(tblDealDeskAudit[[#This Row],[Account ID]],tblAccounts[account_id],tblAccounts[employee_count],""))</f>
        <v>1073</v>
      </c>
      <c r="M39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4">
        <f>COUNTIF(tblApprovals[opportunity_id],tblDealDeskAudit[[#This Row],[Opportunity ID]])</f>
        <v>0</v>
      </c>
      <c r="P39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95" spans="1:16">
      <c r="A395" s="22" t="s">
        <v>2460</v>
      </c>
      <c r="B395" s="23" t="s">
        <v>766</v>
      </c>
      <c r="C395" s="23" t="s">
        <v>5740</v>
      </c>
      <c r="D395" s="30">
        <v>5.8</v>
      </c>
      <c r="E395" s="25">
        <v>15072</v>
      </c>
      <c r="F395" s="23" t="s">
        <v>5665</v>
      </c>
      <c r="G395" s="23" t="s">
        <v>5666</v>
      </c>
      <c r="H395" s="23" t="b">
        <v>0</v>
      </c>
      <c r="I395" s="23" t="b">
        <v>0</v>
      </c>
      <c r="J395" s="30">
        <v>19.7</v>
      </c>
      <c r="K395" s="36" t="b">
        <v>0</v>
      </c>
      <c r="L395">
        <f>IF(COUNTIFS(tblAccounts[account_id],tblDealDeskAudit[[#This Row],[Account ID]],tblAccounts[employee_count],"")&gt;0,"",_xlfn.XLOOKUP(tblDealDeskAudit[[#This Row],[Account ID]],tblAccounts[account_id],tblAccounts[employee_count],""))</f>
        <v>131</v>
      </c>
      <c r="M39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5">
        <f>COUNTIF(tblApprovals[opportunity_id],tblDealDeskAudit[[#This Row],[Opportunity ID]])</f>
        <v>0</v>
      </c>
      <c r="P39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96" spans="1:16">
      <c r="A396" s="20" t="s">
        <v>6229</v>
      </c>
      <c r="B396" s="21" t="s">
        <v>642</v>
      </c>
      <c r="C396" s="21" t="s">
        <v>5686</v>
      </c>
      <c r="D396" s="29">
        <v>4.5</v>
      </c>
      <c r="E396" s="24">
        <v>28650</v>
      </c>
      <c r="F396" s="21" t="s">
        <v>5665</v>
      </c>
      <c r="G396" s="21" t="s">
        <v>5666</v>
      </c>
      <c r="H396" s="21" t="b">
        <v>0</v>
      </c>
      <c r="I396" s="21" t="b">
        <v>0</v>
      </c>
      <c r="J396" s="29">
        <v>1.6</v>
      </c>
      <c r="K396" s="35" t="b">
        <v>0</v>
      </c>
      <c r="L396">
        <f>IF(COUNTIFS(tblAccounts[account_id],tblDealDeskAudit[[#This Row],[Account ID]],tblAccounts[employee_count],"")&gt;0,"",_xlfn.XLOOKUP(tblDealDeskAudit[[#This Row],[Account ID]],tblAccounts[account_id],tblAccounts[employee_count],""))</f>
        <v>45</v>
      </c>
      <c r="M39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6">
        <f>COUNTIF(tblApprovals[opportunity_id],tblDealDeskAudit[[#This Row],[Opportunity ID]])</f>
        <v>0</v>
      </c>
      <c r="P39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97" spans="1:16">
      <c r="A397" s="22" t="s">
        <v>6231</v>
      </c>
      <c r="B397" s="23" t="s">
        <v>459</v>
      </c>
      <c r="C397" s="23" t="s">
        <v>5686</v>
      </c>
      <c r="D397" s="30">
        <v>5.4</v>
      </c>
      <c r="E397" s="25">
        <v>28380</v>
      </c>
      <c r="F397" s="23" t="s">
        <v>5665</v>
      </c>
      <c r="G397" s="23" t="s">
        <v>5666</v>
      </c>
      <c r="H397" s="23" t="b">
        <v>1</v>
      </c>
      <c r="I397" s="23" t="b">
        <v>0</v>
      </c>
      <c r="J397" s="30">
        <v>7.6</v>
      </c>
      <c r="K397" s="36" t="b">
        <v>1</v>
      </c>
      <c r="L397">
        <f>IF(COUNTIFS(tblAccounts[account_id],tblDealDeskAudit[[#This Row],[Account ID]],tblAccounts[employee_count],"")&gt;0,"",_xlfn.XLOOKUP(tblDealDeskAudit[[#This Row],[Account ID]],tblAccounts[account_id],tblAccounts[employee_count],""))</f>
        <v>115</v>
      </c>
      <c r="M39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39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397">
        <f>COUNTIF(tblApprovals[opportunity_id],tblDealDeskAudit[[#This Row],[Opportunity ID]])</f>
        <v>1</v>
      </c>
      <c r="P39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398" spans="1:16">
      <c r="A398" s="20" t="s">
        <v>2134</v>
      </c>
      <c r="B398" s="21" t="s">
        <v>688</v>
      </c>
      <c r="C398" s="21" t="s">
        <v>5675</v>
      </c>
      <c r="D398" s="29">
        <v>9.6</v>
      </c>
      <c r="E398" s="24">
        <v>54240</v>
      </c>
      <c r="F398" s="21" t="s">
        <v>5665</v>
      </c>
      <c r="G398" s="21" t="s">
        <v>5666</v>
      </c>
      <c r="H398" s="21" t="b">
        <v>0</v>
      </c>
      <c r="I398" s="21" t="b">
        <v>0</v>
      </c>
      <c r="J398" s="29">
        <v>3.8</v>
      </c>
      <c r="K398" s="35" t="b">
        <v>0</v>
      </c>
      <c r="L398">
        <f>IF(COUNTIFS(tblAccounts[account_id],tblDealDeskAudit[[#This Row],[Account ID]],tblAccounts[employee_count],"")&gt;0,"",_xlfn.XLOOKUP(tblDealDeskAudit[[#This Row],[Account ID]],tblAccounts[account_id],tblAccounts[employee_count],""))</f>
        <v>476</v>
      </c>
      <c r="M39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8">
        <f>COUNTIF(tblApprovals[opportunity_id],tblDealDeskAudit[[#This Row],[Opportunity ID]])</f>
        <v>0</v>
      </c>
      <c r="P39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399" spans="1:16">
      <c r="A399" s="22" t="s">
        <v>6234</v>
      </c>
      <c r="B399" s="23" t="s">
        <v>158</v>
      </c>
      <c r="C399" s="23" t="s">
        <v>5681</v>
      </c>
      <c r="D399" s="30">
        <v>2</v>
      </c>
      <c r="E399" s="25">
        <v>47040</v>
      </c>
      <c r="F399" s="23" t="s">
        <v>5665</v>
      </c>
      <c r="G399" s="23" t="s">
        <v>5666</v>
      </c>
      <c r="H399" s="23" t="b">
        <v>0</v>
      </c>
      <c r="I399" s="23" t="b">
        <v>0</v>
      </c>
      <c r="J399" s="30">
        <v>12.1</v>
      </c>
      <c r="K399" s="36" t="b">
        <v>0</v>
      </c>
      <c r="L399">
        <f>IF(COUNTIFS(tblAccounts[account_id],tblDealDeskAudit[[#This Row],[Account ID]],tblAccounts[employee_count],"")&gt;0,"",_xlfn.XLOOKUP(tblDealDeskAudit[[#This Row],[Account ID]],tblAccounts[account_id],tblAccounts[employee_count],""))</f>
        <v>97</v>
      </c>
      <c r="M39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39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399">
        <f>COUNTIF(tblApprovals[opportunity_id],tblDealDeskAudit[[#This Row],[Opportunity ID]])</f>
        <v>0</v>
      </c>
      <c r="P39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00" spans="1:16">
      <c r="A400" s="20" t="s">
        <v>6235</v>
      </c>
      <c r="B400" s="21" t="s">
        <v>243</v>
      </c>
      <c r="C400" s="21" t="s">
        <v>5681</v>
      </c>
      <c r="D400" s="29">
        <v>22.3</v>
      </c>
      <c r="E400" s="24">
        <v>13986</v>
      </c>
      <c r="F400" s="21" t="s">
        <v>5665</v>
      </c>
      <c r="G400" s="21" t="s">
        <v>5666</v>
      </c>
      <c r="H400" s="21" t="b">
        <v>0</v>
      </c>
      <c r="I400" s="21" t="b">
        <v>0</v>
      </c>
      <c r="J400" s="29">
        <v>11.5</v>
      </c>
      <c r="K400" s="35" t="b">
        <v>1</v>
      </c>
      <c r="L400">
        <f>IF(COUNTIFS(tblAccounts[account_id],tblDealDeskAudit[[#This Row],[Account ID]],tblAccounts[employee_count],"")&gt;0,"",_xlfn.XLOOKUP(tblDealDeskAudit[[#This Row],[Account ID]],tblAccounts[account_id],tblAccounts[employee_count],""))</f>
        <v>59</v>
      </c>
      <c r="M40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0">
        <f>COUNTIF(tblApprovals[opportunity_id],tblDealDeskAudit[[#This Row],[Opportunity ID]])</f>
        <v>0</v>
      </c>
      <c r="P40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01" spans="1:16">
      <c r="A401" s="22" t="s">
        <v>6237</v>
      </c>
      <c r="B401" s="23" t="s">
        <v>131</v>
      </c>
      <c r="C401" s="23" t="s">
        <v>5691</v>
      </c>
      <c r="D401" s="30">
        <v>0.4</v>
      </c>
      <c r="E401" s="25">
        <v>39840</v>
      </c>
      <c r="F401" s="23" t="s">
        <v>5665</v>
      </c>
      <c r="G401" s="23" t="s">
        <v>5666</v>
      </c>
      <c r="H401" s="23" t="b">
        <v>1</v>
      </c>
      <c r="I401" s="23" t="b">
        <v>0</v>
      </c>
      <c r="J401" s="30">
        <v>1.1000000000000001</v>
      </c>
      <c r="K401" s="36" t="b">
        <v>1</v>
      </c>
      <c r="L401">
        <f>IF(COUNTIFS(tblAccounts[account_id],tblDealDeskAudit[[#This Row],[Account ID]],tblAccounts[employee_count],"")&gt;0,"",_xlfn.XLOOKUP(tblDealDeskAudit[[#This Row],[Account ID]],tblAccounts[account_id],tblAccounts[employee_count],""))</f>
        <v>386</v>
      </c>
      <c r="M40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1">
        <f>COUNTIF(tblApprovals[opportunity_id],tblDealDeskAudit[[#This Row],[Opportunity ID]])</f>
        <v>1</v>
      </c>
      <c r="P40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02" spans="1:16">
      <c r="A402" s="20" t="s">
        <v>1851</v>
      </c>
      <c r="B402" s="21" t="s">
        <v>882</v>
      </c>
      <c r="C402" s="21" t="s">
        <v>5675</v>
      </c>
      <c r="D402" s="29">
        <v>5.2</v>
      </c>
      <c r="E402" s="24">
        <v>75840</v>
      </c>
      <c r="F402" s="21" t="s">
        <v>5735</v>
      </c>
      <c r="G402" s="21" t="s">
        <v>5666</v>
      </c>
      <c r="H402" s="21" t="b">
        <v>0</v>
      </c>
      <c r="I402" s="21" t="b">
        <v>0</v>
      </c>
      <c r="J402" s="29">
        <v>8</v>
      </c>
      <c r="K402" s="35" t="b">
        <v>1</v>
      </c>
      <c r="L402">
        <f>IF(COUNTIFS(tblAccounts[account_id],tblDealDeskAudit[[#This Row],[Account ID]],tblAccounts[employee_count],"")&gt;0,"",_xlfn.XLOOKUP(tblDealDeskAudit[[#This Row],[Account ID]],tblAccounts[account_id],tblAccounts[employee_count],""))</f>
        <v>2368</v>
      </c>
      <c r="M40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2">
        <f>COUNTIF(tblApprovals[opportunity_id],tblDealDeskAudit[[#This Row],[Opportunity ID]])</f>
        <v>0</v>
      </c>
      <c r="P40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03" spans="1:16">
      <c r="A403" s="22" t="s">
        <v>6241</v>
      </c>
      <c r="B403" s="23" t="s">
        <v>189</v>
      </c>
      <c r="C403" s="23" t="s">
        <v>5663</v>
      </c>
      <c r="D403" s="30">
        <v>6.4</v>
      </c>
      <c r="E403" s="25">
        <v>16848</v>
      </c>
      <c r="F403" s="23" t="s">
        <v>5665</v>
      </c>
      <c r="G403" s="23" t="s">
        <v>5666</v>
      </c>
      <c r="H403" s="23" t="b">
        <v>0</v>
      </c>
      <c r="I403" s="23" t="b">
        <v>0</v>
      </c>
      <c r="J403" s="30">
        <v>0</v>
      </c>
      <c r="K403" s="36" t="b">
        <v>1</v>
      </c>
      <c r="L403">
        <f>IF(COUNTIFS(tblAccounts[account_id],tblDealDeskAudit[[#This Row],[Account ID]],tblAccounts[employee_count],"")&gt;0,"",_xlfn.XLOOKUP(tblDealDeskAudit[[#This Row],[Account ID]],tblAccounts[account_id],tblAccounts[employee_count],""))</f>
        <v>5</v>
      </c>
      <c r="M40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3">
        <f>COUNTIF(tblApprovals[opportunity_id],tblDealDeskAudit[[#This Row],[Opportunity ID]])</f>
        <v>0</v>
      </c>
      <c r="P40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04" spans="1:16">
      <c r="A404" s="20" t="s">
        <v>2008</v>
      </c>
      <c r="B404" s="21" t="s">
        <v>642</v>
      </c>
      <c r="C404" s="21" t="s">
        <v>5669</v>
      </c>
      <c r="D404" s="29">
        <v>9.3000000000000007</v>
      </c>
      <c r="E404" s="24">
        <v>10884</v>
      </c>
      <c r="F404" s="21" t="s">
        <v>5677</v>
      </c>
      <c r="G404" s="21" t="s">
        <v>5666</v>
      </c>
      <c r="H404" s="21" t="b">
        <v>0</v>
      </c>
      <c r="I404" s="21" t="b">
        <v>0</v>
      </c>
      <c r="J404" s="29">
        <v>6.2</v>
      </c>
      <c r="K404" s="35" t="b">
        <v>1</v>
      </c>
      <c r="L404">
        <f>IF(COUNTIFS(tblAccounts[account_id],tblDealDeskAudit[[#This Row],[Account ID]],tblAccounts[employee_count],"")&gt;0,"",_xlfn.XLOOKUP(tblDealDeskAudit[[#This Row],[Account ID]],tblAccounts[account_id],tblAccounts[employee_count],""))</f>
        <v>45</v>
      </c>
      <c r="M40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4">
        <f>COUNTIF(tblApprovals[opportunity_id],tblDealDeskAudit[[#This Row],[Opportunity ID]])</f>
        <v>0</v>
      </c>
      <c r="P40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05" spans="1:16">
      <c r="A405" s="22" t="s">
        <v>2143</v>
      </c>
      <c r="B405" s="23" t="s">
        <v>92</v>
      </c>
      <c r="C405" s="23" t="s">
        <v>5675</v>
      </c>
      <c r="D405" s="30">
        <v>9.1999999999999993</v>
      </c>
      <c r="E405" s="25">
        <v>10896</v>
      </c>
      <c r="F405" s="23" t="s">
        <v>5665</v>
      </c>
      <c r="G405" s="23" t="s">
        <v>5693</v>
      </c>
      <c r="H405" s="23" t="b">
        <v>0</v>
      </c>
      <c r="I405" s="23" t="b">
        <v>0</v>
      </c>
      <c r="J405" s="30">
        <v>0.7</v>
      </c>
      <c r="K405" s="36" t="b">
        <v>1</v>
      </c>
      <c r="L405">
        <f>IF(COUNTIFS(tblAccounts[account_id],tblDealDeskAudit[[#This Row],[Account ID]],tblAccounts[employee_count],"")&gt;0,"",_xlfn.XLOOKUP(tblDealDeskAudit[[#This Row],[Account ID]],tblAccounts[account_id],tblAccounts[employee_count],""))</f>
        <v>57</v>
      </c>
      <c r="M40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5">
        <f>COUNTIF(tblApprovals[opportunity_id],tblDealDeskAudit[[#This Row],[Opportunity ID]])</f>
        <v>0</v>
      </c>
      <c r="P40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06" spans="1:16">
      <c r="A406" s="20" t="s">
        <v>6243</v>
      </c>
      <c r="B406" s="21" t="s">
        <v>636</v>
      </c>
      <c r="C406" s="21" t="s">
        <v>5663</v>
      </c>
      <c r="D406" s="29">
        <v>9.1</v>
      </c>
      <c r="E406" s="24">
        <v>23634</v>
      </c>
      <c r="F406" s="21" t="s">
        <v>5665</v>
      </c>
      <c r="G406" s="21" t="s">
        <v>5666</v>
      </c>
      <c r="H406" s="21" t="b">
        <v>0</v>
      </c>
      <c r="I406" s="21" t="b">
        <v>0</v>
      </c>
      <c r="J406" s="29">
        <v>0</v>
      </c>
      <c r="K406" s="35" t="b">
        <v>0</v>
      </c>
      <c r="L406">
        <f>IF(COUNTIFS(tblAccounts[account_id],tblDealDeskAudit[[#This Row],[Account ID]],tblAccounts[employee_count],"")&gt;0,"",_xlfn.XLOOKUP(tblDealDeskAudit[[#This Row],[Account ID]],tblAccounts[account_id],tblAccounts[employee_count],""))</f>
        <v>344</v>
      </c>
      <c r="M40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0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06">
        <f>COUNTIF(tblApprovals[opportunity_id],tblDealDeskAudit[[#This Row],[Opportunity ID]])</f>
        <v>0</v>
      </c>
      <c r="P40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07" spans="1:16">
      <c r="A407" s="22" t="s">
        <v>6245</v>
      </c>
      <c r="B407" s="23" t="s">
        <v>623</v>
      </c>
      <c r="C407" s="23" t="s">
        <v>5663</v>
      </c>
      <c r="D407" s="30">
        <v>8.3000000000000007</v>
      </c>
      <c r="E407" s="25">
        <v>11004</v>
      </c>
      <c r="F407" s="23" t="s">
        <v>5735</v>
      </c>
      <c r="G407" s="23" t="s">
        <v>5666</v>
      </c>
      <c r="H407" s="23" t="b">
        <v>0</v>
      </c>
      <c r="I407" s="23" t="b">
        <v>0</v>
      </c>
      <c r="J407" s="30">
        <v>9.9</v>
      </c>
      <c r="K407" s="36" t="b">
        <v>1</v>
      </c>
      <c r="L407">
        <f>IF(COUNTIFS(tblAccounts[account_id],tblDealDeskAudit[[#This Row],[Account ID]],tblAccounts[employee_count],"")&gt;0,"",_xlfn.XLOOKUP(tblDealDeskAudit[[#This Row],[Account ID]],tblAccounts[account_id],tblAccounts[employee_count],""))</f>
        <v>96</v>
      </c>
      <c r="M40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7">
        <f>COUNTIF(tblApprovals[opportunity_id],tblDealDeskAudit[[#This Row],[Opportunity ID]])</f>
        <v>0</v>
      </c>
      <c r="P40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08" spans="1:16">
      <c r="A408" s="20" t="s">
        <v>6246</v>
      </c>
      <c r="B408" s="21" t="s">
        <v>754</v>
      </c>
      <c r="C408" s="21" t="s">
        <v>5681</v>
      </c>
      <c r="D408" s="29">
        <v>7</v>
      </c>
      <c r="E408" s="24">
        <v>46500</v>
      </c>
      <c r="F408" s="21" t="s">
        <v>5665</v>
      </c>
      <c r="G408" s="21" t="s">
        <v>5666</v>
      </c>
      <c r="H408" s="21" t="b">
        <v>0</v>
      </c>
      <c r="I408" s="21" t="b">
        <v>0</v>
      </c>
      <c r="J408" s="29">
        <v>6.3</v>
      </c>
      <c r="K408" s="35" t="b">
        <v>0</v>
      </c>
      <c r="L408">
        <f>IF(COUNTIFS(tblAccounts[account_id],tblDealDeskAudit[[#This Row],[Account ID]],tblAccounts[employee_count],"")&gt;0,"",_xlfn.XLOOKUP(tblDealDeskAudit[[#This Row],[Account ID]],tblAccounts[account_id],tblAccounts[employee_count],""))</f>
        <v>1853</v>
      </c>
      <c r="M40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0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08">
        <f>COUNTIF(tblApprovals[opportunity_id],tblDealDeskAudit[[#This Row],[Opportunity ID]])</f>
        <v>0</v>
      </c>
      <c r="P40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09" spans="1:16">
      <c r="A409" s="22" t="s">
        <v>6247</v>
      </c>
      <c r="B409" s="23" t="s">
        <v>308</v>
      </c>
      <c r="C409" s="23" t="s">
        <v>5669</v>
      </c>
      <c r="D409" s="30">
        <v>21.7</v>
      </c>
      <c r="E409" s="25">
        <v>23490</v>
      </c>
      <c r="F409" s="23" t="s">
        <v>5665</v>
      </c>
      <c r="G409" s="23" t="s">
        <v>5666</v>
      </c>
      <c r="H409" s="23" t="b">
        <v>0</v>
      </c>
      <c r="I409" s="23" t="b">
        <v>0</v>
      </c>
      <c r="J409" s="30">
        <v>0.8</v>
      </c>
      <c r="K409" s="36" t="b">
        <v>1</v>
      </c>
      <c r="L409">
        <f>IF(COUNTIFS(tblAccounts[account_id],tblDealDeskAudit[[#This Row],[Account ID]],tblAccounts[employee_count],"")&gt;0,"",_xlfn.XLOOKUP(tblDealDeskAudit[[#This Row],[Account ID]],tblAccounts[account_id],tblAccounts[employee_count],""))</f>
        <v>67</v>
      </c>
      <c r="M40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0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09">
        <f>COUNTIF(tblApprovals[opportunity_id],tblDealDeskAudit[[#This Row],[Opportunity ID]])</f>
        <v>2</v>
      </c>
      <c r="P40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10" spans="1:16">
      <c r="A410" s="20" t="s">
        <v>2414</v>
      </c>
      <c r="B410" s="21" t="s">
        <v>453</v>
      </c>
      <c r="C410" s="21" t="s">
        <v>5675</v>
      </c>
      <c r="D410" s="29">
        <v>4.0999999999999996</v>
      </c>
      <c r="E410" s="24">
        <v>11508</v>
      </c>
      <c r="F410" s="21" t="s">
        <v>5665</v>
      </c>
      <c r="G410" s="21" t="s">
        <v>5666</v>
      </c>
      <c r="H410" s="21" t="b">
        <v>0</v>
      </c>
      <c r="I410" s="21" t="b">
        <v>0</v>
      </c>
      <c r="J410" s="29">
        <v>1.5</v>
      </c>
      <c r="K410" s="35" t="b">
        <v>0</v>
      </c>
      <c r="L410">
        <f>IF(COUNTIFS(tblAccounts[account_id],tblDealDeskAudit[[#This Row],[Account ID]],tblAccounts[employee_count],"")&gt;0,"",_xlfn.XLOOKUP(tblDealDeskAudit[[#This Row],[Account ID]],tblAccounts[account_id],tblAccounts[employee_count],""))</f>
        <v>162</v>
      </c>
      <c r="M41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1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10">
        <f>COUNTIF(tblApprovals[opportunity_id],tblDealDeskAudit[[#This Row],[Opportunity ID]])</f>
        <v>0</v>
      </c>
      <c r="P41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11" spans="1:16">
      <c r="A411" s="22" t="s">
        <v>1887</v>
      </c>
      <c r="B411" s="23" t="s">
        <v>729</v>
      </c>
      <c r="C411" s="23" t="s">
        <v>5675</v>
      </c>
      <c r="D411" s="30">
        <v>3.9</v>
      </c>
      <c r="E411" s="25">
        <v>28830</v>
      </c>
      <c r="F411" s="23" t="s">
        <v>5665</v>
      </c>
      <c r="G411" s="23" t="s">
        <v>5666</v>
      </c>
      <c r="H411" s="23" t="b">
        <v>0</v>
      </c>
      <c r="I411" s="23" t="b">
        <v>0</v>
      </c>
      <c r="J411" s="30">
        <v>2.2999999999999998</v>
      </c>
      <c r="K411" s="36" t="b">
        <v>0</v>
      </c>
      <c r="L411">
        <f>IF(COUNTIFS(tblAccounts[account_id],tblDealDeskAudit[[#This Row],[Account ID]],tblAccounts[employee_count],"")&gt;0,"",_xlfn.XLOOKUP(tblDealDeskAudit[[#This Row],[Account ID]],tblAccounts[account_id],tblAccounts[employee_count],""))</f>
        <v>365</v>
      </c>
      <c r="M41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1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11">
        <f>COUNTIF(tblApprovals[opportunity_id],tblDealDeskAudit[[#This Row],[Opportunity ID]])</f>
        <v>0</v>
      </c>
      <c r="P41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12" spans="1:16">
      <c r="A412" s="20" t="s">
        <v>6249</v>
      </c>
      <c r="B412" s="21" t="s">
        <v>891</v>
      </c>
      <c r="C412" s="21" t="s">
        <v>5686</v>
      </c>
      <c r="D412" s="29">
        <v>2.2000000000000002</v>
      </c>
      <c r="E412" s="24">
        <v>62592</v>
      </c>
      <c r="F412" s="21" t="s">
        <v>5665</v>
      </c>
      <c r="G412" s="21" t="s">
        <v>5780</v>
      </c>
      <c r="H412" s="21" t="b">
        <v>0</v>
      </c>
      <c r="I412" s="21" t="b">
        <v>0</v>
      </c>
      <c r="J412" s="29">
        <v>23.3</v>
      </c>
      <c r="K412" s="35" t="b">
        <v>0</v>
      </c>
      <c r="L412">
        <f>IF(COUNTIFS(tblAccounts[account_id],tblDealDeskAudit[[#This Row],[Account ID]],tblAccounts[employee_count],"")&gt;0,"",_xlfn.XLOOKUP(tblDealDeskAudit[[#This Row],[Account ID]],tblAccounts[account_id],tblAccounts[employee_count],""))</f>
        <v>761</v>
      </c>
      <c r="M41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1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Missed Required Flag</v>
      </c>
      <c r="O412">
        <f>COUNTIF(tblApprovals[opportunity_id],tblDealDeskAudit[[#This Row],[Opportunity ID]])</f>
        <v>1</v>
      </c>
      <c r="P41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13" spans="1:16">
      <c r="A413" s="22" t="s">
        <v>6250</v>
      </c>
      <c r="B413" s="23" t="s">
        <v>1031</v>
      </c>
      <c r="C413" s="23" t="s">
        <v>5681</v>
      </c>
      <c r="D413" s="30">
        <v>8.9</v>
      </c>
      <c r="E413" s="25">
        <v>80168</v>
      </c>
      <c r="F413" s="23" t="s">
        <v>5665</v>
      </c>
      <c r="G413" s="23" t="s">
        <v>5666</v>
      </c>
      <c r="H413" s="23" t="b">
        <v>0</v>
      </c>
      <c r="I413" s="23" t="b">
        <v>0</v>
      </c>
      <c r="J413" s="30">
        <v>2</v>
      </c>
      <c r="K413" s="36" t="b">
        <v>0</v>
      </c>
      <c r="L413">
        <f>IF(COUNTIFS(tblAccounts[account_id],tblDealDeskAudit[[#This Row],[Account ID]],tblAccounts[employee_count],"")&gt;0,"",_xlfn.XLOOKUP(tblDealDeskAudit[[#This Row],[Account ID]],tblAccounts[account_id],tblAccounts[employee_count],""))</f>
        <v>1614</v>
      </c>
      <c r="M41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1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13">
        <f>COUNTIF(tblApprovals[opportunity_id],tblDealDeskAudit[[#This Row],[Opportunity ID]])</f>
        <v>0</v>
      </c>
      <c r="P41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14" spans="1:16">
      <c r="A414" s="20" t="s">
        <v>6251</v>
      </c>
      <c r="B414" s="21" t="s">
        <v>246</v>
      </c>
      <c r="C414" s="21" t="s">
        <v>5663</v>
      </c>
      <c r="D414" s="29">
        <v>10</v>
      </c>
      <c r="E414" s="24">
        <v>21600</v>
      </c>
      <c r="F414" s="21" t="s">
        <v>5688</v>
      </c>
      <c r="G414" s="21" t="s">
        <v>5666</v>
      </c>
      <c r="H414" s="21" t="b">
        <v>0</v>
      </c>
      <c r="I414" s="21" t="b">
        <v>0</v>
      </c>
      <c r="J414" s="29">
        <v>0</v>
      </c>
      <c r="K414" s="35" t="b">
        <v>1</v>
      </c>
      <c r="L414">
        <f>IF(COUNTIFS(tblAccounts[account_id],tblDealDeskAudit[[#This Row],[Account ID]],tblAccounts[employee_count],"")&gt;0,"",_xlfn.XLOOKUP(tblDealDeskAudit[[#This Row],[Account ID]],tblAccounts[account_id],tblAccounts[employee_count],""))</f>
        <v>2096</v>
      </c>
      <c r="M41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1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14">
        <f>COUNTIF(tblApprovals[opportunity_id],tblDealDeskAudit[[#This Row],[Opportunity ID]])</f>
        <v>1</v>
      </c>
      <c r="P41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415" spans="1:16">
      <c r="A415" s="22" t="s">
        <v>6253</v>
      </c>
      <c r="B415" s="23" t="s">
        <v>723</v>
      </c>
      <c r="C415" s="23" t="s">
        <v>5663</v>
      </c>
      <c r="D415" s="30">
        <v>16.2</v>
      </c>
      <c r="E415" s="25">
        <v>50280</v>
      </c>
      <c r="F415" s="23" t="s">
        <v>5665</v>
      </c>
      <c r="G415" s="23" t="s">
        <v>5666</v>
      </c>
      <c r="H415" s="23" t="b">
        <v>0</v>
      </c>
      <c r="I415" s="23" t="b">
        <v>0</v>
      </c>
      <c r="J415" s="30">
        <v>0.7</v>
      </c>
      <c r="K415" s="36" t="b">
        <v>1</v>
      </c>
      <c r="L415">
        <f>IF(COUNTIFS(tblAccounts[account_id],tblDealDeskAudit[[#This Row],[Account ID]],tblAccounts[employee_count],"")&gt;0,"",_xlfn.XLOOKUP(tblDealDeskAudit[[#This Row],[Account ID]],tblAccounts[account_id],tblAccounts[employee_count],""))</f>
        <v>1910</v>
      </c>
      <c r="M41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1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15">
        <f>COUNTIF(tblApprovals[opportunity_id],tblDealDeskAudit[[#This Row],[Opportunity ID]])</f>
        <v>1</v>
      </c>
      <c r="P41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416" spans="1:16">
      <c r="A416" s="20" t="s">
        <v>6254</v>
      </c>
      <c r="B416" s="21" t="s">
        <v>626</v>
      </c>
      <c r="C416" s="21" t="s">
        <v>5663</v>
      </c>
      <c r="D416" s="29">
        <v>4.0999999999999996</v>
      </c>
      <c r="E416" s="24">
        <v>13426</v>
      </c>
      <c r="F416" s="21" t="s">
        <v>5665</v>
      </c>
      <c r="G416" s="21" t="s">
        <v>5666</v>
      </c>
      <c r="H416" s="21" t="b">
        <v>0</v>
      </c>
      <c r="I416" s="21" t="b">
        <v>0</v>
      </c>
      <c r="J416" s="29">
        <v>0</v>
      </c>
      <c r="K416" s="35" t="b">
        <v>0</v>
      </c>
      <c r="L416">
        <f>IF(COUNTIFS(tblAccounts[account_id],tblDealDeskAudit[[#This Row],[Account ID]],tblAccounts[employee_count],"")&gt;0,"",_xlfn.XLOOKUP(tblDealDeskAudit[[#This Row],[Account ID]],tblAccounts[account_id],tblAccounts[employee_count],""))</f>
        <v>516</v>
      </c>
      <c r="M41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1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16">
        <f>COUNTIF(tblApprovals[opportunity_id],tblDealDeskAudit[[#This Row],[Opportunity ID]])</f>
        <v>0</v>
      </c>
      <c r="P41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17" spans="1:16">
      <c r="A417" s="22" t="s">
        <v>6255</v>
      </c>
      <c r="B417" s="23" t="s">
        <v>199</v>
      </c>
      <c r="C417" s="23" t="s">
        <v>5663</v>
      </c>
      <c r="D417" s="30">
        <v>4</v>
      </c>
      <c r="E417" s="25">
        <v>46080</v>
      </c>
      <c r="F417" s="23" t="s">
        <v>5665</v>
      </c>
      <c r="G417" s="23" t="s">
        <v>5666</v>
      </c>
      <c r="H417" s="23" t="b">
        <v>0</v>
      </c>
      <c r="I417" s="23" t="b">
        <v>0</v>
      </c>
      <c r="J417" s="30">
        <v>4</v>
      </c>
      <c r="K417" s="36" t="b">
        <v>0</v>
      </c>
      <c r="L417">
        <f>IF(COUNTIFS(tblAccounts[account_id],tblDealDeskAudit[[#This Row],[Account ID]],tblAccounts[employee_count],"")&gt;0,"",_xlfn.XLOOKUP(tblDealDeskAudit[[#This Row],[Account ID]],tblAccounts[account_id],tblAccounts[employee_count],""))</f>
        <v>56</v>
      </c>
      <c r="M417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17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17">
        <f>COUNTIF(tblApprovals[opportunity_id],tblDealDeskAudit[[#This Row],[Opportunity ID]])</f>
        <v>0</v>
      </c>
      <c r="P417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18" spans="1:16">
      <c r="A418" s="20" t="s">
        <v>6257</v>
      </c>
      <c r="B418" s="21" t="s">
        <v>392</v>
      </c>
      <c r="C418" s="21" t="s">
        <v>5663</v>
      </c>
      <c r="D418" s="29">
        <v>22.6</v>
      </c>
      <c r="E418" s="24">
        <v>4644</v>
      </c>
      <c r="F418" s="21" t="s">
        <v>5665</v>
      </c>
      <c r="G418" s="21" t="s">
        <v>5666</v>
      </c>
      <c r="H418" s="21" t="b">
        <v>1</v>
      </c>
      <c r="I418" s="21" t="b">
        <v>1</v>
      </c>
      <c r="J418" s="29">
        <v>0</v>
      </c>
      <c r="K418" s="35" t="b">
        <v>1</v>
      </c>
      <c r="L418">
        <f>IF(COUNTIFS(tblAccounts[account_id],tblDealDeskAudit[[#This Row],[Account ID]],tblAccounts[employee_count],"")&gt;0,"",_xlfn.XLOOKUP(tblDealDeskAudit[[#This Row],[Account ID]],tblAccounts[account_id],tblAccounts[employee_count],""))</f>
        <v>1191</v>
      </c>
      <c r="M418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18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18">
        <f>COUNTIF(tblApprovals[opportunity_id],tblDealDeskAudit[[#This Row],[Opportunity ID]])</f>
        <v>0</v>
      </c>
      <c r="P418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19" spans="1:16">
      <c r="A419" s="22" t="s">
        <v>6259</v>
      </c>
      <c r="B419" s="23" t="s">
        <v>939</v>
      </c>
      <c r="C419" s="23" t="s">
        <v>5669</v>
      </c>
      <c r="D419" s="30">
        <v>8.6</v>
      </c>
      <c r="E419" s="25">
        <v>65808</v>
      </c>
      <c r="F419" s="23" t="s">
        <v>5665</v>
      </c>
      <c r="G419" s="23" t="s">
        <v>5666</v>
      </c>
      <c r="H419" s="23" t="b">
        <v>0</v>
      </c>
      <c r="I419" s="23" t="b">
        <v>0</v>
      </c>
      <c r="J419" s="30">
        <v>12.2</v>
      </c>
      <c r="K419" s="36" t="b">
        <v>0</v>
      </c>
      <c r="L419">
        <f>IF(COUNTIFS(tblAccounts[account_id],tblDealDeskAudit[[#This Row],[Account ID]],tblAccounts[employee_count],"")&gt;0,"",_xlfn.XLOOKUP(tblDealDeskAudit[[#This Row],[Account ID]],tblAccounts[account_id],tblAccounts[employee_count],""))</f>
        <v>612</v>
      </c>
      <c r="M419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19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19">
        <f>COUNTIF(tblApprovals[opportunity_id],tblDealDeskAudit[[#This Row],[Opportunity ID]])</f>
        <v>0</v>
      </c>
      <c r="P419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20" spans="1:16">
      <c r="A420" s="20" t="s">
        <v>6260</v>
      </c>
      <c r="B420" s="21" t="s">
        <v>491</v>
      </c>
      <c r="C420" s="21" t="s">
        <v>5663</v>
      </c>
      <c r="D420" s="29">
        <v>10.9</v>
      </c>
      <c r="E420" s="24">
        <v>81972</v>
      </c>
      <c r="F420" s="21" t="s">
        <v>5665</v>
      </c>
      <c r="G420" s="21" t="s">
        <v>5666</v>
      </c>
      <c r="H420" s="21" t="b">
        <v>0</v>
      </c>
      <c r="I420" s="21" t="b">
        <v>0</v>
      </c>
      <c r="J420" s="29">
        <v>10.7</v>
      </c>
      <c r="K420" s="35" t="b">
        <v>1</v>
      </c>
      <c r="L420">
        <f>IF(COUNTIFS(tblAccounts[account_id],tblDealDeskAudit[[#This Row],[Account ID]],tblAccounts[employee_count],"")&gt;0,"",_xlfn.XLOOKUP(tblDealDeskAudit[[#This Row],[Account ID]],tblAccounts[account_id],tblAccounts[employee_count],""))</f>
        <v>2121</v>
      </c>
      <c r="M420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20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20">
        <f>COUNTIF(tblApprovals[opportunity_id],tblDealDeskAudit[[#This Row],[Opportunity ID]])</f>
        <v>0</v>
      </c>
      <c r="P420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  <row r="421" spans="1:16">
      <c r="A421" s="22" t="s">
        <v>6261</v>
      </c>
      <c r="B421" s="23" t="s">
        <v>660</v>
      </c>
      <c r="C421" s="23" t="s">
        <v>5663</v>
      </c>
      <c r="D421" s="30">
        <v>6.8</v>
      </c>
      <c r="E421" s="25">
        <v>7456</v>
      </c>
      <c r="F421" s="23" t="s">
        <v>5665</v>
      </c>
      <c r="G421" s="23" t="s">
        <v>5666</v>
      </c>
      <c r="H421" s="23" t="b">
        <v>0</v>
      </c>
      <c r="I421" s="23" t="b">
        <v>0</v>
      </c>
      <c r="J421" s="30">
        <v>0</v>
      </c>
      <c r="K421" s="36" t="b">
        <v>0</v>
      </c>
      <c r="L421">
        <f>IF(COUNTIFS(tblAccounts[account_id],tblDealDeskAudit[[#This Row],[Account ID]],tblAccounts[employee_count],"")&gt;0,"",_xlfn.XLOOKUP(tblDealDeskAudit[[#This Row],[Account ID]],tblAccounts[account_id],tblAccounts[employee_count],""))</f>
        <v>74</v>
      </c>
      <c r="M421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21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21">
        <f>COUNTIF(tblApprovals[opportunity_id],tblDealDeskAudit[[#This Row],[Opportunity ID]])</f>
        <v>0</v>
      </c>
      <c r="P421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22" spans="1:16">
      <c r="A422" s="20" t="s">
        <v>6263</v>
      </c>
      <c r="B422" s="21" t="s">
        <v>774</v>
      </c>
      <c r="C422" s="21" t="s">
        <v>5669</v>
      </c>
      <c r="D422" s="29">
        <v>9.4</v>
      </c>
      <c r="E422" s="24">
        <v>32616</v>
      </c>
      <c r="F422" s="21" t="s">
        <v>5665</v>
      </c>
      <c r="G422" s="21" t="s">
        <v>5666</v>
      </c>
      <c r="H422" s="21" t="b">
        <v>0</v>
      </c>
      <c r="I422" s="21" t="b">
        <v>1</v>
      </c>
      <c r="J422" s="29">
        <v>15.9</v>
      </c>
      <c r="K422" s="35" t="b">
        <v>1</v>
      </c>
      <c r="L422">
        <f>IF(COUNTIFS(tblAccounts[account_id],tblDealDeskAudit[[#This Row],[Account ID]],tblAccounts[employee_count],"")&gt;0,"",_xlfn.XLOOKUP(tblDealDeskAudit[[#This Row],[Account ID]],tblAccounts[account_id],tblAccounts[employee_count],""))</f>
        <v>283</v>
      </c>
      <c r="M422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22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22">
        <f>COUNTIF(tblApprovals[opportunity_id],tblDealDeskAudit[[#This Row],[Opportunity ID]])</f>
        <v>0</v>
      </c>
      <c r="P422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23" spans="1:16">
      <c r="A423" s="22" t="s">
        <v>2392</v>
      </c>
      <c r="B423" s="23" t="s">
        <v>392</v>
      </c>
      <c r="C423" s="23" t="s">
        <v>5675</v>
      </c>
      <c r="D423" s="30">
        <v>9.5</v>
      </c>
      <c r="E423" s="25">
        <v>61540</v>
      </c>
      <c r="F423" s="23" t="s">
        <v>5688</v>
      </c>
      <c r="G423" s="23" t="s">
        <v>5666</v>
      </c>
      <c r="H423" s="23" t="b">
        <v>1</v>
      </c>
      <c r="I423" s="23" t="b">
        <v>0</v>
      </c>
      <c r="J423" s="30">
        <v>10</v>
      </c>
      <c r="K423" s="36" t="b">
        <v>1</v>
      </c>
      <c r="L423">
        <f>IF(COUNTIFS(tblAccounts[account_id],tblDealDeskAudit[[#This Row],[Account ID]],tblAccounts[employee_count],"")&gt;0,"",_xlfn.XLOOKUP(tblDealDeskAudit[[#This Row],[Account ID]],tblAccounts[account_id],tblAccounts[employee_count],""))</f>
        <v>1191</v>
      </c>
      <c r="M423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23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23">
        <f>COUNTIF(tblApprovals[opportunity_id],tblDealDeskAudit[[#This Row],[Opportunity ID]])</f>
        <v>1</v>
      </c>
      <c r="P423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Approval Evidence Present</v>
      </c>
    </row>
    <row r="424" spans="1:16">
      <c r="A424" s="20" t="s">
        <v>2385</v>
      </c>
      <c r="B424" s="21" t="s">
        <v>425</v>
      </c>
      <c r="C424" s="21" t="s">
        <v>5663</v>
      </c>
      <c r="D424" s="29">
        <v>7</v>
      </c>
      <c r="E424" s="24">
        <v>18600</v>
      </c>
      <c r="F424" s="21" t="s">
        <v>5665</v>
      </c>
      <c r="G424" s="21" t="s">
        <v>5666</v>
      </c>
      <c r="H424" s="21" t="b">
        <v>0</v>
      </c>
      <c r="I424" s="21" t="b">
        <v>0</v>
      </c>
      <c r="J424" s="29">
        <v>3.3</v>
      </c>
      <c r="K424" s="35" t="b">
        <v>0</v>
      </c>
      <c r="L424">
        <f>IF(COUNTIFS(tblAccounts[account_id],tblDealDeskAudit[[#This Row],[Account ID]],tblAccounts[employee_count],"")&gt;0,"",_xlfn.XLOOKUP(tblDealDeskAudit[[#This Row],[Account ID]],tblAccounts[account_id],tblAccounts[employee_count],""))</f>
        <v>69</v>
      </c>
      <c r="M424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24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24">
        <f>COUNTIF(tblApprovals[opportunity_id],tblDealDeskAudit[[#This Row],[Opportunity ID]])</f>
        <v>0</v>
      </c>
      <c r="P424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Not Required</v>
      </c>
    </row>
    <row r="425" spans="1:16">
      <c r="A425" s="22" t="s">
        <v>2476</v>
      </c>
      <c r="B425" s="23" t="s">
        <v>485</v>
      </c>
      <c r="C425" s="23" t="s">
        <v>5725</v>
      </c>
      <c r="D425" s="30">
        <v>7.1</v>
      </c>
      <c r="E425" s="25">
        <v>27870</v>
      </c>
      <c r="F425" s="23" t="s">
        <v>5665</v>
      </c>
      <c r="G425" s="23" t="s">
        <v>5666</v>
      </c>
      <c r="H425" s="23" t="b">
        <v>0</v>
      </c>
      <c r="I425" s="23" t="b">
        <v>0</v>
      </c>
      <c r="J425" s="30">
        <v>19.399999999999999</v>
      </c>
      <c r="K425" s="36" t="b">
        <v>0</v>
      </c>
      <c r="L425">
        <f>IF(COUNTIFS(tblAccounts[account_id],tblDealDeskAudit[[#This Row],[Account ID]],tblAccounts[employee_count],"")&gt;0,"",_xlfn.XLOOKUP(tblDealDeskAudit[[#This Row],[Account ID]],tblAccounts[account_id],tblAccounts[employee_count],""))</f>
        <v>731</v>
      </c>
      <c r="M425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0</v>
      </c>
      <c r="N425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Not Flagged</v>
      </c>
      <c r="O425">
        <f>COUNTIF(tblApprovals[opportunity_id],tblDealDeskAudit[[#This Row],[Opportunity ID]])</f>
        <v>0</v>
      </c>
      <c r="P425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Open</v>
      </c>
    </row>
    <row r="426" spans="1:16">
      <c r="A426" s="20" t="s">
        <v>1513</v>
      </c>
      <c r="B426" s="21" t="s">
        <v>786</v>
      </c>
      <c r="C426" s="21" t="s">
        <v>5675</v>
      </c>
      <c r="D426" s="29">
        <v>6.5</v>
      </c>
      <c r="E426" s="24">
        <v>28050</v>
      </c>
      <c r="F426" s="21" t="s">
        <v>5665</v>
      </c>
      <c r="G426" s="21" t="s">
        <v>5693</v>
      </c>
      <c r="H426" s="21" t="b">
        <v>1</v>
      </c>
      <c r="I426" s="21" t="b">
        <v>0</v>
      </c>
      <c r="J426" s="29">
        <v>3.2</v>
      </c>
      <c r="K426" s="35" t="b">
        <v>1</v>
      </c>
      <c r="L426">
        <f>IF(COUNTIFS(tblAccounts[account_id],tblDealDeskAudit[[#This Row],[Account ID]],tblAccounts[employee_count],"")&gt;0,"",_xlfn.XLOOKUP(tblDealDeskAudit[[#This Row],[Account ID]],tblAccounts[account_id],tblAccounts[employee_count],""))</f>
        <v>68</v>
      </c>
      <c r="M426" t="b">
        <f>OR(tblDealDeskAudit[[#This Row],[Discount %]]&gt;10,tblDealDeskAudit[[#This Row],[Net ARR]]&gt;=100000,AND(tblDealDeskAudit[[#This Row],[Payment Terms]]&lt;&gt;"",tblDealDeskAudit[[#This Row],[Payment Terms]]&lt;&gt;"Net 30"),AND(tblDealDeskAudit[[#This Row],[Billing Schedule]]&lt;&gt;"",tblDealDeskAudit[[#This Row],[Billing Schedule]]&lt;&gt;"Annual in Advance"),tblDealDeskAudit[[#This Row],[Custom Pricing]]=TRUE,tblDealDeskAudit[[#This Row],[Nonstandard Contract Terms]]=TRUE,tblDealDeskAudit[[#This Row],[Implementation Discount %]]&gt;20,AND(tblDealDeskAudit[[#This Row],[Employee Count]]&lt;&gt;"",OR(tblDealDeskAudit[[#This Row],[Employee Count]]&lt;20,tblDealDeskAudit[[#This Row],[Employee Count]]&gt;=2500)))</f>
        <v>1</v>
      </c>
      <c r="N426" t="str">
        <f>IF(AND(tblDealDeskAudit[[#This Row],[Actual Deal Desk Required]]=TRUE,tblDealDeskAudit[[#This Row],[Expected Deal Desk Required]]=TRUE),"Correctly Flagged",IF(AND(tblDealDeskAudit[[#This Row],[Actual Deal Desk Required]]=FALSE,tblDealDeskAudit[[#This Row],[Expected Deal Desk Required]]=FALSE),"Correctly Not Flagged",IF(AND(tblDealDeskAudit[[#This Row],[Actual Deal Desk Required]]=FALSE,tblDealDeskAudit[[#This Row],[Expected Deal Desk Required]]=TRUE),"Missed Required Flag","Unnecessary Flag")))</f>
        <v>Correctly Flagged</v>
      </c>
      <c r="O426">
        <f>COUNTIF(tblApprovals[opportunity_id],tblDealDeskAudit[[#This Row],[Opportunity ID]])</f>
        <v>0</v>
      </c>
      <c r="P426" t="str">
        <f>IF(OR(tblDealDeskAudit[[#This Row],[Stage]]="Closed Won",tblDealDeskAudit[[#This Row],[Stage]]="Closed Lost"),IF(tblDealDeskAudit[[#This Row],[Expected Deal Desk Required]]=TRUE,IF(tblDealDeskAudit[[#This Row],[Approval Record Count]]&gt;0,"Approval Evidence Present","Missing Approval Evidence"),"Not Required"),"Open")</f>
        <v>Missing Approval Evidence</v>
      </c>
    </row>
  </sheetData>
  <conditionalFormatting sqref="N1:N1048576">
    <cfRule type="containsText" dxfId="9" priority="3" operator="containsText" text="Missed Required Flag">
      <formula>NOT(ISERROR(SEARCH("Missed Required Flag",N1)))</formula>
    </cfRule>
    <cfRule type="containsText" dxfId="8" priority="4" operator="containsText" text="Unnecessary Flag">
      <formula>NOT(ISERROR(SEARCH("Unnecessary Flag",N1)))</formula>
    </cfRule>
    <cfRule type="containsText" dxfId="7" priority="5" operator="containsText" text="Unneccesary Flag">
      <formula>NOT(ISERROR(SEARCH("Unneccesary Flag",N1)))</formula>
    </cfRule>
    <cfRule type="containsText" dxfId="6" priority="6" operator="containsText" text="Correctly Flagged">
      <formula>NOT(ISERROR(SEARCH("Correctly Flagged",N1)))</formula>
    </cfRule>
    <cfRule type="containsText" dxfId="5" priority="7" operator="containsText" text="Correctly Not Flagged">
      <formula>NOT(ISERROR(SEARCH("Correctly Not Flagged",N1)))</formula>
    </cfRule>
  </conditionalFormatting>
  <conditionalFormatting sqref="P1:P1048576">
    <cfRule type="containsText" dxfId="4" priority="1" operator="containsText" text="Missing Approval Evidence">
      <formula>NOT(ISERROR(SEARCH("Missing Approval Evidence",P1)))</formula>
    </cfRule>
    <cfRule type="containsText" dxfId="3" priority="2" operator="containsText" text="Approval Evidence Present">
      <formula>NOT(ISERROR(SEARCH("Approval Evidence Present",P1)))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9A9B-A95F-4C35-B65C-5063CD2E653D}">
  <dimension ref="A1:G34"/>
  <sheetViews>
    <sheetView zoomScale="90" zoomScaleNormal="90" workbookViewId="0">
      <selection sqref="A1:F1"/>
    </sheetView>
  </sheetViews>
  <sheetFormatPr defaultRowHeight="15"/>
  <cols>
    <col min="1" max="1" width="23" bestFit="1" customWidth="1"/>
    <col min="2" max="2" width="15.28515625" bestFit="1" customWidth="1"/>
    <col min="3" max="3" width="15.5703125" bestFit="1" customWidth="1"/>
    <col min="4" max="4" width="5.5703125" bestFit="1" customWidth="1"/>
    <col min="5" max="5" width="20" bestFit="1" customWidth="1"/>
    <col min="6" max="6" width="18.140625" bestFit="1" customWidth="1"/>
    <col min="7" max="7" width="23.140625" bestFit="1" customWidth="1"/>
    <col min="8" max="8" width="23" bestFit="1" customWidth="1"/>
    <col min="9" max="9" width="15.28515625" bestFit="1" customWidth="1"/>
    <col min="10" max="10" width="28" bestFit="1" customWidth="1"/>
    <col min="11" max="11" width="20.28515625" bestFit="1" customWidth="1"/>
    <col min="12" max="12" width="28" bestFit="1" customWidth="1"/>
    <col min="13" max="13" width="20.28515625" bestFit="1" customWidth="1"/>
  </cols>
  <sheetData>
    <row r="1" spans="1:7">
      <c r="A1" s="42" t="s">
        <v>6533</v>
      </c>
      <c r="B1" s="42"/>
      <c r="C1" s="42"/>
      <c r="D1" s="42"/>
      <c r="E1" s="42"/>
      <c r="F1" s="42"/>
    </row>
    <row r="3" spans="1:7">
      <c r="A3" s="37" t="s">
        <v>6531</v>
      </c>
      <c r="B3" s="37" t="s">
        <v>6530</v>
      </c>
    </row>
    <row r="4" spans="1:7">
      <c r="A4" s="37" t="s">
        <v>6528</v>
      </c>
      <c r="B4" s="41" t="s">
        <v>6278</v>
      </c>
      <c r="C4" s="41" t="s">
        <v>6279</v>
      </c>
      <c r="D4" s="41" t="s">
        <v>6280</v>
      </c>
      <c r="E4" s="41" t="s">
        <v>6281</v>
      </c>
      <c r="F4" s="41" t="s">
        <v>6529</v>
      </c>
    </row>
    <row r="5" spans="1:7">
      <c r="A5" s="38" t="s">
        <v>5725</v>
      </c>
      <c r="B5" s="39">
        <v>12</v>
      </c>
      <c r="C5" s="39">
        <v>5</v>
      </c>
      <c r="D5" s="39">
        <v>3</v>
      </c>
      <c r="E5" s="39"/>
      <c r="F5" s="39">
        <v>20</v>
      </c>
    </row>
    <row r="6" spans="1:7">
      <c r="A6" s="38" t="s">
        <v>5686</v>
      </c>
      <c r="B6" s="39">
        <v>24</v>
      </c>
      <c r="C6" s="39">
        <v>4</v>
      </c>
      <c r="D6" s="39">
        <v>4</v>
      </c>
      <c r="E6" s="39">
        <v>3</v>
      </c>
      <c r="F6" s="39">
        <v>35</v>
      </c>
    </row>
    <row r="7" spans="1:7">
      <c r="A7" s="38" t="s">
        <v>5740</v>
      </c>
      <c r="B7" s="39">
        <v>12</v>
      </c>
      <c r="C7" s="39">
        <v>5</v>
      </c>
      <c r="D7" s="39">
        <v>2</v>
      </c>
      <c r="E7" s="39">
        <v>1</v>
      </c>
      <c r="F7" s="39">
        <v>20</v>
      </c>
    </row>
    <row r="8" spans="1:7">
      <c r="A8" s="38" t="s">
        <v>5669</v>
      </c>
      <c r="B8" s="39">
        <v>19</v>
      </c>
      <c r="C8" s="39">
        <v>2</v>
      </c>
      <c r="D8" s="39">
        <v>4</v>
      </c>
      <c r="E8" s="39"/>
      <c r="F8" s="39">
        <v>25</v>
      </c>
    </row>
    <row r="9" spans="1:7">
      <c r="A9" s="38" t="s">
        <v>5681</v>
      </c>
      <c r="B9" s="39">
        <v>22</v>
      </c>
      <c r="C9" s="39">
        <v>5</v>
      </c>
      <c r="D9" s="39">
        <v>2</v>
      </c>
      <c r="E9" s="39">
        <v>1</v>
      </c>
      <c r="F9" s="39">
        <v>30</v>
      </c>
    </row>
    <row r="10" spans="1:7">
      <c r="A10" s="38" t="s">
        <v>5691</v>
      </c>
      <c r="B10" s="39">
        <v>18</v>
      </c>
      <c r="C10" s="39">
        <v>3</v>
      </c>
      <c r="D10" s="39">
        <v>9</v>
      </c>
      <c r="E10" s="39"/>
      <c r="F10" s="39">
        <v>30</v>
      </c>
    </row>
    <row r="11" spans="1:7">
      <c r="A11" s="38" t="s">
        <v>6529</v>
      </c>
      <c r="B11" s="39">
        <v>107</v>
      </c>
      <c r="C11" s="39">
        <v>24</v>
      </c>
      <c r="D11" s="39">
        <v>24</v>
      </c>
      <c r="E11" s="39">
        <v>5</v>
      </c>
      <c r="F11" s="39">
        <v>160</v>
      </c>
    </row>
    <row r="14" spans="1:7">
      <c r="A14" s="42" t="s">
        <v>6534</v>
      </c>
      <c r="B14" s="42"/>
      <c r="C14" s="42"/>
      <c r="D14" s="43"/>
      <c r="E14" s="42" t="s">
        <v>6538</v>
      </c>
      <c r="F14" s="42"/>
      <c r="G14" s="42"/>
    </row>
    <row r="16" spans="1:7">
      <c r="A16" s="37" t="s">
        <v>6528</v>
      </c>
      <c r="B16" s="41" t="s">
        <v>6536</v>
      </c>
      <c r="C16" s="41" t="s">
        <v>6535</v>
      </c>
      <c r="E16" s="37" t="s">
        <v>6528</v>
      </c>
      <c r="F16" t="s">
        <v>6539</v>
      </c>
      <c r="G16" t="s">
        <v>6540</v>
      </c>
    </row>
    <row r="17" spans="1:7">
      <c r="A17" s="38" t="s">
        <v>5631</v>
      </c>
      <c r="B17" s="39">
        <v>7</v>
      </c>
      <c r="C17" s="44">
        <v>5.3846153846153844E-3</v>
      </c>
      <c r="E17" s="38" t="s">
        <v>6520</v>
      </c>
      <c r="F17" s="39">
        <v>224</v>
      </c>
      <c r="G17" s="44">
        <v>0.5270588235294118</v>
      </c>
    </row>
    <row r="18" spans="1:7">
      <c r="A18" s="38" t="s">
        <v>5630</v>
      </c>
      <c r="B18" s="39">
        <v>13</v>
      </c>
      <c r="C18" s="44">
        <v>0.01</v>
      </c>
      <c r="E18" s="38" t="s">
        <v>6521</v>
      </c>
      <c r="F18" s="39">
        <v>191</v>
      </c>
      <c r="G18" s="44">
        <v>0.44941176470588234</v>
      </c>
    </row>
    <row r="19" spans="1:7">
      <c r="A19" s="38" t="s">
        <v>5626</v>
      </c>
      <c r="B19" s="39">
        <v>1138</v>
      </c>
      <c r="C19" s="44">
        <v>0.87538461538461543</v>
      </c>
      <c r="E19" s="38" t="s">
        <v>6537</v>
      </c>
      <c r="F19" s="39">
        <v>9</v>
      </c>
      <c r="G19" s="44">
        <v>2.1176470588235293E-2</v>
      </c>
    </row>
    <row r="20" spans="1:7">
      <c r="A20" s="38" t="s">
        <v>5627</v>
      </c>
      <c r="B20" s="39">
        <v>65</v>
      </c>
      <c r="C20" s="44">
        <v>0.05</v>
      </c>
      <c r="E20" s="38" t="s">
        <v>6527</v>
      </c>
      <c r="F20" s="39">
        <v>1</v>
      </c>
      <c r="G20" s="44">
        <v>2.352941176470588E-3</v>
      </c>
    </row>
    <row r="21" spans="1:7">
      <c r="A21" s="38" t="s">
        <v>5628</v>
      </c>
      <c r="B21" s="39">
        <v>50</v>
      </c>
      <c r="C21" s="44">
        <v>3.8461538461538464E-2</v>
      </c>
      <c r="E21" s="38" t="s">
        <v>6529</v>
      </c>
      <c r="F21" s="39">
        <v>425</v>
      </c>
      <c r="G21" s="44">
        <v>1</v>
      </c>
    </row>
    <row r="22" spans="1:7">
      <c r="A22" s="38" t="s">
        <v>5629</v>
      </c>
      <c r="B22" s="39">
        <v>27</v>
      </c>
      <c r="C22" s="44">
        <v>2.0769230769230769E-2</v>
      </c>
    </row>
    <row r="23" spans="1:7">
      <c r="A23" s="38" t="s">
        <v>6529</v>
      </c>
      <c r="B23" s="39">
        <v>1300</v>
      </c>
      <c r="C23" s="44">
        <v>1</v>
      </c>
    </row>
    <row r="27" spans="1:7">
      <c r="A27" s="42" t="s">
        <v>6541</v>
      </c>
      <c r="B27" s="42"/>
      <c r="C27" s="43"/>
    </row>
    <row r="29" spans="1:7">
      <c r="A29" s="37" t="s">
        <v>6528</v>
      </c>
      <c r="B29" t="s">
        <v>6532</v>
      </c>
    </row>
    <row r="30" spans="1:7">
      <c r="A30" s="38" t="s">
        <v>6278</v>
      </c>
      <c r="B30" s="40">
        <v>3974190</v>
      </c>
    </row>
    <row r="31" spans="1:7">
      <c r="A31" s="38" t="s">
        <v>6279</v>
      </c>
      <c r="B31" s="40">
        <v>1002966</v>
      </c>
    </row>
    <row r="32" spans="1:7">
      <c r="A32" s="38" t="s">
        <v>6280</v>
      </c>
      <c r="B32" s="40">
        <v>838056</v>
      </c>
    </row>
    <row r="33" spans="1:2">
      <c r="A33" s="38" t="s">
        <v>6281</v>
      </c>
      <c r="B33" s="40">
        <v>209208</v>
      </c>
    </row>
    <row r="34" spans="1:2">
      <c r="A34" s="38" t="s">
        <v>6529</v>
      </c>
      <c r="B34" s="40">
        <v>6024420</v>
      </c>
    </row>
  </sheetData>
  <mergeCells count="4">
    <mergeCell ref="A1:F1"/>
    <mergeCell ref="A14:C14"/>
    <mergeCell ref="E14:G14"/>
    <mergeCell ref="A27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79E2-DFFD-4A35-8AAB-F6D07C545AF7}">
  <dimension ref="A1:D11"/>
  <sheetViews>
    <sheetView workbookViewId="0">
      <selection activeCell="B14" sqref="B14"/>
    </sheetView>
  </sheetViews>
  <sheetFormatPr defaultColWidth="31.28515625" defaultRowHeight="15"/>
  <sheetData>
    <row r="1" spans="1:4">
      <c r="A1" s="45" t="s">
        <v>6542</v>
      </c>
      <c r="B1" s="45" t="s">
        <v>6543</v>
      </c>
      <c r="C1" s="45" t="s">
        <v>6544</v>
      </c>
      <c r="D1" s="45" t="s">
        <v>6545</v>
      </c>
    </row>
    <row r="2" spans="1:4">
      <c r="A2" t="s">
        <v>6546</v>
      </c>
      <c r="B2">
        <f>ROWS(tblAccountAudit[Account ID])</f>
        <v>325</v>
      </c>
      <c r="C2">
        <v>325</v>
      </c>
      <c r="D2" t="str">
        <f>IF(ROUND(B2,3)=ROUND(C2,3),"MATCH","CHECK")</f>
        <v>MATCH</v>
      </c>
    </row>
    <row r="3" spans="1:4">
      <c r="A3" t="s">
        <v>5633</v>
      </c>
      <c r="B3">
        <f>ROWS(tblLeadRouting[Lead ID])</f>
        <v>1300</v>
      </c>
      <c r="C3">
        <v>1300</v>
      </c>
      <c r="D3" t="str">
        <f t="shared" ref="D3:D11" si="0">IF(ROUND(B3,3)=ROUND(C3,3),"MATCH","CHECK")</f>
        <v>MATCH</v>
      </c>
    </row>
    <row r="4" spans="1:4">
      <c r="A4" t="s">
        <v>6526</v>
      </c>
      <c r="B4">
        <f>ROWS(tblDealDeskAudit[Opportunity ID])</f>
        <v>425</v>
      </c>
      <c r="C4">
        <v>425</v>
      </c>
      <c r="D4" t="str">
        <f t="shared" si="0"/>
        <v>MATCH</v>
      </c>
    </row>
    <row r="5" spans="1:4">
      <c r="A5" t="s">
        <v>6277</v>
      </c>
      <c r="B5">
        <f>COUNTIFS(tblPipelineAudit[Stage],"&lt;&gt;Closed Won",tblPipelineAudit[Stage],"&lt;&gt;Closed Lost")</f>
        <v>160</v>
      </c>
      <c r="C5">
        <v>160</v>
      </c>
      <c r="D5" t="str">
        <f t="shared" si="0"/>
        <v>MATCH</v>
      </c>
    </row>
    <row r="6" spans="1:4">
      <c r="A6" t="s">
        <v>6547</v>
      </c>
      <c r="B6" s="40">
        <f>SUMIFS(tblPipelineAudit[Net ARR],tblPipelineAudit[Pipeline Health],"&lt;&gt;Closed")</f>
        <v>6024420</v>
      </c>
      <c r="C6" s="40">
        <v>6024420</v>
      </c>
      <c r="D6" t="str">
        <f t="shared" si="0"/>
        <v>MATCH</v>
      </c>
    </row>
    <row r="7" spans="1:4">
      <c r="A7" t="s">
        <v>6282</v>
      </c>
      <c r="B7">
        <f>COUNTIF(tblPipelineAudit[Pipeline Health],"Overdue")+COUNTIF(tblPipelineAudit[Pipeline Health],"Stale")+COUNTIF(tblPipelineAudit[Pipeline Health],"Stale + Overdue")</f>
        <v>53</v>
      </c>
      <c r="C7">
        <v>53</v>
      </c>
      <c r="D7" t="str">
        <f t="shared" si="0"/>
        <v>MATCH</v>
      </c>
    </row>
    <row r="8" spans="1:4">
      <c r="A8" t="s">
        <v>6548</v>
      </c>
      <c r="B8">
        <f>COUNTIF(tblLeadRouting[Routing Status],"Routing Compatible")</f>
        <v>1138</v>
      </c>
      <c r="C8">
        <v>1138</v>
      </c>
      <c r="D8" t="str">
        <f t="shared" si="0"/>
        <v>MATCH</v>
      </c>
    </row>
    <row r="9" spans="1:4">
      <c r="A9" t="s">
        <v>6549</v>
      </c>
      <c r="B9" s="44">
        <f>(COUNTIF(tblDealDeskAudit[Flag Audit Status],"Correctly Flagged")+COUNTIF(tblDealDeskAudit[Flag Audit Status],"Correctly Not Flagged"))/ROWS(tblDealDeskAudit[Opportunity ID])</f>
        <v>0.97647058823529409</v>
      </c>
      <c r="C9" s="44">
        <v>0.97599999999999998</v>
      </c>
      <c r="D9" t="str">
        <f t="shared" si="0"/>
        <v>MATCH</v>
      </c>
    </row>
    <row r="10" spans="1:4">
      <c r="A10" t="s">
        <v>6523</v>
      </c>
      <c r="B10">
        <f>COUNTIFS(tblDealDeskAudit[Stage],"Closed Won",tblDealDeskAudit[Expected Deal Desk Required],TRUE)+COUNTIFS(tblDealDeskAudit[Stage],"Closed Lost",tblDealDeskAudit[Expected Deal Desk Required],TRUE)</f>
        <v>150</v>
      </c>
      <c r="C10">
        <v>150</v>
      </c>
      <c r="D10" t="str">
        <f t="shared" si="0"/>
        <v>MATCH</v>
      </c>
    </row>
    <row r="11" spans="1:4">
      <c r="A11" t="s">
        <v>6525</v>
      </c>
      <c r="B11">
        <f>COUNTIF(tblDealDeskAudit[Approval Evidence Status],"Missing Approval Evidence")</f>
        <v>89</v>
      </c>
      <c r="C11">
        <v>89</v>
      </c>
      <c r="D11" t="str">
        <f t="shared" si="0"/>
        <v>MATCH</v>
      </c>
    </row>
  </sheetData>
  <conditionalFormatting sqref="D1:D1048576">
    <cfRule type="containsText" dxfId="0" priority="2" operator="containsText" text="Match">
      <formula>NOT(ISERROR(SEARCH("Match",D1)))</formula>
    </cfRule>
    <cfRule type="containsText" dxfId="1" priority="1" operator="containsText" text="Check">
      <formula>NOT(ISERROR(SEARCH("Check",D1)))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F453-CF3F-44FA-8B93-B685A3DF6373}">
  <dimension ref="A1:L326"/>
  <sheetViews>
    <sheetView workbookViewId="0">
      <selection activeCell="G2" sqref="G2:J326"/>
    </sheetView>
  </sheetViews>
  <sheetFormatPr defaultColWidth="8.7109375" defaultRowHeight="15"/>
  <cols>
    <col min="1" max="1" width="12.85546875" customWidth="1"/>
    <col min="2" max="2" width="37.28515625" bestFit="1" customWidth="1"/>
    <col min="3" max="3" width="35" bestFit="1" customWidth="1"/>
    <col min="4" max="4" width="24.42578125" bestFit="1" customWidth="1"/>
    <col min="5" max="5" width="18.140625" customWidth="1"/>
    <col min="6" max="6" width="27.42578125" customWidth="1"/>
    <col min="7" max="7" width="13" customWidth="1"/>
    <col min="8" max="8" width="16.85546875" bestFit="1" customWidth="1"/>
    <col min="9" max="9" width="13.140625" customWidth="1"/>
    <col min="10" max="10" width="11.28515625" customWidth="1"/>
    <col min="11" max="11" width="16.7109375" customWidth="1"/>
    <col min="12" max="12" width="15.5703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3"/>
      <c r="F2" s="4">
        <v>329100000</v>
      </c>
      <c r="G2" s="1" t="s">
        <v>16</v>
      </c>
      <c r="H2" s="1" t="s">
        <v>17</v>
      </c>
      <c r="I2" s="3">
        <v>1</v>
      </c>
      <c r="J2" s="1" t="s">
        <v>18</v>
      </c>
      <c r="K2" s="1" t="s">
        <v>19</v>
      </c>
      <c r="L2" s="5">
        <v>45109.149027777778</v>
      </c>
    </row>
    <row r="3" spans="1:12">
      <c r="A3" s="1" t="s">
        <v>20</v>
      </c>
      <c r="B3" s="1" t="s">
        <v>21</v>
      </c>
      <c r="C3" s="1" t="s">
        <v>22</v>
      </c>
      <c r="D3" s="1" t="s">
        <v>15</v>
      </c>
      <c r="E3" s="3">
        <v>130</v>
      </c>
      <c r="F3" s="4">
        <v>21600000</v>
      </c>
      <c r="G3" s="1" t="s">
        <v>23</v>
      </c>
      <c r="H3" s="1" t="s">
        <v>24</v>
      </c>
      <c r="I3" s="3">
        <v>2</v>
      </c>
      <c r="J3" s="1" t="s">
        <v>25</v>
      </c>
      <c r="K3" s="1" t="s">
        <v>19</v>
      </c>
      <c r="L3" s="5">
        <v>45186.489120370374</v>
      </c>
    </row>
    <row r="4" spans="1:12">
      <c r="A4" s="1" t="s">
        <v>26</v>
      </c>
      <c r="B4" s="1" t="s">
        <v>27</v>
      </c>
      <c r="C4" s="1" t="s">
        <v>28</v>
      </c>
      <c r="D4" s="1" t="s">
        <v>29</v>
      </c>
      <c r="E4" s="3">
        <v>542</v>
      </c>
      <c r="F4" s="4">
        <v>82300000</v>
      </c>
      <c r="G4" s="1" t="s">
        <v>16</v>
      </c>
      <c r="H4" s="1" t="s">
        <v>30</v>
      </c>
      <c r="I4" s="3">
        <v>1</v>
      </c>
      <c r="J4" s="1" t="s">
        <v>18</v>
      </c>
      <c r="K4" s="1" t="s">
        <v>19</v>
      </c>
      <c r="L4" s="5">
        <v>45374.185659722221</v>
      </c>
    </row>
    <row r="5" spans="1:12">
      <c r="A5" s="1" t="s">
        <v>31</v>
      </c>
      <c r="B5" s="1" t="s">
        <v>32</v>
      </c>
      <c r="C5" s="1" t="s">
        <v>33</v>
      </c>
      <c r="D5" s="1" t="s">
        <v>34</v>
      </c>
      <c r="E5" s="3">
        <v>595</v>
      </c>
      <c r="F5" s="4">
        <v>78100000</v>
      </c>
      <c r="G5" s="1" t="s">
        <v>35</v>
      </c>
      <c r="H5" s="1" t="s">
        <v>30</v>
      </c>
      <c r="I5" s="3">
        <v>4</v>
      </c>
      <c r="J5" s="1" t="s">
        <v>36</v>
      </c>
      <c r="K5" s="1" t="s">
        <v>19</v>
      </c>
      <c r="L5" s="5">
        <v>46122.137372685182</v>
      </c>
    </row>
    <row r="6" spans="1:12">
      <c r="A6" s="1" t="s">
        <v>37</v>
      </c>
      <c r="B6" s="1" t="s">
        <v>38</v>
      </c>
      <c r="C6" s="1" t="s">
        <v>39</v>
      </c>
      <c r="D6" s="1" t="s">
        <v>40</v>
      </c>
      <c r="E6" s="3">
        <v>137</v>
      </c>
      <c r="F6" s="4">
        <v>32600000</v>
      </c>
      <c r="G6" s="1" t="s">
        <v>41</v>
      </c>
      <c r="H6" s="1" t="s">
        <v>24</v>
      </c>
      <c r="I6" s="3">
        <v>2</v>
      </c>
      <c r="J6" s="1" t="s">
        <v>25</v>
      </c>
      <c r="K6" s="1" t="s">
        <v>42</v>
      </c>
      <c r="L6" s="5">
        <v>45029.104618055557</v>
      </c>
    </row>
    <row r="7" spans="1:12">
      <c r="A7" s="1" t="s">
        <v>43</v>
      </c>
      <c r="B7" s="1" t="s">
        <v>44</v>
      </c>
      <c r="C7" s="1" t="s">
        <v>45</v>
      </c>
      <c r="D7" s="1" t="s">
        <v>15</v>
      </c>
      <c r="E7" s="3">
        <v>40</v>
      </c>
      <c r="F7" s="4">
        <v>9700000</v>
      </c>
      <c r="G7" s="1" t="s">
        <v>46</v>
      </c>
      <c r="H7" s="1" t="s">
        <v>24</v>
      </c>
      <c r="I7" s="3">
        <v>1</v>
      </c>
      <c r="J7" s="1" t="s">
        <v>25</v>
      </c>
      <c r="K7" s="1" t="s">
        <v>19</v>
      </c>
      <c r="L7" s="5">
        <v>45712.756932870368</v>
      </c>
    </row>
    <row r="8" spans="1:12">
      <c r="A8" s="1" t="s">
        <v>47</v>
      </c>
      <c r="B8" s="1" t="s">
        <v>48</v>
      </c>
      <c r="C8" s="1"/>
      <c r="D8" s="1" t="s">
        <v>49</v>
      </c>
      <c r="E8" s="3">
        <v>310</v>
      </c>
      <c r="F8" s="4">
        <v>64300000</v>
      </c>
      <c r="G8" s="1" t="s">
        <v>50</v>
      </c>
      <c r="H8" s="1" t="s">
        <v>30</v>
      </c>
      <c r="I8" s="3">
        <v>4</v>
      </c>
      <c r="J8" s="1" t="s">
        <v>36</v>
      </c>
      <c r="K8" s="1" t="s">
        <v>19</v>
      </c>
      <c r="L8" s="5">
        <v>46003.856307870374</v>
      </c>
    </row>
    <row r="9" spans="1:12">
      <c r="A9" s="1" t="s">
        <v>51</v>
      </c>
      <c r="B9" s="1" t="s">
        <v>52</v>
      </c>
      <c r="C9" s="1" t="s">
        <v>53</v>
      </c>
      <c r="D9" s="1" t="s">
        <v>15</v>
      </c>
      <c r="E9" s="3">
        <v>738</v>
      </c>
      <c r="F9" s="4">
        <v>182600000</v>
      </c>
      <c r="G9" s="1" t="s">
        <v>54</v>
      </c>
      <c r="H9" s="1" t="s">
        <v>30</v>
      </c>
      <c r="I9" s="3">
        <v>3</v>
      </c>
      <c r="J9" s="1" t="s">
        <v>55</v>
      </c>
      <c r="K9" s="1" t="s">
        <v>19</v>
      </c>
      <c r="L9" s="5">
        <v>45133.282256944447</v>
      </c>
    </row>
    <row r="10" spans="1:12">
      <c r="A10" s="1" t="s">
        <v>56</v>
      </c>
      <c r="B10" s="1" t="s">
        <v>57</v>
      </c>
      <c r="C10" s="1" t="s">
        <v>58</v>
      </c>
      <c r="D10" s="1" t="s">
        <v>49</v>
      </c>
      <c r="E10" s="3">
        <v>148</v>
      </c>
      <c r="F10" s="4">
        <v>24900000</v>
      </c>
      <c r="G10" s="1" t="s">
        <v>50</v>
      </c>
      <c r="H10" s="1" t="s">
        <v>24</v>
      </c>
      <c r="I10" s="3">
        <v>4</v>
      </c>
      <c r="J10" s="1" t="s">
        <v>59</v>
      </c>
      <c r="K10" s="1" t="s">
        <v>19</v>
      </c>
      <c r="L10" s="5">
        <v>46078.545486111114</v>
      </c>
    </row>
    <row r="11" spans="1:12">
      <c r="A11" s="1" t="s">
        <v>60</v>
      </c>
      <c r="B11" s="1" t="s">
        <v>61</v>
      </c>
      <c r="C11" s="1" t="s">
        <v>62</v>
      </c>
      <c r="D11" s="1" t="s">
        <v>63</v>
      </c>
      <c r="E11" s="3">
        <v>1255</v>
      </c>
      <c r="F11" s="4">
        <v>154900000</v>
      </c>
      <c r="G11" s="1" t="s">
        <v>64</v>
      </c>
      <c r="H11" s="1" t="s">
        <v>17</v>
      </c>
      <c r="I11" s="3">
        <v>3</v>
      </c>
      <c r="J11" s="1" t="s">
        <v>55</v>
      </c>
      <c r="K11" s="1" t="s">
        <v>19</v>
      </c>
      <c r="L11" s="5">
        <v>45329.879918981482</v>
      </c>
    </row>
    <row r="12" spans="1:12">
      <c r="A12" s="1" t="s">
        <v>65</v>
      </c>
      <c r="B12" s="1" t="s">
        <v>66</v>
      </c>
      <c r="C12" s="1" t="s">
        <v>67</v>
      </c>
      <c r="D12" s="1" t="s">
        <v>40</v>
      </c>
      <c r="E12" s="3">
        <v>85</v>
      </c>
      <c r="F12" s="4">
        <v>18100000</v>
      </c>
      <c r="G12" s="1" t="s">
        <v>68</v>
      </c>
      <c r="H12" s="1" t="s">
        <v>24</v>
      </c>
      <c r="I12" s="3">
        <v>3</v>
      </c>
      <c r="J12" s="1" t="s">
        <v>69</v>
      </c>
      <c r="K12" s="1" t="s">
        <v>19</v>
      </c>
      <c r="L12" s="5">
        <v>45271.171909722223</v>
      </c>
    </row>
    <row r="13" spans="1:12">
      <c r="A13" s="1" t="s">
        <v>70</v>
      </c>
      <c r="B13" s="1" t="s">
        <v>71</v>
      </c>
      <c r="C13" s="1" t="s">
        <v>72</v>
      </c>
      <c r="D13" s="1" t="s">
        <v>49</v>
      </c>
      <c r="E13" s="3">
        <v>293</v>
      </c>
      <c r="F13" s="4">
        <v>73700000</v>
      </c>
      <c r="G13" s="1" t="s">
        <v>16</v>
      </c>
      <c r="H13" s="1" t="s">
        <v>30</v>
      </c>
      <c r="I13" s="3">
        <v>1</v>
      </c>
      <c r="J13" s="1" t="s">
        <v>18</v>
      </c>
      <c r="K13" s="1" t="s">
        <v>19</v>
      </c>
      <c r="L13" s="5">
        <v>46046.21770833333</v>
      </c>
    </row>
    <row r="14" spans="1:12">
      <c r="A14" s="1" t="s">
        <v>73</v>
      </c>
      <c r="B14" s="1" t="s">
        <v>74</v>
      </c>
      <c r="C14" s="1" t="s">
        <v>75</v>
      </c>
      <c r="D14" s="1" t="s">
        <v>15</v>
      </c>
      <c r="E14" s="3">
        <v>2018</v>
      </c>
      <c r="F14" s="4">
        <v>340600000</v>
      </c>
      <c r="G14" s="1" t="s">
        <v>76</v>
      </c>
      <c r="H14" s="1" t="s">
        <v>17</v>
      </c>
      <c r="I14" s="3">
        <v>4</v>
      </c>
      <c r="J14" s="1"/>
      <c r="K14" s="1" t="s">
        <v>19</v>
      </c>
      <c r="L14" s="5">
        <v>46251.545104166667</v>
      </c>
    </row>
    <row r="15" spans="1:12">
      <c r="A15" s="1" t="s">
        <v>77</v>
      </c>
      <c r="B15" s="1" t="s">
        <v>78</v>
      </c>
      <c r="C15" s="1" t="s">
        <v>79</v>
      </c>
      <c r="D15" s="1" t="s">
        <v>80</v>
      </c>
      <c r="E15" s="3">
        <v>1774</v>
      </c>
      <c r="F15" s="4">
        <v>421200000</v>
      </c>
      <c r="G15" s="1" t="s">
        <v>81</v>
      </c>
      <c r="H15" s="1" t="s">
        <v>17</v>
      </c>
      <c r="I15" s="3">
        <v>2</v>
      </c>
      <c r="J15" s="1" t="s">
        <v>82</v>
      </c>
      <c r="K15" s="1" t="s">
        <v>19</v>
      </c>
      <c r="L15" s="5">
        <v>44991.923877314817</v>
      </c>
    </row>
    <row r="16" spans="1:12">
      <c r="A16" s="1" t="s">
        <v>83</v>
      </c>
      <c r="B16" s="1" t="s">
        <v>84</v>
      </c>
      <c r="C16" s="1" t="s">
        <v>85</v>
      </c>
      <c r="D16" s="1" t="s">
        <v>86</v>
      </c>
      <c r="E16" s="3">
        <v>304</v>
      </c>
      <c r="F16" s="4">
        <v>55400000</v>
      </c>
      <c r="G16" s="1" t="s">
        <v>50</v>
      </c>
      <c r="H16" s="1" t="s">
        <v>30</v>
      </c>
      <c r="I16" s="3">
        <v>4</v>
      </c>
      <c r="J16" s="1" t="s">
        <v>36</v>
      </c>
      <c r="K16" s="1" t="s">
        <v>19</v>
      </c>
      <c r="L16" s="5">
        <v>46262.281423611108</v>
      </c>
    </row>
    <row r="17" spans="1:12">
      <c r="A17" s="1" t="s">
        <v>87</v>
      </c>
      <c r="B17" s="1" t="s">
        <v>88</v>
      </c>
      <c r="C17" s="1" t="s">
        <v>89</v>
      </c>
      <c r="D17" s="1" t="s">
        <v>29</v>
      </c>
      <c r="E17" s="3">
        <v>140</v>
      </c>
      <c r="F17" s="4">
        <v>20300000</v>
      </c>
      <c r="G17" s="1" t="s">
        <v>90</v>
      </c>
      <c r="H17" s="1" t="s">
        <v>24</v>
      </c>
      <c r="I17" s="3">
        <v>1</v>
      </c>
      <c r="J17" s="1" t="s">
        <v>91</v>
      </c>
      <c r="K17" s="1" t="s">
        <v>19</v>
      </c>
      <c r="L17" s="5">
        <v>45749.231608796297</v>
      </c>
    </row>
    <row r="18" spans="1:12">
      <c r="A18" s="1" t="s">
        <v>92</v>
      </c>
      <c r="B18" s="1" t="s">
        <v>93</v>
      </c>
      <c r="C18" s="1" t="s">
        <v>94</v>
      </c>
      <c r="D18" s="1" t="s">
        <v>80</v>
      </c>
      <c r="E18" s="3">
        <v>57</v>
      </c>
      <c r="F18" s="4">
        <v>12000000</v>
      </c>
      <c r="G18" s="1" t="s">
        <v>95</v>
      </c>
      <c r="H18" s="1" t="s">
        <v>24</v>
      </c>
      <c r="I18" s="3">
        <v>1</v>
      </c>
      <c r="J18" s="1" t="s">
        <v>91</v>
      </c>
      <c r="K18" s="1" t="s">
        <v>19</v>
      </c>
      <c r="L18" s="5">
        <v>45116.970219907409</v>
      </c>
    </row>
    <row r="19" spans="1:12">
      <c r="A19" s="1" t="s">
        <v>96</v>
      </c>
      <c r="B19" s="1" t="s">
        <v>97</v>
      </c>
      <c r="C19" s="1" t="s">
        <v>98</v>
      </c>
      <c r="D19" s="1" t="s">
        <v>15</v>
      </c>
      <c r="E19" s="3">
        <v>85</v>
      </c>
      <c r="F19" s="4">
        <v>13200000</v>
      </c>
      <c r="G19" s="1" t="s">
        <v>99</v>
      </c>
      <c r="H19" s="1" t="s">
        <v>24</v>
      </c>
      <c r="I19" s="3">
        <v>4</v>
      </c>
      <c r="J19" s="1" t="s">
        <v>59</v>
      </c>
      <c r="K19" s="1" t="s">
        <v>19</v>
      </c>
      <c r="L19" s="5">
        <v>45928.444571759261</v>
      </c>
    </row>
    <row r="20" spans="1:12">
      <c r="A20" s="1" t="s">
        <v>100</v>
      </c>
      <c r="B20" s="1" t="s">
        <v>101</v>
      </c>
      <c r="C20" s="1" t="s">
        <v>102</v>
      </c>
      <c r="D20" s="1" t="s">
        <v>15</v>
      </c>
      <c r="E20" s="3">
        <v>74</v>
      </c>
      <c r="F20" s="4">
        <v>17300000</v>
      </c>
      <c r="G20" s="1" t="s">
        <v>35</v>
      </c>
      <c r="H20" s="1" t="s">
        <v>24</v>
      </c>
      <c r="I20" s="3">
        <v>4</v>
      </c>
      <c r="J20" s="1" t="s">
        <v>59</v>
      </c>
      <c r="K20" s="1" t="s">
        <v>42</v>
      </c>
      <c r="L20" s="5">
        <v>45703.238206018519</v>
      </c>
    </row>
    <row r="21" spans="1:12">
      <c r="A21" s="1" t="s">
        <v>103</v>
      </c>
      <c r="B21" s="1" t="s">
        <v>104</v>
      </c>
      <c r="C21" s="1" t="s">
        <v>105</v>
      </c>
      <c r="D21" s="1" t="s">
        <v>86</v>
      </c>
      <c r="E21" s="3">
        <v>66</v>
      </c>
      <c r="F21" s="4">
        <v>12100000</v>
      </c>
      <c r="G21" s="1" t="s">
        <v>68</v>
      </c>
      <c r="H21" s="1" t="s">
        <v>24</v>
      </c>
      <c r="I21" s="3">
        <v>3</v>
      </c>
      <c r="J21" s="1" t="s">
        <v>69</v>
      </c>
      <c r="K21" s="1" t="s">
        <v>19</v>
      </c>
      <c r="L21" s="5">
        <v>45876.755555555559</v>
      </c>
    </row>
    <row r="22" spans="1:12">
      <c r="A22" s="1" t="s">
        <v>106</v>
      </c>
      <c r="B22" s="1" t="s">
        <v>107</v>
      </c>
      <c r="C22" s="1" t="s">
        <v>108</v>
      </c>
      <c r="D22" s="1" t="s">
        <v>109</v>
      </c>
      <c r="E22" s="3">
        <v>691</v>
      </c>
      <c r="F22" s="4">
        <v>230300000</v>
      </c>
      <c r="G22" s="1" t="s">
        <v>95</v>
      </c>
      <c r="H22" s="1" t="s">
        <v>30</v>
      </c>
      <c r="I22" s="3">
        <v>1</v>
      </c>
      <c r="J22" s="1" t="s">
        <v>18</v>
      </c>
      <c r="K22" s="1" t="s">
        <v>19</v>
      </c>
      <c r="L22" s="5">
        <v>46072.779791666668</v>
      </c>
    </row>
    <row r="23" spans="1:12">
      <c r="A23" s="1" t="s">
        <v>110</v>
      </c>
      <c r="B23" s="1" t="s">
        <v>111</v>
      </c>
      <c r="C23" s="1" t="s">
        <v>112</v>
      </c>
      <c r="D23" s="1" t="s">
        <v>40</v>
      </c>
      <c r="E23" s="3">
        <v>46</v>
      </c>
      <c r="F23" s="4">
        <v>11600000</v>
      </c>
      <c r="G23" s="1" t="s">
        <v>81</v>
      </c>
      <c r="H23" s="1" t="s">
        <v>24</v>
      </c>
      <c r="I23" s="3">
        <v>2</v>
      </c>
      <c r="J23" s="1" t="s">
        <v>25</v>
      </c>
      <c r="K23" s="1" t="s">
        <v>42</v>
      </c>
      <c r="L23" s="5">
        <v>44582.888402777775</v>
      </c>
    </row>
    <row r="24" spans="1:12">
      <c r="A24" s="1" t="s">
        <v>113</v>
      </c>
      <c r="B24" s="1" t="s">
        <v>114</v>
      </c>
      <c r="C24" s="1" t="s">
        <v>115</v>
      </c>
      <c r="D24" s="1" t="s">
        <v>109</v>
      </c>
      <c r="E24" s="3">
        <v>85</v>
      </c>
      <c r="F24" s="4">
        <v>22300000</v>
      </c>
      <c r="G24" s="1" t="s">
        <v>116</v>
      </c>
      <c r="H24" s="1" t="s">
        <v>24</v>
      </c>
      <c r="I24" s="3">
        <v>2</v>
      </c>
      <c r="J24" s="1" t="s">
        <v>25</v>
      </c>
      <c r="K24" s="1" t="s">
        <v>42</v>
      </c>
      <c r="L24" s="5">
        <v>46171.949930555558</v>
      </c>
    </row>
    <row r="25" spans="1:12">
      <c r="A25" s="1" t="s">
        <v>117</v>
      </c>
      <c r="B25" s="1" t="s">
        <v>118</v>
      </c>
      <c r="C25" s="1" t="s">
        <v>119</v>
      </c>
      <c r="D25" s="1" t="s">
        <v>80</v>
      </c>
      <c r="E25" s="3">
        <v>179</v>
      </c>
      <c r="F25" s="4">
        <v>49900000</v>
      </c>
      <c r="G25" s="1" t="s">
        <v>120</v>
      </c>
      <c r="H25" s="1" t="s">
        <v>24</v>
      </c>
      <c r="I25" s="3">
        <v>2</v>
      </c>
      <c r="J25" s="1" t="s">
        <v>25</v>
      </c>
      <c r="K25" s="1" t="s">
        <v>19</v>
      </c>
      <c r="L25" s="5">
        <v>45679.521874999999</v>
      </c>
    </row>
    <row r="26" spans="1:12">
      <c r="A26" s="1" t="s">
        <v>121</v>
      </c>
      <c r="B26" s="1" t="s">
        <v>122</v>
      </c>
      <c r="C26" s="1" t="s">
        <v>123</v>
      </c>
      <c r="D26" s="1" t="s">
        <v>80</v>
      </c>
      <c r="E26" s="3">
        <v>488</v>
      </c>
      <c r="F26" s="4">
        <v>89800000</v>
      </c>
      <c r="G26" s="1" t="s">
        <v>81</v>
      </c>
      <c r="H26" s="1" t="s">
        <v>30</v>
      </c>
      <c r="I26" s="3">
        <v>2</v>
      </c>
      <c r="J26" s="1" t="s">
        <v>82</v>
      </c>
      <c r="K26" s="1" t="s">
        <v>19</v>
      </c>
      <c r="L26" s="5">
        <v>45200.183472222219</v>
      </c>
    </row>
    <row r="27" spans="1:12">
      <c r="A27" s="1" t="s">
        <v>124</v>
      </c>
      <c r="B27" s="1" t="s">
        <v>125</v>
      </c>
      <c r="C27" s="1" t="s">
        <v>126</v>
      </c>
      <c r="D27" s="1" t="s">
        <v>49</v>
      </c>
      <c r="E27" s="3">
        <v>158</v>
      </c>
      <c r="F27" s="4">
        <v>32400000</v>
      </c>
      <c r="G27" s="1" t="s">
        <v>127</v>
      </c>
      <c r="H27" s="1" t="s">
        <v>24</v>
      </c>
      <c r="I27" s="3">
        <v>3</v>
      </c>
      <c r="J27" s="1" t="s">
        <v>25</v>
      </c>
      <c r="K27" s="1" t="s">
        <v>42</v>
      </c>
      <c r="L27" s="5">
        <v>45149.315995370373</v>
      </c>
    </row>
    <row r="28" spans="1:12">
      <c r="A28" s="1" t="s">
        <v>128</v>
      </c>
      <c r="B28" s="1" t="s">
        <v>129</v>
      </c>
      <c r="C28" s="1" t="s">
        <v>130</v>
      </c>
      <c r="D28" s="1" t="s">
        <v>63</v>
      </c>
      <c r="E28" s="3">
        <v>483</v>
      </c>
      <c r="F28" s="4">
        <v>73400000</v>
      </c>
      <c r="G28" s="1" t="s">
        <v>64</v>
      </c>
      <c r="H28" s="1" t="s">
        <v>30</v>
      </c>
      <c r="I28" s="3">
        <v>3</v>
      </c>
      <c r="J28" s="1" t="s">
        <v>55</v>
      </c>
      <c r="K28" s="1" t="s">
        <v>19</v>
      </c>
      <c r="L28" s="5">
        <v>46241.869421296295</v>
      </c>
    </row>
    <row r="29" spans="1:12">
      <c r="A29" s="1" t="s">
        <v>131</v>
      </c>
      <c r="B29" s="1" t="s">
        <v>132</v>
      </c>
      <c r="C29" s="1" t="s">
        <v>133</v>
      </c>
      <c r="D29" s="1" t="s">
        <v>15</v>
      </c>
      <c r="E29" s="3">
        <v>386</v>
      </c>
      <c r="F29" s="4">
        <v>64800000</v>
      </c>
      <c r="G29" s="1" t="s">
        <v>23</v>
      </c>
      <c r="H29" s="1" t="s">
        <v>30</v>
      </c>
      <c r="I29" s="3">
        <v>2</v>
      </c>
      <c r="J29" s="1" t="s">
        <v>82</v>
      </c>
      <c r="K29" s="1" t="s">
        <v>19</v>
      </c>
      <c r="L29" s="5">
        <v>45827.437349537038</v>
      </c>
    </row>
    <row r="30" spans="1:12">
      <c r="A30" s="1" t="s">
        <v>134</v>
      </c>
      <c r="B30" s="1" t="s">
        <v>135</v>
      </c>
      <c r="C30" s="1" t="s">
        <v>136</v>
      </c>
      <c r="D30" s="1" t="s">
        <v>40</v>
      </c>
      <c r="E30" s="3">
        <v>19</v>
      </c>
      <c r="F30" s="4">
        <v>5200000</v>
      </c>
      <c r="G30" s="1" t="s">
        <v>41</v>
      </c>
      <c r="H30" s="1"/>
      <c r="I30" s="3">
        <v>2</v>
      </c>
      <c r="J30" s="1" t="s">
        <v>25</v>
      </c>
      <c r="K30" s="1" t="s">
        <v>19</v>
      </c>
      <c r="L30" s="5">
        <v>45589.563101851854</v>
      </c>
    </row>
    <row r="31" spans="1:12">
      <c r="A31" s="1" t="s">
        <v>137</v>
      </c>
      <c r="B31" s="1" t="s">
        <v>138</v>
      </c>
      <c r="C31" s="1" t="s">
        <v>139</v>
      </c>
      <c r="D31" s="1" t="s">
        <v>80</v>
      </c>
      <c r="E31" s="3">
        <v>2147</v>
      </c>
      <c r="F31" s="4">
        <v>572100000</v>
      </c>
      <c r="G31" s="1" t="s">
        <v>140</v>
      </c>
      <c r="H31" s="1" t="s">
        <v>17</v>
      </c>
      <c r="I31" s="3">
        <v>2</v>
      </c>
      <c r="J31" s="1" t="s">
        <v>82</v>
      </c>
      <c r="K31" s="1" t="s">
        <v>141</v>
      </c>
      <c r="L31" s="5">
        <v>44795.01284722222</v>
      </c>
    </row>
    <row r="32" spans="1:12">
      <c r="A32" s="1" t="s">
        <v>142</v>
      </c>
      <c r="B32" s="1" t="s">
        <v>143</v>
      </c>
      <c r="C32" s="1" t="s">
        <v>144</v>
      </c>
      <c r="D32" s="1" t="s">
        <v>40</v>
      </c>
      <c r="E32" s="3">
        <v>79</v>
      </c>
      <c r="F32" s="4">
        <v>23100000</v>
      </c>
      <c r="G32" s="1" t="s">
        <v>23</v>
      </c>
      <c r="H32" s="1" t="s">
        <v>24</v>
      </c>
      <c r="I32" s="3">
        <v>2</v>
      </c>
      <c r="J32" s="1" t="s">
        <v>25</v>
      </c>
      <c r="K32" s="1" t="s">
        <v>42</v>
      </c>
      <c r="L32" s="5">
        <v>44943.846516203703</v>
      </c>
    </row>
    <row r="33" spans="1:12">
      <c r="A33" s="1" t="s">
        <v>145</v>
      </c>
      <c r="B33" s="1" t="s">
        <v>146</v>
      </c>
      <c r="C33" s="1" t="s">
        <v>147</v>
      </c>
      <c r="D33" s="1" t="s">
        <v>86</v>
      </c>
      <c r="E33" s="3">
        <v>53</v>
      </c>
      <c r="F33" s="4">
        <v>10300000</v>
      </c>
      <c r="G33" s="1" t="s">
        <v>50</v>
      </c>
      <c r="H33" s="1" t="s">
        <v>24</v>
      </c>
      <c r="I33" s="3">
        <v>4</v>
      </c>
      <c r="J33" s="1" t="s">
        <v>59</v>
      </c>
      <c r="K33" s="1" t="s">
        <v>42</v>
      </c>
      <c r="L33" s="5">
        <v>45623.978576388887</v>
      </c>
    </row>
    <row r="34" spans="1:12">
      <c r="A34" s="1" t="s">
        <v>148</v>
      </c>
      <c r="B34" s="1" t="s">
        <v>149</v>
      </c>
      <c r="C34" s="1" t="s">
        <v>150</v>
      </c>
      <c r="D34" s="1" t="s">
        <v>15</v>
      </c>
      <c r="E34" s="3">
        <v>402</v>
      </c>
      <c r="F34" s="4">
        <v>93800000</v>
      </c>
      <c r="G34" s="1" t="s">
        <v>95</v>
      </c>
      <c r="H34" s="1" t="s">
        <v>30</v>
      </c>
      <c r="I34" s="3">
        <v>1</v>
      </c>
      <c r="J34" s="1" t="s">
        <v>18</v>
      </c>
      <c r="K34" s="1" t="s">
        <v>19</v>
      </c>
      <c r="L34" s="5">
        <v>45406.385266203702</v>
      </c>
    </row>
    <row r="35" spans="1:12">
      <c r="A35" s="1" t="s">
        <v>151</v>
      </c>
      <c r="B35" s="1" t="s">
        <v>152</v>
      </c>
      <c r="C35" s="1" t="s">
        <v>153</v>
      </c>
      <c r="D35" s="1" t="s">
        <v>49</v>
      </c>
      <c r="E35" s="3">
        <v>91</v>
      </c>
      <c r="F35" s="4">
        <v>15300000</v>
      </c>
      <c r="G35" s="1" t="s">
        <v>154</v>
      </c>
      <c r="H35" s="1" t="s">
        <v>24</v>
      </c>
      <c r="I35" s="3">
        <v>2</v>
      </c>
      <c r="J35" s="1" t="s">
        <v>25</v>
      </c>
      <c r="K35" s="1" t="s">
        <v>19</v>
      </c>
      <c r="L35" s="5">
        <v>45370.066250000003</v>
      </c>
    </row>
    <row r="36" spans="1:12">
      <c r="A36" s="1" t="s">
        <v>155</v>
      </c>
      <c r="B36" s="1" t="s">
        <v>156</v>
      </c>
      <c r="C36" s="1" t="s">
        <v>157</v>
      </c>
      <c r="D36" s="1" t="s">
        <v>34</v>
      </c>
      <c r="E36" s="3">
        <v>43</v>
      </c>
      <c r="F36" s="4">
        <v>9200000</v>
      </c>
      <c r="G36" s="1" t="s">
        <v>90</v>
      </c>
      <c r="H36" s="1" t="s">
        <v>24</v>
      </c>
      <c r="I36" s="3">
        <v>1</v>
      </c>
      <c r="J36" s="1" t="s">
        <v>91</v>
      </c>
      <c r="K36" s="1" t="s">
        <v>19</v>
      </c>
      <c r="L36" s="5">
        <v>45460.178101851852</v>
      </c>
    </row>
    <row r="37" spans="1:12">
      <c r="A37" s="1" t="s">
        <v>158</v>
      </c>
      <c r="B37" s="1" t="s">
        <v>159</v>
      </c>
      <c r="C37" s="1" t="s">
        <v>160</v>
      </c>
      <c r="D37" s="1" t="s">
        <v>40</v>
      </c>
      <c r="E37" s="3">
        <v>97</v>
      </c>
      <c r="F37" s="4">
        <v>21900000</v>
      </c>
      <c r="G37" s="1" t="s">
        <v>161</v>
      </c>
      <c r="H37" s="1" t="s">
        <v>24</v>
      </c>
      <c r="I37" s="3">
        <v>4</v>
      </c>
      <c r="J37" s="1" t="s">
        <v>59</v>
      </c>
      <c r="K37" s="1" t="s">
        <v>19</v>
      </c>
      <c r="L37" s="5">
        <v>45292.001527777778</v>
      </c>
    </row>
    <row r="38" spans="1:12">
      <c r="A38" s="1" t="s">
        <v>162</v>
      </c>
      <c r="B38" s="1" t="s">
        <v>163</v>
      </c>
      <c r="C38" s="1" t="s">
        <v>164</v>
      </c>
      <c r="D38" s="1" t="s">
        <v>34</v>
      </c>
      <c r="E38" s="3">
        <v>121</v>
      </c>
      <c r="F38" s="4">
        <v>16200000</v>
      </c>
      <c r="G38" s="1" t="s">
        <v>16</v>
      </c>
      <c r="H38" s="1" t="s">
        <v>24</v>
      </c>
      <c r="I38" s="3">
        <v>1</v>
      </c>
      <c r="J38" s="1" t="s">
        <v>91</v>
      </c>
      <c r="K38" s="1" t="s">
        <v>42</v>
      </c>
      <c r="L38" s="5">
        <v>45455.987870370373</v>
      </c>
    </row>
    <row r="39" spans="1:12">
      <c r="A39" s="1" t="s">
        <v>165</v>
      </c>
      <c r="B39" s="1" t="s">
        <v>166</v>
      </c>
      <c r="C39" s="1" t="s">
        <v>167</v>
      </c>
      <c r="D39" s="1" t="s">
        <v>109</v>
      </c>
      <c r="E39" s="3">
        <v>149</v>
      </c>
      <c r="F39" s="4">
        <v>66900000</v>
      </c>
      <c r="G39" s="1" t="s">
        <v>120</v>
      </c>
      <c r="H39" s="1" t="s">
        <v>24</v>
      </c>
      <c r="I39" s="3">
        <v>2</v>
      </c>
      <c r="J39" s="1" t="s">
        <v>25</v>
      </c>
      <c r="K39" s="1" t="s">
        <v>141</v>
      </c>
      <c r="L39" s="5">
        <v>45845.616377314815</v>
      </c>
    </row>
    <row r="40" spans="1:12">
      <c r="A40" s="1" t="s">
        <v>168</v>
      </c>
      <c r="B40" s="1" t="s">
        <v>169</v>
      </c>
      <c r="C40" s="1" t="s">
        <v>170</v>
      </c>
      <c r="D40" s="1" t="s">
        <v>80</v>
      </c>
      <c r="E40" s="3">
        <v>41</v>
      </c>
      <c r="F40" s="4">
        <v>7400000</v>
      </c>
      <c r="G40" s="1" t="s">
        <v>171</v>
      </c>
      <c r="H40" s="1" t="s">
        <v>24</v>
      </c>
      <c r="I40" s="3">
        <v>1</v>
      </c>
      <c r="J40" s="1" t="s">
        <v>91</v>
      </c>
      <c r="K40" s="1" t="s">
        <v>42</v>
      </c>
      <c r="L40" s="5">
        <v>45093.125335648147</v>
      </c>
    </row>
    <row r="41" spans="1:12">
      <c r="A41" s="1" t="s">
        <v>172</v>
      </c>
      <c r="B41" s="1" t="s">
        <v>173</v>
      </c>
      <c r="C41" s="1" t="s">
        <v>174</v>
      </c>
      <c r="D41" s="1" t="s">
        <v>63</v>
      </c>
      <c r="E41" s="3">
        <v>361</v>
      </c>
      <c r="F41" s="4">
        <v>49300000</v>
      </c>
      <c r="G41" s="1" t="s">
        <v>154</v>
      </c>
      <c r="H41" s="1" t="s">
        <v>30</v>
      </c>
      <c r="I41" s="3">
        <v>2</v>
      </c>
      <c r="J41" s="1" t="s">
        <v>82</v>
      </c>
      <c r="K41" s="1" t="s">
        <v>19</v>
      </c>
      <c r="L41" s="5">
        <v>45072.423298611109</v>
      </c>
    </row>
    <row r="42" spans="1:12">
      <c r="A42" s="1" t="s">
        <v>175</v>
      </c>
      <c r="B42" s="1" t="s">
        <v>176</v>
      </c>
      <c r="C42" s="1" t="s">
        <v>177</v>
      </c>
      <c r="D42" s="1" t="s">
        <v>80</v>
      </c>
      <c r="E42" s="3">
        <v>98</v>
      </c>
      <c r="F42" s="4">
        <v>17700000</v>
      </c>
      <c r="G42" s="1" t="s">
        <v>178</v>
      </c>
      <c r="H42" s="1" t="s">
        <v>24</v>
      </c>
      <c r="I42" s="3">
        <v>4</v>
      </c>
      <c r="J42" s="1" t="s">
        <v>59</v>
      </c>
      <c r="K42" s="1" t="s">
        <v>42</v>
      </c>
      <c r="L42" s="5">
        <v>45259.65179398148</v>
      </c>
    </row>
    <row r="43" spans="1:12">
      <c r="A43" s="1" t="s">
        <v>179</v>
      </c>
      <c r="B43" s="1" t="s">
        <v>180</v>
      </c>
      <c r="C43" s="1" t="s">
        <v>181</v>
      </c>
      <c r="D43" s="1" t="s">
        <v>49</v>
      </c>
      <c r="E43" s="3">
        <v>593</v>
      </c>
      <c r="F43" s="4">
        <v>92300000</v>
      </c>
      <c r="G43" s="1" t="s">
        <v>182</v>
      </c>
      <c r="H43" s="1" t="s">
        <v>30</v>
      </c>
      <c r="I43" s="3">
        <v>4</v>
      </c>
      <c r="J43" s="1" t="s">
        <v>36</v>
      </c>
      <c r="K43" s="1" t="s">
        <v>19</v>
      </c>
      <c r="L43" s="5">
        <v>45116.292824074073</v>
      </c>
    </row>
    <row r="44" spans="1:12">
      <c r="A44" s="1" t="s">
        <v>183</v>
      </c>
      <c r="B44" s="1" t="s">
        <v>184</v>
      </c>
      <c r="C44" s="1" t="s">
        <v>185</v>
      </c>
      <c r="D44" s="1" t="s">
        <v>63</v>
      </c>
      <c r="E44" s="3">
        <v>128</v>
      </c>
      <c r="F44" s="4">
        <v>13800000</v>
      </c>
      <c r="G44" s="1" t="s">
        <v>81</v>
      </c>
      <c r="H44" s="1" t="s">
        <v>24</v>
      </c>
      <c r="I44" s="3">
        <v>2</v>
      </c>
      <c r="J44" s="1" t="s">
        <v>25</v>
      </c>
      <c r="K44" s="1" t="s">
        <v>19</v>
      </c>
      <c r="L44" s="5">
        <v>45143.437673611108</v>
      </c>
    </row>
    <row r="45" spans="1:12">
      <c r="A45" s="1" t="s">
        <v>186</v>
      </c>
      <c r="B45" s="1" t="s">
        <v>187</v>
      </c>
      <c r="C45" s="1" t="s">
        <v>188</v>
      </c>
      <c r="D45" s="1" t="s">
        <v>80</v>
      </c>
      <c r="E45" s="3"/>
      <c r="F45" s="4">
        <v>144800000</v>
      </c>
      <c r="G45" s="1" t="s">
        <v>50</v>
      </c>
      <c r="H45" s="1" t="s">
        <v>30</v>
      </c>
      <c r="I45" s="3">
        <v>4</v>
      </c>
      <c r="J45" s="1" t="s">
        <v>36</v>
      </c>
      <c r="K45" s="1" t="s">
        <v>19</v>
      </c>
      <c r="L45" s="5">
        <v>44995.036157407405</v>
      </c>
    </row>
    <row r="46" spans="1:12">
      <c r="A46" s="1" t="s">
        <v>189</v>
      </c>
      <c r="B46" s="1" t="s">
        <v>190</v>
      </c>
      <c r="C46" s="1" t="s">
        <v>191</v>
      </c>
      <c r="D46" s="1" t="s">
        <v>109</v>
      </c>
      <c r="E46" s="3">
        <v>5</v>
      </c>
      <c r="F46" s="4">
        <v>2000000</v>
      </c>
      <c r="G46" s="1" t="s">
        <v>192</v>
      </c>
      <c r="H46" s="1"/>
      <c r="I46" s="3"/>
      <c r="J46" s="1" t="s">
        <v>91</v>
      </c>
      <c r="K46" s="1" t="s">
        <v>42</v>
      </c>
      <c r="L46" s="5">
        <v>45761.912881944445</v>
      </c>
    </row>
    <row r="47" spans="1:12">
      <c r="A47" s="1" t="s">
        <v>193</v>
      </c>
      <c r="B47" s="1" t="s">
        <v>194</v>
      </c>
      <c r="C47" s="1" t="s">
        <v>195</v>
      </c>
      <c r="D47" s="1" t="s">
        <v>29</v>
      </c>
      <c r="E47" s="3">
        <v>64</v>
      </c>
      <c r="F47" s="4">
        <v>15100000</v>
      </c>
      <c r="G47" s="1" t="s">
        <v>23</v>
      </c>
      <c r="H47" s="1" t="s">
        <v>24</v>
      </c>
      <c r="I47" s="3">
        <v>2</v>
      </c>
      <c r="J47" s="1" t="s">
        <v>25</v>
      </c>
      <c r="K47" s="1" t="s">
        <v>141</v>
      </c>
      <c r="L47" s="5">
        <v>45735.07236111111</v>
      </c>
    </row>
    <row r="48" spans="1:12">
      <c r="A48" s="1" t="s">
        <v>196</v>
      </c>
      <c r="B48" s="1" t="s">
        <v>197</v>
      </c>
      <c r="C48" s="1" t="s">
        <v>198</v>
      </c>
      <c r="D48" s="1" t="s">
        <v>80</v>
      </c>
      <c r="E48" s="3">
        <v>93</v>
      </c>
      <c r="F48" s="4">
        <v>26400000</v>
      </c>
      <c r="G48" s="1" t="s">
        <v>35</v>
      </c>
      <c r="H48" s="1" t="s">
        <v>24</v>
      </c>
      <c r="I48" s="3">
        <v>4</v>
      </c>
      <c r="J48" s="1" t="s">
        <v>59</v>
      </c>
      <c r="K48" s="1" t="s">
        <v>19</v>
      </c>
      <c r="L48" s="5">
        <v>45799.193090277775</v>
      </c>
    </row>
    <row r="49" spans="1:12">
      <c r="A49" s="1" t="s">
        <v>199</v>
      </c>
      <c r="B49" s="1" t="s">
        <v>200</v>
      </c>
      <c r="C49" s="1"/>
      <c r="D49" s="1" t="s">
        <v>201</v>
      </c>
      <c r="E49" s="3">
        <v>56</v>
      </c>
      <c r="F49" s="4">
        <v>16900000</v>
      </c>
      <c r="G49" s="1" t="s">
        <v>192</v>
      </c>
      <c r="H49" s="1" t="s">
        <v>24</v>
      </c>
      <c r="I49" s="3">
        <v>1</v>
      </c>
      <c r="J49" s="1" t="s">
        <v>91</v>
      </c>
      <c r="K49" s="1" t="s">
        <v>141</v>
      </c>
      <c r="L49" s="5">
        <v>45753.095520833333</v>
      </c>
    </row>
    <row r="50" spans="1:12">
      <c r="A50" s="1" t="s">
        <v>202</v>
      </c>
      <c r="B50" s="1" t="s">
        <v>203</v>
      </c>
      <c r="C50" s="1" t="s">
        <v>204</v>
      </c>
      <c r="D50" s="1" t="s">
        <v>34</v>
      </c>
      <c r="E50" s="3">
        <v>79</v>
      </c>
      <c r="F50" s="4">
        <v>12400000</v>
      </c>
      <c r="G50" s="1" t="s">
        <v>205</v>
      </c>
      <c r="H50" s="1" t="s">
        <v>24</v>
      </c>
      <c r="I50" s="3">
        <v>3</v>
      </c>
      <c r="J50" s="1" t="s">
        <v>59</v>
      </c>
      <c r="K50" s="1" t="s">
        <v>42</v>
      </c>
      <c r="L50" s="5">
        <v>45240.075497685182</v>
      </c>
    </row>
    <row r="51" spans="1:12">
      <c r="A51" s="1" t="s">
        <v>206</v>
      </c>
      <c r="B51" s="1" t="s">
        <v>207</v>
      </c>
      <c r="C51" s="1" t="s">
        <v>208</v>
      </c>
      <c r="D51" s="1" t="s">
        <v>63</v>
      </c>
      <c r="E51" s="3">
        <v>141</v>
      </c>
      <c r="F51" s="4">
        <v>16000000</v>
      </c>
      <c r="G51" s="1" t="s">
        <v>68</v>
      </c>
      <c r="H51" s="1" t="s">
        <v>24</v>
      </c>
      <c r="I51" s="3">
        <v>3</v>
      </c>
      <c r="J51" s="1" t="s">
        <v>69</v>
      </c>
      <c r="K51" s="1" t="s">
        <v>42</v>
      </c>
      <c r="L51" s="5">
        <v>45969.788460648146</v>
      </c>
    </row>
    <row r="52" spans="1:12">
      <c r="A52" s="1" t="s">
        <v>209</v>
      </c>
      <c r="B52" s="1" t="s">
        <v>210</v>
      </c>
      <c r="C52" s="1" t="s">
        <v>211</v>
      </c>
      <c r="D52" s="1" t="s">
        <v>49</v>
      </c>
      <c r="E52" s="3">
        <v>622</v>
      </c>
      <c r="F52" s="4">
        <v>110800000</v>
      </c>
      <c r="G52" s="1" t="s">
        <v>212</v>
      </c>
      <c r="H52" s="1" t="s">
        <v>30</v>
      </c>
      <c r="I52" s="3">
        <v>3</v>
      </c>
      <c r="J52" s="1" t="s">
        <v>55</v>
      </c>
      <c r="K52" s="1" t="s">
        <v>42</v>
      </c>
      <c r="L52" s="5">
        <v>45631.431944444441</v>
      </c>
    </row>
    <row r="53" spans="1:12">
      <c r="A53" s="1" t="s">
        <v>213</v>
      </c>
      <c r="B53" s="1" t="s">
        <v>214</v>
      </c>
      <c r="C53" s="1" t="s">
        <v>215</v>
      </c>
      <c r="D53" s="1" t="s">
        <v>29</v>
      </c>
      <c r="E53" s="3">
        <v>1801</v>
      </c>
      <c r="F53" s="4">
        <v>404200000</v>
      </c>
      <c r="G53" s="1" t="s">
        <v>216</v>
      </c>
      <c r="H53" s="1" t="s">
        <v>17</v>
      </c>
      <c r="I53" s="3">
        <v>1</v>
      </c>
      <c r="J53" s="1" t="s">
        <v>18</v>
      </c>
      <c r="K53" s="1" t="s">
        <v>19</v>
      </c>
      <c r="L53" s="5">
        <v>46151.409733796296</v>
      </c>
    </row>
    <row r="54" spans="1:12">
      <c r="A54" s="1" t="s">
        <v>217</v>
      </c>
      <c r="B54" s="1" t="s">
        <v>218</v>
      </c>
      <c r="C54" s="1" t="s">
        <v>219</v>
      </c>
      <c r="D54" s="1" t="s">
        <v>80</v>
      </c>
      <c r="E54" s="3">
        <v>126</v>
      </c>
      <c r="F54" s="4">
        <v>28900000</v>
      </c>
      <c r="G54" s="1" t="s">
        <v>120</v>
      </c>
      <c r="H54" s="1" t="s">
        <v>24</v>
      </c>
      <c r="I54" s="3">
        <v>2</v>
      </c>
      <c r="J54" s="1" t="s">
        <v>25</v>
      </c>
      <c r="K54" s="1" t="s">
        <v>42</v>
      </c>
      <c r="L54" s="5">
        <v>44690.641562500001</v>
      </c>
    </row>
    <row r="55" spans="1:12">
      <c r="A55" s="1" t="s">
        <v>220</v>
      </c>
      <c r="B55" s="1" t="s">
        <v>221</v>
      </c>
      <c r="C55" s="1" t="s">
        <v>222</v>
      </c>
      <c r="D55" s="1" t="s">
        <v>40</v>
      </c>
      <c r="E55" s="3">
        <v>586</v>
      </c>
      <c r="F55" s="4">
        <v>126100000</v>
      </c>
      <c r="G55" s="1" t="s">
        <v>223</v>
      </c>
      <c r="H55" s="1" t="s">
        <v>30</v>
      </c>
      <c r="I55" s="3">
        <v>1</v>
      </c>
      <c r="J55" s="1" t="s">
        <v>18</v>
      </c>
      <c r="K55" s="1" t="s">
        <v>42</v>
      </c>
      <c r="L55" s="5">
        <v>44735.198263888888</v>
      </c>
    </row>
    <row r="56" spans="1:12">
      <c r="A56" s="1" t="s">
        <v>224</v>
      </c>
      <c r="B56" s="1" t="s">
        <v>225</v>
      </c>
      <c r="C56" s="1"/>
      <c r="D56" s="1" t="s">
        <v>86</v>
      </c>
      <c r="E56" s="3">
        <v>657</v>
      </c>
      <c r="F56" s="4">
        <v>132800000</v>
      </c>
      <c r="G56" s="1" t="s">
        <v>226</v>
      </c>
      <c r="H56" s="1" t="s">
        <v>30</v>
      </c>
      <c r="I56" s="3">
        <v>3</v>
      </c>
      <c r="J56" s="1" t="s">
        <v>55</v>
      </c>
      <c r="K56" s="1" t="s">
        <v>19</v>
      </c>
      <c r="L56" s="5">
        <v>45475.400543981479</v>
      </c>
    </row>
    <row r="57" spans="1:12">
      <c r="A57" s="1" t="s">
        <v>227</v>
      </c>
      <c r="B57" s="1" t="s">
        <v>228</v>
      </c>
      <c r="C57" s="1" t="s">
        <v>229</v>
      </c>
      <c r="D57" s="1" t="s">
        <v>49</v>
      </c>
      <c r="E57" s="3">
        <v>1885</v>
      </c>
      <c r="F57" s="4">
        <v>419400000</v>
      </c>
      <c r="G57" s="1" t="s">
        <v>50</v>
      </c>
      <c r="H57" s="1" t="s">
        <v>17</v>
      </c>
      <c r="I57" s="3">
        <v>4</v>
      </c>
      <c r="J57" s="1" t="s">
        <v>36</v>
      </c>
      <c r="K57" s="1" t="s">
        <v>19</v>
      </c>
      <c r="L57" s="5">
        <v>45677.674456018518</v>
      </c>
    </row>
    <row r="58" spans="1:12">
      <c r="A58" s="1" t="s">
        <v>230</v>
      </c>
      <c r="B58" s="1" t="s">
        <v>231</v>
      </c>
      <c r="C58" s="1" t="s">
        <v>232</v>
      </c>
      <c r="D58" s="1" t="s">
        <v>29</v>
      </c>
      <c r="E58" s="3">
        <v>113</v>
      </c>
      <c r="F58" s="4">
        <v>26000000</v>
      </c>
      <c r="G58" s="1" t="s">
        <v>95</v>
      </c>
      <c r="H58" s="1" t="s">
        <v>24</v>
      </c>
      <c r="I58" s="3">
        <v>1</v>
      </c>
      <c r="J58" s="1" t="s">
        <v>91</v>
      </c>
      <c r="K58" s="1" t="s">
        <v>19</v>
      </c>
      <c r="L58" s="5">
        <v>46139.539317129631</v>
      </c>
    </row>
    <row r="59" spans="1:12">
      <c r="A59" s="1" t="s">
        <v>233</v>
      </c>
      <c r="B59" s="1" t="s">
        <v>234</v>
      </c>
      <c r="C59" s="1" t="s">
        <v>235</v>
      </c>
      <c r="D59" s="1" t="s">
        <v>201</v>
      </c>
      <c r="E59" s="3">
        <v>126</v>
      </c>
      <c r="F59" s="4">
        <v>30900000</v>
      </c>
      <c r="G59" s="1" t="s">
        <v>236</v>
      </c>
      <c r="H59" s="1" t="s">
        <v>24</v>
      </c>
      <c r="I59" s="3">
        <v>1</v>
      </c>
      <c r="J59" s="1" t="s">
        <v>69</v>
      </c>
      <c r="K59" s="1" t="s">
        <v>19</v>
      </c>
      <c r="L59" s="5">
        <v>45971.909803240742</v>
      </c>
    </row>
    <row r="60" spans="1:12">
      <c r="A60" s="1" t="s">
        <v>237</v>
      </c>
      <c r="B60" s="1" t="s">
        <v>238</v>
      </c>
      <c r="C60" s="1" t="s">
        <v>239</v>
      </c>
      <c r="D60" s="1" t="s">
        <v>80</v>
      </c>
      <c r="E60" s="3"/>
      <c r="F60" s="4">
        <v>35500000</v>
      </c>
      <c r="G60" s="1" t="s">
        <v>54</v>
      </c>
      <c r="H60" s="1" t="s">
        <v>24</v>
      </c>
      <c r="I60" s="3">
        <v>3</v>
      </c>
      <c r="J60" s="1" t="s">
        <v>69</v>
      </c>
      <c r="K60" s="1" t="s">
        <v>19</v>
      </c>
      <c r="L60" s="5">
        <v>45490.851157407407</v>
      </c>
    </row>
    <row r="61" spans="1:12">
      <c r="A61" s="1" t="s">
        <v>240</v>
      </c>
      <c r="B61" s="1" t="s">
        <v>241</v>
      </c>
      <c r="C61" s="1" t="s">
        <v>242</v>
      </c>
      <c r="D61" s="1" t="s">
        <v>15</v>
      </c>
      <c r="E61" s="3">
        <v>462</v>
      </c>
      <c r="F61" s="4">
        <v>111200000</v>
      </c>
      <c r="G61" s="1" t="s">
        <v>54</v>
      </c>
      <c r="H61" s="1" t="s">
        <v>30</v>
      </c>
      <c r="I61" s="3">
        <v>3</v>
      </c>
      <c r="J61" s="1" t="s">
        <v>55</v>
      </c>
      <c r="K61" s="1" t="s">
        <v>42</v>
      </c>
      <c r="L61" s="5">
        <v>44861.621712962966</v>
      </c>
    </row>
    <row r="62" spans="1:12">
      <c r="A62" s="1" t="s">
        <v>243</v>
      </c>
      <c r="B62" s="1" t="s">
        <v>244</v>
      </c>
      <c r="C62" s="1" t="s">
        <v>245</v>
      </c>
      <c r="D62" s="1" t="s">
        <v>15</v>
      </c>
      <c r="E62" s="3">
        <v>59</v>
      </c>
      <c r="F62" s="4">
        <v>11200000</v>
      </c>
      <c r="G62" s="1" t="s">
        <v>154</v>
      </c>
      <c r="H62" s="1" t="s">
        <v>24</v>
      </c>
      <c r="I62" s="3">
        <v>2</v>
      </c>
      <c r="J62" s="1" t="s">
        <v>25</v>
      </c>
      <c r="K62" s="1" t="s">
        <v>19</v>
      </c>
      <c r="L62" s="5">
        <v>45634.038206018522</v>
      </c>
    </row>
    <row r="63" spans="1:12">
      <c r="A63" s="1" t="s">
        <v>246</v>
      </c>
      <c r="B63" s="1" t="s">
        <v>247</v>
      </c>
      <c r="C63" s="1" t="s">
        <v>248</v>
      </c>
      <c r="D63" s="1" t="s">
        <v>40</v>
      </c>
      <c r="E63" s="3">
        <v>2096</v>
      </c>
      <c r="F63" s="4">
        <v>525100000</v>
      </c>
      <c r="G63" s="1" t="s">
        <v>249</v>
      </c>
      <c r="H63" s="1" t="s">
        <v>17</v>
      </c>
      <c r="I63" s="3">
        <v>4</v>
      </c>
      <c r="J63" s="1" t="s">
        <v>36</v>
      </c>
      <c r="K63" s="1" t="s">
        <v>42</v>
      </c>
      <c r="L63" s="5">
        <v>46054.834027777775</v>
      </c>
    </row>
    <row r="64" spans="1:12">
      <c r="A64" s="1" t="s">
        <v>250</v>
      </c>
      <c r="B64" s="1" t="s">
        <v>251</v>
      </c>
      <c r="C64" s="1" t="s">
        <v>252</v>
      </c>
      <c r="D64" s="1" t="s">
        <v>49</v>
      </c>
      <c r="E64" s="3">
        <v>502</v>
      </c>
      <c r="F64" s="4">
        <v>123500000</v>
      </c>
      <c r="G64" s="1" t="s">
        <v>154</v>
      </c>
      <c r="H64" s="1" t="s">
        <v>30</v>
      </c>
      <c r="I64" s="3">
        <v>2</v>
      </c>
      <c r="J64" s="1" t="s">
        <v>82</v>
      </c>
      <c r="K64" s="1" t="s">
        <v>42</v>
      </c>
      <c r="L64" s="5">
        <v>44761.515590277777</v>
      </c>
    </row>
    <row r="65" spans="1:12">
      <c r="A65" s="1" t="s">
        <v>253</v>
      </c>
      <c r="B65" s="1" t="s">
        <v>254</v>
      </c>
      <c r="C65" s="1" t="s">
        <v>255</v>
      </c>
      <c r="D65" s="1" t="s">
        <v>29</v>
      </c>
      <c r="E65" s="3">
        <v>770</v>
      </c>
      <c r="F65" s="4">
        <v>130100000</v>
      </c>
      <c r="G65" s="1" t="s">
        <v>178</v>
      </c>
      <c r="H65" s="1" t="s">
        <v>30</v>
      </c>
      <c r="I65" s="3">
        <v>4</v>
      </c>
      <c r="J65" s="1" t="s">
        <v>36</v>
      </c>
      <c r="K65" s="1" t="s">
        <v>42</v>
      </c>
      <c r="L65" s="5">
        <v>44898.22184027778</v>
      </c>
    </row>
    <row r="66" spans="1:12">
      <c r="A66" s="1" t="s">
        <v>256</v>
      </c>
      <c r="B66" s="1" t="s">
        <v>257</v>
      </c>
      <c r="C66" s="1" t="s">
        <v>258</v>
      </c>
      <c r="D66" s="1" t="s">
        <v>29</v>
      </c>
      <c r="E66" s="3">
        <v>154</v>
      </c>
      <c r="F66" s="4">
        <v>34700000</v>
      </c>
      <c r="G66" s="1" t="s">
        <v>120</v>
      </c>
      <c r="H66" s="1" t="s">
        <v>24</v>
      </c>
      <c r="I66" s="3">
        <v>2</v>
      </c>
      <c r="J66" s="1" t="s">
        <v>25</v>
      </c>
      <c r="K66" s="1" t="s">
        <v>19</v>
      </c>
      <c r="L66" s="5">
        <v>45201.653912037036</v>
      </c>
    </row>
    <row r="67" spans="1:12">
      <c r="A67" s="1" t="s">
        <v>259</v>
      </c>
      <c r="B67" s="1" t="s">
        <v>260</v>
      </c>
      <c r="C67" s="1" t="s">
        <v>261</v>
      </c>
      <c r="D67" s="1" t="s">
        <v>109</v>
      </c>
      <c r="E67" s="3">
        <v>641</v>
      </c>
      <c r="F67" s="4">
        <v>219500000</v>
      </c>
      <c r="G67" s="1" t="s">
        <v>81</v>
      </c>
      <c r="H67" s="1" t="s">
        <v>30</v>
      </c>
      <c r="I67" s="3">
        <v>2</v>
      </c>
      <c r="J67" s="1" t="s">
        <v>55</v>
      </c>
      <c r="K67" s="1" t="s">
        <v>19</v>
      </c>
      <c r="L67" s="5">
        <v>45606.028483796297</v>
      </c>
    </row>
    <row r="68" spans="1:12">
      <c r="A68" s="1" t="s">
        <v>262</v>
      </c>
      <c r="B68" s="1" t="s">
        <v>263</v>
      </c>
      <c r="C68" s="1" t="s">
        <v>264</v>
      </c>
      <c r="D68" s="1" t="s">
        <v>80</v>
      </c>
      <c r="E68" s="3">
        <v>873</v>
      </c>
      <c r="F68" s="4">
        <v>196700000</v>
      </c>
      <c r="G68" s="1" t="s">
        <v>50</v>
      </c>
      <c r="H68" s="1" t="s">
        <v>30</v>
      </c>
      <c r="I68" s="3">
        <v>4</v>
      </c>
      <c r="J68" s="1" t="s">
        <v>36</v>
      </c>
      <c r="K68" s="1" t="s">
        <v>19</v>
      </c>
      <c r="L68" s="5">
        <v>45564.873703703706</v>
      </c>
    </row>
    <row r="69" spans="1:12">
      <c r="A69" s="1" t="s">
        <v>265</v>
      </c>
      <c r="B69" s="1" t="s">
        <v>266</v>
      </c>
      <c r="C69" s="1"/>
      <c r="D69" s="1" t="s">
        <v>109</v>
      </c>
      <c r="E69" s="3">
        <v>718</v>
      </c>
      <c r="F69" s="4">
        <v>205100000</v>
      </c>
      <c r="G69" s="1" t="s">
        <v>23</v>
      </c>
      <c r="H69" s="1" t="s">
        <v>30</v>
      </c>
      <c r="I69" s="3">
        <v>2</v>
      </c>
      <c r="J69" s="1" t="s">
        <v>82</v>
      </c>
      <c r="K69" s="1" t="s">
        <v>42</v>
      </c>
      <c r="L69" s="5">
        <v>45940.438275462962</v>
      </c>
    </row>
    <row r="70" spans="1:12">
      <c r="A70" s="1" t="s">
        <v>267</v>
      </c>
      <c r="B70" s="1" t="s">
        <v>268</v>
      </c>
      <c r="C70" s="1" t="s">
        <v>269</v>
      </c>
      <c r="D70" s="1" t="s">
        <v>86</v>
      </c>
      <c r="E70" s="3">
        <v>125</v>
      </c>
      <c r="F70" s="4">
        <v>34400000</v>
      </c>
      <c r="G70" s="1" t="s">
        <v>99</v>
      </c>
      <c r="H70" s="1" t="s">
        <v>24</v>
      </c>
      <c r="I70" s="3">
        <v>4</v>
      </c>
      <c r="J70" s="1" t="s">
        <v>59</v>
      </c>
      <c r="K70" s="1" t="s">
        <v>42</v>
      </c>
      <c r="L70" s="5">
        <v>45391.012152777781</v>
      </c>
    </row>
    <row r="71" spans="1:12">
      <c r="A71" s="1" t="s">
        <v>270</v>
      </c>
      <c r="B71" s="1" t="s">
        <v>271</v>
      </c>
      <c r="C71" s="1" t="s">
        <v>272</v>
      </c>
      <c r="D71" s="1" t="s">
        <v>201</v>
      </c>
      <c r="E71" s="3">
        <v>121</v>
      </c>
      <c r="F71" s="4">
        <v>32500000</v>
      </c>
      <c r="G71" s="1" t="s">
        <v>64</v>
      </c>
      <c r="H71" s="1" t="s">
        <v>24</v>
      </c>
      <c r="I71" s="3">
        <v>3</v>
      </c>
      <c r="J71" s="1" t="s">
        <v>69</v>
      </c>
      <c r="K71" s="1" t="s">
        <v>42</v>
      </c>
      <c r="L71" s="5">
        <v>44998.14</v>
      </c>
    </row>
    <row r="72" spans="1:12">
      <c r="A72" s="1" t="s">
        <v>273</v>
      </c>
      <c r="B72" s="1" t="s">
        <v>274</v>
      </c>
      <c r="C72" s="1" t="s">
        <v>275</v>
      </c>
      <c r="D72" s="1" t="s">
        <v>40</v>
      </c>
      <c r="E72" s="3">
        <v>864</v>
      </c>
      <c r="F72" s="4">
        <v>195400000</v>
      </c>
      <c r="G72" s="1" t="s">
        <v>64</v>
      </c>
      <c r="H72" s="1" t="s">
        <v>30</v>
      </c>
      <c r="I72" s="3">
        <v>3</v>
      </c>
      <c r="J72" s="1" t="s">
        <v>55</v>
      </c>
      <c r="K72" s="1" t="s">
        <v>42</v>
      </c>
      <c r="L72" s="5">
        <v>46008.945856481485</v>
      </c>
    </row>
    <row r="73" spans="1:12">
      <c r="A73" s="1" t="s">
        <v>276</v>
      </c>
      <c r="B73" s="1" t="s">
        <v>277</v>
      </c>
      <c r="C73" s="1" t="s">
        <v>278</v>
      </c>
      <c r="D73" s="1" t="s">
        <v>40</v>
      </c>
      <c r="E73" s="3">
        <v>288</v>
      </c>
      <c r="F73" s="4"/>
      <c r="G73" s="1" t="s">
        <v>68</v>
      </c>
      <c r="H73" s="1" t="s">
        <v>30</v>
      </c>
      <c r="I73" s="3">
        <v>3</v>
      </c>
      <c r="J73" s="1" t="s">
        <v>55</v>
      </c>
      <c r="K73" s="1" t="s">
        <v>42</v>
      </c>
      <c r="L73" s="5">
        <v>46053.350532407407</v>
      </c>
    </row>
    <row r="74" spans="1:12">
      <c r="A74" s="1" t="s">
        <v>279</v>
      </c>
      <c r="B74" s="1" t="s">
        <v>280</v>
      </c>
      <c r="C74" s="1" t="s">
        <v>281</v>
      </c>
      <c r="D74" s="1" t="s">
        <v>29</v>
      </c>
      <c r="E74" s="3">
        <v>93</v>
      </c>
      <c r="F74" s="4">
        <v>22200000</v>
      </c>
      <c r="G74" s="1" t="s">
        <v>116</v>
      </c>
      <c r="H74" s="1" t="s">
        <v>24</v>
      </c>
      <c r="I74" s="3">
        <v>2</v>
      </c>
      <c r="J74" s="1" t="s">
        <v>25</v>
      </c>
      <c r="K74" s="1" t="s">
        <v>42</v>
      </c>
      <c r="L74" s="5">
        <v>45219.052546296298</v>
      </c>
    </row>
    <row r="75" spans="1:12">
      <c r="A75" s="1" t="s">
        <v>282</v>
      </c>
      <c r="B75" s="1" t="s">
        <v>283</v>
      </c>
      <c r="C75" s="1" t="s">
        <v>284</v>
      </c>
      <c r="D75" s="1" t="s">
        <v>109</v>
      </c>
      <c r="E75" s="3">
        <v>303</v>
      </c>
      <c r="F75" s="4">
        <v>107800000</v>
      </c>
      <c r="G75" s="1" t="s">
        <v>285</v>
      </c>
      <c r="H75" s="1" t="s">
        <v>30</v>
      </c>
      <c r="I75" s="3">
        <v>4</v>
      </c>
      <c r="J75" s="1" t="s">
        <v>36</v>
      </c>
      <c r="K75" s="1" t="s">
        <v>42</v>
      </c>
      <c r="L75" s="5">
        <v>46037.344699074078</v>
      </c>
    </row>
    <row r="76" spans="1:12">
      <c r="A76" s="1" t="s">
        <v>286</v>
      </c>
      <c r="B76" s="1" t="s">
        <v>287</v>
      </c>
      <c r="C76" s="1" t="s">
        <v>288</v>
      </c>
      <c r="D76" s="1" t="s">
        <v>80</v>
      </c>
      <c r="E76" s="3">
        <v>73</v>
      </c>
      <c r="F76" s="4">
        <v>15200000</v>
      </c>
      <c r="G76" s="1" t="s">
        <v>68</v>
      </c>
      <c r="H76" s="1" t="s">
        <v>24</v>
      </c>
      <c r="I76" s="3">
        <v>3</v>
      </c>
      <c r="J76" s="1" t="s">
        <v>69</v>
      </c>
      <c r="K76" s="1" t="s">
        <v>141</v>
      </c>
      <c r="L76" s="5">
        <v>45562.605254629627</v>
      </c>
    </row>
    <row r="77" spans="1:12">
      <c r="A77" s="1" t="s">
        <v>289</v>
      </c>
      <c r="B77" s="1" t="s">
        <v>290</v>
      </c>
      <c r="C77" s="1" t="s">
        <v>291</v>
      </c>
      <c r="D77" s="1" t="s">
        <v>49</v>
      </c>
      <c r="E77" s="3">
        <v>87</v>
      </c>
      <c r="F77" s="4">
        <v>22100000</v>
      </c>
      <c r="G77" s="1" t="s">
        <v>127</v>
      </c>
      <c r="H77" s="1" t="s">
        <v>24</v>
      </c>
      <c r="I77" s="3">
        <v>2</v>
      </c>
      <c r="J77" s="1" t="s">
        <v>25</v>
      </c>
      <c r="K77" s="1" t="s">
        <v>19</v>
      </c>
      <c r="L77" s="5">
        <v>46245.857303240744</v>
      </c>
    </row>
    <row r="78" spans="1:12">
      <c r="A78" s="1" t="s">
        <v>292</v>
      </c>
      <c r="B78" s="1" t="s">
        <v>293</v>
      </c>
      <c r="C78" s="1" t="s">
        <v>294</v>
      </c>
      <c r="D78" s="1" t="s">
        <v>40</v>
      </c>
      <c r="E78" s="3">
        <v>497</v>
      </c>
      <c r="F78" s="4">
        <v>104400000</v>
      </c>
      <c r="G78" s="1" t="s">
        <v>295</v>
      </c>
      <c r="H78" s="1" t="s">
        <v>30</v>
      </c>
      <c r="I78" s="3">
        <v>2</v>
      </c>
      <c r="J78" s="1" t="s">
        <v>82</v>
      </c>
      <c r="K78" s="1" t="s">
        <v>19</v>
      </c>
      <c r="L78" s="5">
        <v>45231.044594907406</v>
      </c>
    </row>
    <row r="79" spans="1:12">
      <c r="A79" s="1" t="s">
        <v>296</v>
      </c>
      <c r="B79" s="1" t="s">
        <v>297</v>
      </c>
      <c r="C79" s="1" t="s">
        <v>298</v>
      </c>
      <c r="D79" s="1" t="s">
        <v>80</v>
      </c>
      <c r="E79" s="3">
        <v>586</v>
      </c>
      <c r="F79" s="4">
        <v>118500000</v>
      </c>
      <c r="G79" s="1" t="s">
        <v>178</v>
      </c>
      <c r="H79" s="1" t="s">
        <v>30</v>
      </c>
      <c r="I79" s="3">
        <v>4</v>
      </c>
      <c r="J79" s="1" t="s">
        <v>36</v>
      </c>
      <c r="K79" s="1" t="s">
        <v>19</v>
      </c>
      <c r="L79" s="5">
        <v>46043.192499999997</v>
      </c>
    </row>
    <row r="80" spans="1:12">
      <c r="A80" s="1" t="s">
        <v>299</v>
      </c>
      <c r="B80" s="1" t="s">
        <v>300</v>
      </c>
      <c r="C80" s="1" t="s">
        <v>301</v>
      </c>
      <c r="D80" s="1" t="s">
        <v>15</v>
      </c>
      <c r="E80" s="3">
        <v>37</v>
      </c>
      <c r="F80" s="4">
        <v>8800000</v>
      </c>
      <c r="G80" s="1" t="s">
        <v>16</v>
      </c>
      <c r="H80" s="1" t="s">
        <v>24</v>
      </c>
      <c r="I80" s="3">
        <v>1</v>
      </c>
      <c r="J80" s="1" t="s">
        <v>91</v>
      </c>
      <c r="K80" s="1" t="s">
        <v>42</v>
      </c>
      <c r="L80" s="5">
        <v>45448.352719907409</v>
      </c>
    </row>
    <row r="81" spans="1:12">
      <c r="A81" s="1" t="s">
        <v>302</v>
      </c>
      <c r="B81" s="1" t="s">
        <v>303</v>
      </c>
      <c r="C81" s="1" t="s">
        <v>304</v>
      </c>
      <c r="D81" s="1" t="s">
        <v>109</v>
      </c>
      <c r="E81" s="3">
        <v>707</v>
      </c>
      <c r="F81" s="4">
        <v>214900000</v>
      </c>
      <c r="G81" s="1" t="s">
        <v>249</v>
      </c>
      <c r="H81" s="1" t="s">
        <v>30</v>
      </c>
      <c r="I81" s="3">
        <v>4</v>
      </c>
      <c r="J81" s="1" t="s">
        <v>36</v>
      </c>
      <c r="K81" s="1" t="s">
        <v>42</v>
      </c>
      <c r="L81" s="5">
        <v>45249.687581018516</v>
      </c>
    </row>
    <row r="82" spans="1:12">
      <c r="A82" s="1" t="s">
        <v>305</v>
      </c>
      <c r="B82" s="1" t="s">
        <v>306</v>
      </c>
      <c r="C82" s="1" t="s">
        <v>307</v>
      </c>
      <c r="D82" s="1" t="s">
        <v>15</v>
      </c>
      <c r="E82" s="3">
        <v>787</v>
      </c>
      <c r="F82" s="4">
        <v>215300000</v>
      </c>
      <c r="G82" s="1" t="s">
        <v>64</v>
      </c>
      <c r="H82" s="1" t="s">
        <v>30</v>
      </c>
      <c r="I82" s="3">
        <v>3</v>
      </c>
      <c r="J82" s="1" t="s">
        <v>18</v>
      </c>
      <c r="K82" s="1" t="s">
        <v>19</v>
      </c>
      <c r="L82" s="5">
        <v>45339.907534722224</v>
      </c>
    </row>
    <row r="83" spans="1:12">
      <c r="A83" s="1" t="s">
        <v>308</v>
      </c>
      <c r="B83" s="1" t="s">
        <v>309</v>
      </c>
      <c r="C83" s="1" t="s">
        <v>310</v>
      </c>
      <c r="D83" s="1" t="s">
        <v>40</v>
      </c>
      <c r="E83" s="3">
        <v>67</v>
      </c>
      <c r="F83" s="4">
        <v>13100000</v>
      </c>
      <c r="G83" s="1" t="s">
        <v>16</v>
      </c>
      <c r="H83" s="1" t="s">
        <v>24</v>
      </c>
      <c r="I83" s="3">
        <v>1</v>
      </c>
      <c r="J83" s="1" t="s">
        <v>91</v>
      </c>
      <c r="K83" s="1" t="s">
        <v>19</v>
      </c>
      <c r="L83" s="5">
        <v>46065.731562499997</v>
      </c>
    </row>
    <row r="84" spans="1:12">
      <c r="A84" s="1" t="s">
        <v>311</v>
      </c>
      <c r="B84" s="1" t="s">
        <v>312</v>
      </c>
      <c r="C84" s="1" t="s">
        <v>313</v>
      </c>
      <c r="D84" s="1" t="s">
        <v>201</v>
      </c>
      <c r="E84" s="3">
        <v>238</v>
      </c>
      <c r="F84" s="4">
        <v>56100000</v>
      </c>
      <c r="G84" s="1" t="s">
        <v>35</v>
      </c>
      <c r="H84" s="1" t="s">
        <v>30</v>
      </c>
      <c r="I84" s="3">
        <v>4</v>
      </c>
      <c r="J84" s="1" t="s">
        <v>36</v>
      </c>
      <c r="K84" s="1" t="s">
        <v>19</v>
      </c>
      <c r="L84" s="5">
        <v>45390.326770833337</v>
      </c>
    </row>
    <row r="85" spans="1:12">
      <c r="A85" s="1" t="s">
        <v>314</v>
      </c>
      <c r="B85" s="1" t="s">
        <v>315</v>
      </c>
      <c r="C85" s="1" t="s">
        <v>316</v>
      </c>
      <c r="D85" s="1" t="s">
        <v>201</v>
      </c>
      <c r="E85" s="3">
        <v>663</v>
      </c>
      <c r="F85" s="4">
        <v>224600000</v>
      </c>
      <c r="G85" s="1" t="s">
        <v>81</v>
      </c>
      <c r="H85" s="1" t="s">
        <v>30</v>
      </c>
      <c r="I85" s="3">
        <v>1</v>
      </c>
      <c r="J85" s="1" t="s">
        <v>82</v>
      </c>
      <c r="K85" s="1" t="s">
        <v>42</v>
      </c>
      <c r="L85" s="5">
        <v>45450.476423611108</v>
      </c>
    </row>
    <row r="86" spans="1:12">
      <c r="A86" s="1" t="s">
        <v>317</v>
      </c>
      <c r="B86" s="1" t="s">
        <v>318</v>
      </c>
      <c r="C86" s="1" t="s">
        <v>319</v>
      </c>
      <c r="D86" s="1" t="s">
        <v>63</v>
      </c>
      <c r="E86" s="3">
        <v>104</v>
      </c>
      <c r="F86" s="4">
        <v>15700000</v>
      </c>
      <c r="G86" s="1" t="s">
        <v>95</v>
      </c>
      <c r="H86" s="1" t="s">
        <v>24</v>
      </c>
      <c r="I86" s="3">
        <v>1</v>
      </c>
      <c r="J86" s="1" t="s">
        <v>91</v>
      </c>
      <c r="K86" s="1" t="s">
        <v>19</v>
      </c>
      <c r="L86" s="5">
        <v>45213.483437499999</v>
      </c>
    </row>
    <row r="87" spans="1:12">
      <c r="A87" s="1" t="s">
        <v>320</v>
      </c>
      <c r="B87" s="1" t="s">
        <v>321</v>
      </c>
      <c r="C87" s="1" t="s">
        <v>322</v>
      </c>
      <c r="D87" s="1" t="s">
        <v>80</v>
      </c>
      <c r="E87" s="3">
        <v>402</v>
      </c>
      <c r="F87" s="4">
        <v>64000000</v>
      </c>
      <c r="G87" s="1" t="s">
        <v>323</v>
      </c>
      <c r="H87" s="1" t="s">
        <v>30</v>
      </c>
      <c r="I87" s="3">
        <v>2</v>
      </c>
      <c r="J87" s="1" t="s">
        <v>82</v>
      </c>
      <c r="K87" s="1" t="s">
        <v>19</v>
      </c>
      <c r="L87" s="5">
        <v>46276.864247685182</v>
      </c>
    </row>
    <row r="88" spans="1:12">
      <c r="A88" s="1" t="s">
        <v>324</v>
      </c>
      <c r="B88" s="1" t="s">
        <v>325</v>
      </c>
      <c r="C88" s="1" t="s">
        <v>326</v>
      </c>
      <c r="D88" s="1" t="s">
        <v>80</v>
      </c>
      <c r="E88" s="3">
        <v>86</v>
      </c>
      <c r="F88" s="4">
        <v>19900000</v>
      </c>
      <c r="G88" s="1" t="s">
        <v>216</v>
      </c>
      <c r="H88" s="1" t="s">
        <v>24</v>
      </c>
      <c r="I88" s="3">
        <v>1</v>
      </c>
      <c r="J88" s="1" t="s">
        <v>91</v>
      </c>
      <c r="K88" s="1" t="s">
        <v>42</v>
      </c>
      <c r="L88" s="5">
        <v>45203.822048611109</v>
      </c>
    </row>
    <row r="89" spans="1:12">
      <c r="A89" s="1" t="s">
        <v>327</v>
      </c>
      <c r="B89" s="1" t="s">
        <v>328</v>
      </c>
      <c r="C89" s="1" t="s">
        <v>329</v>
      </c>
      <c r="D89" s="1" t="s">
        <v>49</v>
      </c>
      <c r="E89" s="3">
        <v>80</v>
      </c>
      <c r="F89" s="4">
        <v>14300000</v>
      </c>
      <c r="G89" s="1" t="s">
        <v>16</v>
      </c>
      <c r="H89" s="1" t="s">
        <v>24</v>
      </c>
      <c r="I89" s="3">
        <v>1</v>
      </c>
      <c r="J89" s="1" t="s">
        <v>91</v>
      </c>
      <c r="K89" s="1" t="s">
        <v>42</v>
      </c>
      <c r="L89" s="5">
        <v>45623.775289351855</v>
      </c>
    </row>
    <row r="90" spans="1:12">
      <c r="A90" s="1" t="s">
        <v>330</v>
      </c>
      <c r="B90" s="1" t="s">
        <v>331</v>
      </c>
      <c r="C90" s="1" t="s">
        <v>332</v>
      </c>
      <c r="D90" s="1" t="s">
        <v>80</v>
      </c>
      <c r="E90" s="3">
        <v>358</v>
      </c>
      <c r="F90" s="4">
        <v>102900000</v>
      </c>
      <c r="G90" s="1" t="s">
        <v>16</v>
      </c>
      <c r="H90" s="1" t="s">
        <v>30</v>
      </c>
      <c r="I90" s="3">
        <v>1</v>
      </c>
      <c r="J90" s="1" t="s">
        <v>18</v>
      </c>
      <c r="K90" s="1" t="s">
        <v>19</v>
      </c>
      <c r="L90" s="5">
        <v>45249.870416666665</v>
      </c>
    </row>
    <row r="91" spans="1:12">
      <c r="A91" s="1" t="s">
        <v>333</v>
      </c>
      <c r="B91" s="1" t="s">
        <v>334</v>
      </c>
      <c r="C91" s="1" t="s">
        <v>335</v>
      </c>
      <c r="D91" s="1" t="s">
        <v>201</v>
      </c>
      <c r="E91" s="3">
        <v>95</v>
      </c>
      <c r="F91" s="4">
        <v>35500000</v>
      </c>
      <c r="G91" s="1" t="s">
        <v>41</v>
      </c>
      <c r="H91" s="1" t="s">
        <v>24</v>
      </c>
      <c r="I91" s="3">
        <v>2</v>
      </c>
      <c r="J91" s="1" t="s">
        <v>25</v>
      </c>
      <c r="K91" s="1" t="s">
        <v>19</v>
      </c>
      <c r="L91" s="5">
        <v>45472.272314814814</v>
      </c>
    </row>
    <row r="92" spans="1:12">
      <c r="A92" s="1" t="s">
        <v>336</v>
      </c>
      <c r="B92" s="1" t="s">
        <v>337</v>
      </c>
      <c r="C92" s="1" t="s">
        <v>338</v>
      </c>
      <c r="D92" s="1" t="s">
        <v>34</v>
      </c>
      <c r="E92" s="3">
        <v>165</v>
      </c>
      <c r="F92" s="4">
        <v>39700000</v>
      </c>
      <c r="G92" s="1" t="s">
        <v>339</v>
      </c>
      <c r="H92" s="1" t="s">
        <v>24</v>
      </c>
      <c r="I92" s="3">
        <v>3</v>
      </c>
      <c r="J92" s="1" t="s">
        <v>69</v>
      </c>
      <c r="K92" s="1" t="s">
        <v>19</v>
      </c>
      <c r="L92" s="5">
        <v>45458.187824074077</v>
      </c>
    </row>
    <row r="93" spans="1:12">
      <c r="A93" s="1" t="s">
        <v>340</v>
      </c>
      <c r="B93" s="1" t="s">
        <v>341</v>
      </c>
      <c r="C93" s="1" t="s">
        <v>79</v>
      </c>
      <c r="D93" s="1" t="s">
        <v>80</v>
      </c>
      <c r="E93" s="3">
        <v>391</v>
      </c>
      <c r="F93" s="4">
        <v>79100000</v>
      </c>
      <c r="G93" s="1" t="s">
        <v>41</v>
      </c>
      <c r="H93" s="1" t="s">
        <v>30</v>
      </c>
      <c r="I93" s="3">
        <v>2</v>
      </c>
      <c r="J93" s="1" t="s">
        <v>82</v>
      </c>
      <c r="K93" s="1" t="s">
        <v>42</v>
      </c>
      <c r="L93" s="5">
        <v>44577.182303240741</v>
      </c>
    </row>
    <row r="94" spans="1:12">
      <c r="A94" s="1" t="s">
        <v>342</v>
      </c>
      <c r="B94" s="1" t="s">
        <v>343</v>
      </c>
      <c r="C94" s="1" t="s">
        <v>344</v>
      </c>
      <c r="D94" s="1" t="s">
        <v>80</v>
      </c>
      <c r="E94" s="3">
        <v>34</v>
      </c>
      <c r="F94" s="4">
        <v>5400000</v>
      </c>
      <c r="G94" s="1" t="s">
        <v>68</v>
      </c>
      <c r="H94" s="1" t="s">
        <v>24</v>
      </c>
      <c r="I94" s="3">
        <v>3</v>
      </c>
      <c r="J94" s="1" t="s">
        <v>69</v>
      </c>
      <c r="K94" s="1" t="s">
        <v>19</v>
      </c>
      <c r="L94" s="5">
        <v>45374.581099537034</v>
      </c>
    </row>
    <row r="95" spans="1:12">
      <c r="A95" s="1" t="s">
        <v>345</v>
      </c>
      <c r="B95" s="1" t="s">
        <v>346</v>
      </c>
      <c r="C95" s="1" t="s">
        <v>347</v>
      </c>
      <c r="D95" s="1" t="s">
        <v>34</v>
      </c>
      <c r="E95" s="3">
        <v>166</v>
      </c>
      <c r="F95" s="4">
        <v>38300000</v>
      </c>
      <c r="G95" s="1" t="s">
        <v>192</v>
      </c>
      <c r="H95" s="1" t="s">
        <v>24</v>
      </c>
      <c r="I95" s="3">
        <v>1</v>
      </c>
      <c r="J95" s="1" t="s">
        <v>91</v>
      </c>
      <c r="K95" s="1" t="s">
        <v>19</v>
      </c>
      <c r="L95" s="5">
        <v>45046.17827546296</v>
      </c>
    </row>
    <row r="96" spans="1:12">
      <c r="A96" s="1" t="s">
        <v>348</v>
      </c>
      <c r="B96" s="1" t="s">
        <v>349</v>
      </c>
      <c r="C96" s="1" t="s">
        <v>350</v>
      </c>
      <c r="D96" s="1" t="s">
        <v>80</v>
      </c>
      <c r="E96" s="3">
        <v>900</v>
      </c>
      <c r="F96" s="4">
        <v>189900000</v>
      </c>
      <c r="G96" s="1" t="s">
        <v>178</v>
      </c>
      <c r="H96" s="1" t="s">
        <v>30</v>
      </c>
      <c r="I96" s="3">
        <v>4</v>
      </c>
      <c r="J96" s="1" t="s">
        <v>36</v>
      </c>
      <c r="K96" s="1" t="s">
        <v>42</v>
      </c>
      <c r="L96" s="5">
        <v>46107.667650462965</v>
      </c>
    </row>
    <row r="97" spans="1:12">
      <c r="A97" s="1" t="s">
        <v>351</v>
      </c>
      <c r="B97" s="1" t="s">
        <v>352</v>
      </c>
      <c r="C97" s="1" t="s">
        <v>353</v>
      </c>
      <c r="D97" s="1" t="s">
        <v>15</v>
      </c>
      <c r="E97" s="3">
        <v>123</v>
      </c>
      <c r="F97" s="4">
        <v>21500000</v>
      </c>
      <c r="G97" s="1" t="s">
        <v>226</v>
      </c>
      <c r="H97" s="1" t="s">
        <v>24</v>
      </c>
      <c r="I97" s="3">
        <v>3</v>
      </c>
      <c r="J97" s="1" t="s">
        <v>69</v>
      </c>
      <c r="K97" s="1" t="s">
        <v>42</v>
      </c>
      <c r="L97" s="5">
        <v>45541.66741898148</v>
      </c>
    </row>
    <row r="98" spans="1:12">
      <c r="A98" s="1" t="s">
        <v>354</v>
      </c>
      <c r="B98" s="1" t="s">
        <v>355</v>
      </c>
      <c r="C98" s="1" t="s">
        <v>356</v>
      </c>
      <c r="D98" s="1" t="s">
        <v>86</v>
      </c>
      <c r="E98" s="3">
        <v>725</v>
      </c>
      <c r="F98" s="4">
        <v>159000000</v>
      </c>
      <c r="G98" s="1" t="s">
        <v>54</v>
      </c>
      <c r="H98" s="1" t="s">
        <v>30</v>
      </c>
      <c r="I98" s="3">
        <v>1</v>
      </c>
      <c r="J98" s="1" t="s">
        <v>55</v>
      </c>
      <c r="K98" s="1" t="s">
        <v>19</v>
      </c>
      <c r="L98" s="5">
        <v>46218.006504629629</v>
      </c>
    </row>
    <row r="99" spans="1:12">
      <c r="A99" s="1" t="s">
        <v>357</v>
      </c>
      <c r="B99" s="1" t="s">
        <v>358</v>
      </c>
      <c r="C99" s="1" t="s">
        <v>359</v>
      </c>
      <c r="D99" s="1" t="s">
        <v>63</v>
      </c>
      <c r="E99" s="3">
        <v>2073</v>
      </c>
      <c r="F99" s="4">
        <v>323700000</v>
      </c>
      <c r="G99" s="1" t="s">
        <v>16</v>
      </c>
      <c r="H99" s="1" t="s">
        <v>17</v>
      </c>
      <c r="I99" s="3">
        <v>1</v>
      </c>
      <c r="J99" s="1" t="s">
        <v>18</v>
      </c>
      <c r="K99" s="1" t="s">
        <v>42</v>
      </c>
      <c r="L99" s="5">
        <v>45639.492928240739</v>
      </c>
    </row>
    <row r="100" spans="1:12">
      <c r="A100" s="1" t="s">
        <v>360</v>
      </c>
      <c r="B100" s="1" t="s">
        <v>361</v>
      </c>
      <c r="C100" s="1" t="s">
        <v>362</v>
      </c>
      <c r="D100" s="1" t="s">
        <v>109</v>
      </c>
      <c r="E100" s="3">
        <v>87</v>
      </c>
      <c r="F100" s="4">
        <v>28000000</v>
      </c>
      <c r="G100" s="1" t="s">
        <v>178</v>
      </c>
      <c r="H100" s="1" t="s">
        <v>24</v>
      </c>
      <c r="I100" s="3">
        <v>4</v>
      </c>
      <c r="J100" s="1" t="s">
        <v>59</v>
      </c>
      <c r="K100" s="1" t="s">
        <v>42</v>
      </c>
      <c r="L100" s="5">
        <v>45473.626736111109</v>
      </c>
    </row>
    <row r="101" spans="1:12">
      <c r="A101" s="1" t="s">
        <v>363</v>
      </c>
      <c r="B101" s="1" t="s">
        <v>364</v>
      </c>
      <c r="C101" s="1" t="s">
        <v>365</v>
      </c>
      <c r="D101" s="1" t="s">
        <v>80</v>
      </c>
      <c r="E101" s="3">
        <v>1136</v>
      </c>
      <c r="F101" s="4">
        <v>323900000</v>
      </c>
      <c r="G101" s="1" t="s">
        <v>366</v>
      </c>
      <c r="H101" s="1" t="s">
        <v>17</v>
      </c>
      <c r="I101" s="3">
        <v>1</v>
      </c>
      <c r="J101" s="1" t="s">
        <v>18</v>
      </c>
      <c r="K101" s="1" t="s">
        <v>19</v>
      </c>
      <c r="L101" s="5">
        <v>45543.517384259256</v>
      </c>
    </row>
    <row r="102" spans="1:12">
      <c r="A102" s="1" t="s">
        <v>367</v>
      </c>
      <c r="B102" s="1" t="s">
        <v>368</v>
      </c>
      <c r="C102" s="1" t="s">
        <v>369</v>
      </c>
      <c r="D102" s="1" t="s">
        <v>49</v>
      </c>
      <c r="E102" s="3">
        <v>100</v>
      </c>
      <c r="F102" s="4">
        <v>14700000</v>
      </c>
      <c r="G102" s="1" t="s">
        <v>68</v>
      </c>
      <c r="H102" s="1" t="s">
        <v>24</v>
      </c>
      <c r="I102" s="3">
        <v>3</v>
      </c>
      <c r="J102" s="1" t="s">
        <v>69</v>
      </c>
      <c r="K102" s="1" t="s">
        <v>19</v>
      </c>
      <c r="L102" s="5">
        <v>46095.131840277776</v>
      </c>
    </row>
    <row r="103" spans="1:12">
      <c r="A103" s="1" t="s">
        <v>370</v>
      </c>
      <c r="B103" s="1" t="s">
        <v>371</v>
      </c>
      <c r="C103" s="1" t="s">
        <v>372</v>
      </c>
      <c r="D103" s="1" t="s">
        <v>86</v>
      </c>
      <c r="E103" s="3">
        <v>2097</v>
      </c>
      <c r="F103" s="4">
        <v>546300000</v>
      </c>
      <c r="G103" s="1" t="s">
        <v>366</v>
      </c>
      <c r="H103" s="1" t="s">
        <v>17</v>
      </c>
      <c r="I103" s="3">
        <v>1</v>
      </c>
      <c r="J103" s="1" t="s">
        <v>18</v>
      </c>
      <c r="K103" s="1" t="s">
        <v>19</v>
      </c>
      <c r="L103" s="5">
        <v>45489.224826388891</v>
      </c>
    </row>
    <row r="104" spans="1:12">
      <c r="A104" s="1" t="s">
        <v>373</v>
      </c>
      <c r="B104" s="1" t="s">
        <v>374</v>
      </c>
      <c r="C104" s="1" t="s">
        <v>375</v>
      </c>
      <c r="D104" s="1" t="s">
        <v>40</v>
      </c>
      <c r="E104" s="3">
        <v>504</v>
      </c>
      <c r="F104" s="4">
        <v>163500000</v>
      </c>
      <c r="G104" s="1" t="s">
        <v>54</v>
      </c>
      <c r="H104" s="1" t="s">
        <v>30</v>
      </c>
      <c r="I104" s="3">
        <v>3</v>
      </c>
      <c r="J104" s="1" t="s">
        <v>82</v>
      </c>
      <c r="K104" s="1" t="s">
        <v>19</v>
      </c>
      <c r="L104" s="5">
        <v>45020.921516203707</v>
      </c>
    </row>
    <row r="105" spans="1:12">
      <c r="A105" s="1" t="s">
        <v>376</v>
      </c>
      <c r="B105" s="1" t="s">
        <v>377</v>
      </c>
      <c r="C105" s="1" t="s">
        <v>378</v>
      </c>
      <c r="D105" s="1" t="s">
        <v>29</v>
      </c>
      <c r="E105" s="3">
        <v>104</v>
      </c>
      <c r="F105" s="4">
        <v>18300000</v>
      </c>
      <c r="G105" s="1" t="s">
        <v>116</v>
      </c>
      <c r="H105" s="1" t="s">
        <v>24</v>
      </c>
      <c r="I105" s="3">
        <v>2</v>
      </c>
      <c r="J105" s="1" t="s">
        <v>25</v>
      </c>
      <c r="K105" s="1" t="s">
        <v>19</v>
      </c>
      <c r="L105" s="5">
        <v>45165.141909722224</v>
      </c>
    </row>
    <row r="106" spans="1:12">
      <c r="A106" s="1" t="s">
        <v>379</v>
      </c>
      <c r="B106" s="1" t="s">
        <v>380</v>
      </c>
      <c r="C106" s="1" t="s">
        <v>381</v>
      </c>
      <c r="D106" s="1" t="s">
        <v>29</v>
      </c>
      <c r="E106" s="3">
        <v>139</v>
      </c>
      <c r="F106" s="4">
        <v>20200000</v>
      </c>
      <c r="G106" s="1" t="s">
        <v>50</v>
      </c>
      <c r="H106" s="1" t="s">
        <v>24</v>
      </c>
      <c r="I106" s="3">
        <v>4</v>
      </c>
      <c r="J106" s="1" t="s">
        <v>59</v>
      </c>
      <c r="K106" s="1" t="s">
        <v>19</v>
      </c>
      <c r="L106" s="5">
        <v>45323.856481481482</v>
      </c>
    </row>
    <row r="107" spans="1:12">
      <c r="A107" s="1" t="s">
        <v>382</v>
      </c>
      <c r="B107" s="1" t="s">
        <v>383</v>
      </c>
      <c r="C107" s="1" t="s">
        <v>384</v>
      </c>
      <c r="D107" s="1" t="s">
        <v>109</v>
      </c>
      <c r="E107" s="3">
        <v>609</v>
      </c>
      <c r="F107" s="4">
        <v>195800000</v>
      </c>
      <c r="G107" s="1" t="s">
        <v>385</v>
      </c>
      <c r="H107" s="1" t="s">
        <v>30</v>
      </c>
      <c r="I107" s="3">
        <v>1</v>
      </c>
      <c r="J107" s="1" t="s">
        <v>18</v>
      </c>
      <c r="K107" s="1" t="s">
        <v>42</v>
      </c>
      <c r="L107" s="5">
        <v>45308.844108796293</v>
      </c>
    </row>
    <row r="108" spans="1:12">
      <c r="A108" s="1" t="s">
        <v>386</v>
      </c>
      <c r="B108" s="1" t="s">
        <v>387</v>
      </c>
      <c r="C108" s="1" t="s">
        <v>388</v>
      </c>
      <c r="D108" s="1" t="s">
        <v>34</v>
      </c>
      <c r="E108" s="3">
        <v>19</v>
      </c>
      <c r="F108" s="4">
        <v>3300000</v>
      </c>
      <c r="G108" s="1" t="s">
        <v>16</v>
      </c>
      <c r="H108" s="1"/>
      <c r="I108" s="3">
        <v>1</v>
      </c>
      <c r="J108" s="1" t="s">
        <v>91</v>
      </c>
      <c r="K108" s="1" t="s">
        <v>19</v>
      </c>
      <c r="L108" s="5">
        <v>45313.746793981481</v>
      </c>
    </row>
    <row r="109" spans="1:12">
      <c r="A109" s="1" t="s">
        <v>389</v>
      </c>
      <c r="B109" s="1" t="s">
        <v>390</v>
      </c>
      <c r="C109" s="1" t="s">
        <v>391</v>
      </c>
      <c r="D109" s="1" t="s">
        <v>29</v>
      </c>
      <c r="E109" s="3">
        <v>75</v>
      </c>
      <c r="F109" s="4">
        <v>10900000</v>
      </c>
      <c r="G109" s="1" t="s">
        <v>64</v>
      </c>
      <c r="H109" s="1" t="s">
        <v>24</v>
      </c>
      <c r="I109" s="3">
        <v>3</v>
      </c>
      <c r="J109" s="1" t="s">
        <v>69</v>
      </c>
      <c r="K109" s="1" t="s">
        <v>19</v>
      </c>
      <c r="L109" s="5">
        <v>45244.058854166666</v>
      </c>
    </row>
    <row r="110" spans="1:12">
      <c r="A110" s="1" t="s">
        <v>392</v>
      </c>
      <c r="B110" s="1" t="s">
        <v>393</v>
      </c>
      <c r="C110" s="1" t="s">
        <v>394</v>
      </c>
      <c r="D110" s="1" t="s">
        <v>40</v>
      </c>
      <c r="E110" s="3">
        <v>1191</v>
      </c>
      <c r="F110" s="4">
        <v>387500000</v>
      </c>
      <c r="G110" s="1" t="s">
        <v>127</v>
      </c>
      <c r="H110" s="1" t="s">
        <v>17</v>
      </c>
      <c r="I110" s="3">
        <v>2</v>
      </c>
      <c r="J110" s="1" t="s">
        <v>82</v>
      </c>
      <c r="K110" s="1" t="s">
        <v>42</v>
      </c>
      <c r="L110" s="5">
        <v>45811.865729166668</v>
      </c>
    </row>
    <row r="111" spans="1:12">
      <c r="A111" s="1" t="s">
        <v>395</v>
      </c>
      <c r="B111" s="1" t="s">
        <v>396</v>
      </c>
      <c r="C111" s="1" t="s">
        <v>397</v>
      </c>
      <c r="D111" s="1" t="s">
        <v>40</v>
      </c>
      <c r="E111" s="3">
        <v>49</v>
      </c>
      <c r="F111" s="4">
        <v>15400000</v>
      </c>
      <c r="G111" s="1" t="s">
        <v>140</v>
      </c>
      <c r="H111" s="1" t="s">
        <v>24</v>
      </c>
      <c r="I111" s="3">
        <v>2</v>
      </c>
      <c r="J111" s="1" t="s">
        <v>25</v>
      </c>
      <c r="K111" s="1" t="s">
        <v>19</v>
      </c>
      <c r="L111" s="5">
        <v>46085.807256944441</v>
      </c>
    </row>
    <row r="112" spans="1:12">
      <c r="A112" s="1" t="s">
        <v>398</v>
      </c>
      <c r="B112" s="1" t="s">
        <v>399</v>
      </c>
      <c r="C112" s="1" t="s">
        <v>400</v>
      </c>
      <c r="D112" s="1" t="s">
        <v>63</v>
      </c>
      <c r="E112" s="3">
        <v>553</v>
      </c>
      <c r="F112" s="4">
        <v>60900000</v>
      </c>
      <c r="G112" s="1" t="s">
        <v>50</v>
      </c>
      <c r="H112" s="1" t="s">
        <v>30</v>
      </c>
      <c r="I112" s="3">
        <v>4</v>
      </c>
      <c r="J112" s="1" t="s">
        <v>36</v>
      </c>
      <c r="K112" s="1" t="s">
        <v>19</v>
      </c>
      <c r="L112" s="5">
        <v>44986.38685185185</v>
      </c>
    </row>
    <row r="113" spans="1:12">
      <c r="A113" s="1" t="s">
        <v>401</v>
      </c>
      <c r="B113" s="1" t="s">
        <v>402</v>
      </c>
      <c r="C113" s="1" t="s">
        <v>403</v>
      </c>
      <c r="D113" s="1" t="s">
        <v>40</v>
      </c>
      <c r="E113" s="3">
        <v>3048</v>
      </c>
      <c r="F113" s="4">
        <v>613500000</v>
      </c>
      <c r="G113" s="1" t="s">
        <v>404</v>
      </c>
      <c r="H113" s="1"/>
      <c r="I113" s="3">
        <v>2</v>
      </c>
      <c r="J113" s="1" t="s">
        <v>82</v>
      </c>
      <c r="K113" s="1" t="s">
        <v>141</v>
      </c>
      <c r="L113" s="5">
        <v>45663.178078703706</v>
      </c>
    </row>
    <row r="114" spans="1:12">
      <c r="A114" s="1" t="s">
        <v>405</v>
      </c>
      <c r="B114" s="1" t="s">
        <v>406</v>
      </c>
      <c r="C114" s="1" t="s">
        <v>407</v>
      </c>
      <c r="D114" s="1" t="s">
        <v>34</v>
      </c>
      <c r="E114" s="3">
        <v>1806</v>
      </c>
      <c r="F114" s="4">
        <v>345500000</v>
      </c>
      <c r="G114" s="1" t="s">
        <v>408</v>
      </c>
      <c r="H114" s="1" t="s">
        <v>17</v>
      </c>
      <c r="I114" s="3">
        <v>3</v>
      </c>
      <c r="J114" s="1" t="s">
        <v>55</v>
      </c>
      <c r="K114" s="1" t="s">
        <v>141</v>
      </c>
      <c r="L114" s="5">
        <v>45940.051099537035</v>
      </c>
    </row>
    <row r="115" spans="1:12">
      <c r="A115" s="1" t="s">
        <v>409</v>
      </c>
      <c r="B115" s="1" t="s">
        <v>410</v>
      </c>
      <c r="C115" s="1" t="s">
        <v>411</v>
      </c>
      <c r="D115" s="1" t="s">
        <v>40</v>
      </c>
      <c r="E115" s="3">
        <v>135</v>
      </c>
      <c r="F115" s="4">
        <v>28300000</v>
      </c>
      <c r="G115" s="1" t="s">
        <v>68</v>
      </c>
      <c r="H115" s="1" t="s">
        <v>24</v>
      </c>
      <c r="I115" s="3">
        <v>3</v>
      </c>
      <c r="J115" s="1" t="s">
        <v>69</v>
      </c>
      <c r="K115" s="1" t="s">
        <v>42</v>
      </c>
      <c r="L115" s="5">
        <v>45929.325914351852</v>
      </c>
    </row>
    <row r="116" spans="1:12">
      <c r="A116" s="1" t="s">
        <v>412</v>
      </c>
      <c r="B116" s="1" t="s">
        <v>413</v>
      </c>
      <c r="C116" s="1" t="s">
        <v>414</v>
      </c>
      <c r="D116" s="1" t="s">
        <v>29</v>
      </c>
      <c r="E116" s="3">
        <v>1879</v>
      </c>
      <c r="F116" s="4">
        <v>356700000</v>
      </c>
      <c r="G116" s="1" t="s">
        <v>415</v>
      </c>
      <c r="H116" s="1" t="s">
        <v>17</v>
      </c>
      <c r="I116" s="3">
        <v>3</v>
      </c>
      <c r="J116" s="1" t="s">
        <v>55</v>
      </c>
      <c r="K116" s="1" t="s">
        <v>42</v>
      </c>
      <c r="L116" s="5">
        <v>45038.228761574072</v>
      </c>
    </row>
    <row r="117" spans="1:12">
      <c r="A117" s="1" t="s">
        <v>416</v>
      </c>
      <c r="B117" s="1" t="s">
        <v>417</v>
      </c>
      <c r="C117" s="1" t="s">
        <v>418</v>
      </c>
      <c r="D117" s="1" t="s">
        <v>49</v>
      </c>
      <c r="E117" s="3">
        <v>529</v>
      </c>
      <c r="F117" s="4">
        <v>123300000</v>
      </c>
      <c r="G117" s="1" t="s">
        <v>216</v>
      </c>
      <c r="H117" s="1" t="s">
        <v>30</v>
      </c>
      <c r="I117" s="3">
        <v>1</v>
      </c>
      <c r="J117" s="1" t="s">
        <v>18</v>
      </c>
      <c r="K117" s="1" t="s">
        <v>19</v>
      </c>
      <c r="L117" s="5">
        <v>45902.959305555552</v>
      </c>
    </row>
    <row r="118" spans="1:12">
      <c r="A118" s="1" t="s">
        <v>419</v>
      </c>
      <c r="B118" s="1" t="s">
        <v>420</v>
      </c>
      <c r="C118" s="1" t="s">
        <v>421</v>
      </c>
      <c r="D118" s="1" t="s">
        <v>34</v>
      </c>
      <c r="E118" s="3">
        <v>485</v>
      </c>
      <c r="F118" s="4">
        <v>111200000</v>
      </c>
      <c r="G118" s="1" t="s">
        <v>16</v>
      </c>
      <c r="H118" s="1" t="s">
        <v>30</v>
      </c>
      <c r="I118" s="3">
        <v>1</v>
      </c>
      <c r="J118" s="1" t="s">
        <v>18</v>
      </c>
      <c r="K118" s="1" t="s">
        <v>42</v>
      </c>
      <c r="L118" s="5">
        <v>45789.283148148148</v>
      </c>
    </row>
    <row r="119" spans="1:12">
      <c r="A119" s="1" t="s">
        <v>422</v>
      </c>
      <c r="B119" s="1" t="s">
        <v>423</v>
      </c>
      <c r="C119" s="1" t="s">
        <v>424</v>
      </c>
      <c r="D119" s="1" t="s">
        <v>63</v>
      </c>
      <c r="E119" s="3">
        <v>67</v>
      </c>
      <c r="F119" s="4">
        <v>10200000</v>
      </c>
      <c r="G119" s="1" t="s">
        <v>16</v>
      </c>
      <c r="H119" s="1" t="s">
        <v>24</v>
      </c>
      <c r="I119" s="3">
        <v>1</v>
      </c>
      <c r="J119" s="1" t="s">
        <v>91</v>
      </c>
      <c r="K119" s="1" t="s">
        <v>42</v>
      </c>
      <c r="L119" s="5">
        <v>44904.671909722223</v>
      </c>
    </row>
    <row r="120" spans="1:12">
      <c r="A120" s="1" t="s">
        <v>425</v>
      </c>
      <c r="B120" s="1" t="s">
        <v>426</v>
      </c>
      <c r="C120" s="1" t="s">
        <v>427</v>
      </c>
      <c r="D120" s="1" t="s">
        <v>29</v>
      </c>
      <c r="E120" s="3">
        <v>69</v>
      </c>
      <c r="F120" s="4">
        <v>12700000</v>
      </c>
      <c r="G120" s="1" t="s">
        <v>95</v>
      </c>
      <c r="H120" s="1" t="s">
        <v>24</v>
      </c>
      <c r="I120" s="3">
        <v>1</v>
      </c>
      <c r="J120" s="1" t="s">
        <v>91</v>
      </c>
      <c r="K120" s="1" t="s">
        <v>42</v>
      </c>
      <c r="L120" s="5">
        <v>45130.729259259257</v>
      </c>
    </row>
    <row r="121" spans="1:12">
      <c r="A121" s="1" t="s">
        <v>428</v>
      </c>
      <c r="B121" s="1" t="s">
        <v>429</v>
      </c>
      <c r="C121" s="1" t="s">
        <v>430</v>
      </c>
      <c r="D121" s="1" t="s">
        <v>29</v>
      </c>
      <c r="E121" s="3">
        <v>490</v>
      </c>
      <c r="F121" s="4">
        <v>72700000</v>
      </c>
      <c r="G121" s="1" t="s">
        <v>285</v>
      </c>
      <c r="H121" s="1" t="s">
        <v>30</v>
      </c>
      <c r="I121" s="3">
        <v>4</v>
      </c>
      <c r="J121" s="1" t="s">
        <v>36</v>
      </c>
      <c r="K121" s="1" t="s">
        <v>42</v>
      </c>
      <c r="L121" s="5">
        <v>45283.835416666669</v>
      </c>
    </row>
    <row r="122" spans="1:12">
      <c r="A122" s="1" t="s">
        <v>431</v>
      </c>
      <c r="B122" s="1" t="s">
        <v>432</v>
      </c>
      <c r="C122" s="1" t="s">
        <v>433</v>
      </c>
      <c r="D122" s="1" t="s">
        <v>80</v>
      </c>
      <c r="E122" s="3">
        <v>261</v>
      </c>
      <c r="F122" s="4">
        <v>43800000</v>
      </c>
      <c r="G122" s="1" t="s">
        <v>205</v>
      </c>
      <c r="H122" s="1" t="s">
        <v>30</v>
      </c>
      <c r="I122" s="3">
        <v>4</v>
      </c>
      <c r="J122" s="1" t="s">
        <v>36</v>
      </c>
      <c r="K122" s="1" t="s">
        <v>19</v>
      </c>
      <c r="L122" s="5">
        <v>46051.548379629632</v>
      </c>
    </row>
    <row r="123" spans="1:12">
      <c r="A123" s="1" t="s">
        <v>434</v>
      </c>
      <c r="B123" s="1" t="s">
        <v>435</v>
      </c>
      <c r="C123" s="1" t="s">
        <v>436</v>
      </c>
      <c r="D123" s="1" t="s">
        <v>80</v>
      </c>
      <c r="E123" s="3">
        <v>1398</v>
      </c>
      <c r="F123" s="4">
        <v>297300000</v>
      </c>
      <c r="G123" s="1" t="s">
        <v>116</v>
      </c>
      <c r="H123" s="1" t="s">
        <v>17</v>
      </c>
      <c r="I123" s="3">
        <v>2</v>
      </c>
      <c r="J123" s="1" t="s">
        <v>82</v>
      </c>
      <c r="K123" s="1" t="s">
        <v>19</v>
      </c>
      <c r="L123" s="5">
        <v>46248.628750000003</v>
      </c>
    </row>
    <row r="124" spans="1:12">
      <c r="A124" s="1" t="s">
        <v>437</v>
      </c>
      <c r="B124" s="1" t="s">
        <v>438</v>
      </c>
      <c r="C124" s="1" t="s">
        <v>439</v>
      </c>
      <c r="D124" s="1" t="s">
        <v>201</v>
      </c>
      <c r="E124" s="3">
        <v>662</v>
      </c>
      <c r="F124" s="4">
        <v>228800000</v>
      </c>
      <c r="G124" s="1" t="s">
        <v>440</v>
      </c>
      <c r="H124" s="1" t="s">
        <v>30</v>
      </c>
      <c r="I124" s="3">
        <v>2</v>
      </c>
      <c r="J124" s="1" t="s">
        <v>55</v>
      </c>
      <c r="K124" s="1" t="s">
        <v>19</v>
      </c>
      <c r="L124" s="5">
        <v>45284.505347222221</v>
      </c>
    </row>
    <row r="125" spans="1:12">
      <c r="A125" s="1" t="s">
        <v>441</v>
      </c>
      <c r="B125" s="1" t="s">
        <v>442</v>
      </c>
      <c r="C125" s="1" t="s">
        <v>443</v>
      </c>
      <c r="D125" s="1"/>
      <c r="E125" s="3">
        <v>577</v>
      </c>
      <c r="F125" s="4">
        <v>122500000</v>
      </c>
      <c r="G125" s="1" t="s">
        <v>216</v>
      </c>
      <c r="H125" s="1" t="s">
        <v>30</v>
      </c>
      <c r="I125" s="3">
        <v>1</v>
      </c>
      <c r="J125" s="1" t="s">
        <v>18</v>
      </c>
      <c r="K125" s="1" t="s">
        <v>19</v>
      </c>
      <c r="L125" s="5">
        <v>46089.698206018518</v>
      </c>
    </row>
    <row r="126" spans="1:12">
      <c r="A126" s="1" t="s">
        <v>444</v>
      </c>
      <c r="B126" s="1" t="s">
        <v>445</v>
      </c>
      <c r="C126" s="1" t="s">
        <v>446</v>
      </c>
      <c r="D126" s="1" t="s">
        <v>80</v>
      </c>
      <c r="E126" s="3">
        <v>76</v>
      </c>
      <c r="F126" s="4">
        <v>19700000</v>
      </c>
      <c r="G126" s="1" t="s">
        <v>99</v>
      </c>
      <c r="H126" s="1" t="s">
        <v>24</v>
      </c>
      <c r="I126" s="3">
        <v>4</v>
      </c>
      <c r="J126" s="1" t="s">
        <v>59</v>
      </c>
      <c r="K126" s="1" t="s">
        <v>42</v>
      </c>
      <c r="L126" s="5">
        <v>45311.52516203704</v>
      </c>
    </row>
    <row r="127" spans="1:12">
      <c r="A127" s="1" t="s">
        <v>447</v>
      </c>
      <c r="B127" s="1" t="s">
        <v>448</v>
      </c>
      <c r="C127" s="1" t="s">
        <v>449</v>
      </c>
      <c r="D127" s="1" t="s">
        <v>80</v>
      </c>
      <c r="E127" s="3">
        <v>160</v>
      </c>
      <c r="F127" s="4">
        <v>26400000</v>
      </c>
      <c r="G127" s="1" t="s">
        <v>16</v>
      </c>
      <c r="H127" s="1" t="s">
        <v>24</v>
      </c>
      <c r="I127" s="3">
        <v>1</v>
      </c>
      <c r="J127" s="1" t="s">
        <v>91</v>
      </c>
      <c r="K127" s="1" t="s">
        <v>42</v>
      </c>
      <c r="L127" s="5">
        <v>44981.355613425927</v>
      </c>
    </row>
    <row r="128" spans="1:12">
      <c r="A128" s="1" t="s">
        <v>450</v>
      </c>
      <c r="B128" s="1" t="s">
        <v>451</v>
      </c>
      <c r="C128" s="1" t="s">
        <v>452</v>
      </c>
      <c r="D128" s="1" t="s">
        <v>109</v>
      </c>
      <c r="E128" s="3">
        <v>582</v>
      </c>
      <c r="F128" s="4">
        <v>267000000</v>
      </c>
      <c r="G128" s="1" t="s">
        <v>68</v>
      </c>
      <c r="H128" s="1" t="s">
        <v>30</v>
      </c>
      <c r="I128" s="3">
        <v>4</v>
      </c>
      <c r="J128" s="1" t="s">
        <v>55</v>
      </c>
      <c r="K128" s="1" t="s">
        <v>42</v>
      </c>
      <c r="L128" s="5">
        <v>44594.88790509259</v>
      </c>
    </row>
    <row r="129" spans="1:12">
      <c r="A129" s="1" t="s">
        <v>453</v>
      </c>
      <c r="B129" s="1" t="s">
        <v>454</v>
      </c>
      <c r="C129" s="1" t="s">
        <v>455</v>
      </c>
      <c r="D129" s="1" t="s">
        <v>40</v>
      </c>
      <c r="E129" s="3">
        <v>162</v>
      </c>
      <c r="F129" s="4">
        <v>47500000</v>
      </c>
      <c r="G129" s="1" t="s">
        <v>205</v>
      </c>
      <c r="H129" s="1" t="s">
        <v>24</v>
      </c>
      <c r="I129" s="3">
        <v>4</v>
      </c>
      <c r="J129" s="1" t="s">
        <v>59</v>
      </c>
      <c r="K129" s="1" t="s">
        <v>19</v>
      </c>
      <c r="L129" s="5">
        <v>45728.892164351855</v>
      </c>
    </row>
    <row r="130" spans="1:12">
      <c r="A130" s="1" t="s">
        <v>456</v>
      </c>
      <c r="B130" s="1" t="s">
        <v>457</v>
      </c>
      <c r="C130" s="1" t="s">
        <v>458</v>
      </c>
      <c r="D130" s="1" t="s">
        <v>40</v>
      </c>
      <c r="E130" s="3">
        <v>97</v>
      </c>
      <c r="F130" s="4">
        <v>21900000</v>
      </c>
      <c r="G130" s="1" t="s">
        <v>295</v>
      </c>
      <c r="H130" s="1" t="s">
        <v>24</v>
      </c>
      <c r="I130" s="3">
        <v>2</v>
      </c>
      <c r="J130" s="1" t="s">
        <v>25</v>
      </c>
      <c r="K130" s="1" t="s">
        <v>19</v>
      </c>
      <c r="L130" s="5">
        <v>46106.494317129633</v>
      </c>
    </row>
    <row r="131" spans="1:12">
      <c r="A131" s="1" t="s">
        <v>459</v>
      </c>
      <c r="B131" s="1" t="s">
        <v>460</v>
      </c>
      <c r="C131" s="1" t="s">
        <v>461</v>
      </c>
      <c r="D131" s="1" t="s">
        <v>86</v>
      </c>
      <c r="E131" s="3">
        <v>115</v>
      </c>
      <c r="F131" s="4">
        <v>19200000</v>
      </c>
      <c r="G131" s="1" t="s">
        <v>41</v>
      </c>
      <c r="H131" s="1" t="s">
        <v>24</v>
      </c>
      <c r="I131" s="3">
        <v>2</v>
      </c>
      <c r="J131" s="1" t="s">
        <v>25</v>
      </c>
      <c r="K131" s="1" t="s">
        <v>19</v>
      </c>
      <c r="L131" s="5">
        <v>46179.347743055558</v>
      </c>
    </row>
    <row r="132" spans="1:12">
      <c r="A132" s="1" t="s">
        <v>462</v>
      </c>
      <c r="B132" s="1" t="s">
        <v>463</v>
      </c>
      <c r="C132" s="1" t="s">
        <v>464</v>
      </c>
      <c r="D132" s="1" t="s">
        <v>34</v>
      </c>
      <c r="E132" s="3">
        <v>48</v>
      </c>
      <c r="F132" s="4">
        <v>9500000</v>
      </c>
      <c r="G132" s="1" t="s">
        <v>323</v>
      </c>
      <c r="H132" s="1" t="s">
        <v>24</v>
      </c>
      <c r="I132" s="3">
        <v>1</v>
      </c>
      <c r="J132" s="1" t="s">
        <v>25</v>
      </c>
      <c r="K132" s="1" t="s">
        <v>19</v>
      </c>
      <c r="L132" s="5">
        <v>46225.955995370372</v>
      </c>
    </row>
    <row r="133" spans="1:12">
      <c r="A133" s="1" t="s">
        <v>465</v>
      </c>
      <c r="B133" s="1" t="s">
        <v>466</v>
      </c>
      <c r="C133" s="1"/>
      <c r="D133" s="1" t="s">
        <v>40</v>
      </c>
      <c r="E133" s="3">
        <v>735</v>
      </c>
      <c r="F133" s="4">
        <v>181500000</v>
      </c>
      <c r="G133" s="1" t="s">
        <v>216</v>
      </c>
      <c r="H133" s="1" t="s">
        <v>30</v>
      </c>
      <c r="I133" s="3">
        <v>1</v>
      </c>
      <c r="J133" s="1" t="s">
        <v>18</v>
      </c>
      <c r="K133" s="1" t="s">
        <v>19</v>
      </c>
      <c r="L133" s="5">
        <v>45555.493437500001</v>
      </c>
    </row>
    <row r="134" spans="1:12">
      <c r="A134" s="1" t="s">
        <v>467</v>
      </c>
      <c r="B134" s="1" t="s">
        <v>468</v>
      </c>
      <c r="C134" s="1" t="s">
        <v>469</v>
      </c>
      <c r="D134" s="1" t="s">
        <v>201</v>
      </c>
      <c r="E134" s="3">
        <v>805</v>
      </c>
      <c r="F134" s="4">
        <v>211500000</v>
      </c>
      <c r="G134" s="1" t="s">
        <v>16</v>
      </c>
      <c r="H134" s="1" t="s">
        <v>30</v>
      </c>
      <c r="I134" s="3">
        <v>1</v>
      </c>
      <c r="J134" s="1" t="s">
        <v>18</v>
      </c>
      <c r="K134" s="1" t="s">
        <v>42</v>
      </c>
      <c r="L134" s="5">
        <v>46075.809814814813</v>
      </c>
    </row>
    <row r="135" spans="1:12">
      <c r="A135" s="1" t="s">
        <v>470</v>
      </c>
      <c r="B135" s="1" t="s">
        <v>471</v>
      </c>
      <c r="C135" s="1" t="s">
        <v>472</v>
      </c>
      <c r="D135" s="1" t="s">
        <v>15</v>
      </c>
      <c r="E135" s="3">
        <v>56</v>
      </c>
      <c r="F135" s="4">
        <v>12900000</v>
      </c>
      <c r="G135" s="1"/>
      <c r="H135" s="1" t="s">
        <v>24</v>
      </c>
      <c r="I135" s="3">
        <v>1</v>
      </c>
      <c r="J135" s="1" t="s">
        <v>91</v>
      </c>
      <c r="K135" s="1" t="s">
        <v>19</v>
      </c>
      <c r="L135" s="5">
        <v>45329.906388888892</v>
      </c>
    </row>
    <row r="136" spans="1:12">
      <c r="A136" s="1" t="s">
        <v>473</v>
      </c>
      <c r="B136" s="1" t="s">
        <v>474</v>
      </c>
      <c r="C136" s="1" t="s">
        <v>475</v>
      </c>
      <c r="D136" s="1" t="s">
        <v>49</v>
      </c>
      <c r="E136" s="3">
        <v>112</v>
      </c>
      <c r="F136" s="4">
        <v>19000000</v>
      </c>
      <c r="G136" s="1" t="s">
        <v>16</v>
      </c>
      <c r="H136" s="1" t="s">
        <v>24</v>
      </c>
      <c r="I136" s="3">
        <v>1</v>
      </c>
      <c r="J136" s="1" t="s">
        <v>91</v>
      </c>
      <c r="K136" s="1" t="s">
        <v>19</v>
      </c>
      <c r="L136" s="5">
        <v>45277.602673611109</v>
      </c>
    </row>
    <row r="137" spans="1:12">
      <c r="A137" s="1" t="s">
        <v>476</v>
      </c>
      <c r="B137" s="1" t="s">
        <v>477</v>
      </c>
      <c r="C137" s="1" t="s">
        <v>478</v>
      </c>
      <c r="D137" s="1" t="s">
        <v>40</v>
      </c>
      <c r="E137" s="3">
        <v>842</v>
      </c>
      <c r="F137" s="4">
        <v>221300000</v>
      </c>
      <c r="G137" s="1" t="s">
        <v>140</v>
      </c>
      <c r="H137" s="1" t="s">
        <v>30</v>
      </c>
      <c r="I137" s="3">
        <v>2</v>
      </c>
      <c r="J137" s="1" t="s">
        <v>82</v>
      </c>
      <c r="K137" s="1" t="s">
        <v>42</v>
      </c>
      <c r="L137" s="5">
        <v>46171.841354166667</v>
      </c>
    </row>
    <row r="138" spans="1:12">
      <c r="A138" s="1" t="s">
        <v>479</v>
      </c>
      <c r="B138" s="1" t="s">
        <v>480</v>
      </c>
      <c r="C138" s="1" t="s">
        <v>481</v>
      </c>
      <c r="D138" s="1" t="s">
        <v>15</v>
      </c>
      <c r="E138" s="3">
        <v>299</v>
      </c>
      <c r="F138" s="4">
        <v>47300000</v>
      </c>
      <c r="G138" s="1" t="s">
        <v>54</v>
      </c>
      <c r="H138" s="1" t="s">
        <v>30</v>
      </c>
      <c r="I138" s="3">
        <v>3</v>
      </c>
      <c r="J138" s="1" t="s">
        <v>55</v>
      </c>
      <c r="K138" s="1" t="s">
        <v>19</v>
      </c>
      <c r="L138" s="5">
        <v>46049.33734953704</v>
      </c>
    </row>
    <row r="139" spans="1:12">
      <c r="A139" s="1" t="s">
        <v>482</v>
      </c>
      <c r="B139" s="1" t="s">
        <v>483</v>
      </c>
      <c r="C139" s="1" t="s">
        <v>484</v>
      </c>
      <c r="D139" s="1" t="s">
        <v>34</v>
      </c>
      <c r="E139" s="3">
        <v>122</v>
      </c>
      <c r="F139" s="4">
        <v>27900000</v>
      </c>
      <c r="G139" s="1" t="s">
        <v>205</v>
      </c>
      <c r="H139" s="1" t="s">
        <v>24</v>
      </c>
      <c r="I139" s="3">
        <v>4</v>
      </c>
      <c r="J139" s="1" t="s">
        <v>59</v>
      </c>
      <c r="K139" s="1" t="s">
        <v>19</v>
      </c>
      <c r="L139" s="5">
        <v>45300.330879629626</v>
      </c>
    </row>
    <row r="140" spans="1:12">
      <c r="A140" s="1" t="s">
        <v>485</v>
      </c>
      <c r="B140" s="1" t="s">
        <v>486</v>
      </c>
      <c r="C140" s="1" t="s">
        <v>487</v>
      </c>
      <c r="D140" s="1" t="s">
        <v>15</v>
      </c>
      <c r="E140" s="3">
        <v>731</v>
      </c>
      <c r="F140" s="4">
        <v>174200000</v>
      </c>
      <c r="G140" s="1" t="s">
        <v>408</v>
      </c>
      <c r="H140" s="1" t="s">
        <v>30</v>
      </c>
      <c r="I140" s="3">
        <v>3</v>
      </c>
      <c r="J140" s="1" t="s">
        <v>55</v>
      </c>
      <c r="K140" s="1" t="s">
        <v>42</v>
      </c>
      <c r="L140" s="5">
        <v>45950.13726851852</v>
      </c>
    </row>
    <row r="141" spans="1:12">
      <c r="A141" s="1" t="s">
        <v>488</v>
      </c>
      <c r="B141" s="1" t="s">
        <v>489</v>
      </c>
      <c r="C141" s="1" t="s">
        <v>490</v>
      </c>
      <c r="D141" s="1" t="s">
        <v>15</v>
      </c>
      <c r="E141" s="3">
        <v>1642</v>
      </c>
      <c r="F141" s="4">
        <v>305200000</v>
      </c>
      <c r="G141" s="1" t="s">
        <v>50</v>
      </c>
      <c r="H141" s="1" t="s">
        <v>17</v>
      </c>
      <c r="I141" s="3">
        <v>4</v>
      </c>
      <c r="J141" s="1" t="s">
        <v>36</v>
      </c>
      <c r="K141" s="1" t="s">
        <v>42</v>
      </c>
      <c r="L141" s="5">
        <v>44637.970960648148</v>
      </c>
    </row>
    <row r="142" spans="1:12">
      <c r="A142" s="1" t="s">
        <v>491</v>
      </c>
      <c r="B142" s="1" t="s">
        <v>492</v>
      </c>
      <c r="C142" s="1" t="s">
        <v>493</v>
      </c>
      <c r="D142" s="1" t="s">
        <v>109</v>
      </c>
      <c r="E142" s="3">
        <v>2121</v>
      </c>
      <c r="F142" s="4">
        <v>639800000</v>
      </c>
      <c r="G142" s="1" t="s">
        <v>16</v>
      </c>
      <c r="H142" s="1" t="s">
        <v>17</v>
      </c>
      <c r="I142" s="3">
        <v>1</v>
      </c>
      <c r="J142" s="1" t="s">
        <v>18</v>
      </c>
      <c r="K142" s="1" t="s">
        <v>42</v>
      </c>
      <c r="L142" s="5">
        <v>46137.098240740743</v>
      </c>
    </row>
    <row r="143" spans="1:12">
      <c r="A143" s="1" t="s">
        <v>494</v>
      </c>
      <c r="B143" s="1" t="s">
        <v>495</v>
      </c>
      <c r="C143" s="1" t="s">
        <v>496</v>
      </c>
      <c r="D143" s="1" t="s">
        <v>34</v>
      </c>
      <c r="E143" s="3">
        <v>349</v>
      </c>
      <c r="F143" s="4">
        <v>75100000</v>
      </c>
      <c r="G143" s="1" t="s">
        <v>50</v>
      </c>
      <c r="H143" s="1" t="s">
        <v>30</v>
      </c>
      <c r="I143" s="3">
        <v>4</v>
      </c>
      <c r="J143" s="1" t="s">
        <v>36</v>
      </c>
      <c r="K143" s="1" t="s">
        <v>19</v>
      </c>
      <c r="L143" s="5">
        <v>45131.765775462962</v>
      </c>
    </row>
    <row r="144" spans="1:12">
      <c r="A144" s="1" t="s">
        <v>497</v>
      </c>
      <c r="B144" s="1" t="s">
        <v>498</v>
      </c>
      <c r="C144" s="1" t="s">
        <v>499</v>
      </c>
      <c r="D144" s="1" t="s">
        <v>80</v>
      </c>
      <c r="E144" s="3">
        <v>162</v>
      </c>
      <c r="F144" s="4">
        <v>29200000</v>
      </c>
      <c r="G144" s="1" t="s">
        <v>50</v>
      </c>
      <c r="H144" s="1" t="s">
        <v>24</v>
      </c>
      <c r="I144" s="3">
        <v>4</v>
      </c>
      <c r="J144" s="1" t="s">
        <v>59</v>
      </c>
      <c r="K144" s="1" t="s">
        <v>42</v>
      </c>
      <c r="L144" s="5">
        <v>45583.697106481479</v>
      </c>
    </row>
    <row r="145" spans="1:12">
      <c r="A145" s="1" t="s">
        <v>500</v>
      </c>
      <c r="B145" s="1" t="s">
        <v>501</v>
      </c>
      <c r="C145" s="1" t="s">
        <v>502</v>
      </c>
      <c r="D145" s="1" t="s">
        <v>201</v>
      </c>
      <c r="E145" s="3">
        <v>150</v>
      </c>
      <c r="F145" s="4">
        <v>50200000</v>
      </c>
      <c r="G145" s="1" t="s">
        <v>81</v>
      </c>
      <c r="H145" s="1" t="s">
        <v>24</v>
      </c>
      <c r="I145" s="3">
        <v>2</v>
      </c>
      <c r="J145" s="1" t="s">
        <v>25</v>
      </c>
      <c r="K145" s="1" t="s">
        <v>42</v>
      </c>
      <c r="L145" s="5">
        <v>45268.451238425929</v>
      </c>
    </row>
    <row r="146" spans="1:12">
      <c r="A146" s="1" t="s">
        <v>503</v>
      </c>
      <c r="B146" s="1" t="s">
        <v>504</v>
      </c>
      <c r="C146" s="1" t="s">
        <v>505</v>
      </c>
      <c r="D146" s="1" t="s">
        <v>40</v>
      </c>
      <c r="E146" s="3">
        <v>87</v>
      </c>
      <c r="F146" s="4">
        <v>23600000</v>
      </c>
      <c r="G146" s="1" t="s">
        <v>140</v>
      </c>
      <c r="H146" s="1" t="s">
        <v>24</v>
      </c>
      <c r="I146" s="3">
        <v>2</v>
      </c>
      <c r="J146" s="1" t="s">
        <v>25</v>
      </c>
      <c r="K146" s="1" t="s">
        <v>42</v>
      </c>
      <c r="L146" s="5">
        <v>45518.859814814816</v>
      </c>
    </row>
    <row r="147" spans="1:12">
      <c r="A147" s="1" t="s">
        <v>506</v>
      </c>
      <c r="B147" s="1" t="s">
        <v>507</v>
      </c>
      <c r="C147" s="1" t="s">
        <v>508</v>
      </c>
      <c r="D147" s="1" t="s">
        <v>34</v>
      </c>
      <c r="E147" s="3">
        <v>744</v>
      </c>
      <c r="F147" s="4">
        <v>122900000</v>
      </c>
      <c r="G147" s="1" t="s">
        <v>226</v>
      </c>
      <c r="H147" s="1" t="s">
        <v>30</v>
      </c>
      <c r="I147" s="3">
        <v>3</v>
      </c>
      <c r="J147" s="1" t="s">
        <v>55</v>
      </c>
      <c r="K147" s="1" t="s">
        <v>19</v>
      </c>
      <c r="L147" s="5">
        <v>46247.092638888891</v>
      </c>
    </row>
    <row r="148" spans="1:12">
      <c r="A148" s="1" t="s">
        <v>509</v>
      </c>
      <c r="B148" s="1" t="s">
        <v>510</v>
      </c>
      <c r="C148" s="1" t="s">
        <v>511</v>
      </c>
      <c r="D148" s="1" t="s">
        <v>15</v>
      </c>
      <c r="E148" s="3">
        <v>82</v>
      </c>
      <c r="F148" s="4">
        <v>13200000</v>
      </c>
      <c r="G148" s="1" t="s">
        <v>50</v>
      </c>
      <c r="H148" s="1" t="s">
        <v>24</v>
      </c>
      <c r="I148" s="3">
        <v>4</v>
      </c>
      <c r="J148" s="1" t="s">
        <v>59</v>
      </c>
      <c r="K148" s="1" t="s">
        <v>42</v>
      </c>
      <c r="L148" s="5">
        <v>45125.027662037035</v>
      </c>
    </row>
    <row r="149" spans="1:12">
      <c r="A149" s="1" t="s">
        <v>512</v>
      </c>
      <c r="B149" s="1" t="s">
        <v>513</v>
      </c>
      <c r="C149" s="1" t="s">
        <v>514</v>
      </c>
      <c r="D149" s="1" t="s">
        <v>80</v>
      </c>
      <c r="E149" s="3">
        <v>124</v>
      </c>
      <c r="F149" s="4">
        <v>21100000</v>
      </c>
      <c r="G149" s="1" t="s">
        <v>323</v>
      </c>
      <c r="H149" s="1" t="s">
        <v>24</v>
      </c>
      <c r="I149" s="3">
        <v>2</v>
      </c>
      <c r="J149" s="1" t="s">
        <v>25</v>
      </c>
      <c r="K149" s="1" t="s">
        <v>19</v>
      </c>
      <c r="L149" s="5">
        <v>45157.700937499998</v>
      </c>
    </row>
    <row r="150" spans="1:12">
      <c r="A150" s="1" t="s">
        <v>515</v>
      </c>
      <c r="B150" s="1" t="s">
        <v>516</v>
      </c>
      <c r="C150" s="1" t="s">
        <v>517</v>
      </c>
      <c r="D150" s="1" t="s">
        <v>15</v>
      </c>
      <c r="E150" s="3">
        <v>65</v>
      </c>
      <c r="F150" s="4">
        <v>12500000</v>
      </c>
      <c r="G150" s="1" t="s">
        <v>81</v>
      </c>
      <c r="H150" s="1" t="s">
        <v>24</v>
      </c>
      <c r="I150" s="3">
        <v>2</v>
      </c>
      <c r="J150" s="1" t="s">
        <v>25</v>
      </c>
      <c r="K150" s="1" t="s">
        <v>19</v>
      </c>
      <c r="L150" s="5">
        <v>44991.482708333337</v>
      </c>
    </row>
    <row r="151" spans="1:12">
      <c r="A151" s="1" t="s">
        <v>518</v>
      </c>
      <c r="B151" s="1" t="s">
        <v>519</v>
      </c>
      <c r="C151" s="1" t="s">
        <v>520</v>
      </c>
      <c r="D151" s="1" t="s">
        <v>49</v>
      </c>
      <c r="E151" s="3">
        <v>115</v>
      </c>
      <c r="F151" s="4">
        <v>28200000</v>
      </c>
      <c r="G151" s="1" t="s">
        <v>16</v>
      </c>
      <c r="H151" s="1" t="s">
        <v>24</v>
      </c>
      <c r="I151" s="3">
        <v>1</v>
      </c>
      <c r="J151" s="1" t="s">
        <v>91</v>
      </c>
      <c r="K151" s="1" t="s">
        <v>42</v>
      </c>
      <c r="L151" s="5">
        <v>45635.605000000003</v>
      </c>
    </row>
    <row r="152" spans="1:12">
      <c r="A152" s="1" t="s">
        <v>521</v>
      </c>
      <c r="B152" s="1" t="s">
        <v>522</v>
      </c>
      <c r="C152" s="1" t="s">
        <v>523</v>
      </c>
      <c r="D152" s="1" t="s">
        <v>34</v>
      </c>
      <c r="E152" s="3">
        <v>69</v>
      </c>
      <c r="F152" s="4">
        <v>11700000</v>
      </c>
      <c r="G152" s="1" t="s">
        <v>178</v>
      </c>
      <c r="H152" s="1" t="s">
        <v>24</v>
      </c>
      <c r="I152" s="3">
        <v>4</v>
      </c>
      <c r="J152" s="1" t="s">
        <v>59</v>
      </c>
      <c r="K152" s="1" t="s">
        <v>42</v>
      </c>
      <c r="L152" s="5">
        <v>46049.431585648148</v>
      </c>
    </row>
    <row r="153" spans="1:12">
      <c r="A153" s="1" t="s">
        <v>524</v>
      </c>
      <c r="B153" s="1" t="s">
        <v>525</v>
      </c>
      <c r="C153" s="1" t="s">
        <v>526</v>
      </c>
      <c r="D153" s="1" t="s">
        <v>201</v>
      </c>
      <c r="E153" s="3">
        <v>1073</v>
      </c>
      <c r="F153" s="4">
        <v>404900000</v>
      </c>
      <c r="G153" s="1" t="s">
        <v>50</v>
      </c>
      <c r="H153" s="1" t="s">
        <v>17</v>
      </c>
      <c r="I153" s="3">
        <v>4</v>
      </c>
      <c r="J153" s="1" t="s">
        <v>36</v>
      </c>
      <c r="K153" s="1" t="s">
        <v>141</v>
      </c>
      <c r="L153" s="5">
        <v>45902.27008101852</v>
      </c>
    </row>
    <row r="154" spans="1:12">
      <c r="A154" s="1" t="s">
        <v>527</v>
      </c>
      <c r="B154" s="1" t="s">
        <v>528</v>
      </c>
      <c r="C154" s="1" t="s">
        <v>529</v>
      </c>
      <c r="D154" s="1" t="s">
        <v>29</v>
      </c>
      <c r="E154" s="3">
        <v>71</v>
      </c>
      <c r="F154" s="4">
        <v>15900000</v>
      </c>
      <c r="G154" s="1" t="s">
        <v>295</v>
      </c>
      <c r="H154" s="1" t="s">
        <v>24</v>
      </c>
      <c r="I154" s="3">
        <v>2</v>
      </c>
      <c r="J154" s="1" t="s">
        <v>25</v>
      </c>
      <c r="K154" s="1" t="s">
        <v>42</v>
      </c>
      <c r="L154" s="5">
        <v>45597.899780092594</v>
      </c>
    </row>
    <row r="155" spans="1:12">
      <c r="A155" s="1" t="s">
        <v>530</v>
      </c>
      <c r="B155" s="1" t="s">
        <v>531</v>
      </c>
      <c r="C155" s="1" t="s">
        <v>532</v>
      </c>
      <c r="D155" s="1" t="s">
        <v>40</v>
      </c>
      <c r="E155" s="3">
        <v>47</v>
      </c>
      <c r="F155" s="4">
        <v>8800000</v>
      </c>
      <c r="G155" s="1" t="s">
        <v>154</v>
      </c>
      <c r="H155" s="1" t="s">
        <v>24</v>
      </c>
      <c r="I155" s="3">
        <v>2</v>
      </c>
      <c r="J155" s="1" t="s">
        <v>25</v>
      </c>
      <c r="K155" s="1" t="s">
        <v>19</v>
      </c>
      <c r="L155" s="5">
        <v>44972.882372685184</v>
      </c>
    </row>
    <row r="156" spans="1:12">
      <c r="A156" s="1" t="s">
        <v>533</v>
      </c>
      <c r="B156" s="1" t="s">
        <v>534</v>
      </c>
      <c r="C156" s="1" t="s">
        <v>535</v>
      </c>
      <c r="D156" s="1" t="s">
        <v>29</v>
      </c>
      <c r="E156" s="3">
        <v>235</v>
      </c>
      <c r="F156" s="4">
        <v>40200000</v>
      </c>
      <c r="G156" s="1" t="s">
        <v>236</v>
      </c>
      <c r="H156" s="1" t="s">
        <v>30</v>
      </c>
      <c r="I156" s="3">
        <v>1</v>
      </c>
      <c r="J156" s="1" t="s">
        <v>18</v>
      </c>
      <c r="K156" s="1" t="s">
        <v>19</v>
      </c>
      <c r="L156" s="5">
        <v>45511.709907407407</v>
      </c>
    </row>
    <row r="157" spans="1:12">
      <c r="A157" s="1" t="s">
        <v>536</v>
      </c>
      <c r="B157" s="1" t="s">
        <v>537</v>
      </c>
      <c r="C157" s="1" t="s">
        <v>538</v>
      </c>
      <c r="D157" s="1" t="s">
        <v>29</v>
      </c>
      <c r="E157" s="3">
        <v>513</v>
      </c>
      <c r="F157" s="4">
        <v>73300000</v>
      </c>
      <c r="G157" s="1" t="s">
        <v>95</v>
      </c>
      <c r="H157" s="1" t="s">
        <v>30</v>
      </c>
      <c r="I157" s="3">
        <v>1</v>
      </c>
      <c r="J157" s="1" t="s">
        <v>18</v>
      </c>
      <c r="K157" s="1" t="s">
        <v>19</v>
      </c>
      <c r="L157" s="5">
        <v>45253.409814814811</v>
      </c>
    </row>
    <row r="158" spans="1:12">
      <c r="A158" s="1" t="s">
        <v>539</v>
      </c>
      <c r="B158" s="1" t="s">
        <v>540</v>
      </c>
      <c r="C158" s="1" t="s">
        <v>541</v>
      </c>
      <c r="D158" s="1" t="s">
        <v>201</v>
      </c>
      <c r="E158" s="3">
        <v>163</v>
      </c>
      <c r="F158" s="4">
        <v>53600000</v>
      </c>
      <c r="G158" s="1" t="s">
        <v>95</v>
      </c>
      <c r="H158" s="1" t="s">
        <v>24</v>
      </c>
      <c r="I158" s="3">
        <v>1</v>
      </c>
      <c r="J158" s="1" t="s">
        <v>69</v>
      </c>
      <c r="K158" s="1" t="s">
        <v>19</v>
      </c>
      <c r="L158" s="5">
        <v>45993.058310185188</v>
      </c>
    </row>
    <row r="159" spans="1:12">
      <c r="A159" s="1" t="s">
        <v>542</v>
      </c>
      <c r="B159" s="1" t="s">
        <v>543</v>
      </c>
      <c r="C159" s="1" t="s">
        <v>544</v>
      </c>
      <c r="D159" s="1" t="s">
        <v>34</v>
      </c>
      <c r="E159" s="3">
        <v>154</v>
      </c>
      <c r="F159" s="4">
        <v>23300000</v>
      </c>
      <c r="G159" s="1" t="s">
        <v>99</v>
      </c>
      <c r="H159" s="1" t="s">
        <v>24</v>
      </c>
      <c r="I159" s="3">
        <v>4</v>
      </c>
      <c r="J159" s="1" t="s">
        <v>59</v>
      </c>
      <c r="K159" s="1" t="s">
        <v>19</v>
      </c>
      <c r="L159" s="5">
        <v>46170.986087962963</v>
      </c>
    </row>
    <row r="160" spans="1:12">
      <c r="A160" s="1" t="s">
        <v>545</v>
      </c>
      <c r="B160" s="1" t="s">
        <v>546</v>
      </c>
      <c r="C160" s="1" t="s">
        <v>547</v>
      </c>
      <c r="D160" s="1" t="s">
        <v>34</v>
      </c>
      <c r="E160" s="3">
        <v>127</v>
      </c>
      <c r="F160" s="4">
        <v>18200000</v>
      </c>
      <c r="G160" s="1" t="s">
        <v>212</v>
      </c>
      <c r="H160" s="1" t="s">
        <v>24</v>
      </c>
      <c r="I160" s="3">
        <v>3</v>
      </c>
      <c r="J160" s="1"/>
      <c r="K160" s="1" t="s">
        <v>42</v>
      </c>
      <c r="L160" s="5">
        <v>46112.906435185185</v>
      </c>
    </row>
    <row r="161" spans="1:12">
      <c r="A161" s="1" t="s">
        <v>548</v>
      </c>
      <c r="B161" s="1" t="s">
        <v>549</v>
      </c>
      <c r="C161" s="1" t="s">
        <v>550</v>
      </c>
      <c r="D161" s="1" t="s">
        <v>86</v>
      </c>
      <c r="E161" s="3">
        <v>323</v>
      </c>
      <c r="F161" s="4">
        <v>94100000</v>
      </c>
      <c r="G161" s="1" t="s">
        <v>249</v>
      </c>
      <c r="H161" s="1" t="s">
        <v>30</v>
      </c>
      <c r="I161" s="3">
        <v>4</v>
      </c>
      <c r="J161" s="1" t="s">
        <v>36</v>
      </c>
      <c r="K161" s="1" t="s">
        <v>19</v>
      </c>
      <c r="L161" s="5">
        <v>46165.134247685186</v>
      </c>
    </row>
    <row r="162" spans="1:12">
      <c r="A162" s="1" t="s">
        <v>551</v>
      </c>
      <c r="B162" s="1" t="s">
        <v>552</v>
      </c>
      <c r="C162" s="1" t="s">
        <v>553</v>
      </c>
      <c r="D162" s="1" t="s">
        <v>15</v>
      </c>
      <c r="E162" s="3">
        <v>61</v>
      </c>
      <c r="F162" s="4">
        <v>14900000</v>
      </c>
      <c r="G162" s="1" t="s">
        <v>16</v>
      </c>
      <c r="H162" s="1" t="s">
        <v>24</v>
      </c>
      <c r="I162" s="3">
        <v>1</v>
      </c>
      <c r="J162" s="1" t="s">
        <v>91</v>
      </c>
      <c r="K162" s="1" t="s">
        <v>141</v>
      </c>
      <c r="L162" s="5">
        <v>45983.534282407411</v>
      </c>
    </row>
    <row r="163" spans="1:12">
      <c r="A163" s="1" t="s">
        <v>554</v>
      </c>
      <c r="B163" s="1" t="s">
        <v>555</v>
      </c>
      <c r="C163" s="1" t="s">
        <v>556</v>
      </c>
      <c r="D163" s="1" t="s">
        <v>49</v>
      </c>
      <c r="E163" s="3">
        <v>67</v>
      </c>
      <c r="F163" s="4">
        <v>15300000</v>
      </c>
      <c r="G163" s="1" t="s">
        <v>120</v>
      </c>
      <c r="H163" s="1" t="s">
        <v>24</v>
      </c>
      <c r="I163" s="3">
        <v>2</v>
      </c>
      <c r="J163" s="1" t="s">
        <v>25</v>
      </c>
      <c r="K163" s="1" t="s">
        <v>42</v>
      </c>
      <c r="L163" s="5">
        <v>44728.612928240742</v>
      </c>
    </row>
    <row r="164" spans="1:12">
      <c r="A164" s="1" t="s">
        <v>557</v>
      </c>
      <c r="B164" s="1" t="s">
        <v>558</v>
      </c>
      <c r="C164" s="1" t="s">
        <v>559</v>
      </c>
      <c r="D164" s="1" t="s">
        <v>34</v>
      </c>
      <c r="E164" s="3">
        <v>105</v>
      </c>
      <c r="F164" s="4">
        <v>20300000</v>
      </c>
      <c r="G164" s="1" t="s">
        <v>560</v>
      </c>
      <c r="H164" s="1" t="s">
        <v>24</v>
      </c>
      <c r="I164" s="3">
        <v>2</v>
      </c>
      <c r="J164" s="1" t="s">
        <v>25</v>
      </c>
      <c r="K164" s="1" t="s">
        <v>19</v>
      </c>
      <c r="L164" s="5">
        <v>44940.49119212963</v>
      </c>
    </row>
    <row r="165" spans="1:12">
      <c r="A165" s="1" t="s">
        <v>561</v>
      </c>
      <c r="B165" s="1" t="s">
        <v>562</v>
      </c>
      <c r="C165" s="1" t="s">
        <v>563</v>
      </c>
      <c r="D165" s="1" t="s">
        <v>40</v>
      </c>
      <c r="E165" s="3">
        <v>142</v>
      </c>
      <c r="F165" s="4">
        <v>45700000</v>
      </c>
      <c r="G165" s="1" t="s">
        <v>54</v>
      </c>
      <c r="H165" s="1" t="s">
        <v>24</v>
      </c>
      <c r="I165" s="3">
        <v>3</v>
      </c>
      <c r="J165" s="1" t="s">
        <v>69</v>
      </c>
      <c r="K165" s="1" t="s">
        <v>42</v>
      </c>
      <c r="L165" s="5">
        <v>46171.15047453704</v>
      </c>
    </row>
    <row r="166" spans="1:12">
      <c r="A166" s="1" t="s">
        <v>564</v>
      </c>
      <c r="B166" s="1" t="s">
        <v>565</v>
      </c>
      <c r="C166" s="1" t="s">
        <v>566</v>
      </c>
      <c r="D166" s="1" t="s">
        <v>109</v>
      </c>
      <c r="E166" s="3">
        <v>48</v>
      </c>
      <c r="F166" s="4">
        <v>17800000</v>
      </c>
      <c r="G166" s="1" t="s">
        <v>54</v>
      </c>
      <c r="H166" s="1" t="s">
        <v>24</v>
      </c>
      <c r="I166" s="3"/>
      <c r="J166" s="1" t="s">
        <v>69</v>
      </c>
      <c r="K166" s="1" t="s">
        <v>19</v>
      </c>
      <c r="L166" s="5">
        <v>45885.411782407406</v>
      </c>
    </row>
    <row r="167" spans="1:12">
      <c r="A167" s="1" t="s">
        <v>567</v>
      </c>
      <c r="B167" s="1" t="s">
        <v>568</v>
      </c>
      <c r="C167" s="1" t="s">
        <v>569</v>
      </c>
      <c r="D167" s="1" t="s">
        <v>40</v>
      </c>
      <c r="E167" s="3">
        <v>59</v>
      </c>
      <c r="F167" s="4">
        <v>12900000</v>
      </c>
      <c r="G167" s="1" t="s">
        <v>226</v>
      </c>
      <c r="H167" s="1" t="s">
        <v>24</v>
      </c>
      <c r="I167" s="3">
        <v>3</v>
      </c>
      <c r="J167" s="1" t="s">
        <v>69</v>
      </c>
      <c r="K167" s="1" t="s">
        <v>19</v>
      </c>
      <c r="L167" s="5">
        <v>46073.588865740741</v>
      </c>
    </row>
    <row r="168" spans="1:12">
      <c r="A168" s="1" t="s">
        <v>570</v>
      </c>
      <c r="B168" s="1" t="s">
        <v>571</v>
      </c>
      <c r="C168" s="1" t="s">
        <v>572</v>
      </c>
      <c r="D168" s="1" t="s">
        <v>201</v>
      </c>
      <c r="E168" s="3">
        <v>112</v>
      </c>
      <c r="F168" s="4">
        <v>43600000</v>
      </c>
      <c r="G168" s="1" t="s">
        <v>16</v>
      </c>
      <c r="H168" s="1" t="s">
        <v>24</v>
      </c>
      <c r="I168" s="3">
        <v>1</v>
      </c>
      <c r="J168" s="1" t="s">
        <v>91</v>
      </c>
      <c r="K168" s="1" t="s">
        <v>19</v>
      </c>
      <c r="L168" s="5">
        <v>46041.357372685183</v>
      </c>
    </row>
    <row r="169" spans="1:12">
      <c r="A169" s="1" t="s">
        <v>573</v>
      </c>
      <c r="B169" s="1" t="s">
        <v>574</v>
      </c>
      <c r="C169" s="1" t="s">
        <v>575</v>
      </c>
      <c r="D169" s="1" t="s">
        <v>49</v>
      </c>
      <c r="E169" s="3">
        <v>693</v>
      </c>
      <c r="F169" s="4">
        <v>101600000</v>
      </c>
      <c r="G169" s="1" t="s">
        <v>576</v>
      </c>
      <c r="H169" s="1" t="s">
        <v>30</v>
      </c>
      <c r="I169" s="3">
        <v>2</v>
      </c>
      <c r="J169" s="1" t="s">
        <v>82</v>
      </c>
      <c r="K169" s="1" t="s">
        <v>42</v>
      </c>
      <c r="L169" s="5">
        <v>44599.929513888892</v>
      </c>
    </row>
    <row r="170" spans="1:12">
      <c r="A170" s="1" t="s">
        <v>577</v>
      </c>
      <c r="B170" s="1" t="s">
        <v>578</v>
      </c>
      <c r="C170" s="1" t="s">
        <v>579</v>
      </c>
      <c r="D170" s="1" t="s">
        <v>201</v>
      </c>
      <c r="E170" s="3">
        <v>148</v>
      </c>
      <c r="F170" s="4">
        <v>44000000</v>
      </c>
      <c r="G170" s="1" t="s">
        <v>205</v>
      </c>
      <c r="H170" s="1" t="s">
        <v>24</v>
      </c>
      <c r="I170" s="3">
        <v>4</v>
      </c>
      <c r="J170" s="1" t="s">
        <v>59</v>
      </c>
      <c r="K170" s="1" t="s">
        <v>19</v>
      </c>
      <c r="L170" s="5">
        <v>45324.812627314815</v>
      </c>
    </row>
    <row r="171" spans="1:12">
      <c r="A171" s="1" t="s">
        <v>580</v>
      </c>
      <c r="B171" s="1" t="s">
        <v>581</v>
      </c>
      <c r="C171" s="1" t="s">
        <v>582</v>
      </c>
      <c r="D171" s="1" t="s">
        <v>109</v>
      </c>
      <c r="E171" s="3">
        <v>382</v>
      </c>
      <c r="F171" s="4">
        <v>144300000</v>
      </c>
      <c r="G171" s="1" t="s">
        <v>54</v>
      </c>
      <c r="H171" s="1" t="s">
        <v>30</v>
      </c>
      <c r="I171" s="3">
        <v>3</v>
      </c>
      <c r="J171" s="1" t="s">
        <v>55</v>
      </c>
      <c r="K171" s="1" t="s">
        <v>19</v>
      </c>
      <c r="L171" s="5">
        <v>45770.979872685188</v>
      </c>
    </row>
    <row r="172" spans="1:12">
      <c r="A172" s="1" t="s">
        <v>583</v>
      </c>
      <c r="B172" s="1" t="s">
        <v>584</v>
      </c>
      <c r="C172" s="1" t="s">
        <v>585</v>
      </c>
      <c r="D172" s="1" t="s">
        <v>49</v>
      </c>
      <c r="E172" s="3">
        <v>365</v>
      </c>
      <c r="F172" s="4">
        <v>86000000</v>
      </c>
      <c r="G172" s="1" t="s">
        <v>249</v>
      </c>
      <c r="H172" s="1" t="s">
        <v>30</v>
      </c>
      <c r="I172" s="3">
        <v>4</v>
      </c>
      <c r="J172" s="1" t="s">
        <v>36</v>
      </c>
      <c r="K172" s="1" t="s">
        <v>42</v>
      </c>
      <c r="L172" s="5">
        <v>45201.220636574071</v>
      </c>
    </row>
    <row r="173" spans="1:12">
      <c r="A173" s="1" t="s">
        <v>586</v>
      </c>
      <c r="B173" s="1" t="s">
        <v>587</v>
      </c>
      <c r="C173" s="1" t="s">
        <v>588</v>
      </c>
      <c r="D173" s="1"/>
      <c r="E173" s="3">
        <v>2058</v>
      </c>
      <c r="F173" s="4">
        <v>599400000</v>
      </c>
      <c r="G173" s="1" t="s">
        <v>154</v>
      </c>
      <c r="H173" s="1" t="s">
        <v>17</v>
      </c>
      <c r="I173" s="3">
        <v>2</v>
      </c>
      <c r="J173" s="1" t="s">
        <v>82</v>
      </c>
      <c r="K173" s="1" t="s">
        <v>19</v>
      </c>
      <c r="L173" s="5">
        <v>45044.147615740738</v>
      </c>
    </row>
    <row r="174" spans="1:12">
      <c r="A174" s="1" t="s">
        <v>589</v>
      </c>
      <c r="B174" s="1" t="s">
        <v>590</v>
      </c>
      <c r="C174" s="1" t="s">
        <v>591</v>
      </c>
      <c r="D174" s="1" t="s">
        <v>86</v>
      </c>
      <c r="E174" s="3">
        <v>113</v>
      </c>
      <c r="F174" s="4">
        <v>22000000</v>
      </c>
      <c r="G174" s="1" t="s">
        <v>50</v>
      </c>
      <c r="H174" s="1" t="s">
        <v>24</v>
      </c>
      <c r="I174" s="3">
        <v>4</v>
      </c>
      <c r="J174" s="1" t="s">
        <v>59</v>
      </c>
      <c r="K174" s="1" t="s">
        <v>42</v>
      </c>
      <c r="L174" s="5">
        <v>45772.056851851848</v>
      </c>
    </row>
    <row r="175" spans="1:12">
      <c r="A175" s="1" t="s">
        <v>592</v>
      </c>
      <c r="B175" s="1" t="s">
        <v>593</v>
      </c>
      <c r="C175" s="1" t="s">
        <v>594</v>
      </c>
      <c r="D175" s="1" t="s">
        <v>63</v>
      </c>
      <c r="E175" s="3">
        <v>76</v>
      </c>
      <c r="F175" s="4">
        <v>11900000</v>
      </c>
      <c r="G175" s="1" t="s">
        <v>16</v>
      </c>
      <c r="H175" s="1" t="s">
        <v>24</v>
      </c>
      <c r="I175" s="3">
        <v>1</v>
      </c>
      <c r="J175" s="1" t="s">
        <v>91</v>
      </c>
      <c r="K175" s="1" t="s">
        <v>19</v>
      </c>
      <c r="L175" s="5">
        <v>45038.911145833335</v>
      </c>
    </row>
    <row r="176" spans="1:12">
      <c r="A176" s="1" t="s">
        <v>595</v>
      </c>
      <c r="B176" s="1" t="s">
        <v>596</v>
      </c>
      <c r="C176" s="1" t="s">
        <v>597</v>
      </c>
      <c r="D176" s="1" t="s">
        <v>109</v>
      </c>
      <c r="E176" s="3">
        <v>164</v>
      </c>
      <c r="F176" s="4">
        <v>60800000</v>
      </c>
      <c r="G176" s="1" t="s">
        <v>23</v>
      </c>
      <c r="H176" s="1" t="s">
        <v>24</v>
      </c>
      <c r="I176" s="3">
        <v>2</v>
      </c>
      <c r="J176" s="1" t="s">
        <v>25</v>
      </c>
      <c r="K176" s="1" t="s">
        <v>42</v>
      </c>
      <c r="L176" s="5">
        <v>45739.862592592595</v>
      </c>
    </row>
    <row r="177" spans="1:12">
      <c r="A177" s="1" t="s">
        <v>598</v>
      </c>
      <c r="B177" s="1" t="s">
        <v>599</v>
      </c>
      <c r="C177" s="1" t="s">
        <v>458</v>
      </c>
      <c r="D177" s="1" t="s">
        <v>40</v>
      </c>
      <c r="E177" s="3">
        <v>131</v>
      </c>
      <c r="F177" s="4">
        <v>27900000</v>
      </c>
      <c r="G177" s="1" t="s">
        <v>81</v>
      </c>
      <c r="H177" s="1" t="s">
        <v>24</v>
      </c>
      <c r="I177" s="3">
        <v>2</v>
      </c>
      <c r="J177" s="1" t="s">
        <v>25</v>
      </c>
      <c r="K177" s="1" t="s">
        <v>42</v>
      </c>
      <c r="L177" s="5">
        <v>44948.578645833331</v>
      </c>
    </row>
    <row r="178" spans="1:12">
      <c r="A178" s="1" t="s">
        <v>600</v>
      </c>
      <c r="B178" s="1" t="s">
        <v>601</v>
      </c>
      <c r="C178" s="1" t="s">
        <v>602</v>
      </c>
      <c r="D178" s="1" t="s">
        <v>34</v>
      </c>
      <c r="E178" s="3">
        <v>129</v>
      </c>
      <c r="F178" s="4">
        <v>22800000</v>
      </c>
      <c r="G178" s="1" t="s">
        <v>154</v>
      </c>
      <c r="H178" s="1" t="s">
        <v>24</v>
      </c>
      <c r="I178" s="3">
        <v>2</v>
      </c>
      <c r="J178" s="1" t="s">
        <v>25</v>
      </c>
      <c r="K178" s="1" t="s">
        <v>19</v>
      </c>
      <c r="L178" s="5">
        <v>45976.844722222224</v>
      </c>
    </row>
    <row r="179" spans="1:12">
      <c r="A179" s="1" t="s">
        <v>603</v>
      </c>
      <c r="B179" s="1" t="s">
        <v>604</v>
      </c>
      <c r="C179" s="1" t="s">
        <v>605</v>
      </c>
      <c r="D179" s="1" t="s">
        <v>40</v>
      </c>
      <c r="E179" s="3">
        <v>65</v>
      </c>
      <c r="F179" s="4">
        <v>16200000</v>
      </c>
      <c r="G179" s="1" t="s">
        <v>120</v>
      </c>
      <c r="H179" s="1" t="s">
        <v>24</v>
      </c>
      <c r="I179" s="3">
        <v>2</v>
      </c>
      <c r="J179" s="1" t="s">
        <v>25</v>
      </c>
      <c r="K179" s="1" t="s">
        <v>42</v>
      </c>
      <c r="L179" s="5">
        <v>45182.416319444441</v>
      </c>
    </row>
    <row r="180" spans="1:12">
      <c r="A180" s="1" t="s">
        <v>606</v>
      </c>
      <c r="B180" s="1" t="s">
        <v>607</v>
      </c>
      <c r="C180" s="1" t="s">
        <v>608</v>
      </c>
      <c r="D180" s="1" t="s">
        <v>80</v>
      </c>
      <c r="E180" s="3">
        <v>226</v>
      </c>
      <c r="F180" s="4">
        <v>61500000</v>
      </c>
      <c r="G180" s="1" t="s">
        <v>226</v>
      </c>
      <c r="H180" s="1" t="s">
        <v>30</v>
      </c>
      <c r="I180" s="3">
        <v>3</v>
      </c>
      <c r="J180" s="1" t="s">
        <v>55</v>
      </c>
      <c r="K180" s="1" t="s">
        <v>141</v>
      </c>
      <c r="L180" s="5">
        <v>44865.634594907409</v>
      </c>
    </row>
    <row r="181" spans="1:12">
      <c r="A181" s="1" t="s">
        <v>609</v>
      </c>
      <c r="B181" s="1" t="s">
        <v>610</v>
      </c>
      <c r="C181" s="1" t="s">
        <v>611</v>
      </c>
      <c r="D181" s="1" t="s">
        <v>15</v>
      </c>
      <c r="E181" s="3">
        <v>57</v>
      </c>
      <c r="F181" s="4">
        <v>14400000</v>
      </c>
      <c r="G181" s="1" t="s">
        <v>323</v>
      </c>
      <c r="H181" s="1" t="s">
        <v>24</v>
      </c>
      <c r="I181" s="3">
        <v>2</v>
      </c>
      <c r="J181" s="1" t="s">
        <v>25</v>
      </c>
      <c r="K181" s="1" t="s">
        <v>19</v>
      </c>
      <c r="L181" s="5">
        <v>44928.457592592589</v>
      </c>
    </row>
    <row r="182" spans="1:12">
      <c r="A182" s="1" t="s">
        <v>612</v>
      </c>
      <c r="B182" s="1" t="s">
        <v>613</v>
      </c>
      <c r="C182" s="1" t="s">
        <v>614</v>
      </c>
      <c r="D182" s="1" t="s">
        <v>86</v>
      </c>
      <c r="E182" s="3">
        <v>447</v>
      </c>
      <c r="F182" s="4">
        <v>128400000</v>
      </c>
      <c r="G182" s="1" t="s">
        <v>140</v>
      </c>
      <c r="H182" s="1" t="s">
        <v>30</v>
      </c>
      <c r="I182" s="3">
        <v>2</v>
      </c>
      <c r="J182" s="1" t="s">
        <v>82</v>
      </c>
      <c r="K182" s="1" t="s">
        <v>42</v>
      </c>
      <c r="L182" s="5">
        <v>46116.494895833333</v>
      </c>
    </row>
    <row r="183" spans="1:12">
      <c r="A183" s="1" t="s">
        <v>615</v>
      </c>
      <c r="B183" s="1" t="s">
        <v>616</v>
      </c>
      <c r="C183" s="1"/>
      <c r="D183" s="1" t="s">
        <v>40</v>
      </c>
      <c r="E183" s="3">
        <v>1224</v>
      </c>
      <c r="F183" s="4">
        <v>272200000</v>
      </c>
      <c r="G183" s="1" t="s">
        <v>16</v>
      </c>
      <c r="H183" s="1" t="s">
        <v>17</v>
      </c>
      <c r="I183" s="3">
        <v>1</v>
      </c>
      <c r="J183" s="1" t="s">
        <v>18</v>
      </c>
      <c r="K183" s="1" t="s">
        <v>19</v>
      </c>
      <c r="L183" s="5">
        <v>45566.634976851848</v>
      </c>
    </row>
    <row r="184" spans="1:12">
      <c r="A184" s="1" t="s">
        <v>617</v>
      </c>
      <c r="B184" s="1" t="s">
        <v>618</v>
      </c>
      <c r="C184" s="1" t="s">
        <v>619</v>
      </c>
      <c r="D184" s="1"/>
      <c r="E184" s="3">
        <v>632</v>
      </c>
      <c r="F184" s="4">
        <v>145000000</v>
      </c>
      <c r="G184" s="1" t="s">
        <v>81</v>
      </c>
      <c r="H184" s="1" t="s">
        <v>30</v>
      </c>
      <c r="I184" s="3">
        <v>2</v>
      </c>
      <c r="J184" s="1" t="s">
        <v>82</v>
      </c>
      <c r="K184" s="1" t="s">
        <v>42</v>
      </c>
      <c r="L184" s="5">
        <v>45656.31050925926</v>
      </c>
    </row>
    <row r="185" spans="1:12">
      <c r="A185" s="1" t="s">
        <v>620</v>
      </c>
      <c r="B185" s="1" t="s">
        <v>621</v>
      </c>
      <c r="C185" s="1" t="s">
        <v>622</v>
      </c>
      <c r="D185" s="1" t="s">
        <v>34</v>
      </c>
      <c r="E185" s="3">
        <v>130</v>
      </c>
      <c r="F185" s="4">
        <v>24400000</v>
      </c>
      <c r="G185" s="1" t="s">
        <v>226</v>
      </c>
      <c r="H185" s="1" t="s">
        <v>24</v>
      </c>
      <c r="I185" s="3">
        <v>3</v>
      </c>
      <c r="J185" s="1" t="s">
        <v>69</v>
      </c>
      <c r="K185" s="1" t="s">
        <v>42</v>
      </c>
      <c r="L185" s="5">
        <v>45564.963078703702</v>
      </c>
    </row>
    <row r="186" spans="1:12">
      <c r="A186" s="1" t="s">
        <v>623</v>
      </c>
      <c r="B186" s="1" t="s">
        <v>624</v>
      </c>
      <c r="C186" s="1" t="s">
        <v>625</v>
      </c>
      <c r="D186" s="1" t="s">
        <v>80</v>
      </c>
      <c r="E186" s="3">
        <v>96</v>
      </c>
      <c r="F186" s="4">
        <v>26700000</v>
      </c>
      <c r="G186" s="1" t="s">
        <v>16</v>
      </c>
      <c r="H186" s="1" t="s">
        <v>24</v>
      </c>
      <c r="I186" s="3">
        <v>1</v>
      </c>
      <c r="J186" s="1" t="s">
        <v>91</v>
      </c>
      <c r="K186" s="1" t="s">
        <v>42</v>
      </c>
      <c r="L186" s="5">
        <v>45790.678900462961</v>
      </c>
    </row>
    <row r="187" spans="1:12">
      <c r="A187" s="1" t="s">
        <v>626</v>
      </c>
      <c r="B187" s="1" t="s">
        <v>627</v>
      </c>
      <c r="C187" s="1" t="s">
        <v>628</v>
      </c>
      <c r="D187" s="1" t="s">
        <v>34</v>
      </c>
      <c r="E187" s="3">
        <v>516</v>
      </c>
      <c r="F187" s="4">
        <v>85500000</v>
      </c>
      <c r="G187" s="1" t="s">
        <v>16</v>
      </c>
      <c r="H187" s="1" t="s">
        <v>30</v>
      </c>
      <c r="I187" s="3">
        <v>1</v>
      </c>
      <c r="J187" s="1" t="s">
        <v>18</v>
      </c>
      <c r="K187" s="1" t="s">
        <v>42</v>
      </c>
      <c r="L187" s="5">
        <v>45170.454502314817</v>
      </c>
    </row>
    <row r="188" spans="1:12">
      <c r="A188" s="1" t="s">
        <v>629</v>
      </c>
      <c r="B188" s="1" t="s">
        <v>630</v>
      </c>
      <c r="C188" s="1" t="s">
        <v>631</v>
      </c>
      <c r="D188" s="1" t="s">
        <v>29</v>
      </c>
      <c r="E188" s="3">
        <v>356</v>
      </c>
      <c r="F188" s="4">
        <v>81500000</v>
      </c>
      <c r="G188" s="1" t="s">
        <v>64</v>
      </c>
      <c r="H188" s="1" t="s">
        <v>30</v>
      </c>
      <c r="I188" s="3">
        <v>3</v>
      </c>
      <c r="J188" s="1" t="s">
        <v>18</v>
      </c>
      <c r="K188" s="1" t="s">
        <v>42</v>
      </c>
      <c r="L188" s="5">
        <v>45948.492280092592</v>
      </c>
    </row>
    <row r="189" spans="1:12">
      <c r="A189" s="1" t="s">
        <v>632</v>
      </c>
      <c r="B189" s="1" t="s">
        <v>633</v>
      </c>
      <c r="C189" s="1" t="s">
        <v>634</v>
      </c>
      <c r="D189" s="1" t="s">
        <v>40</v>
      </c>
      <c r="E189" s="3">
        <v>162</v>
      </c>
      <c r="F189" s="4">
        <v>42200000</v>
      </c>
      <c r="G189" s="1" t="s">
        <v>635</v>
      </c>
      <c r="H189" s="1" t="s">
        <v>24</v>
      </c>
      <c r="I189" s="3">
        <v>4</v>
      </c>
      <c r="J189" s="1" t="s">
        <v>59</v>
      </c>
      <c r="K189" s="1" t="s">
        <v>42</v>
      </c>
      <c r="L189" s="5">
        <v>45473.546053240738</v>
      </c>
    </row>
    <row r="190" spans="1:12">
      <c r="A190" s="1" t="s">
        <v>636</v>
      </c>
      <c r="B190" s="1" t="s">
        <v>637</v>
      </c>
      <c r="C190" s="1"/>
      <c r="D190" s="1" t="s">
        <v>80</v>
      </c>
      <c r="E190" s="3">
        <v>344</v>
      </c>
      <c r="F190" s="4">
        <v>96300000</v>
      </c>
      <c r="G190" s="1" t="s">
        <v>638</v>
      </c>
      <c r="H190" s="1" t="s">
        <v>30</v>
      </c>
      <c r="I190" s="3">
        <v>3</v>
      </c>
      <c r="J190" s="1" t="s">
        <v>55</v>
      </c>
      <c r="K190" s="1" t="s">
        <v>42</v>
      </c>
      <c r="L190" s="5">
        <v>44630.373969907407</v>
      </c>
    </row>
    <row r="191" spans="1:12">
      <c r="A191" s="1" t="s">
        <v>639</v>
      </c>
      <c r="B191" s="1" t="s">
        <v>640</v>
      </c>
      <c r="C191" s="1" t="s">
        <v>641</v>
      </c>
      <c r="D191" s="1" t="s">
        <v>40</v>
      </c>
      <c r="E191" s="3">
        <v>693</v>
      </c>
      <c r="F191" s="4">
        <v>147100000</v>
      </c>
      <c r="G191" s="1"/>
      <c r="H191" s="1" t="s">
        <v>30</v>
      </c>
      <c r="I191" s="3">
        <v>2</v>
      </c>
      <c r="J191" s="1" t="s">
        <v>82</v>
      </c>
      <c r="K191" s="1" t="s">
        <v>19</v>
      </c>
      <c r="L191" s="5">
        <v>45555.590937499997</v>
      </c>
    </row>
    <row r="192" spans="1:12">
      <c r="A192" s="1" t="s">
        <v>642</v>
      </c>
      <c r="B192" s="1" t="s">
        <v>643</v>
      </c>
      <c r="C192" s="1" t="s">
        <v>644</v>
      </c>
      <c r="D192" s="1" t="s">
        <v>109</v>
      </c>
      <c r="E192" s="3">
        <v>45</v>
      </c>
      <c r="F192" s="4">
        <v>11400000</v>
      </c>
      <c r="G192" s="1" t="s">
        <v>81</v>
      </c>
      <c r="H192" s="1" t="s">
        <v>24</v>
      </c>
      <c r="I192" s="3">
        <v>2</v>
      </c>
      <c r="J192" s="1" t="s">
        <v>25</v>
      </c>
      <c r="K192" s="1" t="s">
        <v>19</v>
      </c>
      <c r="L192" s="5">
        <v>46104.675717592596</v>
      </c>
    </row>
    <row r="193" spans="1:12">
      <c r="A193" s="1" t="s">
        <v>645</v>
      </c>
      <c r="B193" s="1" t="s">
        <v>646</v>
      </c>
      <c r="C193" s="1" t="s">
        <v>647</v>
      </c>
      <c r="D193" s="1" t="s">
        <v>49</v>
      </c>
      <c r="E193" s="3">
        <v>170</v>
      </c>
      <c r="F193" s="4">
        <v>45800000</v>
      </c>
      <c r="G193" s="1" t="s">
        <v>161</v>
      </c>
      <c r="H193" s="1" t="s">
        <v>24</v>
      </c>
      <c r="I193" s="3">
        <v>4</v>
      </c>
      <c r="J193" s="1" t="s">
        <v>59</v>
      </c>
      <c r="K193" s="1" t="s">
        <v>19</v>
      </c>
      <c r="L193" s="5">
        <v>46023.226643518516</v>
      </c>
    </row>
    <row r="194" spans="1:12">
      <c r="A194" s="1" t="s">
        <v>648</v>
      </c>
      <c r="B194" s="1" t="s">
        <v>649</v>
      </c>
      <c r="C194" s="1" t="s">
        <v>650</v>
      </c>
      <c r="D194" s="1" t="s">
        <v>63</v>
      </c>
      <c r="E194" s="3">
        <v>141</v>
      </c>
      <c r="F194" s="4">
        <v>16700000</v>
      </c>
      <c r="G194" s="1" t="s">
        <v>216</v>
      </c>
      <c r="H194" s="1" t="s">
        <v>24</v>
      </c>
      <c r="I194" s="3">
        <v>1</v>
      </c>
      <c r="J194" s="1" t="s">
        <v>91</v>
      </c>
      <c r="K194" s="1" t="s">
        <v>19</v>
      </c>
      <c r="L194" s="5">
        <v>46123.459074074075</v>
      </c>
    </row>
    <row r="195" spans="1:12">
      <c r="A195" s="1" t="s">
        <v>651</v>
      </c>
      <c r="B195" s="1" t="s">
        <v>652</v>
      </c>
      <c r="C195" s="1" t="s">
        <v>653</v>
      </c>
      <c r="D195" s="1" t="s">
        <v>201</v>
      </c>
      <c r="E195" s="3">
        <v>119</v>
      </c>
      <c r="F195" s="4">
        <v>47700000</v>
      </c>
      <c r="G195" s="1" t="s">
        <v>23</v>
      </c>
      <c r="H195" s="1" t="s">
        <v>24</v>
      </c>
      <c r="I195" s="3">
        <v>2</v>
      </c>
      <c r="J195" s="1" t="s">
        <v>25</v>
      </c>
      <c r="K195" s="1" t="s">
        <v>19</v>
      </c>
      <c r="L195" s="5">
        <v>45414.829351851855</v>
      </c>
    </row>
    <row r="196" spans="1:12">
      <c r="A196" s="1" t="s">
        <v>654</v>
      </c>
      <c r="B196" s="1" t="s">
        <v>655</v>
      </c>
      <c r="C196" s="1" t="s">
        <v>656</v>
      </c>
      <c r="D196" s="1" t="s">
        <v>29</v>
      </c>
      <c r="E196" s="3">
        <v>111</v>
      </c>
      <c r="F196" s="4">
        <v>25300000</v>
      </c>
      <c r="G196" s="1" t="s">
        <v>560</v>
      </c>
      <c r="H196" s="1" t="s">
        <v>24</v>
      </c>
      <c r="I196" s="3">
        <v>2</v>
      </c>
      <c r="J196" s="1" t="s">
        <v>25</v>
      </c>
      <c r="K196" s="1" t="s">
        <v>42</v>
      </c>
      <c r="L196" s="5">
        <v>45473.040150462963</v>
      </c>
    </row>
    <row r="197" spans="1:12">
      <c r="A197" s="1" t="s">
        <v>657</v>
      </c>
      <c r="B197" s="1" t="s">
        <v>658</v>
      </c>
      <c r="C197" s="1" t="s">
        <v>659</v>
      </c>
      <c r="D197" s="1" t="s">
        <v>201</v>
      </c>
      <c r="E197" s="3">
        <v>512</v>
      </c>
      <c r="F197" s="4">
        <v>124600000</v>
      </c>
      <c r="G197" s="1" t="s">
        <v>64</v>
      </c>
      <c r="H197" s="1" t="s">
        <v>30</v>
      </c>
      <c r="I197" s="3">
        <v>3</v>
      </c>
      <c r="J197" s="1" t="s">
        <v>55</v>
      </c>
      <c r="K197" s="1" t="s">
        <v>19</v>
      </c>
      <c r="L197" s="5">
        <v>45244.6877662037</v>
      </c>
    </row>
    <row r="198" spans="1:12">
      <c r="A198" s="1" t="s">
        <v>660</v>
      </c>
      <c r="B198" s="1" t="s">
        <v>661</v>
      </c>
      <c r="C198" s="1" t="s">
        <v>662</v>
      </c>
      <c r="D198" s="1" t="s">
        <v>80</v>
      </c>
      <c r="E198" s="3">
        <v>74</v>
      </c>
      <c r="F198" s="4">
        <v>11800000</v>
      </c>
      <c r="G198" s="1" t="s">
        <v>68</v>
      </c>
      <c r="H198" s="1" t="s">
        <v>24</v>
      </c>
      <c r="I198" s="3">
        <v>3</v>
      </c>
      <c r="J198" s="1" t="s">
        <v>69</v>
      </c>
      <c r="K198" s="1" t="s">
        <v>42</v>
      </c>
      <c r="L198" s="5">
        <v>44897.641099537039</v>
      </c>
    </row>
    <row r="199" spans="1:12">
      <c r="A199" s="1" t="s">
        <v>663</v>
      </c>
      <c r="B199" s="1" t="s">
        <v>664</v>
      </c>
      <c r="C199" s="1" t="s">
        <v>665</v>
      </c>
      <c r="D199" s="1" t="s">
        <v>80</v>
      </c>
      <c r="E199" s="3">
        <v>80</v>
      </c>
      <c r="F199" s="4">
        <v>19100000</v>
      </c>
      <c r="G199" s="1" t="s">
        <v>127</v>
      </c>
      <c r="H199" s="1" t="s">
        <v>24</v>
      </c>
      <c r="I199" s="3">
        <v>2</v>
      </c>
      <c r="J199" s="1" t="s">
        <v>25</v>
      </c>
      <c r="K199" s="1" t="s">
        <v>19</v>
      </c>
      <c r="L199" s="5">
        <v>44957.345081018517</v>
      </c>
    </row>
    <row r="200" spans="1:12">
      <c r="A200" s="1" t="s">
        <v>666</v>
      </c>
      <c r="B200" s="1" t="s">
        <v>667</v>
      </c>
      <c r="C200" s="1" t="s">
        <v>668</v>
      </c>
      <c r="D200" s="1" t="s">
        <v>49</v>
      </c>
      <c r="E200" s="3">
        <v>83</v>
      </c>
      <c r="F200" s="4">
        <v>12900000</v>
      </c>
      <c r="G200" s="1" t="s">
        <v>226</v>
      </c>
      <c r="H200" s="1" t="s">
        <v>24</v>
      </c>
      <c r="I200" s="3">
        <v>3</v>
      </c>
      <c r="J200" s="1" t="s">
        <v>69</v>
      </c>
      <c r="K200" s="1" t="s">
        <v>19</v>
      </c>
      <c r="L200" s="5">
        <v>45128.132569444446</v>
      </c>
    </row>
    <row r="201" spans="1:12">
      <c r="A201" s="1" t="s">
        <v>669</v>
      </c>
      <c r="B201" s="1" t="s">
        <v>670</v>
      </c>
      <c r="C201" s="1" t="s">
        <v>671</v>
      </c>
      <c r="D201" s="1" t="s">
        <v>86</v>
      </c>
      <c r="E201" s="3">
        <v>135</v>
      </c>
      <c r="F201" s="4">
        <v>30500000</v>
      </c>
      <c r="G201" s="1"/>
      <c r="H201" s="1" t="s">
        <v>24</v>
      </c>
      <c r="I201" s="3">
        <v>2</v>
      </c>
      <c r="J201" s="1" t="s">
        <v>25</v>
      </c>
      <c r="K201" s="1" t="s">
        <v>19</v>
      </c>
      <c r="L201" s="5">
        <v>44955.709282407406</v>
      </c>
    </row>
    <row r="202" spans="1:12">
      <c r="A202" s="1" t="s">
        <v>672</v>
      </c>
      <c r="B202" s="1" t="s">
        <v>673</v>
      </c>
      <c r="C202" s="1" t="s">
        <v>674</v>
      </c>
      <c r="D202" s="1" t="s">
        <v>80</v>
      </c>
      <c r="E202" s="3">
        <v>38</v>
      </c>
      <c r="F202" s="4">
        <v>7500000</v>
      </c>
      <c r="G202" s="1" t="s">
        <v>50</v>
      </c>
      <c r="H202" s="1" t="s">
        <v>24</v>
      </c>
      <c r="I202" s="3">
        <v>4</v>
      </c>
      <c r="J202" s="1" t="s">
        <v>59</v>
      </c>
      <c r="K202" s="1" t="s">
        <v>42</v>
      </c>
      <c r="L202" s="5">
        <v>44983.322627314818</v>
      </c>
    </row>
    <row r="203" spans="1:12">
      <c r="A203" s="1" t="s">
        <v>675</v>
      </c>
      <c r="B203" s="1" t="s">
        <v>676</v>
      </c>
      <c r="C203" s="1"/>
      <c r="D203" s="1" t="s">
        <v>34</v>
      </c>
      <c r="E203" s="3">
        <v>447</v>
      </c>
      <c r="F203" s="4">
        <v>106100000</v>
      </c>
      <c r="G203" s="1" t="s">
        <v>41</v>
      </c>
      <c r="H203" s="1" t="s">
        <v>30</v>
      </c>
      <c r="I203" s="3">
        <v>2</v>
      </c>
      <c r="J203" s="1" t="s">
        <v>82</v>
      </c>
      <c r="K203" s="1" t="s">
        <v>19</v>
      </c>
      <c r="L203" s="5">
        <v>46030.328773148147</v>
      </c>
    </row>
    <row r="204" spans="1:12">
      <c r="A204" s="1" t="s">
        <v>677</v>
      </c>
      <c r="B204" s="1" t="s">
        <v>678</v>
      </c>
      <c r="C204" s="1" t="s">
        <v>679</v>
      </c>
      <c r="D204" s="1" t="s">
        <v>40</v>
      </c>
      <c r="E204" s="3">
        <v>1296</v>
      </c>
      <c r="F204" s="4">
        <v>248800000</v>
      </c>
      <c r="G204" s="1" t="s">
        <v>226</v>
      </c>
      <c r="H204" s="1" t="s">
        <v>17</v>
      </c>
      <c r="I204" s="3">
        <v>3</v>
      </c>
      <c r="J204" s="1" t="s">
        <v>55</v>
      </c>
      <c r="K204" s="1" t="s">
        <v>42</v>
      </c>
      <c r="L204" s="5">
        <v>45463.542268518519</v>
      </c>
    </row>
    <row r="205" spans="1:12">
      <c r="A205" s="1" t="s">
        <v>680</v>
      </c>
      <c r="B205" s="1" t="s">
        <v>681</v>
      </c>
      <c r="C205" s="1"/>
      <c r="D205" s="1" t="s">
        <v>49</v>
      </c>
      <c r="E205" s="3">
        <v>3247</v>
      </c>
      <c r="F205" s="4">
        <v>656000000</v>
      </c>
      <c r="G205" s="1" t="s">
        <v>23</v>
      </c>
      <c r="H205" s="1"/>
      <c r="I205" s="3">
        <v>2</v>
      </c>
      <c r="J205" s="1" t="s">
        <v>82</v>
      </c>
      <c r="K205" s="1" t="s">
        <v>19</v>
      </c>
      <c r="L205" s="5">
        <v>46117.066550925927</v>
      </c>
    </row>
    <row r="206" spans="1:12">
      <c r="A206" s="1" t="s">
        <v>682</v>
      </c>
      <c r="B206" s="1" t="s">
        <v>683</v>
      </c>
      <c r="C206" s="1" t="s">
        <v>684</v>
      </c>
      <c r="D206" s="1" t="s">
        <v>40</v>
      </c>
      <c r="E206" s="3">
        <v>367</v>
      </c>
      <c r="F206" s="4">
        <v>128500000</v>
      </c>
      <c r="G206" s="1" t="s">
        <v>50</v>
      </c>
      <c r="H206" s="1" t="s">
        <v>30</v>
      </c>
      <c r="I206" s="3">
        <v>4</v>
      </c>
      <c r="J206" s="1" t="s">
        <v>36</v>
      </c>
      <c r="K206" s="1" t="s">
        <v>42</v>
      </c>
      <c r="L206" s="5">
        <v>45770.773599537039</v>
      </c>
    </row>
    <row r="207" spans="1:12">
      <c r="A207" s="1" t="s">
        <v>685</v>
      </c>
      <c r="B207" s="1" t="s">
        <v>686</v>
      </c>
      <c r="C207" s="1" t="s">
        <v>687</v>
      </c>
      <c r="D207" s="1" t="s">
        <v>86</v>
      </c>
      <c r="E207" s="3">
        <v>89</v>
      </c>
      <c r="F207" s="4">
        <v>21600000</v>
      </c>
      <c r="G207" s="1" t="s">
        <v>140</v>
      </c>
      <c r="H207" s="1" t="s">
        <v>24</v>
      </c>
      <c r="I207" s="3">
        <v>2</v>
      </c>
      <c r="J207" s="1" t="s">
        <v>25</v>
      </c>
      <c r="K207" s="1" t="s">
        <v>19</v>
      </c>
      <c r="L207" s="5">
        <v>45248.700532407405</v>
      </c>
    </row>
    <row r="208" spans="1:12">
      <c r="A208" s="1" t="s">
        <v>688</v>
      </c>
      <c r="B208" s="1" t="s">
        <v>689</v>
      </c>
      <c r="C208" s="1" t="s">
        <v>690</v>
      </c>
      <c r="D208" s="1" t="s">
        <v>29</v>
      </c>
      <c r="E208" s="3">
        <v>476</v>
      </c>
      <c r="F208" s="4">
        <v>80200000</v>
      </c>
      <c r="G208" s="1" t="s">
        <v>140</v>
      </c>
      <c r="H208" s="1" t="s">
        <v>30</v>
      </c>
      <c r="I208" s="3">
        <v>2</v>
      </c>
      <c r="J208" s="1" t="s">
        <v>82</v>
      </c>
      <c r="K208" s="1" t="s">
        <v>42</v>
      </c>
      <c r="L208" s="5">
        <v>45020.425671296296</v>
      </c>
    </row>
    <row r="209" spans="1:12">
      <c r="A209" s="1" t="s">
        <v>691</v>
      </c>
      <c r="B209" s="1" t="s">
        <v>692</v>
      </c>
      <c r="C209" s="1" t="s">
        <v>693</v>
      </c>
      <c r="D209" s="1" t="s">
        <v>80</v>
      </c>
      <c r="E209" s="3">
        <v>83</v>
      </c>
      <c r="F209" s="4">
        <v>15000000</v>
      </c>
      <c r="G209" s="1" t="s">
        <v>140</v>
      </c>
      <c r="H209" s="1" t="s">
        <v>24</v>
      </c>
      <c r="I209" s="3">
        <v>2</v>
      </c>
      <c r="J209" s="1" t="s">
        <v>25</v>
      </c>
      <c r="K209" s="1" t="s">
        <v>141</v>
      </c>
      <c r="L209" s="5">
        <v>44909.853472222225</v>
      </c>
    </row>
    <row r="210" spans="1:12">
      <c r="A210" s="1" t="s">
        <v>694</v>
      </c>
      <c r="B210" s="1" t="s">
        <v>695</v>
      </c>
      <c r="C210" s="1" t="s">
        <v>696</v>
      </c>
      <c r="D210" s="1" t="s">
        <v>15</v>
      </c>
      <c r="E210" s="3">
        <v>1557</v>
      </c>
      <c r="F210" s="4">
        <v>334800000</v>
      </c>
      <c r="G210" s="1" t="s">
        <v>366</v>
      </c>
      <c r="H210" s="1" t="s">
        <v>17</v>
      </c>
      <c r="I210" s="3">
        <v>1</v>
      </c>
      <c r="J210" s="1" t="s">
        <v>18</v>
      </c>
      <c r="K210" s="1" t="s">
        <v>19</v>
      </c>
      <c r="L210" s="5">
        <v>45346.653263888889</v>
      </c>
    </row>
    <row r="211" spans="1:12">
      <c r="A211" s="1" t="s">
        <v>697</v>
      </c>
      <c r="B211" s="1" t="s">
        <v>698</v>
      </c>
      <c r="C211" s="1" t="s">
        <v>699</v>
      </c>
      <c r="D211" s="1" t="s">
        <v>201</v>
      </c>
      <c r="E211" s="3">
        <v>3773</v>
      </c>
      <c r="F211" s="4">
        <v>909600000</v>
      </c>
      <c r="G211" s="1" t="s">
        <v>295</v>
      </c>
      <c r="H211" s="1"/>
      <c r="I211" s="3">
        <v>2</v>
      </c>
      <c r="J211" s="1" t="s">
        <v>82</v>
      </c>
      <c r="K211" s="1" t="s">
        <v>42</v>
      </c>
      <c r="L211" s="5">
        <v>46068.200104166666</v>
      </c>
    </row>
    <row r="212" spans="1:12">
      <c r="A212" s="1" t="s">
        <v>700</v>
      </c>
      <c r="B212" s="1" t="s">
        <v>701</v>
      </c>
      <c r="C212" s="1" t="s">
        <v>702</v>
      </c>
      <c r="D212" s="1" t="s">
        <v>34</v>
      </c>
      <c r="E212" s="3"/>
      <c r="F212" s="4">
        <v>69400000</v>
      </c>
      <c r="G212" s="1" t="s">
        <v>68</v>
      </c>
      <c r="H212" s="1" t="s">
        <v>30</v>
      </c>
      <c r="I212" s="3">
        <v>3</v>
      </c>
      <c r="J212" s="1" t="s">
        <v>55</v>
      </c>
      <c r="K212" s="1" t="s">
        <v>19</v>
      </c>
      <c r="L212" s="5">
        <v>45934.329050925924</v>
      </c>
    </row>
    <row r="213" spans="1:12">
      <c r="A213" s="1" t="s">
        <v>703</v>
      </c>
      <c r="B213" s="1" t="s">
        <v>704</v>
      </c>
      <c r="C213" s="1" t="s">
        <v>705</v>
      </c>
      <c r="D213" s="1" t="s">
        <v>29</v>
      </c>
      <c r="E213" s="3">
        <v>93</v>
      </c>
      <c r="F213" s="4">
        <v>12700000</v>
      </c>
      <c r="G213" s="1" t="s">
        <v>23</v>
      </c>
      <c r="H213" s="1" t="s">
        <v>24</v>
      </c>
      <c r="I213" s="3">
        <v>4</v>
      </c>
      <c r="J213" s="1" t="s">
        <v>25</v>
      </c>
      <c r="K213" s="1" t="s">
        <v>19</v>
      </c>
      <c r="L213" s="5">
        <v>45263.65966435185</v>
      </c>
    </row>
    <row r="214" spans="1:12">
      <c r="A214" s="1" t="s">
        <v>706</v>
      </c>
      <c r="B214" s="1" t="s">
        <v>707</v>
      </c>
      <c r="C214" s="1" t="s">
        <v>708</v>
      </c>
      <c r="D214" s="1" t="s">
        <v>201</v>
      </c>
      <c r="E214" s="3">
        <v>2605</v>
      </c>
      <c r="F214" s="4">
        <v>616200000</v>
      </c>
      <c r="G214" s="1" t="s">
        <v>440</v>
      </c>
      <c r="H214" s="1"/>
      <c r="I214" s="3">
        <v>3</v>
      </c>
      <c r="J214" s="1" t="s">
        <v>55</v>
      </c>
      <c r="K214" s="1" t="s">
        <v>19</v>
      </c>
      <c r="L214" s="5">
        <v>46255.357881944445</v>
      </c>
    </row>
    <row r="215" spans="1:12">
      <c r="A215" s="1" t="s">
        <v>709</v>
      </c>
      <c r="B215" s="1" t="s">
        <v>710</v>
      </c>
      <c r="C215" s="1" t="s">
        <v>711</v>
      </c>
      <c r="D215" s="1" t="s">
        <v>15</v>
      </c>
      <c r="E215" s="3">
        <v>55</v>
      </c>
      <c r="F215" s="4">
        <v>15100000</v>
      </c>
      <c r="G215" s="1" t="s">
        <v>366</v>
      </c>
      <c r="H215" s="1" t="s">
        <v>24</v>
      </c>
      <c r="I215" s="3">
        <v>1</v>
      </c>
      <c r="J215" s="1" t="s">
        <v>91</v>
      </c>
      <c r="K215" s="1" t="s">
        <v>19</v>
      </c>
      <c r="L215" s="5">
        <v>45887.126354166663</v>
      </c>
    </row>
    <row r="216" spans="1:12">
      <c r="A216" s="1" t="s">
        <v>712</v>
      </c>
      <c r="B216" s="1" t="s">
        <v>713</v>
      </c>
      <c r="C216" s="1" t="s">
        <v>714</v>
      </c>
      <c r="D216" s="1" t="s">
        <v>29</v>
      </c>
      <c r="E216" s="3">
        <v>91</v>
      </c>
      <c r="F216" s="4">
        <v>11900000</v>
      </c>
      <c r="G216" s="1" t="s">
        <v>16</v>
      </c>
      <c r="H216" s="1" t="s">
        <v>24</v>
      </c>
      <c r="I216" s="3">
        <v>1</v>
      </c>
      <c r="J216" s="1" t="s">
        <v>91</v>
      </c>
      <c r="K216" s="1" t="s">
        <v>19</v>
      </c>
      <c r="L216" s="5">
        <v>45226.23300925926</v>
      </c>
    </row>
    <row r="217" spans="1:12">
      <c r="A217" s="1" t="s">
        <v>715</v>
      </c>
      <c r="B217" s="1" t="s">
        <v>716</v>
      </c>
      <c r="C217" s="1"/>
      <c r="D217" s="1" t="s">
        <v>40</v>
      </c>
      <c r="E217" s="3">
        <v>370</v>
      </c>
      <c r="F217" s="4">
        <v>127600000</v>
      </c>
      <c r="G217" s="1" t="s">
        <v>638</v>
      </c>
      <c r="H217" s="1" t="s">
        <v>30</v>
      </c>
      <c r="I217" s="3">
        <v>3</v>
      </c>
      <c r="J217" s="1" t="s">
        <v>55</v>
      </c>
      <c r="K217" s="1" t="s">
        <v>42</v>
      </c>
      <c r="L217" s="5">
        <v>44854.771481481483</v>
      </c>
    </row>
    <row r="218" spans="1:12">
      <c r="A218" s="1" t="s">
        <v>717</v>
      </c>
      <c r="B218" s="1" t="s">
        <v>718</v>
      </c>
      <c r="C218" s="1" t="s">
        <v>719</v>
      </c>
      <c r="D218" s="1" t="s">
        <v>80</v>
      </c>
      <c r="E218" s="3">
        <v>1329</v>
      </c>
      <c r="F218" s="4">
        <v>360000000</v>
      </c>
      <c r="G218" s="1" t="s">
        <v>81</v>
      </c>
      <c r="H218" s="1" t="s">
        <v>17</v>
      </c>
      <c r="I218" s="3">
        <v>2</v>
      </c>
      <c r="J218" s="1" t="s">
        <v>82</v>
      </c>
      <c r="K218" s="1" t="s">
        <v>19</v>
      </c>
      <c r="L218" s="5">
        <v>46189.810879629629</v>
      </c>
    </row>
    <row r="219" spans="1:12">
      <c r="A219" s="1" t="s">
        <v>720</v>
      </c>
      <c r="B219" s="1" t="s">
        <v>721</v>
      </c>
      <c r="C219" s="1" t="s">
        <v>722</v>
      </c>
      <c r="D219" s="1" t="s">
        <v>80</v>
      </c>
      <c r="E219" s="3">
        <v>130</v>
      </c>
      <c r="F219" s="4">
        <v>28800000</v>
      </c>
      <c r="G219" s="1" t="s">
        <v>440</v>
      </c>
      <c r="H219" s="1" t="s">
        <v>24</v>
      </c>
      <c r="I219" s="3">
        <v>3</v>
      </c>
      <c r="J219" s="1" t="s">
        <v>69</v>
      </c>
      <c r="K219" s="1" t="s">
        <v>42</v>
      </c>
      <c r="L219" s="5">
        <v>44634.985381944447</v>
      </c>
    </row>
    <row r="220" spans="1:12">
      <c r="A220" s="1" t="s">
        <v>723</v>
      </c>
      <c r="B220" s="1" t="s">
        <v>724</v>
      </c>
      <c r="C220" s="1" t="s">
        <v>725</v>
      </c>
      <c r="D220" s="1" t="s">
        <v>49</v>
      </c>
      <c r="E220" s="3">
        <v>1910</v>
      </c>
      <c r="F220" s="4">
        <v>491400000</v>
      </c>
      <c r="G220" s="1" t="s">
        <v>205</v>
      </c>
      <c r="H220" s="1" t="s">
        <v>17</v>
      </c>
      <c r="I220" s="3">
        <v>4</v>
      </c>
      <c r="J220" s="1" t="s">
        <v>36</v>
      </c>
      <c r="K220" s="1" t="s">
        <v>42</v>
      </c>
      <c r="L220" s="5">
        <v>45349.579224537039</v>
      </c>
    </row>
    <row r="221" spans="1:12">
      <c r="A221" s="1" t="s">
        <v>726</v>
      </c>
      <c r="B221" s="1" t="s">
        <v>727</v>
      </c>
      <c r="C221" s="1" t="s">
        <v>728</v>
      </c>
      <c r="D221" s="1" t="s">
        <v>80</v>
      </c>
      <c r="E221" s="3">
        <v>3090</v>
      </c>
      <c r="F221" s="4">
        <v>683000000</v>
      </c>
      <c r="G221" s="1" t="s">
        <v>50</v>
      </c>
      <c r="H221" s="1"/>
      <c r="I221" s="3"/>
      <c r="J221" s="1" t="s">
        <v>36</v>
      </c>
      <c r="K221" s="1" t="s">
        <v>42</v>
      </c>
      <c r="L221" s="5">
        <v>44903.884479166663</v>
      </c>
    </row>
    <row r="222" spans="1:12">
      <c r="A222" s="1" t="s">
        <v>729</v>
      </c>
      <c r="B222" s="1" t="s">
        <v>730</v>
      </c>
      <c r="C222" s="1" t="s">
        <v>433</v>
      </c>
      <c r="D222" s="1" t="s">
        <v>80</v>
      </c>
      <c r="E222" s="3">
        <v>365</v>
      </c>
      <c r="F222" s="4">
        <v>63000000</v>
      </c>
      <c r="G222" s="1" t="s">
        <v>236</v>
      </c>
      <c r="H222" s="1" t="s">
        <v>30</v>
      </c>
      <c r="I222" s="3">
        <v>1</v>
      </c>
      <c r="J222" s="1"/>
      <c r="K222" s="1" t="s">
        <v>19</v>
      </c>
      <c r="L222" s="5">
        <v>45536.866828703707</v>
      </c>
    </row>
    <row r="223" spans="1:12">
      <c r="A223" s="1" t="s">
        <v>731</v>
      </c>
      <c r="B223" s="1" t="s">
        <v>732</v>
      </c>
      <c r="C223" s="1" t="s">
        <v>733</v>
      </c>
      <c r="D223" s="1" t="s">
        <v>15</v>
      </c>
      <c r="E223" s="3">
        <v>61</v>
      </c>
      <c r="F223" s="4">
        <v>14300000</v>
      </c>
      <c r="G223" s="1" t="s">
        <v>50</v>
      </c>
      <c r="H223" s="1" t="s">
        <v>24</v>
      </c>
      <c r="I223" s="3">
        <v>4</v>
      </c>
      <c r="J223" s="1" t="s">
        <v>59</v>
      </c>
      <c r="K223" s="1" t="s">
        <v>19</v>
      </c>
      <c r="L223" s="5">
        <v>45195.769652777781</v>
      </c>
    </row>
    <row r="224" spans="1:12">
      <c r="A224" s="1" t="s">
        <v>734</v>
      </c>
      <c r="B224" s="1" t="s">
        <v>735</v>
      </c>
      <c r="C224" s="1" t="s">
        <v>736</v>
      </c>
      <c r="D224" s="1" t="s">
        <v>49</v>
      </c>
      <c r="E224" s="3">
        <v>1862</v>
      </c>
      <c r="F224" s="4">
        <v>473200000</v>
      </c>
      <c r="G224" s="1" t="s">
        <v>226</v>
      </c>
      <c r="H224" s="1" t="s">
        <v>17</v>
      </c>
      <c r="I224" s="3">
        <v>3</v>
      </c>
      <c r="J224" s="1" t="s">
        <v>55</v>
      </c>
      <c r="K224" s="1" t="s">
        <v>19</v>
      </c>
      <c r="L224" s="5">
        <v>46071.932349537034</v>
      </c>
    </row>
    <row r="225" spans="1:12">
      <c r="A225" s="1" t="s">
        <v>737</v>
      </c>
      <c r="B225" s="1" t="s">
        <v>738</v>
      </c>
      <c r="C225" s="1"/>
      <c r="D225" s="1" t="s">
        <v>86</v>
      </c>
      <c r="E225" s="3">
        <v>134</v>
      </c>
      <c r="F225" s="4">
        <v>22300000</v>
      </c>
      <c r="G225" s="1" t="s">
        <v>236</v>
      </c>
      <c r="H225" s="1" t="s">
        <v>24</v>
      </c>
      <c r="I225" s="3">
        <v>1</v>
      </c>
      <c r="J225" s="1" t="s">
        <v>91</v>
      </c>
      <c r="K225" s="1" t="s">
        <v>42</v>
      </c>
      <c r="L225" s="5">
        <v>46005.191192129627</v>
      </c>
    </row>
    <row r="226" spans="1:12">
      <c r="A226" s="1" t="s">
        <v>739</v>
      </c>
      <c r="B226" s="1" t="s">
        <v>740</v>
      </c>
      <c r="C226" s="1" t="s">
        <v>741</v>
      </c>
      <c r="D226" s="1" t="s">
        <v>15</v>
      </c>
      <c r="E226" s="3">
        <v>2214</v>
      </c>
      <c r="F226" s="4">
        <v>512100000</v>
      </c>
      <c r="G226" s="1" t="s">
        <v>99</v>
      </c>
      <c r="H226" s="1" t="s">
        <v>17</v>
      </c>
      <c r="I226" s="3">
        <v>4</v>
      </c>
      <c r="J226" s="1" t="s">
        <v>36</v>
      </c>
      <c r="K226" s="1" t="s">
        <v>42</v>
      </c>
      <c r="L226" s="5">
        <v>44936.010011574072</v>
      </c>
    </row>
    <row r="227" spans="1:12">
      <c r="A227" s="1" t="s">
        <v>742</v>
      </c>
      <c r="B227" s="1" t="s">
        <v>743</v>
      </c>
      <c r="C227" s="1" t="s">
        <v>744</v>
      </c>
      <c r="D227" s="1" t="s">
        <v>109</v>
      </c>
      <c r="E227" s="3">
        <v>122</v>
      </c>
      <c r="F227" s="4">
        <v>50000000</v>
      </c>
      <c r="G227" s="1" t="s">
        <v>16</v>
      </c>
      <c r="H227" s="1" t="s">
        <v>24</v>
      </c>
      <c r="I227" s="3">
        <v>1</v>
      </c>
      <c r="J227" s="1" t="s">
        <v>91</v>
      </c>
      <c r="K227" s="1" t="s">
        <v>42</v>
      </c>
      <c r="L227" s="5">
        <v>45773.174629629626</v>
      </c>
    </row>
    <row r="228" spans="1:12">
      <c r="A228" s="1" t="s">
        <v>745</v>
      </c>
      <c r="B228" s="1" t="s">
        <v>746</v>
      </c>
      <c r="C228" s="1" t="s">
        <v>747</v>
      </c>
      <c r="D228" s="1" t="s">
        <v>80</v>
      </c>
      <c r="E228" s="3">
        <v>56</v>
      </c>
      <c r="F228" s="4">
        <v>13200000</v>
      </c>
      <c r="G228" s="1" t="s">
        <v>366</v>
      </c>
      <c r="H228" s="1" t="s">
        <v>24</v>
      </c>
      <c r="I228" s="3">
        <v>1</v>
      </c>
      <c r="J228" s="1" t="s">
        <v>91</v>
      </c>
      <c r="K228" s="1" t="s">
        <v>19</v>
      </c>
      <c r="L228" s="5">
        <v>45852.662627314814</v>
      </c>
    </row>
    <row r="229" spans="1:12">
      <c r="A229" s="1" t="s">
        <v>748</v>
      </c>
      <c r="B229" s="1" t="s">
        <v>749</v>
      </c>
      <c r="C229" s="1" t="s">
        <v>750</v>
      </c>
      <c r="D229" s="1" t="s">
        <v>86</v>
      </c>
      <c r="E229" s="3">
        <v>695</v>
      </c>
      <c r="F229" s="4"/>
      <c r="G229" s="1" t="s">
        <v>50</v>
      </c>
      <c r="H229" s="1" t="s">
        <v>30</v>
      </c>
      <c r="I229" s="3">
        <v>4</v>
      </c>
      <c r="J229" s="1" t="s">
        <v>36</v>
      </c>
      <c r="K229" s="1" t="s">
        <v>42</v>
      </c>
      <c r="L229" s="5">
        <v>45942.803912037038</v>
      </c>
    </row>
    <row r="230" spans="1:12">
      <c r="A230" s="1" t="s">
        <v>751</v>
      </c>
      <c r="B230" s="1" t="s">
        <v>752</v>
      </c>
      <c r="C230" s="1" t="s">
        <v>753</v>
      </c>
      <c r="D230" s="1" t="s">
        <v>109</v>
      </c>
      <c r="E230" s="3">
        <v>174</v>
      </c>
      <c r="F230" s="4">
        <v>49300000</v>
      </c>
      <c r="G230" s="1" t="s">
        <v>23</v>
      </c>
      <c r="H230" s="1" t="s">
        <v>24</v>
      </c>
      <c r="I230" s="3">
        <v>2</v>
      </c>
      <c r="J230" s="1" t="s">
        <v>25</v>
      </c>
      <c r="K230" s="1" t="s">
        <v>19</v>
      </c>
      <c r="L230" s="5">
        <v>46179.775150462963</v>
      </c>
    </row>
    <row r="231" spans="1:12">
      <c r="A231" s="1" t="s">
        <v>754</v>
      </c>
      <c r="B231" s="1" t="s">
        <v>755</v>
      </c>
      <c r="C231" s="1" t="s">
        <v>756</v>
      </c>
      <c r="D231" s="1" t="s">
        <v>49</v>
      </c>
      <c r="E231" s="3">
        <v>1853</v>
      </c>
      <c r="F231" s="4">
        <v>384600000</v>
      </c>
      <c r="G231" s="1" t="s">
        <v>212</v>
      </c>
      <c r="H231" s="1" t="s">
        <v>17</v>
      </c>
      <c r="I231" s="3">
        <v>3</v>
      </c>
      <c r="J231" s="1" t="s">
        <v>55</v>
      </c>
      <c r="K231" s="1" t="s">
        <v>19</v>
      </c>
      <c r="L231" s="5">
        <v>45701.144571759258</v>
      </c>
    </row>
    <row r="232" spans="1:12">
      <c r="A232" s="1" t="s">
        <v>757</v>
      </c>
      <c r="B232" s="1" t="s">
        <v>758</v>
      </c>
      <c r="C232" s="1" t="s">
        <v>759</v>
      </c>
      <c r="D232" s="1" t="s">
        <v>80</v>
      </c>
      <c r="E232" s="3">
        <v>517</v>
      </c>
      <c r="F232" s="4"/>
      <c r="G232" s="1" t="s">
        <v>339</v>
      </c>
      <c r="H232" s="1" t="s">
        <v>30</v>
      </c>
      <c r="I232" s="3">
        <v>3</v>
      </c>
      <c r="J232" s="1" t="s">
        <v>55</v>
      </c>
      <c r="K232" s="1" t="s">
        <v>19</v>
      </c>
      <c r="L232" s="5">
        <v>44971.838101851848</v>
      </c>
    </row>
    <row r="233" spans="1:12">
      <c r="A233" s="1" t="s">
        <v>760</v>
      </c>
      <c r="B233" s="1" t="s">
        <v>761</v>
      </c>
      <c r="C233" s="1" t="s">
        <v>762</v>
      </c>
      <c r="D233" s="1" t="s">
        <v>80</v>
      </c>
      <c r="E233" s="3">
        <v>421</v>
      </c>
      <c r="F233" s="4">
        <v>112500000</v>
      </c>
      <c r="G233" s="1" t="s">
        <v>415</v>
      </c>
      <c r="H233" s="1" t="s">
        <v>30</v>
      </c>
      <c r="I233" s="3">
        <v>3</v>
      </c>
      <c r="J233" s="1" t="s">
        <v>55</v>
      </c>
      <c r="K233" s="1" t="s">
        <v>19</v>
      </c>
      <c r="L233" s="5">
        <v>45207.687152777777</v>
      </c>
    </row>
    <row r="234" spans="1:12">
      <c r="A234" s="1" t="s">
        <v>763</v>
      </c>
      <c r="B234" s="1" t="s">
        <v>764</v>
      </c>
      <c r="C234" s="1" t="s">
        <v>765</v>
      </c>
      <c r="D234" s="1" t="s">
        <v>201</v>
      </c>
      <c r="E234" s="3">
        <v>441</v>
      </c>
      <c r="F234" s="4">
        <v>110100000</v>
      </c>
      <c r="G234" s="1" t="s">
        <v>68</v>
      </c>
      <c r="H234" s="1" t="s">
        <v>30</v>
      </c>
      <c r="I234" s="3">
        <v>3</v>
      </c>
      <c r="J234" s="1" t="s">
        <v>55</v>
      </c>
      <c r="K234" s="1" t="s">
        <v>42</v>
      </c>
      <c r="L234" s="5">
        <v>45440.647118055553</v>
      </c>
    </row>
    <row r="235" spans="1:12">
      <c r="A235" s="1" t="s">
        <v>766</v>
      </c>
      <c r="B235" s="1" t="s">
        <v>767</v>
      </c>
      <c r="C235" s="1" t="s">
        <v>768</v>
      </c>
      <c r="D235" s="1" t="s">
        <v>40</v>
      </c>
      <c r="E235" s="3">
        <v>131</v>
      </c>
      <c r="F235" s="4">
        <v>27200000</v>
      </c>
      <c r="G235" s="1" t="s">
        <v>16</v>
      </c>
      <c r="H235" s="1" t="s">
        <v>24</v>
      </c>
      <c r="I235" s="3">
        <v>1</v>
      </c>
      <c r="J235" s="1" t="s">
        <v>91</v>
      </c>
      <c r="K235" s="1" t="s">
        <v>42</v>
      </c>
      <c r="L235" s="5">
        <v>46161.513715277775</v>
      </c>
    </row>
    <row r="236" spans="1:12">
      <c r="A236" s="1" t="s">
        <v>769</v>
      </c>
      <c r="B236" s="1" t="s">
        <v>770</v>
      </c>
      <c r="C236" s="1" t="s">
        <v>771</v>
      </c>
      <c r="D236" s="1" t="s">
        <v>29</v>
      </c>
      <c r="E236" s="3">
        <v>89</v>
      </c>
      <c r="F236" s="4">
        <v>16100000</v>
      </c>
      <c r="G236" s="1" t="s">
        <v>154</v>
      </c>
      <c r="H236" s="1" t="s">
        <v>24</v>
      </c>
      <c r="I236" s="3">
        <v>2</v>
      </c>
      <c r="J236" s="1" t="s">
        <v>25</v>
      </c>
      <c r="K236" s="1" t="s">
        <v>19</v>
      </c>
      <c r="L236" s="5">
        <v>45275.942048611112</v>
      </c>
    </row>
    <row r="237" spans="1:12">
      <c r="A237" s="1" t="s">
        <v>772</v>
      </c>
      <c r="B237" s="1" t="s">
        <v>773</v>
      </c>
      <c r="C237" s="1"/>
      <c r="D237" s="1" t="s">
        <v>40</v>
      </c>
      <c r="E237" s="3">
        <v>73</v>
      </c>
      <c r="F237" s="4">
        <v>14400000</v>
      </c>
      <c r="G237" s="1" t="s">
        <v>236</v>
      </c>
      <c r="H237" s="1" t="s">
        <v>24</v>
      </c>
      <c r="I237" s="3">
        <v>1</v>
      </c>
      <c r="J237" s="1" t="s">
        <v>91</v>
      </c>
      <c r="K237" s="1" t="s">
        <v>19</v>
      </c>
      <c r="L237" s="5">
        <v>46227.344988425924</v>
      </c>
    </row>
    <row r="238" spans="1:12">
      <c r="A238" s="1" t="s">
        <v>774</v>
      </c>
      <c r="B238" s="1" t="s">
        <v>775</v>
      </c>
      <c r="C238" s="1" t="s">
        <v>776</v>
      </c>
      <c r="D238" s="1" t="s">
        <v>49</v>
      </c>
      <c r="E238" s="3">
        <v>283</v>
      </c>
      <c r="F238" s="4">
        <v>53200000</v>
      </c>
      <c r="G238" s="1" t="s">
        <v>366</v>
      </c>
      <c r="H238" s="1" t="s">
        <v>30</v>
      </c>
      <c r="I238" s="3">
        <v>1</v>
      </c>
      <c r="J238" s="1" t="s">
        <v>18</v>
      </c>
      <c r="K238" s="1" t="s">
        <v>19</v>
      </c>
      <c r="L238" s="5">
        <v>46252.466898148145</v>
      </c>
    </row>
    <row r="239" spans="1:12">
      <c r="A239" s="1" t="s">
        <v>777</v>
      </c>
      <c r="B239" s="1" t="s">
        <v>778</v>
      </c>
      <c r="C239" s="1" t="s">
        <v>779</v>
      </c>
      <c r="D239" s="1"/>
      <c r="E239" s="3">
        <v>169</v>
      </c>
      <c r="F239" s="4">
        <v>25700000</v>
      </c>
      <c r="G239" s="1" t="s">
        <v>120</v>
      </c>
      <c r="H239" s="1" t="s">
        <v>24</v>
      </c>
      <c r="I239" s="3">
        <v>2</v>
      </c>
      <c r="J239" s="1" t="s">
        <v>25</v>
      </c>
      <c r="K239" s="1" t="s">
        <v>19</v>
      </c>
      <c r="L239" s="5">
        <v>45665.826168981483</v>
      </c>
    </row>
    <row r="240" spans="1:12">
      <c r="A240" s="1" t="s">
        <v>780</v>
      </c>
      <c r="B240" s="1" t="s">
        <v>781</v>
      </c>
      <c r="C240" s="1" t="s">
        <v>782</v>
      </c>
      <c r="D240" s="1" t="s">
        <v>34</v>
      </c>
      <c r="E240" s="3">
        <v>398</v>
      </c>
      <c r="F240" s="4">
        <v>81000000</v>
      </c>
      <c r="G240" s="1" t="s">
        <v>99</v>
      </c>
      <c r="H240" s="1" t="s">
        <v>30</v>
      </c>
      <c r="I240" s="3">
        <v>4</v>
      </c>
      <c r="J240" s="1"/>
      <c r="K240" s="1" t="s">
        <v>42</v>
      </c>
      <c r="L240" s="5">
        <v>45176.716967592591</v>
      </c>
    </row>
    <row r="241" spans="1:12">
      <c r="A241" s="1" t="s">
        <v>783</v>
      </c>
      <c r="B241" s="1" t="s">
        <v>784</v>
      </c>
      <c r="C241" s="1" t="s">
        <v>785</v>
      </c>
      <c r="D241" s="1" t="s">
        <v>80</v>
      </c>
      <c r="E241" s="3">
        <v>121</v>
      </c>
      <c r="F241" s="4">
        <v>23600000</v>
      </c>
      <c r="G241" s="1" t="s">
        <v>120</v>
      </c>
      <c r="H241" s="1" t="s">
        <v>24</v>
      </c>
      <c r="I241" s="3">
        <v>2</v>
      </c>
      <c r="J241" s="1"/>
      <c r="K241" s="1" t="s">
        <v>19</v>
      </c>
      <c r="L241" s="5">
        <v>45528.569861111115</v>
      </c>
    </row>
    <row r="242" spans="1:12">
      <c r="A242" s="1" t="s">
        <v>786</v>
      </c>
      <c r="B242" s="1" t="s">
        <v>787</v>
      </c>
      <c r="C242" s="1" t="s">
        <v>788</v>
      </c>
      <c r="D242" s="1" t="s">
        <v>15</v>
      </c>
      <c r="E242" s="3">
        <v>68</v>
      </c>
      <c r="F242" s="4">
        <v>13400000</v>
      </c>
      <c r="G242" s="1" t="s">
        <v>226</v>
      </c>
      <c r="H242" s="1" t="s">
        <v>24</v>
      </c>
      <c r="I242" s="3">
        <v>3</v>
      </c>
      <c r="J242" s="1" t="s">
        <v>69</v>
      </c>
      <c r="K242" s="1" t="s">
        <v>19</v>
      </c>
      <c r="L242" s="5">
        <v>45692.664652777778</v>
      </c>
    </row>
    <row r="243" spans="1:12">
      <c r="A243" s="1" t="s">
        <v>789</v>
      </c>
      <c r="B243" s="1" t="s">
        <v>790</v>
      </c>
      <c r="C243" s="1" t="s">
        <v>791</v>
      </c>
      <c r="D243" s="1" t="s">
        <v>63</v>
      </c>
      <c r="E243" s="3">
        <v>55</v>
      </c>
      <c r="F243" s="4">
        <v>8500000</v>
      </c>
      <c r="G243" s="1" t="s">
        <v>205</v>
      </c>
      <c r="H243" s="1" t="s">
        <v>24</v>
      </c>
      <c r="I243" s="3">
        <v>4</v>
      </c>
      <c r="J243" s="1" t="s">
        <v>59</v>
      </c>
      <c r="K243" s="1" t="s">
        <v>19</v>
      </c>
      <c r="L243" s="5">
        <v>45704.712453703702</v>
      </c>
    </row>
    <row r="244" spans="1:12">
      <c r="A244" s="1" t="s">
        <v>792</v>
      </c>
      <c r="B244" s="1" t="s">
        <v>793</v>
      </c>
      <c r="C244" s="1" t="s">
        <v>794</v>
      </c>
      <c r="D244" s="1" t="s">
        <v>86</v>
      </c>
      <c r="E244" s="3">
        <v>145</v>
      </c>
      <c r="F244" s="4">
        <v>39600000</v>
      </c>
      <c r="G244" s="1" t="s">
        <v>16</v>
      </c>
      <c r="H244" s="1" t="s">
        <v>24</v>
      </c>
      <c r="I244" s="3">
        <v>1</v>
      </c>
      <c r="J244" s="1" t="s">
        <v>91</v>
      </c>
      <c r="K244" s="1" t="s">
        <v>141</v>
      </c>
      <c r="L244" s="5">
        <v>44706.315925925926</v>
      </c>
    </row>
    <row r="245" spans="1:12">
      <c r="A245" s="1" t="s">
        <v>795</v>
      </c>
      <c r="B245" s="1" t="s">
        <v>796</v>
      </c>
      <c r="C245" s="1" t="s">
        <v>797</v>
      </c>
      <c r="D245" s="1" t="s">
        <v>201</v>
      </c>
      <c r="E245" s="3">
        <v>61</v>
      </c>
      <c r="F245" s="4">
        <v>22400000</v>
      </c>
      <c r="G245" s="1" t="s">
        <v>560</v>
      </c>
      <c r="H245" s="1" t="s">
        <v>24</v>
      </c>
      <c r="I245" s="3">
        <v>2</v>
      </c>
      <c r="J245" s="1" t="s">
        <v>25</v>
      </c>
      <c r="K245" s="1" t="s">
        <v>42</v>
      </c>
      <c r="L245" s="5">
        <v>44591.067685185182</v>
      </c>
    </row>
    <row r="246" spans="1:12">
      <c r="A246" s="1" t="s">
        <v>798</v>
      </c>
      <c r="B246" s="1" t="s">
        <v>799</v>
      </c>
      <c r="C246" s="1" t="s">
        <v>800</v>
      </c>
      <c r="D246" s="1" t="s">
        <v>80</v>
      </c>
      <c r="E246" s="3"/>
      <c r="F246" s="4">
        <v>212400000</v>
      </c>
      <c r="G246" s="1" t="s">
        <v>35</v>
      </c>
      <c r="H246" s="1" t="s">
        <v>17</v>
      </c>
      <c r="I246" s="3">
        <v>4</v>
      </c>
      <c r="J246" s="1" t="s">
        <v>36</v>
      </c>
      <c r="K246" s="1" t="s">
        <v>19</v>
      </c>
      <c r="L246" s="5">
        <v>45846.002013888887</v>
      </c>
    </row>
    <row r="247" spans="1:12">
      <c r="A247" s="1" t="s">
        <v>801</v>
      </c>
      <c r="B247" s="1" t="s">
        <v>802</v>
      </c>
      <c r="C247" s="1"/>
      <c r="D247" s="1" t="s">
        <v>29</v>
      </c>
      <c r="E247" s="3">
        <v>2013</v>
      </c>
      <c r="F247" s="4">
        <v>405700000</v>
      </c>
      <c r="G247" s="1" t="s">
        <v>249</v>
      </c>
      <c r="H247" s="1" t="s">
        <v>17</v>
      </c>
      <c r="I247" s="3">
        <v>4</v>
      </c>
      <c r="J247" s="1" t="s">
        <v>36</v>
      </c>
      <c r="K247" s="1" t="s">
        <v>42</v>
      </c>
      <c r="L247" s="5">
        <v>45027.459745370368</v>
      </c>
    </row>
    <row r="248" spans="1:12">
      <c r="A248" s="1" t="s">
        <v>803</v>
      </c>
      <c r="B248" s="1" t="s">
        <v>804</v>
      </c>
      <c r="C248" s="1" t="s">
        <v>805</v>
      </c>
      <c r="D248" s="1" t="s">
        <v>15</v>
      </c>
      <c r="E248" s="3">
        <v>826</v>
      </c>
      <c r="F248" s="4">
        <v>140500000</v>
      </c>
      <c r="G248" s="1" t="s">
        <v>192</v>
      </c>
      <c r="H248" s="1" t="s">
        <v>30</v>
      </c>
      <c r="I248" s="3">
        <v>1</v>
      </c>
      <c r="J248" s="1" t="s">
        <v>18</v>
      </c>
      <c r="K248" s="1" t="s">
        <v>42</v>
      </c>
      <c r="L248" s="5">
        <v>45875.398078703707</v>
      </c>
    </row>
    <row r="249" spans="1:12">
      <c r="A249" s="1" t="s">
        <v>806</v>
      </c>
      <c r="B249" s="1" t="s">
        <v>807</v>
      </c>
      <c r="C249" s="1" t="s">
        <v>808</v>
      </c>
      <c r="D249" s="1" t="s">
        <v>49</v>
      </c>
      <c r="E249" s="3">
        <v>754</v>
      </c>
      <c r="F249" s="4">
        <v>166000000</v>
      </c>
      <c r="G249" s="1" t="s">
        <v>205</v>
      </c>
      <c r="H249" s="1" t="s">
        <v>30</v>
      </c>
      <c r="I249" s="3">
        <v>4</v>
      </c>
      <c r="J249" s="1" t="s">
        <v>36</v>
      </c>
      <c r="K249" s="1" t="s">
        <v>141</v>
      </c>
      <c r="L249" s="5">
        <v>44747.120740740742</v>
      </c>
    </row>
    <row r="250" spans="1:12">
      <c r="A250" s="1" t="s">
        <v>809</v>
      </c>
      <c r="B250" s="1" t="s">
        <v>810</v>
      </c>
      <c r="C250" s="1" t="s">
        <v>811</v>
      </c>
      <c r="D250" s="1" t="s">
        <v>29</v>
      </c>
      <c r="E250" s="3">
        <v>377</v>
      </c>
      <c r="F250" s="4">
        <v>84500000</v>
      </c>
      <c r="G250" s="1" t="s">
        <v>81</v>
      </c>
      <c r="H250" s="1" t="s">
        <v>30</v>
      </c>
      <c r="I250" s="3">
        <v>2</v>
      </c>
      <c r="J250" s="1" t="s">
        <v>82</v>
      </c>
      <c r="K250" s="1" t="s">
        <v>19</v>
      </c>
      <c r="L250" s="5">
        <v>45702.676226851851</v>
      </c>
    </row>
    <row r="251" spans="1:12">
      <c r="A251" s="1" t="s">
        <v>812</v>
      </c>
      <c r="B251" s="1" t="s">
        <v>813</v>
      </c>
      <c r="C251" s="1" t="s">
        <v>814</v>
      </c>
      <c r="D251" s="1" t="s">
        <v>49</v>
      </c>
      <c r="E251" s="3">
        <v>52</v>
      </c>
      <c r="F251" s="4"/>
      <c r="G251" s="1" t="s">
        <v>50</v>
      </c>
      <c r="H251" s="1" t="s">
        <v>24</v>
      </c>
      <c r="I251" s="3">
        <v>4</v>
      </c>
      <c r="J251" s="1" t="s">
        <v>59</v>
      </c>
      <c r="K251" s="1" t="s">
        <v>42</v>
      </c>
      <c r="L251" s="5">
        <v>44826.127766203703</v>
      </c>
    </row>
    <row r="252" spans="1:12">
      <c r="A252" s="1" t="s">
        <v>815</v>
      </c>
      <c r="B252" s="1" t="s">
        <v>816</v>
      </c>
      <c r="C252" s="1" t="s">
        <v>817</v>
      </c>
      <c r="D252" s="1" t="s">
        <v>201</v>
      </c>
      <c r="E252" s="3">
        <v>59</v>
      </c>
      <c r="F252" s="4">
        <v>23400000</v>
      </c>
      <c r="G252" s="1" t="s">
        <v>50</v>
      </c>
      <c r="H252" s="1" t="s">
        <v>24</v>
      </c>
      <c r="I252" s="3">
        <v>4</v>
      </c>
      <c r="J252" s="1" t="s">
        <v>59</v>
      </c>
      <c r="K252" s="1" t="s">
        <v>19</v>
      </c>
      <c r="L252" s="5">
        <v>45207.399942129632</v>
      </c>
    </row>
    <row r="253" spans="1:12">
      <c r="A253" s="1" t="s">
        <v>818</v>
      </c>
      <c r="B253" s="1" t="s">
        <v>819</v>
      </c>
      <c r="C253" s="1" t="s">
        <v>820</v>
      </c>
      <c r="D253" s="1"/>
      <c r="E253" s="3">
        <v>48</v>
      </c>
      <c r="F253" s="4">
        <v>7200000</v>
      </c>
      <c r="G253" s="1" t="s">
        <v>68</v>
      </c>
      <c r="H253" s="1" t="s">
        <v>24</v>
      </c>
      <c r="I253" s="3">
        <v>3</v>
      </c>
      <c r="J253" s="1" t="s">
        <v>69</v>
      </c>
      <c r="K253" s="1" t="s">
        <v>19</v>
      </c>
      <c r="L253" s="5">
        <v>45462.395370370374</v>
      </c>
    </row>
    <row r="254" spans="1:12">
      <c r="A254" s="1" t="s">
        <v>821</v>
      </c>
      <c r="B254" s="1" t="s">
        <v>822</v>
      </c>
      <c r="C254" s="1" t="s">
        <v>823</v>
      </c>
      <c r="D254" s="1" t="s">
        <v>49</v>
      </c>
      <c r="E254" s="3">
        <v>211</v>
      </c>
      <c r="F254" s="4"/>
      <c r="G254" s="1" t="s">
        <v>23</v>
      </c>
      <c r="H254" s="1" t="s">
        <v>30</v>
      </c>
      <c r="I254" s="3">
        <v>2</v>
      </c>
      <c r="J254" s="1" t="s">
        <v>82</v>
      </c>
      <c r="K254" s="1" t="s">
        <v>19</v>
      </c>
      <c r="L254" s="5">
        <v>45883.582499999997</v>
      </c>
    </row>
    <row r="255" spans="1:12">
      <c r="A255" s="1" t="s">
        <v>824</v>
      </c>
      <c r="B255" s="1" t="s">
        <v>825</v>
      </c>
      <c r="C255" s="1" t="s">
        <v>826</v>
      </c>
      <c r="D255" s="1" t="s">
        <v>63</v>
      </c>
      <c r="E255" s="3">
        <v>2169</v>
      </c>
      <c r="F255" s="4">
        <v>192700000</v>
      </c>
      <c r="G255" s="1" t="s">
        <v>90</v>
      </c>
      <c r="H255" s="1" t="s">
        <v>17</v>
      </c>
      <c r="I255" s="3">
        <v>1</v>
      </c>
      <c r="J255" s="1" t="s">
        <v>18</v>
      </c>
      <c r="K255" s="1" t="s">
        <v>42</v>
      </c>
      <c r="L255" s="5">
        <v>45769.637094907404</v>
      </c>
    </row>
    <row r="256" spans="1:12">
      <c r="A256" s="1" t="s">
        <v>827</v>
      </c>
      <c r="B256" s="1" t="s">
        <v>828</v>
      </c>
      <c r="C256" s="1" t="s">
        <v>829</v>
      </c>
      <c r="D256" s="1" t="s">
        <v>201</v>
      </c>
      <c r="E256" s="3">
        <v>532</v>
      </c>
      <c r="F256" s="4">
        <v>190500000</v>
      </c>
      <c r="G256" s="1" t="s">
        <v>50</v>
      </c>
      <c r="H256" s="1" t="s">
        <v>30</v>
      </c>
      <c r="I256" s="3">
        <v>4</v>
      </c>
      <c r="J256" s="1" t="s">
        <v>36</v>
      </c>
      <c r="K256" s="1" t="s">
        <v>19</v>
      </c>
      <c r="L256" s="5">
        <v>46062.563981481479</v>
      </c>
    </row>
    <row r="257" spans="1:12">
      <c r="A257" s="1" t="s">
        <v>830</v>
      </c>
      <c r="B257" s="1" t="s">
        <v>831</v>
      </c>
      <c r="C257" s="1"/>
      <c r="D257" s="1" t="s">
        <v>80</v>
      </c>
      <c r="E257" s="3">
        <v>55</v>
      </c>
      <c r="F257" s="4">
        <v>10500000</v>
      </c>
      <c r="G257" s="1" t="s">
        <v>81</v>
      </c>
      <c r="H257" s="1" t="s">
        <v>24</v>
      </c>
      <c r="I257" s="3">
        <v>2</v>
      </c>
      <c r="J257" s="1" t="s">
        <v>25</v>
      </c>
      <c r="K257" s="1" t="s">
        <v>42</v>
      </c>
      <c r="L257" s="5">
        <v>46092.818391203706</v>
      </c>
    </row>
    <row r="258" spans="1:12">
      <c r="A258" s="1" t="s">
        <v>832</v>
      </c>
      <c r="B258" s="1" t="s">
        <v>833</v>
      </c>
      <c r="C258" s="1" t="s">
        <v>747</v>
      </c>
      <c r="D258" s="1" t="s">
        <v>80</v>
      </c>
      <c r="E258" s="3">
        <v>895</v>
      </c>
      <c r="F258" s="4">
        <v>247100000</v>
      </c>
      <c r="G258" s="1" t="s">
        <v>68</v>
      </c>
      <c r="H258" s="1" t="s">
        <v>30</v>
      </c>
      <c r="I258" s="3">
        <v>3</v>
      </c>
      <c r="J258" s="1" t="s">
        <v>55</v>
      </c>
      <c r="K258" s="1" t="s">
        <v>42</v>
      </c>
      <c r="L258" s="5">
        <v>44837.676365740743</v>
      </c>
    </row>
    <row r="259" spans="1:12">
      <c r="A259" s="1" t="s">
        <v>834</v>
      </c>
      <c r="B259" s="1" t="s">
        <v>835</v>
      </c>
      <c r="C259" s="1" t="s">
        <v>836</v>
      </c>
      <c r="D259" s="1" t="s">
        <v>49</v>
      </c>
      <c r="E259" s="3">
        <v>711</v>
      </c>
      <c r="F259" s="4">
        <v>157500000</v>
      </c>
      <c r="G259" s="1" t="s">
        <v>16</v>
      </c>
      <c r="H259" s="1" t="s">
        <v>30</v>
      </c>
      <c r="I259" s="3">
        <v>1</v>
      </c>
      <c r="J259" s="1" t="s">
        <v>36</v>
      </c>
      <c r="K259" s="1" t="s">
        <v>42</v>
      </c>
      <c r="L259" s="5">
        <v>45930.740358796298</v>
      </c>
    </row>
    <row r="260" spans="1:12">
      <c r="A260" s="1" t="s">
        <v>837</v>
      </c>
      <c r="B260" s="1" t="s">
        <v>838</v>
      </c>
      <c r="C260" s="1" t="s">
        <v>839</v>
      </c>
      <c r="D260" s="1" t="s">
        <v>80</v>
      </c>
      <c r="E260" s="3">
        <v>733</v>
      </c>
      <c r="F260" s="4">
        <v>150900000</v>
      </c>
      <c r="G260" s="1" t="s">
        <v>154</v>
      </c>
      <c r="H260" s="1" t="s">
        <v>30</v>
      </c>
      <c r="I260" s="3">
        <v>3</v>
      </c>
      <c r="J260" s="1" t="s">
        <v>82</v>
      </c>
      <c r="K260" s="1" t="s">
        <v>19</v>
      </c>
      <c r="L260" s="5">
        <v>45955.781400462962</v>
      </c>
    </row>
    <row r="261" spans="1:12">
      <c r="A261" s="1" t="s">
        <v>840</v>
      </c>
      <c r="B261" s="1" t="s">
        <v>841</v>
      </c>
      <c r="C261" s="1" t="s">
        <v>842</v>
      </c>
      <c r="D261" s="1" t="s">
        <v>49</v>
      </c>
      <c r="E261" s="3">
        <v>106</v>
      </c>
      <c r="F261" s="4">
        <v>18600000</v>
      </c>
      <c r="G261" s="1" t="s">
        <v>192</v>
      </c>
      <c r="H261" s="1" t="s">
        <v>24</v>
      </c>
      <c r="I261" s="3">
        <v>1</v>
      </c>
      <c r="J261" s="1" t="s">
        <v>91</v>
      </c>
      <c r="K261" s="1" t="s">
        <v>42</v>
      </c>
      <c r="L261" s="5">
        <v>45428.589618055557</v>
      </c>
    </row>
    <row r="262" spans="1:12">
      <c r="A262" s="1" t="s">
        <v>843</v>
      </c>
      <c r="B262" s="1" t="s">
        <v>844</v>
      </c>
      <c r="C262" s="1" t="s">
        <v>845</v>
      </c>
      <c r="D262" s="1" t="s">
        <v>201</v>
      </c>
      <c r="E262" s="3">
        <v>308</v>
      </c>
      <c r="F262" s="4">
        <v>95700000</v>
      </c>
      <c r="G262" s="1" t="s">
        <v>50</v>
      </c>
      <c r="H262" s="1" t="s">
        <v>30</v>
      </c>
      <c r="I262" s="3">
        <v>1</v>
      </c>
      <c r="J262" s="1" t="s">
        <v>36</v>
      </c>
      <c r="K262" s="1" t="s">
        <v>42</v>
      </c>
      <c r="L262" s="5">
        <v>44961.823055555556</v>
      </c>
    </row>
    <row r="263" spans="1:12">
      <c r="A263" s="1" t="s">
        <v>846</v>
      </c>
      <c r="B263" s="1" t="s">
        <v>847</v>
      </c>
      <c r="C263" s="1" t="s">
        <v>848</v>
      </c>
      <c r="D263" s="1" t="s">
        <v>40</v>
      </c>
      <c r="E263" s="3">
        <v>127</v>
      </c>
      <c r="F263" s="4">
        <v>34000000</v>
      </c>
      <c r="G263" s="1" t="s">
        <v>16</v>
      </c>
      <c r="H263" s="1" t="s">
        <v>24</v>
      </c>
      <c r="I263" s="3">
        <v>1</v>
      </c>
      <c r="J263" s="1" t="s">
        <v>91</v>
      </c>
      <c r="K263" s="1" t="s">
        <v>19</v>
      </c>
      <c r="L263" s="5">
        <v>45272.71974537037</v>
      </c>
    </row>
    <row r="264" spans="1:12">
      <c r="A264" s="1" t="s">
        <v>849</v>
      </c>
      <c r="B264" s="1" t="s">
        <v>850</v>
      </c>
      <c r="C264" s="1" t="s">
        <v>851</v>
      </c>
      <c r="D264" s="1"/>
      <c r="E264" s="3">
        <v>180</v>
      </c>
      <c r="F264" s="4">
        <v>60600000</v>
      </c>
      <c r="G264" s="1" t="s">
        <v>35</v>
      </c>
      <c r="H264" s="1" t="s">
        <v>24</v>
      </c>
      <c r="I264" s="3">
        <v>4</v>
      </c>
      <c r="J264" s="1" t="s">
        <v>59</v>
      </c>
      <c r="K264" s="1" t="s">
        <v>19</v>
      </c>
      <c r="L264" s="5">
        <v>46159.888182870367</v>
      </c>
    </row>
    <row r="265" spans="1:12">
      <c r="A265" s="1" t="s">
        <v>852</v>
      </c>
      <c r="B265" s="1" t="s">
        <v>853</v>
      </c>
      <c r="C265" s="1" t="s">
        <v>854</v>
      </c>
      <c r="D265" s="1" t="s">
        <v>80</v>
      </c>
      <c r="E265" s="3">
        <v>89</v>
      </c>
      <c r="F265" s="4">
        <v>20900000</v>
      </c>
      <c r="G265" s="1"/>
      <c r="H265" s="1" t="s">
        <v>24</v>
      </c>
      <c r="I265" s="3">
        <v>3</v>
      </c>
      <c r="J265" s="1" t="s">
        <v>69</v>
      </c>
      <c r="K265" s="1" t="s">
        <v>42</v>
      </c>
      <c r="L265" s="5">
        <v>46006.214398148149</v>
      </c>
    </row>
    <row r="266" spans="1:12">
      <c r="A266" s="1" t="s">
        <v>855</v>
      </c>
      <c r="B266" s="1" t="s">
        <v>856</v>
      </c>
      <c r="C266" s="1" t="s">
        <v>857</v>
      </c>
      <c r="D266" s="1" t="s">
        <v>201</v>
      </c>
      <c r="E266" s="3">
        <v>146</v>
      </c>
      <c r="F266" s="4"/>
      <c r="G266" s="1" t="s">
        <v>178</v>
      </c>
      <c r="H266" s="1" t="s">
        <v>24</v>
      </c>
      <c r="I266" s="3">
        <v>4</v>
      </c>
      <c r="J266" s="1" t="s">
        <v>59</v>
      </c>
      <c r="K266" s="1" t="s">
        <v>19</v>
      </c>
      <c r="L266" s="5">
        <v>46100.475428240738</v>
      </c>
    </row>
    <row r="267" spans="1:12">
      <c r="A267" s="1" t="s">
        <v>858</v>
      </c>
      <c r="B267" s="1" t="s">
        <v>859</v>
      </c>
      <c r="C267" s="1" t="s">
        <v>860</v>
      </c>
      <c r="D267" s="1" t="s">
        <v>40</v>
      </c>
      <c r="E267" s="3">
        <v>1448</v>
      </c>
      <c r="F267" s="4">
        <v>455900000</v>
      </c>
      <c r="G267" s="1" t="s">
        <v>68</v>
      </c>
      <c r="H267" s="1" t="s">
        <v>17</v>
      </c>
      <c r="I267" s="3">
        <v>3</v>
      </c>
      <c r="J267" s="1"/>
      <c r="K267" s="1" t="s">
        <v>42</v>
      </c>
      <c r="L267" s="5">
        <v>44953.419618055559</v>
      </c>
    </row>
    <row r="268" spans="1:12">
      <c r="A268" s="1" t="s">
        <v>861</v>
      </c>
      <c r="B268" s="1" t="s">
        <v>862</v>
      </c>
      <c r="C268" s="1" t="s">
        <v>863</v>
      </c>
      <c r="D268" s="1" t="s">
        <v>29</v>
      </c>
      <c r="E268" s="3">
        <v>147</v>
      </c>
      <c r="F268" s="4">
        <v>34000000</v>
      </c>
      <c r="G268" s="1" t="s">
        <v>16</v>
      </c>
      <c r="H268" s="1" t="s">
        <v>24</v>
      </c>
      <c r="I268" s="3">
        <v>1</v>
      </c>
      <c r="J268" s="1" t="s">
        <v>91</v>
      </c>
      <c r="K268" s="1" t="s">
        <v>19</v>
      </c>
      <c r="L268" s="5">
        <v>45660.238402777781</v>
      </c>
    </row>
    <row r="269" spans="1:12">
      <c r="A269" s="1" t="s">
        <v>864</v>
      </c>
      <c r="B269" s="1" t="s">
        <v>865</v>
      </c>
      <c r="C269" s="1" t="s">
        <v>866</v>
      </c>
      <c r="D269" s="1" t="s">
        <v>80</v>
      </c>
      <c r="E269" s="3">
        <v>87</v>
      </c>
      <c r="F269" s="4">
        <v>21900000</v>
      </c>
      <c r="G269" s="1" t="s">
        <v>50</v>
      </c>
      <c r="H269" s="1" t="s">
        <v>24</v>
      </c>
      <c r="I269" s="3">
        <v>4</v>
      </c>
      <c r="J269" s="1" t="s">
        <v>59</v>
      </c>
      <c r="K269" s="1" t="s">
        <v>19</v>
      </c>
      <c r="L269" s="5">
        <v>46274.464583333334</v>
      </c>
    </row>
    <row r="270" spans="1:12">
      <c r="A270" s="1" t="s">
        <v>867</v>
      </c>
      <c r="B270" s="1" t="s">
        <v>868</v>
      </c>
      <c r="C270" s="1" t="s">
        <v>869</v>
      </c>
      <c r="D270" s="1" t="s">
        <v>201</v>
      </c>
      <c r="E270" s="3">
        <v>306</v>
      </c>
      <c r="F270" s="4">
        <v>107000000</v>
      </c>
      <c r="G270" s="1" t="s">
        <v>171</v>
      </c>
      <c r="H270" s="1" t="s">
        <v>30</v>
      </c>
      <c r="I270" s="3">
        <v>1</v>
      </c>
      <c r="J270" s="1" t="s">
        <v>18</v>
      </c>
      <c r="K270" s="1" t="s">
        <v>19</v>
      </c>
      <c r="L270" s="5">
        <v>44975.927210648151</v>
      </c>
    </row>
    <row r="271" spans="1:12">
      <c r="A271" s="1" t="s">
        <v>870</v>
      </c>
      <c r="B271" s="1" t="s">
        <v>871</v>
      </c>
      <c r="C271" s="1" t="s">
        <v>872</v>
      </c>
      <c r="D271" s="1" t="s">
        <v>29</v>
      </c>
      <c r="E271" s="3">
        <v>143</v>
      </c>
      <c r="F271" s="4">
        <v>24300000</v>
      </c>
      <c r="G271" s="1" t="s">
        <v>16</v>
      </c>
      <c r="H271" s="1" t="s">
        <v>24</v>
      </c>
      <c r="I271" s="3">
        <v>1</v>
      </c>
      <c r="J271" s="1" t="s">
        <v>91</v>
      </c>
      <c r="K271" s="1" t="s">
        <v>19</v>
      </c>
      <c r="L271" s="5">
        <v>45636.456134259257</v>
      </c>
    </row>
    <row r="272" spans="1:12">
      <c r="A272" s="1" t="s">
        <v>873</v>
      </c>
      <c r="B272" s="1" t="s">
        <v>874</v>
      </c>
      <c r="C272" s="1" t="s">
        <v>875</v>
      </c>
      <c r="D272" s="1" t="s">
        <v>80</v>
      </c>
      <c r="E272" s="3">
        <v>37</v>
      </c>
      <c r="F272" s="4">
        <v>10600000</v>
      </c>
      <c r="G272" s="1" t="s">
        <v>50</v>
      </c>
      <c r="H272" s="1" t="s">
        <v>24</v>
      </c>
      <c r="I272" s="3">
        <v>4</v>
      </c>
      <c r="J272" s="1" t="s">
        <v>59</v>
      </c>
      <c r="K272" s="1" t="s">
        <v>42</v>
      </c>
      <c r="L272" s="5">
        <v>45532.60974537037</v>
      </c>
    </row>
    <row r="273" spans="1:12">
      <c r="A273" s="1" t="s">
        <v>876</v>
      </c>
      <c r="B273" s="1" t="s">
        <v>877</v>
      </c>
      <c r="C273" s="1" t="s">
        <v>878</v>
      </c>
      <c r="D273" s="1" t="s">
        <v>109</v>
      </c>
      <c r="E273" s="3">
        <v>587</v>
      </c>
      <c r="F273" s="4">
        <v>163500000</v>
      </c>
      <c r="G273" s="1" t="s">
        <v>23</v>
      </c>
      <c r="H273" s="1" t="s">
        <v>30</v>
      </c>
      <c r="I273" s="3">
        <v>2</v>
      </c>
      <c r="J273" s="1" t="s">
        <v>82</v>
      </c>
      <c r="K273" s="1" t="s">
        <v>42</v>
      </c>
      <c r="L273" s="5">
        <v>46043.287094907406</v>
      </c>
    </row>
    <row r="274" spans="1:12">
      <c r="A274" s="1" t="s">
        <v>879</v>
      </c>
      <c r="B274" s="1" t="s">
        <v>880</v>
      </c>
      <c r="C274" s="1" t="s">
        <v>881</v>
      </c>
      <c r="D274" s="1" t="s">
        <v>63</v>
      </c>
      <c r="E274" s="3">
        <v>82</v>
      </c>
      <c r="F274" s="4">
        <v>9500000</v>
      </c>
      <c r="G274" s="1" t="s">
        <v>226</v>
      </c>
      <c r="H274" s="1" t="s">
        <v>24</v>
      </c>
      <c r="I274" s="3">
        <v>3</v>
      </c>
      <c r="J274" s="1" t="s">
        <v>69</v>
      </c>
      <c r="K274" s="1" t="s">
        <v>19</v>
      </c>
      <c r="L274" s="5">
        <v>45882.852384259262</v>
      </c>
    </row>
    <row r="275" spans="1:12">
      <c r="A275" s="1" t="s">
        <v>882</v>
      </c>
      <c r="B275" s="1" t="s">
        <v>883</v>
      </c>
      <c r="C275" s="1" t="s">
        <v>884</v>
      </c>
      <c r="D275" s="1" t="s">
        <v>34</v>
      </c>
      <c r="E275" s="3">
        <v>2368</v>
      </c>
      <c r="F275" s="4">
        <v>554600000</v>
      </c>
      <c r="G275" s="1" t="s">
        <v>236</v>
      </c>
      <c r="H275" s="1" t="s">
        <v>17</v>
      </c>
      <c r="I275" s="3">
        <v>1</v>
      </c>
      <c r="J275" s="1" t="s">
        <v>18</v>
      </c>
      <c r="K275" s="1" t="s">
        <v>42</v>
      </c>
      <c r="L275" s="5">
        <v>45607.761134259257</v>
      </c>
    </row>
    <row r="276" spans="1:12">
      <c r="A276" s="1" t="s">
        <v>885</v>
      </c>
      <c r="B276" s="1" t="s">
        <v>886</v>
      </c>
      <c r="C276" s="1" t="s">
        <v>887</v>
      </c>
      <c r="D276" s="1" t="s">
        <v>86</v>
      </c>
      <c r="E276" s="3">
        <v>97</v>
      </c>
      <c r="F276" s="4">
        <v>27200000</v>
      </c>
      <c r="G276" s="1" t="s">
        <v>81</v>
      </c>
      <c r="H276" s="1" t="s">
        <v>24</v>
      </c>
      <c r="I276" s="3">
        <v>2</v>
      </c>
      <c r="J276" s="1" t="s">
        <v>25</v>
      </c>
      <c r="K276" s="1" t="s">
        <v>19</v>
      </c>
      <c r="L276" s="5">
        <v>46130.53465277778</v>
      </c>
    </row>
    <row r="277" spans="1:12">
      <c r="A277" s="1" t="s">
        <v>888</v>
      </c>
      <c r="B277" s="1" t="s">
        <v>889</v>
      </c>
      <c r="C277" s="1" t="s">
        <v>890</v>
      </c>
      <c r="D277" s="1" t="s">
        <v>34</v>
      </c>
      <c r="E277" s="3">
        <v>713</v>
      </c>
      <c r="F277" s="4">
        <v>154800000</v>
      </c>
      <c r="G277" s="1" t="s">
        <v>68</v>
      </c>
      <c r="H277" s="1" t="s">
        <v>30</v>
      </c>
      <c r="I277" s="3">
        <v>3</v>
      </c>
      <c r="J277" s="1" t="s">
        <v>55</v>
      </c>
      <c r="K277" s="1" t="s">
        <v>19</v>
      </c>
      <c r="L277" s="5">
        <v>45532.637245370373</v>
      </c>
    </row>
    <row r="278" spans="1:12">
      <c r="A278" s="1" t="s">
        <v>891</v>
      </c>
      <c r="B278" s="1" t="s">
        <v>892</v>
      </c>
      <c r="C278" s="1" t="s">
        <v>893</v>
      </c>
      <c r="D278" s="1" t="s">
        <v>29</v>
      </c>
      <c r="E278" s="3">
        <v>761</v>
      </c>
      <c r="F278" s="4">
        <v>132200000</v>
      </c>
      <c r="G278" s="1" t="s">
        <v>81</v>
      </c>
      <c r="H278" s="1" t="s">
        <v>30</v>
      </c>
      <c r="I278" s="3">
        <v>2</v>
      </c>
      <c r="J278" s="1" t="s">
        <v>82</v>
      </c>
      <c r="K278" s="1" t="s">
        <v>19</v>
      </c>
      <c r="L278" s="5">
        <v>45997.5077662037</v>
      </c>
    </row>
    <row r="279" spans="1:12">
      <c r="A279" s="1" t="s">
        <v>894</v>
      </c>
      <c r="B279" s="1" t="s">
        <v>895</v>
      </c>
      <c r="C279" s="1" t="s">
        <v>896</v>
      </c>
      <c r="D279" s="1" t="s">
        <v>40</v>
      </c>
      <c r="E279" s="3">
        <v>879</v>
      </c>
      <c r="F279" s="4">
        <v>228500000</v>
      </c>
      <c r="G279" s="1" t="s">
        <v>295</v>
      </c>
      <c r="H279" s="1" t="s">
        <v>30</v>
      </c>
      <c r="I279" s="3">
        <v>2</v>
      </c>
      <c r="J279" s="1" t="s">
        <v>82</v>
      </c>
      <c r="K279" s="1" t="s">
        <v>42</v>
      </c>
      <c r="L279" s="5">
        <v>45759.225381944445</v>
      </c>
    </row>
    <row r="280" spans="1:12">
      <c r="A280" s="1" t="s">
        <v>897</v>
      </c>
      <c r="B280" s="1" t="s">
        <v>898</v>
      </c>
      <c r="C280" s="1" t="s">
        <v>899</v>
      </c>
      <c r="D280" s="1" t="s">
        <v>63</v>
      </c>
      <c r="E280" s="3">
        <v>618</v>
      </c>
      <c r="F280" s="4">
        <v>84500000</v>
      </c>
      <c r="G280" s="1" t="s">
        <v>408</v>
      </c>
      <c r="H280" s="1" t="s">
        <v>30</v>
      </c>
      <c r="I280" s="3">
        <v>3</v>
      </c>
      <c r="J280" s="1" t="s">
        <v>55</v>
      </c>
      <c r="K280" s="1" t="s">
        <v>19</v>
      </c>
      <c r="L280" s="5">
        <v>45049.33053240741</v>
      </c>
    </row>
    <row r="281" spans="1:12">
      <c r="A281" s="1" t="s">
        <v>900</v>
      </c>
      <c r="B281" s="1" t="s">
        <v>901</v>
      </c>
      <c r="C281" s="1" t="s">
        <v>902</v>
      </c>
      <c r="D281" s="1" t="s">
        <v>109</v>
      </c>
      <c r="E281" s="3">
        <v>114</v>
      </c>
      <c r="F281" s="4">
        <v>38700000</v>
      </c>
      <c r="G281" s="1" t="s">
        <v>68</v>
      </c>
      <c r="H281" s="1" t="s">
        <v>24</v>
      </c>
      <c r="I281" s="3">
        <v>3</v>
      </c>
      <c r="J281" s="1" t="s">
        <v>69</v>
      </c>
      <c r="K281" s="1" t="s">
        <v>141</v>
      </c>
      <c r="L281" s="5">
        <v>45119.868078703701</v>
      </c>
    </row>
    <row r="282" spans="1:12">
      <c r="A282" s="1" t="s">
        <v>903</v>
      </c>
      <c r="B282" s="1" t="s">
        <v>904</v>
      </c>
      <c r="C282" s="1" t="s">
        <v>905</v>
      </c>
      <c r="D282" s="1" t="s">
        <v>86</v>
      </c>
      <c r="E282" s="3">
        <v>123</v>
      </c>
      <c r="F282" s="4">
        <v>30500000</v>
      </c>
      <c r="G282" s="1" t="s">
        <v>178</v>
      </c>
      <c r="H282" s="1" t="s">
        <v>24</v>
      </c>
      <c r="I282" s="3"/>
      <c r="J282" s="1" t="s">
        <v>59</v>
      </c>
      <c r="K282" s="1" t="s">
        <v>19</v>
      </c>
      <c r="L282" s="5">
        <v>45769.385335648149</v>
      </c>
    </row>
    <row r="283" spans="1:12">
      <c r="A283" s="1" t="s">
        <v>906</v>
      </c>
      <c r="B283" s="1" t="s">
        <v>907</v>
      </c>
      <c r="C283" s="1" t="s">
        <v>908</v>
      </c>
      <c r="D283" s="1" t="s">
        <v>40</v>
      </c>
      <c r="E283" s="3">
        <v>2011</v>
      </c>
      <c r="F283" s="4">
        <v>429300000</v>
      </c>
      <c r="G283" s="1" t="s">
        <v>154</v>
      </c>
      <c r="H283" s="1" t="s">
        <v>17</v>
      </c>
      <c r="I283" s="3">
        <v>2</v>
      </c>
      <c r="J283" s="1" t="s">
        <v>82</v>
      </c>
      <c r="K283" s="1" t="s">
        <v>19</v>
      </c>
      <c r="L283" s="5">
        <v>45452.536516203705</v>
      </c>
    </row>
    <row r="284" spans="1:12">
      <c r="A284" s="1" t="s">
        <v>909</v>
      </c>
      <c r="B284" s="1" t="s">
        <v>910</v>
      </c>
      <c r="C284" s="1" t="s">
        <v>911</v>
      </c>
      <c r="D284" s="1" t="s">
        <v>80</v>
      </c>
      <c r="E284" s="3">
        <v>34</v>
      </c>
      <c r="F284" s="4">
        <v>6600000</v>
      </c>
      <c r="G284" s="1" t="s">
        <v>23</v>
      </c>
      <c r="H284" s="1" t="s">
        <v>24</v>
      </c>
      <c r="I284" s="3">
        <v>2</v>
      </c>
      <c r="J284" s="1" t="s">
        <v>25</v>
      </c>
      <c r="K284" s="1" t="s">
        <v>19</v>
      </c>
      <c r="L284" s="5">
        <v>46246.770289351851</v>
      </c>
    </row>
    <row r="285" spans="1:12">
      <c r="A285" s="1" t="s">
        <v>912</v>
      </c>
      <c r="B285" s="1" t="s">
        <v>913</v>
      </c>
      <c r="C285" s="1" t="s">
        <v>914</v>
      </c>
      <c r="D285" s="1" t="s">
        <v>109</v>
      </c>
      <c r="E285" s="3">
        <v>542</v>
      </c>
      <c r="F285" s="4">
        <v>163700000</v>
      </c>
      <c r="G285" s="1" t="s">
        <v>236</v>
      </c>
      <c r="H285" s="1" t="s">
        <v>30</v>
      </c>
      <c r="I285" s="3">
        <v>1</v>
      </c>
      <c r="J285" s="1" t="s">
        <v>18</v>
      </c>
      <c r="K285" s="1" t="s">
        <v>42</v>
      </c>
      <c r="L285" s="5">
        <v>44584.637384259258</v>
      </c>
    </row>
    <row r="286" spans="1:12">
      <c r="A286" s="1" t="s">
        <v>915</v>
      </c>
      <c r="B286" s="1" t="s">
        <v>916</v>
      </c>
      <c r="C286" s="1" t="s">
        <v>917</v>
      </c>
      <c r="D286" s="1" t="s">
        <v>34</v>
      </c>
      <c r="E286" s="3">
        <v>259</v>
      </c>
      <c r="F286" s="4">
        <v>49500000</v>
      </c>
      <c r="G286" s="1" t="s">
        <v>440</v>
      </c>
      <c r="H286" s="1" t="s">
        <v>30</v>
      </c>
      <c r="I286" s="3">
        <v>3</v>
      </c>
      <c r="J286" s="1" t="s">
        <v>55</v>
      </c>
      <c r="K286" s="1" t="s">
        <v>19</v>
      </c>
      <c r="L286" s="5">
        <v>45204.859629629631</v>
      </c>
    </row>
    <row r="287" spans="1:12">
      <c r="A287" s="1" t="s">
        <v>918</v>
      </c>
      <c r="B287" s="1" t="s">
        <v>919</v>
      </c>
      <c r="C287" s="1" t="s">
        <v>920</v>
      </c>
      <c r="D287" s="1" t="s">
        <v>80</v>
      </c>
      <c r="E287" s="3">
        <v>1561</v>
      </c>
      <c r="F287" s="4">
        <v>269000000</v>
      </c>
      <c r="G287" s="1" t="s">
        <v>50</v>
      </c>
      <c r="H287" s="1" t="s">
        <v>17</v>
      </c>
      <c r="I287" s="3">
        <v>4</v>
      </c>
      <c r="J287" s="1" t="s">
        <v>36</v>
      </c>
      <c r="K287" s="1" t="s">
        <v>42</v>
      </c>
      <c r="L287" s="5">
        <v>44654.887777777774</v>
      </c>
    </row>
    <row r="288" spans="1:12">
      <c r="A288" s="1" t="s">
        <v>921</v>
      </c>
      <c r="B288" s="1" t="s">
        <v>922</v>
      </c>
      <c r="C288" s="1" t="s">
        <v>923</v>
      </c>
      <c r="D288" s="1" t="s">
        <v>201</v>
      </c>
      <c r="E288" s="3">
        <v>130</v>
      </c>
      <c r="F288" s="4">
        <v>50700000</v>
      </c>
      <c r="G288" s="1" t="s">
        <v>50</v>
      </c>
      <c r="H288" s="1" t="s">
        <v>24</v>
      </c>
      <c r="I288" s="3">
        <v>4</v>
      </c>
      <c r="J288" s="1" t="s">
        <v>59</v>
      </c>
      <c r="K288" s="1" t="s">
        <v>42</v>
      </c>
      <c r="L288" s="5">
        <v>44742.832175925927</v>
      </c>
    </row>
    <row r="289" spans="1:12">
      <c r="A289" s="1" t="s">
        <v>924</v>
      </c>
      <c r="B289" s="1" t="s">
        <v>925</v>
      </c>
      <c r="C289" s="1" t="s">
        <v>926</v>
      </c>
      <c r="D289" s="1" t="s">
        <v>86</v>
      </c>
      <c r="E289" s="3">
        <v>2306</v>
      </c>
      <c r="F289" s="4">
        <v>572300000</v>
      </c>
      <c r="G289" s="1" t="s">
        <v>205</v>
      </c>
      <c r="H289" s="1" t="s">
        <v>17</v>
      </c>
      <c r="I289" s="3">
        <v>4</v>
      </c>
      <c r="J289" s="1" t="s">
        <v>36</v>
      </c>
      <c r="K289" s="1" t="s">
        <v>42</v>
      </c>
      <c r="L289" s="5">
        <v>45499.104733796295</v>
      </c>
    </row>
    <row r="290" spans="1:12">
      <c r="A290" s="1" t="s">
        <v>927</v>
      </c>
      <c r="B290" s="1" t="s">
        <v>928</v>
      </c>
      <c r="C290" s="1" t="s">
        <v>929</v>
      </c>
      <c r="D290" s="1" t="s">
        <v>80</v>
      </c>
      <c r="E290" s="3">
        <v>125</v>
      </c>
      <c r="F290" s="4"/>
      <c r="G290" s="1" t="s">
        <v>192</v>
      </c>
      <c r="H290" s="1" t="s">
        <v>24</v>
      </c>
      <c r="I290" s="3">
        <v>1</v>
      </c>
      <c r="J290" s="1" t="s">
        <v>91</v>
      </c>
      <c r="K290" s="1" t="s">
        <v>19</v>
      </c>
      <c r="L290" s="5">
        <v>45524.842060185183</v>
      </c>
    </row>
    <row r="291" spans="1:12">
      <c r="A291" s="1" t="s">
        <v>930</v>
      </c>
      <c r="B291" s="1" t="s">
        <v>931</v>
      </c>
      <c r="C291" s="1" t="s">
        <v>932</v>
      </c>
      <c r="D291" s="1" t="s">
        <v>80</v>
      </c>
      <c r="E291" s="3">
        <v>67</v>
      </c>
      <c r="F291" s="4">
        <v>16800000</v>
      </c>
      <c r="G291" s="1" t="s">
        <v>249</v>
      </c>
      <c r="H291" s="1" t="s">
        <v>24</v>
      </c>
      <c r="I291" s="3">
        <v>4</v>
      </c>
      <c r="J291" s="1" t="s">
        <v>59</v>
      </c>
      <c r="K291" s="1" t="s">
        <v>42</v>
      </c>
      <c r="L291" s="5">
        <v>45046.498483796298</v>
      </c>
    </row>
    <row r="292" spans="1:12">
      <c r="A292" s="1" t="s">
        <v>933</v>
      </c>
      <c r="B292" s="1" t="s">
        <v>934</v>
      </c>
      <c r="C292" s="1" t="s">
        <v>935</v>
      </c>
      <c r="D292" s="1" t="s">
        <v>49</v>
      </c>
      <c r="E292" s="3">
        <v>259</v>
      </c>
      <c r="F292" s="4">
        <v>48700000</v>
      </c>
      <c r="G292" s="1" t="s">
        <v>120</v>
      </c>
      <c r="H292" s="1" t="s">
        <v>30</v>
      </c>
      <c r="I292" s="3">
        <v>2</v>
      </c>
      <c r="J292" s="1" t="s">
        <v>82</v>
      </c>
      <c r="K292" s="1" t="s">
        <v>42</v>
      </c>
      <c r="L292" s="5">
        <v>45781.349189814813</v>
      </c>
    </row>
    <row r="293" spans="1:12">
      <c r="A293" s="1" t="s">
        <v>936</v>
      </c>
      <c r="B293" s="1" t="s">
        <v>937</v>
      </c>
      <c r="C293" s="1" t="s">
        <v>938</v>
      </c>
      <c r="D293" s="1" t="s">
        <v>63</v>
      </c>
      <c r="E293" s="3">
        <v>701</v>
      </c>
      <c r="F293" s="4">
        <v>82900000</v>
      </c>
      <c r="G293" s="1" t="s">
        <v>205</v>
      </c>
      <c r="H293" s="1" t="s">
        <v>30</v>
      </c>
      <c r="I293" s="3">
        <v>4</v>
      </c>
      <c r="J293" s="1" t="s">
        <v>36</v>
      </c>
      <c r="K293" s="1" t="s">
        <v>19</v>
      </c>
      <c r="L293" s="5">
        <v>45785.807604166665</v>
      </c>
    </row>
    <row r="294" spans="1:12">
      <c r="A294" s="1" t="s">
        <v>939</v>
      </c>
      <c r="B294" s="1" t="s">
        <v>940</v>
      </c>
      <c r="C294" s="1" t="s">
        <v>941</v>
      </c>
      <c r="D294" s="1" t="s">
        <v>34</v>
      </c>
      <c r="E294" s="3">
        <v>612</v>
      </c>
      <c r="F294" s="4">
        <v>100600000</v>
      </c>
      <c r="G294" s="1" t="s">
        <v>205</v>
      </c>
      <c r="H294" s="1" t="s">
        <v>30</v>
      </c>
      <c r="I294" s="3">
        <v>4</v>
      </c>
      <c r="J294" s="1" t="s">
        <v>36</v>
      </c>
      <c r="K294" s="1" t="s">
        <v>19</v>
      </c>
      <c r="L294" s="5">
        <v>44999.292256944442</v>
      </c>
    </row>
    <row r="295" spans="1:12">
      <c r="A295" s="1" t="s">
        <v>942</v>
      </c>
      <c r="B295" s="1" t="s">
        <v>943</v>
      </c>
      <c r="C295" s="1" t="s">
        <v>944</v>
      </c>
      <c r="D295" s="1" t="s">
        <v>109</v>
      </c>
      <c r="E295" s="3">
        <v>783</v>
      </c>
      <c r="F295" s="4">
        <v>209300000</v>
      </c>
      <c r="G295" s="1" t="s">
        <v>192</v>
      </c>
      <c r="H295" s="1" t="s">
        <v>30</v>
      </c>
      <c r="I295" s="3">
        <v>1</v>
      </c>
      <c r="J295" s="1" t="s">
        <v>55</v>
      </c>
      <c r="K295" s="1" t="s">
        <v>42</v>
      </c>
      <c r="L295" s="5">
        <v>44773.61859953704</v>
      </c>
    </row>
    <row r="296" spans="1:12">
      <c r="A296" s="1" t="s">
        <v>945</v>
      </c>
      <c r="B296" s="1" t="s">
        <v>946</v>
      </c>
      <c r="C296" s="1" t="s">
        <v>947</v>
      </c>
      <c r="D296" s="1" t="s">
        <v>109</v>
      </c>
      <c r="E296" s="3">
        <v>452</v>
      </c>
      <c r="F296" s="4">
        <v>146200000</v>
      </c>
      <c r="G296" s="1" t="s">
        <v>81</v>
      </c>
      <c r="H296" s="1" t="s">
        <v>30</v>
      </c>
      <c r="I296" s="3">
        <v>2</v>
      </c>
      <c r="J296" s="1" t="s">
        <v>82</v>
      </c>
      <c r="K296" s="1" t="s">
        <v>141</v>
      </c>
      <c r="L296" s="5">
        <v>44897.18246527778</v>
      </c>
    </row>
    <row r="297" spans="1:12">
      <c r="A297" s="1" t="s">
        <v>948</v>
      </c>
      <c r="B297" s="1" t="s">
        <v>949</v>
      </c>
      <c r="C297" s="1" t="s">
        <v>950</v>
      </c>
      <c r="D297" s="1" t="s">
        <v>29</v>
      </c>
      <c r="E297" s="3">
        <v>437</v>
      </c>
      <c r="F297" s="4">
        <v>84600000</v>
      </c>
      <c r="G297" s="1" t="s">
        <v>50</v>
      </c>
      <c r="H297" s="1" t="s">
        <v>30</v>
      </c>
      <c r="I297" s="3">
        <v>4</v>
      </c>
      <c r="J297" s="1" t="s">
        <v>36</v>
      </c>
      <c r="K297" s="1" t="s">
        <v>42</v>
      </c>
      <c r="L297" s="5">
        <v>45653.063530092593</v>
      </c>
    </row>
    <row r="298" spans="1:12">
      <c r="A298" s="1" t="s">
        <v>951</v>
      </c>
      <c r="B298" s="1" t="s">
        <v>952</v>
      </c>
      <c r="C298" s="1" t="s">
        <v>953</v>
      </c>
      <c r="D298" s="1" t="s">
        <v>15</v>
      </c>
      <c r="E298" s="3">
        <v>93</v>
      </c>
      <c r="F298" s="4">
        <v>19200000</v>
      </c>
      <c r="G298" s="1" t="s">
        <v>35</v>
      </c>
      <c r="H298" s="1" t="s">
        <v>24</v>
      </c>
      <c r="I298" s="3">
        <v>4</v>
      </c>
      <c r="J298" s="1" t="s">
        <v>59</v>
      </c>
      <c r="K298" s="1" t="s">
        <v>42</v>
      </c>
      <c r="L298" s="5">
        <v>45800.575127314813</v>
      </c>
    </row>
    <row r="299" spans="1:12">
      <c r="A299" s="1" t="s">
        <v>954</v>
      </c>
      <c r="B299" s="1" t="s">
        <v>955</v>
      </c>
      <c r="C299" s="1" t="s">
        <v>956</v>
      </c>
      <c r="D299" s="1" t="s">
        <v>80</v>
      </c>
      <c r="E299" s="3">
        <v>510</v>
      </c>
      <c r="F299" s="4">
        <v>117100000</v>
      </c>
      <c r="G299" s="1" t="s">
        <v>440</v>
      </c>
      <c r="H299" s="1" t="s">
        <v>30</v>
      </c>
      <c r="I299" s="3">
        <v>3</v>
      </c>
      <c r="J299" s="1" t="s">
        <v>55</v>
      </c>
      <c r="K299" s="1" t="s">
        <v>19</v>
      </c>
      <c r="L299" s="5">
        <v>45649.93072916667</v>
      </c>
    </row>
    <row r="300" spans="1:12">
      <c r="A300" s="1" t="s">
        <v>957</v>
      </c>
      <c r="B300" s="1" t="s">
        <v>958</v>
      </c>
      <c r="C300" s="1" t="s">
        <v>959</v>
      </c>
      <c r="D300" s="1" t="s">
        <v>40</v>
      </c>
      <c r="E300" s="3">
        <v>52</v>
      </c>
      <c r="F300" s="4">
        <v>14900000</v>
      </c>
      <c r="G300" s="1" t="s">
        <v>576</v>
      </c>
      <c r="H300" s="1" t="s">
        <v>24</v>
      </c>
      <c r="I300" s="3">
        <v>2</v>
      </c>
      <c r="J300" s="1" t="s">
        <v>25</v>
      </c>
      <c r="K300" s="1" t="s">
        <v>19</v>
      </c>
      <c r="L300" s="5">
        <v>45416.924710648149</v>
      </c>
    </row>
    <row r="301" spans="1:12">
      <c r="A301" s="1" t="s">
        <v>960</v>
      </c>
      <c r="B301" s="1" t="s">
        <v>961</v>
      </c>
      <c r="C301" s="1" t="s">
        <v>962</v>
      </c>
      <c r="D301" s="1" t="s">
        <v>34</v>
      </c>
      <c r="E301" s="3">
        <v>60</v>
      </c>
      <c r="F301" s="4"/>
      <c r="G301" s="1" t="s">
        <v>116</v>
      </c>
      <c r="H301" s="1" t="s">
        <v>24</v>
      </c>
      <c r="I301" s="3">
        <v>2</v>
      </c>
      <c r="J301" s="1" t="s">
        <v>25</v>
      </c>
      <c r="K301" s="1" t="s">
        <v>19</v>
      </c>
      <c r="L301" s="5">
        <v>46115.614016203705</v>
      </c>
    </row>
    <row r="302" spans="1:12">
      <c r="A302" s="1" t="s">
        <v>963</v>
      </c>
      <c r="B302" s="1" t="s">
        <v>964</v>
      </c>
      <c r="C302" s="1" t="s">
        <v>965</v>
      </c>
      <c r="D302" s="1" t="s">
        <v>109</v>
      </c>
      <c r="E302" s="3">
        <v>314</v>
      </c>
      <c r="F302" s="4">
        <v>128900000</v>
      </c>
      <c r="G302" s="1" t="s">
        <v>285</v>
      </c>
      <c r="H302" s="1" t="s">
        <v>30</v>
      </c>
      <c r="I302" s="3">
        <v>4</v>
      </c>
      <c r="J302" s="1" t="s">
        <v>36</v>
      </c>
      <c r="K302" s="1" t="s">
        <v>19</v>
      </c>
      <c r="L302" s="5">
        <v>45824.787106481483</v>
      </c>
    </row>
    <row r="303" spans="1:12">
      <c r="A303" s="1" t="s">
        <v>966</v>
      </c>
      <c r="B303" s="1" t="s">
        <v>967</v>
      </c>
      <c r="C303" s="1" t="s">
        <v>968</v>
      </c>
      <c r="D303" s="1" t="s">
        <v>34</v>
      </c>
      <c r="E303" s="3">
        <v>569</v>
      </c>
      <c r="F303" s="4">
        <v>78100000</v>
      </c>
      <c r="G303" s="1" t="s">
        <v>50</v>
      </c>
      <c r="H303" s="1" t="s">
        <v>30</v>
      </c>
      <c r="I303" s="3">
        <v>4</v>
      </c>
      <c r="J303" s="1" t="s">
        <v>36</v>
      </c>
      <c r="K303" s="1" t="s">
        <v>19</v>
      </c>
      <c r="L303" s="5">
        <v>45420.592789351853</v>
      </c>
    </row>
    <row r="304" spans="1:12">
      <c r="A304" s="1" t="s">
        <v>969</v>
      </c>
      <c r="B304" s="1" t="s">
        <v>970</v>
      </c>
      <c r="C304" s="1" t="s">
        <v>971</v>
      </c>
      <c r="D304" s="1" t="s">
        <v>15</v>
      </c>
      <c r="E304" s="3">
        <v>362</v>
      </c>
      <c r="F304" s="4">
        <v>76300000</v>
      </c>
      <c r="G304" s="1" t="s">
        <v>440</v>
      </c>
      <c r="H304" s="1" t="s">
        <v>30</v>
      </c>
      <c r="I304" s="3">
        <v>3</v>
      </c>
      <c r="J304" s="1" t="s">
        <v>55</v>
      </c>
      <c r="K304" s="1" t="s">
        <v>42</v>
      </c>
      <c r="L304" s="5">
        <v>44600.386678240742</v>
      </c>
    </row>
    <row r="305" spans="1:12">
      <c r="A305" s="1" t="s">
        <v>972</v>
      </c>
      <c r="B305" s="1" t="s">
        <v>973</v>
      </c>
      <c r="C305" s="1" t="s">
        <v>974</v>
      </c>
      <c r="D305" s="1" t="s">
        <v>80</v>
      </c>
      <c r="E305" s="3">
        <v>176</v>
      </c>
      <c r="F305" s="4">
        <v>34300000</v>
      </c>
      <c r="G305" s="1" t="s">
        <v>182</v>
      </c>
      <c r="H305" s="1" t="s">
        <v>24</v>
      </c>
      <c r="I305" s="3">
        <v>4</v>
      </c>
      <c r="J305" s="1" t="s">
        <v>59</v>
      </c>
      <c r="K305" s="1" t="s">
        <v>42</v>
      </c>
      <c r="L305" s="5">
        <v>45209.984571759262</v>
      </c>
    </row>
    <row r="306" spans="1:12">
      <c r="A306" s="1" t="s">
        <v>975</v>
      </c>
      <c r="B306" s="1" t="s">
        <v>976</v>
      </c>
      <c r="C306" s="1" t="s">
        <v>605</v>
      </c>
      <c r="D306" s="1" t="s">
        <v>40</v>
      </c>
      <c r="E306" s="3">
        <v>117</v>
      </c>
      <c r="F306" s="4">
        <v>40900000</v>
      </c>
      <c r="G306" s="1" t="s">
        <v>81</v>
      </c>
      <c r="H306" s="1" t="s">
        <v>24</v>
      </c>
      <c r="I306" s="3">
        <v>2</v>
      </c>
      <c r="J306" s="1" t="s">
        <v>25</v>
      </c>
      <c r="K306" s="1" t="s">
        <v>42</v>
      </c>
      <c r="L306" s="5">
        <v>45500.915833333333</v>
      </c>
    </row>
    <row r="307" spans="1:12">
      <c r="A307" s="1" t="s">
        <v>977</v>
      </c>
      <c r="B307" s="1" t="s">
        <v>978</v>
      </c>
      <c r="C307" s="1" t="s">
        <v>979</v>
      </c>
      <c r="D307" s="1" t="s">
        <v>63</v>
      </c>
      <c r="E307" s="3">
        <v>111</v>
      </c>
      <c r="F307" s="4">
        <v>17000000</v>
      </c>
      <c r="G307" s="1" t="s">
        <v>116</v>
      </c>
      <c r="H307" s="1" t="s">
        <v>24</v>
      </c>
      <c r="I307" s="3">
        <v>2</v>
      </c>
      <c r="J307" s="1" t="s">
        <v>25</v>
      </c>
      <c r="K307" s="1" t="s">
        <v>42</v>
      </c>
      <c r="L307" s="5">
        <v>46103.280428240738</v>
      </c>
    </row>
    <row r="308" spans="1:12">
      <c r="A308" s="1" t="s">
        <v>980</v>
      </c>
      <c r="B308" s="1" t="s">
        <v>981</v>
      </c>
      <c r="C308" s="1" t="s">
        <v>982</v>
      </c>
      <c r="D308" s="1" t="s">
        <v>49</v>
      </c>
      <c r="E308" s="3">
        <v>89</v>
      </c>
      <c r="F308" s="4">
        <v>22500000</v>
      </c>
      <c r="G308" s="1" t="s">
        <v>140</v>
      </c>
      <c r="H308" s="1" t="s">
        <v>24</v>
      </c>
      <c r="I308" s="3">
        <v>2</v>
      </c>
      <c r="J308" s="1" t="s">
        <v>25</v>
      </c>
      <c r="K308" s="1" t="s">
        <v>19</v>
      </c>
      <c r="L308" s="5">
        <v>45768.670208333337</v>
      </c>
    </row>
    <row r="309" spans="1:12">
      <c r="A309" s="1" t="s">
        <v>983</v>
      </c>
      <c r="B309" s="1" t="s">
        <v>984</v>
      </c>
      <c r="C309" s="1" t="s">
        <v>985</v>
      </c>
      <c r="D309" s="1" t="s">
        <v>201</v>
      </c>
      <c r="E309" s="3">
        <v>139</v>
      </c>
      <c r="F309" s="4">
        <v>40500000</v>
      </c>
      <c r="G309" s="1" t="s">
        <v>140</v>
      </c>
      <c r="H309" s="1" t="s">
        <v>24</v>
      </c>
      <c r="I309" s="3">
        <v>2</v>
      </c>
      <c r="J309" s="1" t="s">
        <v>25</v>
      </c>
      <c r="K309" s="1" t="s">
        <v>19</v>
      </c>
      <c r="L309" s="5">
        <v>45701.812152777777</v>
      </c>
    </row>
    <row r="310" spans="1:12">
      <c r="A310" s="1" t="s">
        <v>986</v>
      </c>
      <c r="B310" s="1" t="s">
        <v>987</v>
      </c>
      <c r="C310" s="1" t="s">
        <v>988</v>
      </c>
      <c r="D310" s="1" t="s">
        <v>34</v>
      </c>
      <c r="E310" s="3">
        <v>3289</v>
      </c>
      <c r="F310" s="4">
        <v>787700000</v>
      </c>
      <c r="G310" s="1" t="s">
        <v>140</v>
      </c>
      <c r="H310" s="1"/>
      <c r="I310" s="3">
        <v>2</v>
      </c>
      <c r="J310" s="1" t="s">
        <v>82</v>
      </c>
      <c r="K310" s="1" t="s">
        <v>42</v>
      </c>
      <c r="L310" s="5">
        <v>45298.743483796294</v>
      </c>
    </row>
    <row r="311" spans="1:12">
      <c r="A311" s="1" t="s">
        <v>989</v>
      </c>
      <c r="B311" s="1" t="s">
        <v>990</v>
      </c>
      <c r="C311" s="1" t="s">
        <v>991</v>
      </c>
      <c r="D311" s="1" t="s">
        <v>86</v>
      </c>
      <c r="E311" s="3">
        <v>74</v>
      </c>
      <c r="F311" s="4">
        <v>22400000</v>
      </c>
      <c r="G311" s="1" t="s">
        <v>95</v>
      </c>
      <c r="H311" s="1" t="s">
        <v>24</v>
      </c>
      <c r="I311" s="3">
        <v>1</v>
      </c>
      <c r="J311" s="1" t="s">
        <v>91</v>
      </c>
      <c r="K311" s="1" t="s">
        <v>19</v>
      </c>
      <c r="L311" s="5">
        <v>45711.177071759259</v>
      </c>
    </row>
    <row r="312" spans="1:12">
      <c r="A312" s="1" t="s">
        <v>992</v>
      </c>
      <c r="B312" s="1" t="s">
        <v>993</v>
      </c>
      <c r="C312" s="1" t="s">
        <v>994</v>
      </c>
      <c r="D312" s="1" t="s">
        <v>15</v>
      </c>
      <c r="E312" s="3">
        <v>652</v>
      </c>
      <c r="F312" s="4">
        <v>133400000</v>
      </c>
      <c r="G312" s="1" t="s">
        <v>120</v>
      </c>
      <c r="H312" s="1" t="s">
        <v>30</v>
      </c>
      <c r="I312" s="3">
        <v>2</v>
      </c>
      <c r="J312" s="1" t="s">
        <v>82</v>
      </c>
      <c r="K312" s="1" t="s">
        <v>19</v>
      </c>
      <c r="L312" s="5">
        <v>46139.335277777776</v>
      </c>
    </row>
    <row r="313" spans="1:12">
      <c r="A313" s="1" t="s">
        <v>995</v>
      </c>
      <c r="B313" s="1" t="s">
        <v>996</v>
      </c>
      <c r="C313" s="1" t="s">
        <v>997</v>
      </c>
      <c r="D313" s="1" t="s">
        <v>49</v>
      </c>
      <c r="E313" s="3">
        <v>1669</v>
      </c>
      <c r="F313" s="4">
        <v>291400000</v>
      </c>
      <c r="G313" s="1" t="s">
        <v>23</v>
      </c>
      <c r="H313" s="1" t="s">
        <v>17</v>
      </c>
      <c r="I313" s="3">
        <v>2</v>
      </c>
      <c r="J313" s="1" t="s">
        <v>82</v>
      </c>
      <c r="K313" s="1" t="s">
        <v>19</v>
      </c>
      <c r="L313" s="5">
        <v>45153.671469907407</v>
      </c>
    </row>
    <row r="314" spans="1:12">
      <c r="A314" s="1" t="s">
        <v>998</v>
      </c>
      <c r="B314" s="1" t="s">
        <v>999</v>
      </c>
      <c r="C314" s="1" t="s">
        <v>1000</v>
      </c>
      <c r="D314" s="1" t="s">
        <v>34</v>
      </c>
      <c r="E314" s="3">
        <v>590</v>
      </c>
      <c r="F314" s="4">
        <v>139200000</v>
      </c>
      <c r="G314" s="1" t="s">
        <v>192</v>
      </c>
      <c r="H314" s="1" t="s">
        <v>30</v>
      </c>
      <c r="I314" s="3">
        <v>1</v>
      </c>
      <c r="J314" s="1" t="s">
        <v>18</v>
      </c>
      <c r="K314" s="1" t="s">
        <v>42</v>
      </c>
      <c r="L314" s="5">
        <v>46165.026597222219</v>
      </c>
    </row>
    <row r="315" spans="1:12">
      <c r="A315" s="1" t="s">
        <v>1001</v>
      </c>
      <c r="B315" s="1" t="s">
        <v>1002</v>
      </c>
      <c r="C315" s="1" t="s">
        <v>1003</v>
      </c>
      <c r="D315" s="1" t="s">
        <v>29</v>
      </c>
      <c r="E315" s="3">
        <v>474</v>
      </c>
      <c r="F315" s="4">
        <v>84900000</v>
      </c>
      <c r="G315" s="1" t="s">
        <v>95</v>
      </c>
      <c r="H315" s="1" t="s">
        <v>30</v>
      </c>
      <c r="I315" s="3">
        <v>1</v>
      </c>
      <c r="J315" s="1" t="s">
        <v>18</v>
      </c>
      <c r="K315" s="1" t="s">
        <v>42</v>
      </c>
      <c r="L315" s="5">
        <v>44587.403136574074</v>
      </c>
    </row>
    <row r="316" spans="1:12">
      <c r="A316" s="1" t="s">
        <v>1004</v>
      </c>
      <c r="B316" s="1" t="s">
        <v>1005</v>
      </c>
      <c r="C316" s="1" t="s">
        <v>1006</v>
      </c>
      <c r="D316" s="1" t="s">
        <v>29</v>
      </c>
      <c r="E316" s="3">
        <v>549</v>
      </c>
      <c r="F316" s="4">
        <v>111500000</v>
      </c>
      <c r="G316" s="1" t="s">
        <v>16</v>
      </c>
      <c r="H316" s="1" t="s">
        <v>30</v>
      </c>
      <c r="I316" s="3">
        <v>1</v>
      </c>
      <c r="J316" s="1" t="s">
        <v>18</v>
      </c>
      <c r="K316" s="1" t="s">
        <v>19</v>
      </c>
      <c r="L316" s="5">
        <v>45011.601898148147</v>
      </c>
    </row>
    <row r="317" spans="1:12">
      <c r="A317" s="1" t="s">
        <v>1007</v>
      </c>
      <c r="B317" s="1" t="s">
        <v>1008</v>
      </c>
      <c r="C317" s="1" t="s">
        <v>1009</v>
      </c>
      <c r="D317" s="1" t="s">
        <v>40</v>
      </c>
      <c r="E317" s="3">
        <v>303</v>
      </c>
      <c r="F317" s="4">
        <v>87700000</v>
      </c>
      <c r="G317" s="1" t="s">
        <v>295</v>
      </c>
      <c r="H317" s="1" t="s">
        <v>30</v>
      </c>
      <c r="I317" s="3">
        <v>2</v>
      </c>
      <c r="J317" s="1" t="s">
        <v>82</v>
      </c>
      <c r="K317" s="1" t="s">
        <v>42</v>
      </c>
      <c r="L317" s="5">
        <v>44875.487245370372</v>
      </c>
    </row>
    <row r="318" spans="1:12">
      <c r="A318" s="1" t="s">
        <v>1010</v>
      </c>
      <c r="B318" s="1" t="s">
        <v>1011</v>
      </c>
      <c r="C318" s="1" t="s">
        <v>1012</v>
      </c>
      <c r="D318" s="1"/>
      <c r="E318" s="3">
        <v>567</v>
      </c>
      <c r="F318" s="4">
        <v>142900000</v>
      </c>
      <c r="G318" s="1" t="s">
        <v>285</v>
      </c>
      <c r="H318" s="1" t="s">
        <v>30</v>
      </c>
      <c r="I318" s="3">
        <v>4</v>
      </c>
      <c r="J318" s="1" t="s">
        <v>36</v>
      </c>
      <c r="K318" s="1" t="s">
        <v>19</v>
      </c>
      <c r="L318" s="5">
        <v>45959.934942129628</v>
      </c>
    </row>
    <row r="319" spans="1:12">
      <c r="A319" s="1" t="s">
        <v>1013</v>
      </c>
      <c r="B319" s="1" t="s">
        <v>1014</v>
      </c>
      <c r="C319" s="1" t="s">
        <v>1015</v>
      </c>
      <c r="D319" s="1" t="s">
        <v>40</v>
      </c>
      <c r="E319" s="3">
        <v>56</v>
      </c>
      <c r="F319" s="4">
        <v>19100000</v>
      </c>
      <c r="G319" s="1" t="s">
        <v>41</v>
      </c>
      <c r="H319" s="1" t="s">
        <v>24</v>
      </c>
      <c r="I319" s="3">
        <v>2</v>
      </c>
      <c r="J319" s="1" t="s">
        <v>25</v>
      </c>
      <c r="K319" s="1" t="s">
        <v>42</v>
      </c>
      <c r="L319" s="5">
        <v>46141.50854166667</v>
      </c>
    </row>
    <row r="320" spans="1:12">
      <c r="A320" s="1" t="s">
        <v>1016</v>
      </c>
      <c r="B320" s="1" t="s">
        <v>1017</v>
      </c>
      <c r="C320" s="1" t="s">
        <v>1018</v>
      </c>
      <c r="D320" s="1" t="s">
        <v>49</v>
      </c>
      <c r="E320" s="3">
        <v>587</v>
      </c>
      <c r="F320" s="4">
        <v>96800000</v>
      </c>
      <c r="G320" s="1" t="s">
        <v>50</v>
      </c>
      <c r="H320" s="1" t="s">
        <v>30</v>
      </c>
      <c r="I320" s="3">
        <v>4</v>
      </c>
      <c r="J320" s="1" t="s">
        <v>36</v>
      </c>
      <c r="K320" s="1" t="s">
        <v>19</v>
      </c>
      <c r="L320" s="5">
        <v>46252.914050925923</v>
      </c>
    </row>
    <row r="321" spans="1:12">
      <c r="A321" s="1" t="s">
        <v>1019</v>
      </c>
      <c r="B321" s="1" t="s">
        <v>1020</v>
      </c>
      <c r="C321" s="1" t="s">
        <v>1021</v>
      </c>
      <c r="D321" s="1" t="s">
        <v>201</v>
      </c>
      <c r="E321" s="3">
        <v>138</v>
      </c>
      <c r="F321" s="4">
        <v>54700000</v>
      </c>
      <c r="G321" s="1" t="s">
        <v>81</v>
      </c>
      <c r="H321" s="1" t="s">
        <v>24</v>
      </c>
      <c r="I321" s="3">
        <v>2</v>
      </c>
      <c r="J321" s="1" t="s">
        <v>25</v>
      </c>
      <c r="K321" s="1" t="s">
        <v>19</v>
      </c>
      <c r="L321" s="5">
        <v>46105.608368055553</v>
      </c>
    </row>
    <row r="322" spans="1:12">
      <c r="A322" s="1" t="s">
        <v>1022</v>
      </c>
      <c r="B322" s="1" t="s">
        <v>1023</v>
      </c>
      <c r="C322" s="1" t="s">
        <v>1024</v>
      </c>
      <c r="D322" s="1" t="s">
        <v>109</v>
      </c>
      <c r="E322" s="3">
        <v>1783</v>
      </c>
      <c r="F322" s="4">
        <v>688800000</v>
      </c>
      <c r="G322" s="1" t="s">
        <v>440</v>
      </c>
      <c r="H322" s="1" t="s">
        <v>17</v>
      </c>
      <c r="I322" s="3">
        <v>3</v>
      </c>
      <c r="J322" s="1" t="s">
        <v>55</v>
      </c>
      <c r="K322" s="1" t="s">
        <v>141</v>
      </c>
      <c r="L322" s="5">
        <v>44662.904039351852</v>
      </c>
    </row>
    <row r="323" spans="1:12">
      <c r="A323" s="1" t="s">
        <v>1025</v>
      </c>
      <c r="B323" s="1" t="s">
        <v>1026</v>
      </c>
      <c r="C323" s="1" t="s">
        <v>1027</v>
      </c>
      <c r="D323" s="1" t="s">
        <v>86</v>
      </c>
      <c r="E323" s="3">
        <v>1510</v>
      </c>
      <c r="F323" s="4">
        <v>464600000</v>
      </c>
      <c r="G323" s="1" t="s">
        <v>95</v>
      </c>
      <c r="H323" s="1" t="s">
        <v>17</v>
      </c>
      <c r="I323" s="3">
        <v>1</v>
      </c>
      <c r="J323" s="1" t="s">
        <v>18</v>
      </c>
      <c r="K323" s="1" t="s">
        <v>42</v>
      </c>
      <c r="L323" s="5">
        <v>45140.8125462963</v>
      </c>
    </row>
    <row r="324" spans="1:12">
      <c r="A324" s="1" t="s">
        <v>1028</v>
      </c>
      <c r="B324" s="1" t="s">
        <v>1029</v>
      </c>
      <c r="C324" s="1" t="s">
        <v>1030</v>
      </c>
      <c r="D324" s="1" t="s">
        <v>29</v>
      </c>
      <c r="E324" s="3"/>
      <c r="F324" s="4">
        <v>24700000</v>
      </c>
      <c r="G324" s="1" t="s">
        <v>46</v>
      </c>
      <c r="H324" s="1" t="s">
        <v>24</v>
      </c>
      <c r="I324" s="3">
        <v>1</v>
      </c>
      <c r="J324" s="1" t="s">
        <v>91</v>
      </c>
      <c r="K324" s="1" t="s">
        <v>19</v>
      </c>
      <c r="L324" s="5">
        <v>45357.936423611114</v>
      </c>
    </row>
    <row r="325" spans="1:12">
      <c r="A325" s="1" t="s">
        <v>1031</v>
      </c>
      <c r="B325" s="1" t="s">
        <v>1032</v>
      </c>
      <c r="C325" s="1" t="s">
        <v>1033</v>
      </c>
      <c r="D325" s="1" t="s">
        <v>63</v>
      </c>
      <c r="E325" s="3">
        <v>1614</v>
      </c>
      <c r="F325" s="4">
        <v>197200000</v>
      </c>
      <c r="G325" s="1" t="s">
        <v>1034</v>
      </c>
      <c r="H325" s="1" t="s">
        <v>17</v>
      </c>
      <c r="I325" s="3">
        <v>4</v>
      </c>
      <c r="J325" s="1" t="s">
        <v>36</v>
      </c>
      <c r="K325" s="1" t="s">
        <v>19</v>
      </c>
      <c r="L325" s="5">
        <v>46220.290023148147</v>
      </c>
    </row>
    <row r="326" spans="1:12">
      <c r="A326" s="1" t="s">
        <v>1035</v>
      </c>
      <c r="B326" s="1" t="s">
        <v>1036</v>
      </c>
      <c r="C326" s="1" t="s">
        <v>1037</v>
      </c>
      <c r="D326" s="1" t="s">
        <v>29</v>
      </c>
      <c r="E326" s="3">
        <v>39</v>
      </c>
      <c r="F326" s="4">
        <v>5200000</v>
      </c>
      <c r="G326" s="1" t="s">
        <v>81</v>
      </c>
      <c r="H326" s="1" t="s">
        <v>24</v>
      </c>
      <c r="I326" s="3">
        <v>2</v>
      </c>
      <c r="J326" s="1" t="s">
        <v>25</v>
      </c>
      <c r="K326" s="1" t="s">
        <v>19</v>
      </c>
      <c r="L326" s="5">
        <v>45585.184699074074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4D2B-364F-484C-9E60-4C4AEFAFF7F9}">
  <dimension ref="A1:C52"/>
  <sheetViews>
    <sheetView workbookViewId="0">
      <selection activeCell="C1" sqref="C1"/>
    </sheetView>
  </sheetViews>
  <sheetFormatPr defaultRowHeight="15"/>
  <cols>
    <col min="1" max="1" width="13" customWidth="1"/>
    <col min="2" max="2" width="16.28515625" bestFit="1" customWidth="1"/>
    <col min="3" max="3" width="13.140625" customWidth="1"/>
  </cols>
  <sheetData>
    <row r="1" spans="1:3">
      <c r="A1" s="2" t="s">
        <v>6</v>
      </c>
      <c r="B1" s="13" t="s">
        <v>1038</v>
      </c>
      <c r="C1" s="6" t="s">
        <v>8</v>
      </c>
    </row>
    <row r="2" spans="1:3">
      <c r="A2" s="7" t="s">
        <v>1039</v>
      </c>
      <c r="B2" s="7" t="s">
        <v>1040</v>
      </c>
      <c r="C2" s="8">
        <v>1</v>
      </c>
    </row>
    <row r="3" spans="1:3">
      <c r="A3" s="7" t="s">
        <v>46</v>
      </c>
      <c r="B3" s="7" t="s">
        <v>1041</v>
      </c>
      <c r="C3" s="8">
        <v>1</v>
      </c>
    </row>
    <row r="4" spans="1:3">
      <c r="A4" s="7" t="s">
        <v>1042</v>
      </c>
      <c r="B4" s="7" t="s">
        <v>1043</v>
      </c>
      <c r="C4" s="8">
        <v>1</v>
      </c>
    </row>
    <row r="5" spans="1:3">
      <c r="A5" s="7" t="s">
        <v>216</v>
      </c>
      <c r="B5" s="7" t="s">
        <v>1044</v>
      </c>
      <c r="C5" s="8">
        <v>1</v>
      </c>
    </row>
    <row r="6" spans="1:3">
      <c r="A6" s="7" t="s">
        <v>223</v>
      </c>
      <c r="B6" s="7" t="s">
        <v>1045</v>
      </c>
      <c r="C6" s="8">
        <v>1</v>
      </c>
    </row>
    <row r="7" spans="1:3">
      <c r="A7" s="7" t="s">
        <v>192</v>
      </c>
      <c r="B7" s="7" t="s">
        <v>1046</v>
      </c>
      <c r="C7" s="8">
        <v>1</v>
      </c>
    </row>
    <row r="8" spans="1:3">
      <c r="A8" s="7" t="s">
        <v>16</v>
      </c>
      <c r="B8" s="7" t="s">
        <v>1047</v>
      </c>
      <c r="C8" s="8">
        <v>1</v>
      </c>
    </row>
    <row r="9" spans="1:3">
      <c r="A9" s="7" t="s">
        <v>95</v>
      </c>
      <c r="B9" s="7" t="s">
        <v>1048</v>
      </c>
      <c r="C9" s="8">
        <v>1</v>
      </c>
    </row>
    <row r="10" spans="1:3">
      <c r="A10" s="7" t="s">
        <v>366</v>
      </c>
      <c r="B10" s="7" t="s">
        <v>1049</v>
      </c>
      <c r="C10" s="8">
        <v>1</v>
      </c>
    </row>
    <row r="11" spans="1:3">
      <c r="A11" s="7" t="s">
        <v>385</v>
      </c>
      <c r="B11" s="7" t="s">
        <v>1050</v>
      </c>
      <c r="C11" s="8">
        <v>1</v>
      </c>
    </row>
    <row r="12" spans="1:3">
      <c r="A12" s="7" t="s">
        <v>171</v>
      </c>
      <c r="B12" s="7" t="s">
        <v>1051</v>
      </c>
      <c r="C12" s="8">
        <v>1</v>
      </c>
    </row>
    <row r="13" spans="1:3">
      <c r="A13" s="7" t="s">
        <v>90</v>
      </c>
      <c r="B13" s="7" t="s">
        <v>1052</v>
      </c>
      <c r="C13" s="8">
        <v>1</v>
      </c>
    </row>
    <row r="14" spans="1:3">
      <c r="A14" s="7" t="s">
        <v>236</v>
      </c>
      <c r="B14" s="7" t="s">
        <v>1053</v>
      </c>
      <c r="C14" s="8">
        <v>1</v>
      </c>
    </row>
    <row r="15" spans="1:3">
      <c r="A15" s="7" t="s">
        <v>120</v>
      </c>
      <c r="B15" s="7" t="s">
        <v>1054</v>
      </c>
      <c r="C15" s="8">
        <v>2</v>
      </c>
    </row>
    <row r="16" spans="1:3">
      <c r="A16" s="7" t="s">
        <v>154</v>
      </c>
      <c r="B16" s="7" t="s">
        <v>1055</v>
      </c>
      <c r="C16" s="8">
        <v>2</v>
      </c>
    </row>
    <row r="17" spans="1:3">
      <c r="A17" s="7" t="s">
        <v>560</v>
      </c>
      <c r="B17" s="7" t="s">
        <v>1056</v>
      </c>
      <c r="C17" s="8">
        <v>2</v>
      </c>
    </row>
    <row r="18" spans="1:3">
      <c r="A18" s="7" t="s">
        <v>23</v>
      </c>
      <c r="B18" s="7" t="s">
        <v>1057</v>
      </c>
      <c r="C18" s="8">
        <v>2</v>
      </c>
    </row>
    <row r="19" spans="1:3">
      <c r="A19" s="7" t="s">
        <v>81</v>
      </c>
      <c r="B19" s="7" t="s">
        <v>1058</v>
      </c>
      <c r="C19" s="8">
        <v>2</v>
      </c>
    </row>
    <row r="20" spans="1:3">
      <c r="A20" s="7" t="s">
        <v>41</v>
      </c>
      <c r="B20" s="7" t="s">
        <v>1059</v>
      </c>
      <c r="C20" s="8">
        <v>2</v>
      </c>
    </row>
    <row r="21" spans="1:3">
      <c r="A21" s="7" t="s">
        <v>127</v>
      </c>
      <c r="B21" s="7" t="s">
        <v>1060</v>
      </c>
      <c r="C21" s="8">
        <v>2</v>
      </c>
    </row>
    <row r="22" spans="1:3">
      <c r="A22" s="7" t="s">
        <v>323</v>
      </c>
      <c r="B22" s="7" t="s">
        <v>1061</v>
      </c>
      <c r="C22" s="8">
        <v>2</v>
      </c>
    </row>
    <row r="23" spans="1:3">
      <c r="A23" s="7" t="s">
        <v>576</v>
      </c>
      <c r="B23" s="7" t="s">
        <v>1062</v>
      </c>
      <c r="C23" s="8">
        <v>2</v>
      </c>
    </row>
    <row r="24" spans="1:3">
      <c r="A24" s="7" t="s">
        <v>404</v>
      </c>
      <c r="B24" s="7" t="s">
        <v>1063</v>
      </c>
      <c r="C24" s="8">
        <v>2</v>
      </c>
    </row>
    <row r="25" spans="1:3">
      <c r="A25" s="7" t="s">
        <v>116</v>
      </c>
      <c r="B25" s="7" t="s">
        <v>1064</v>
      </c>
      <c r="C25" s="8">
        <v>2</v>
      </c>
    </row>
    <row r="26" spans="1:3">
      <c r="A26" s="7" t="s">
        <v>140</v>
      </c>
      <c r="B26" s="7" t="s">
        <v>1065</v>
      </c>
      <c r="C26" s="8">
        <v>2</v>
      </c>
    </row>
    <row r="27" spans="1:3">
      <c r="A27" s="7" t="s">
        <v>295</v>
      </c>
      <c r="B27" s="7" t="s">
        <v>1066</v>
      </c>
      <c r="C27" s="8">
        <v>2</v>
      </c>
    </row>
    <row r="28" spans="1:3">
      <c r="A28" s="7" t="s">
        <v>226</v>
      </c>
      <c r="B28" s="7" t="s">
        <v>1067</v>
      </c>
      <c r="C28" s="8">
        <v>3</v>
      </c>
    </row>
    <row r="29" spans="1:3">
      <c r="A29" s="7" t="s">
        <v>54</v>
      </c>
      <c r="B29" s="7" t="s">
        <v>1068</v>
      </c>
      <c r="C29" s="8">
        <v>3</v>
      </c>
    </row>
    <row r="30" spans="1:3">
      <c r="A30" s="7" t="s">
        <v>440</v>
      </c>
      <c r="B30" s="7" t="s">
        <v>1069</v>
      </c>
      <c r="C30" s="8">
        <v>3</v>
      </c>
    </row>
    <row r="31" spans="1:3">
      <c r="A31" s="7" t="s">
        <v>68</v>
      </c>
      <c r="B31" s="7" t="s">
        <v>1070</v>
      </c>
      <c r="C31" s="8">
        <v>3</v>
      </c>
    </row>
    <row r="32" spans="1:3">
      <c r="A32" s="7" t="s">
        <v>638</v>
      </c>
      <c r="B32" s="7" t="s">
        <v>1071</v>
      </c>
      <c r="C32" s="8">
        <v>3</v>
      </c>
    </row>
    <row r="33" spans="1:3">
      <c r="A33" s="7" t="s">
        <v>212</v>
      </c>
      <c r="B33" s="7" t="s">
        <v>1072</v>
      </c>
      <c r="C33" s="8">
        <v>3</v>
      </c>
    </row>
    <row r="34" spans="1:3">
      <c r="A34" s="7" t="s">
        <v>339</v>
      </c>
      <c r="B34" s="7" t="s">
        <v>1073</v>
      </c>
      <c r="C34" s="8">
        <v>3</v>
      </c>
    </row>
    <row r="35" spans="1:3">
      <c r="A35" s="7" t="s">
        <v>408</v>
      </c>
      <c r="B35" s="7" t="s">
        <v>1074</v>
      </c>
      <c r="C35" s="8">
        <v>3</v>
      </c>
    </row>
    <row r="36" spans="1:3">
      <c r="A36" s="7" t="s">
        <v>64</v>
      </c>
      <c r="B36" s="7" t="s">
        <v>1075</v>
      </c>
      <c r="C36" s="8">
        <v>3</v>
      </c>
    </row>
    <row r="37" spans="1:3">
      <c r="A37" s="7" t="s">
        <v>415</v>
      </c>
      <c r="B37" s="7" t="s">
        <v>1076</v>
      </c>
      <c r="C37" s="8">
        <v>3</v>
      </c>
    </row>
    <row r="38" spans="1:3">
      <c r="A38" s="7" t="s">
        <v>1077</v>
      </c>
      <c r="B38" s="7" t="s">
        <v>1078</v>
      </c>
      <c r="C38" s="8">
        <v>3</v>
      </c>
    </row>
    <row r="39" spans="1:3">
      <c r="A39" s="7" t="s">
        <v>1079</v>
      </c>
      <c r="B39" s="7" t="s">
        <v>1080</v>
      </c>
      <c r="C39" s="8">
        <v>3</v>
      </c>
    </row>
    <row r="40" spans="1:3">
      <c r="A40" s="7" t="s">
        <v>50</v>
      </c>
      <c r="B40" s="7" t="s">
        <v>1081</v>
      </c>
      <c r="C40" s="8">
        <v>4</v>
      </c>
    </row>
    <row r="41" spans="1:3">
      <c r="A41" s="7" t="s">
        <v>35</v>
      </c>
      <c r="B41" s="7" t="s">
        <v>1082</v>
      </c>
      <c r="C41" s="8">
        <v>4</v>
      </c>
    </row>
    <row r="42" spans="1:3">
      <c r="A42" s="7" t="s">
        <v>205</v>
      </c>
      <c r="B42" s="7" t="s">
        <v>1083</v>
      </c>
      <c r="C42" s="8">
        <v>4</v>
      </c>
    </row>
    <row r="43" spans="1:3">
      <c r="A43" s="7" t="s">
        <v>99</v>
      </c>
      <c r="B43" s="7" t="s">
        <v>1084</v>
      </c>
      <c r="C43" s="8">
        <v>4</v>
      </c>
    </row>
    <row r="44" spans="1:3">
      <c r="A44" s="7" t="s">
        <v>178</v>
      </c>
      <c r="B44" s="7" t="s">
        <v>1085</v>
      </c>
      <c r="C44" s="8">
        <v>4</v>
      </c>
    </row>
    <row r="45" spans="1:3">
      <c r="A45" s="7" t="s">
        <v>182</v>
      </c>
      <c r="B45" s="7" t="s">
        <v>1086</v>
      </c>
      <c r="C45" s="8">
        <v>4</v>
      </c>
    </row>
    <row r="46" spans="1:3">
      <c r="A46" s="7" t="s">
        <v>249</v>
      </c>
      <c r="B46" s="7" t="s">
        <v>1087</v>
      </c>
      <c r="C46" s="8">
        <v>4</v>
      </c>
    </row>
    <row r="47" spans="1:3">
      <c r="A47" s="7" t="s">
        <v>1034</v>
      </c>
      <c r="B47" s="7" t="s">
        <v>1088</v>
      </c>
      <c r="C47" s="8">
        <v>4</v>
      </c>
    </row>
    <row r="48" spans="1:3">
      <c r="A48" s="7" t="s">
        <v>285</v>
      </c>
      <c r="B48" s="7" t="s">
        <v>1089</v>
      </c>
      <c r="C48" s="8">
        <v>4</v>
      </c>
    </row>
    <row r="49" spans="1:3">
      <c r="A49" s="7" t="s">
        <v>76</v>
      </c>
      <c r="B49" s="7" t="s">
        <v>1090</v>
      </c>
      <c r="C49" s="8">
        <v>4</v>
      </c>
    </row>
    <row r="50" spans="1:3">
      <c r="A50" s="7" t="s">
        <v>635</v>
      </c>
      <c r="B50" s="7" t="s">
        <v>1091</v>
      </c>
      <c r="C50" s="8">
        <v>4</v>
      </c>
    </row>
    <row r="51" spans="1:3">
      <c r="A51" s="7" t="s">
        <v>161</v>
      </c>
      <c r="B51" s="7" t="s">
        <v>1092</v>
      </c>
      <c r="C51" s="8">
        <v>4</v>
      </c>
    </row>
    <row r="52" spans="1:3">
      <c r="A52" s="7" t="s">
        <v>1093</v>
      </c>
      <c r="B52" s="7" t="s">
        <v>1094</v>
      </c>
      <c r="C52" s="8">
        <v>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F501-1891-4966-8CEA-9B8D677DC513}">
  <dimension ref="A1:B5"/>
  <sheetViews>
    <sheetView workbookViewId="0">
      <selection activeCell="A2" sqref="A2"/>
    </sheetView>
  </sheetViews>
  <sheetFormatPr defaultRowHeight="15"/>
  <cols>
    <col min="1" max="1" width="13.140625" customWidth="1"/>
    <col min="2" max="2" width="16.42578125" customWidth="1"/>
  </cols>
  <sheetData>
    <row r="1" spans="1:2">
      <c r="A1" s="9" t="s">
        <v>8</v>
      </c>
      <c r="B1" s="9" t="s">
        <v>1095</v>
      </c>
    </row>
    <row r="2" spans="1:2">
      <c r="A2" s="1">
        <v>1</v>
      </c>
      <c r="B2" s="1" t="s">
        <v>1096</v>
      </c>
    </row>
    <row r="3" spans="1:2">
      <c r="A3" s="1">
        <v>2</v>
      </c>
      <c r="B3" s="1" t="s">
        <v>1097</v>
      </c>
    </row>
    <row r="4" spans="1:2">
      <c r="A4" s="1">
        <v>3</v>
      </c>
      <c r="B4" s="1" t="s">
        <v>1098</v>
      </c>
    </row>
    <row r="5" spans="1:2">
      <c r="A5" s="1">
        <v>4</v>
      </c>
      <c r="B5" s="1" t="s">
        <v>1099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6145-B5BF-4F1F-96D5-085736805166}">
  <dimension ref="A1:Y1301"/>
  <sheetViews>
    <sheetView topLeftCell="A228" workbookViewId="0">
      <selection activeCell="N2" sqref="N2:N1301"/>
    </sheetView>
  </sheetViews>
  <sheetFormatPr defaultRowHeight="15"/>
  <cols>
    <col min="1" max="1" width="9.5703125" customWidth="1"/>
    <col min="2" max="2" width="12.7109375" customWidth="1"/>
    <col min="3" max="3" width="12.28515625" customWidth="1"/>
    <col min="4" max="4" width="52.28515625" bestFit="1" customWidth="1"/>
    <col min="5" max="5" width="37.28515625" bestFit="1" customWidth="1"/>
    <col min="6" max="6" width="33.42578125" bestFit="1" customWidth="1"/>
    <col min="7" max="7" width="18.140625" customWidth="1"/>
    <col min="8" max="8" width="13" customWidth="1"/>
    <col min="9" max="9" width="16.85546875" bestFit="1" customWidth="1"/>
    <col min="10" max="10" width="21.85546875" bestFit="1" customWidth="1"/>
    <col min="11" max="11" width="12.85546875" customWidth="1"/>
    <col min="12" max="12" width="23.28515625" bestFit="1" customWidth="1"/>
    <col min="13" max="13" width="13.42578125" customWidth="1"/>
    <col min="14" max="14" width="11.28515625" customWidth="1"/>
    <col min="15" max="16" width="15.5703125" bestFit="1" customWidth="1"/>
    <col min="17" max="17" width="20.140625" customWidth="1"/>
    <col min="18" max="18" width="18.7109375" customWidth="1"/>
    <col min="19" max="19" width="15.5703125" bestFit="1" customWidth="1"/>
    <col min="20" max="20" width="24.140625" customWidth="1"/>
    <col min="21" max="21" width="14.7109375" customWidth="1"/>
    <col min="22" max="22" width="15.5703125" bestFit="1" customWidth="1"/>
    <col min="23" max="23" width="22.85546875" customWidth="1"/>
    <col min="24" max="24" width="22.42578125" customWidth="1"/>
    <col min="25" max="25" width="26.28515625" customWidth="1"/>
  </cols>
  <sheetData>
    <row r="1" spans="1:25">
      <c r="A1" t="s">
        <v>1250</v>
      </c>
      <c r="B1" t="s">
        <v>1101</v>
      </c>
      <c r="C1" t="s">
        <v>1102</v>
      </c>
      <c r="D1" t="s">
        <v>1103</v>
      </c>
      <c r="E1" t="s">
        <v>1251</v>
      </c>
      <c r="F1" t="s">
        <v>1104</v>
      </c>
      <c r="G1" t="s">
        <v>4</v>
      </c>
      <c r="H1" t="s">
        <v>6</v>
      </c>
      <c r="I1" t="s">
        <v>7</v>
      </c>
      <c r="J1" t="s">
        <v>1252</v>
      </c>
      <c r="K1" t="s">
        <v>1253</v>
      </c>
      <c r="L1" t="s">
        <v>1254</v>
      </c>
      <c r="M1" t="s">
        <v>1255</v>
      </c>
      <c r="N1" t="s">
        <v>9</v>
      </c>
      <c r="O1" t="s">
        <v>11</v>
      </c>
      <c r="P1" t="s">
        <v>1256</v>
      </c>
      <c r="Q1" t="s">
        <v>1257</v>
      </c>
      <c r="R1" t="s">
        <v>1258</v>
      </c>
      <c r="S1" t="s">
        <v>1259</v>
      </c>
      <c r="T1" t="s">
        <v>1260</v>
      </c>
      <c r="U1" t="s">
        <v>1261</v>
      </c>
      <c r="V1" t="s">
        <v>1262</v>
      </c>
      <c r="W1" t="s">
        <v>1263</v>
      </c>
      <c r="X1" t="s">
        <v>1264</v>
      </c>
      <c r="Y1" t="s">
        <v>1265</v>
      </c>
    </row>
    <row r="2" spans="1:25">
      <c r="A2" t="s">
        <v>1266</v>
      </c>
      <c r="B2" t="s">
        <v>1267</v>
      </c>
      <c r="C2" t="s">
        <v>1268</v>
      </c>
      <c r="D2" t="s">
        <v>1269</v>
      </c>
      <c r="E2" t="s">
        <v>355</v>
      </c>
      <c r="F2" t="s">
        <v>1270</v>
      </c>
      <c r="G2">
        <v>725</v>
      </c>
      <c r="H2" t="s">
        <v>54</v>
      </c>
      <c r="I2" t="s">
        <v>30</v>
      </c>
      <c r="J2" t="s">
        <v>1271</v>
      </c>
      <c r="K2">
        <v>72</v>
      </c>
      <c r="L2" t="s">
        <v>1272</v>
      </c>
      <c r="M2" t="s">
        <v>1273</v>
      </c>
      <c r="N2" t="s">
        <v>55</v>
      </c>
      <c r="O2" s="12">
        <v>46093.681250000001</v>
      </c>
      <c r="P2" s="12">
        <v>46095.847916666666</v>
      </c>
      <c r="Q2" s="12">
        <v>46095.9</v>
      </c>
      <c r="R2" s="12">
        <v>46096.816666666666</v>
      </c>
      <c r="S2" s="12">
        <v>46097.275000000001</v>
      </c>
      <c r="U2" t="b">
        <v>1</v>
      </c>
      <c r="V2" s="12">
        <v>46242.972916666666</v>
      </c>
      <c r="W2" t="s">
        <v>354</v>
      </c>
      <c r="X2" t="s">
        <v>1274</v>
      </c>
      <c r="Y2" t="s">
        <v>1275</v>
      </c>
    </row>
    <row r="3" spans="1:25">
      <c r="A3" t="s">
        <v>1276</v>
      </c>
      <c r="B3" t="s">
        <v>1277</v>
      </c>
      <c r="C3" t="s">
        <v>1278</v>
      </c>
      <c r="D3" t="s">
        <v>1279</v>
      </c>
      <c r="E3" t="s">
        <v>358</v>
      </c>
      <c r="F3" t="s">
        <v>1280</v>
      </c>
      <c r="G3">
        <v>2073</v>
      </c>
      <c r="H3" t="s">
        <v>16</v>
      </c>
      <c r="I3" t="s">
        <v>17</v>
      </c>
      <c r="J3" t="s">
        <v>1281</v>
      </c>
      <c r="K3">
        <v>77</v>
      </c>
      <c r="L3" t="s">
        <v>42</v>
      </c>
      <c r="M3" t="s">
        <v>1273</v>
      </c>
      <c r="N3" t="s">
        <v>18</v>
      </c>
      <c r="O3" s="12">
        <v>45653.163194444445</v>
      </c>
      <c r="P3" s="12">
        <v>45654.871527777781</v>
      </c>
      <c r="Q3" s="12">
        <v>45654.884722222225</v>
      </c>
      <c r="R3" s="12">
        <v>45655.093055555553</v>
      </c>
      <c r="S3" s="12">
        <v>45655.426388888889</v>
      </c>
      <c r="U3" t="b">
        <v>1</v>
      </c>
      <c r="V3" s="12">
        <v>45718.288194444445</v>
      </c>
      <c r="W3" t="s">
        <v>357</v>
      </c>
      <c r="X3" t="s">
        <v>1282</v>
      </c>
    </row>
    <row r="4" spans="1:25">
      <c r="A4" t="s">
        <v>1283</v>
      </c>
      <c r="B4" t="s">
        <v>1284</v>
      </c>
      <c r="C4" t="s">
        <v>1285</v>
      </c>
      <c r="D4" t="s">
        <v>1286</v>
      </c>
      <c r="E4" t="s">
        <v>874</v>
      </c>
      <c r="F4" t="s">
        <v>1287</v>
      </c>
      <c r="G4">
        <v>37</v>
      </c>
      <c r="H4" t="s">
        <v>50</v>
      </c>
      <c r="I4" t="s">
        <v>24</v>
      </c>
      <c r="J4" t="s">
        <v>1288</v>
      </c>
      <c r="K4">
        <v>72</v>
      </c>
      <c r="L4" t="s">
        <v>42</v>
      </c>
      <c r="M4" t="s">
        <v>1273</v>
      </c>
      <c r="N4" t="s">
        <v>59</v>
      </c>
      <c r="O4" s="12">
        <v>45564.025000000001</v>
      </c>
      <c r="P4" s="12">
        <v>45565.60833333333</v>
      </c>
      <c r="Q4" s="12">
        <v>45565.646527777775</v>
      </c>
      <c r="R4" s="12">
        <v>45566.021527777775</v>
      </c>
      <c r="S4" s="12">
        <v>45566.729861111111</v>
      </c>
      <c r="U4" t="b">
        <v>1</v>
      </c>
      <c r="V4" s="12">
        <v>45662.60833333333</v>
      </c>
      <c r="W4" t="s">
        <v>873</v>
      </c>
      <c r="X4" t="s">
        <v>1289</v>
      </c>
    </row>
    <row r="5" spans="1:25">
      <c r="A5" t="s">
        <v>1290</v>
      </c>
      <c r="B5" t="s">
        <v>1291</v>
      </c>
      <c r="C5" t="s">
        <v>1292</v>
      </c>
      <c r="D5" t="s">
        <v>1293</v>
      </c>
      <c r="E5" t="s">
        <v>721</v>
      </c>
      <c r="F5" t="s">
        <v>1294</v>
      </c>
      <c r="G5">
        <v>130</v>
      </c>
      <c r="H5" t="s">
        <v>440</v>
      </c>
      <c r="I5" t="s">
        <v>24</v>
      </c>
      <c r="J5" t="s">
        <v>1295</v>
      </c>
      <c r="K5">
        <v>89</v>
      </c>
      <c r="L5" t="s">
        <v>42</v>
      </c>
      <c r="M5" t="s">
        <v>1273</v>
      </c>
      <c r="N5" t="s">
        <v>69</v>
      </c>
      <c r="O5" s="12">
        <v>44604.445138888892</v>
      </c>
      <c r="P5" s="12">
        <v>44607.070138888892</v>
      </c>
      <c r="Q5" s="12">
        <v>44607.125</v>
      </c>
      <c r="R5" s="12">
        <v>44608.375</v>
      </c>
      <c r="S5" s="12">
        <v>44610.833333333336</v>
      </c>
      <c r="U5" t="b">
        <v>1</v>
      </c>
      <c r="V5" s="12">
        <v>44657.611805555556</v>
      </c>
      <c r="W5" t="s">
        <v>720</v>
      </c>
      <c r="X5" t="s">
        <v>1296</v>
      </c>
      <c r="Y5" t="s">
        <v>1297</v>
      </c>
    </row>
    <row r="6" spans="1:25">
      <c r="A6" t="s">
        <v>1298</v>
      </c>
      <c r="B6" t="s">
        <v>1299</v>
      </c>
      <c r="C6" t="s">
        <v>1300</v>
      </c>
      <c r="D6" t="s">
        <v>1301</v>
      </c>
      <c r="E6" t="s">
        <v>266</v>
      </c>
      <c r="F6" t="s">
        <v>1302</v>
      </c>
      <c r="G6">
        <v>718</v>
      </c>
      <c r="H6" t="s">
        <v>23</v>
      </c>
      <c r="I6" t="s">
        <v>30</v>
      </c>
      <c r="J6" t="s">
        <v>1295</v>
      </c>
      <c r="K6">
        <v>75</v>
      </c>
      <c r="L6" t="s">
        <v>42</v>
      </c>
      <c r="M6" t="s">
        <v>1273</v>
      </c>
      <c r="N6" t="s">
        <v>82</v>
      </c>
      <c r="O6" s="12">
        <v>46164.851388888892</v>
      </c>
      <c r="P6" s="12">
        <v>46166.018055555556</v>
      </c>
      <c r="Q6" s="12">
        <v>46166.03402777778</v>
      </c>
      <c r="R6" s="12">
        <v>46166.111805555556</v>
      </c>
      <c r="S6" s="12">
        <v>46168.486805555556</v>
      </c>
      <c r="U6" t="b">
        <v>1</v>
      </c>
      <c r="V6" s="12">
        <v>46266.018055555556</v>
      </c>
      <c r="W6" t="s">
        <v>265</v>
      </c>
      <c r="X6" t="s">
        <v>1303</v>
      </c>
      <c r="Y6" t="s">
        <v>1304</v>
      </c>
    </row>
    <row r="7" spans="1:25">
      <c r="A7" t="s">
        <v>1305</v>
      </c>
      <c r="B7" t="s">
        <v>1306</v>
      </c>
      <c r="C7" t="s">
        <v>1307</v>
      </c>
      <c r="D7" t="s">
        <v>1308</v>
      </c>
      <c r="E7" t="s">
        <v>978</v>
      </c>
      <c r="F7" t="s">
        <v>1309</v>
      </c>
      <c r="G7">
        <v>111</v>
      </c>
      <c r="H7" t="s">
        <v>116</v>
      </c>
      <c r="I7" t="s">
        <v>24</v>
      </c>
      <c r="J7" t="s">
        <v>1271</v>
      </c>
      <c r="K7">
        <v>72</v>
      </c>
      <c r="L7" t="s">
        <v>42</v>
      </c>
      <c r="M7" t="s">
        <v>1273</v>
      </c>
      <c r="N7" t="s">
        <v>25</v>
      </c>
      <c r="O7" s="12">
        <v>46140.875694444447</v>
      </c>
      <c r="P7" s="12">
        <v>46141.292361111111</v>
      </c>
      <c r="Q7" s="12">
        <v>46141.3</v>
      </c>
      <c r="R7" s="12">
        <v>46141.42291666667</v>
      </c>
      <c r="S7" s="12">
        <v>46143.381249999999</v>
      </c>
      <c r="U7" t="b">
        <v>1</v>
      </c>
      <c r="V7" s="12">
        <v>46249.459027777775</v>
      </c>
      <c r="W7" t="s">
        <v>977</v>
      </c>
      <c r="X7" t="s">
        <v>1310</v>
      </c>
      <c r="Y7" t="s">
        <v>1311</v>
      </c>
    </row>
    <row r="8" spans="1:25">
      <c r="A8" t="s">
        <v>1312</v>
      </c>
      <c r="B8" t="s">
        <v>1313</v>
      </c>
      <c r="C8" t="s">
        <v>1314</v>
      </c>
      <c r="D8" t="s">
        <v>1315</v>
      </c>
      <c r="E8" t="s">
        <v>1002</v>
      </c>
      <c r="F8" t="s">
        <v>1316</v>
      </c>
      <c r="G8">
        <v>474</v>
      </c>
      <c r="H8" t="s">
        <v>95</v>
      </c>
      <c r="I8" t="s">
        <v>30</v>
      </c>
      <c r="J8" t="s">
        <v>1317</v>
      </c>
      <c r="K8">
        <v>72</v>
      </c>
      <c r="L8" t="s">
        <v>42</v>
      </c>
      <c r="M8" t="s">
        <v>1273</v>
      </c>
      <c r="N8" t="s">
        <v>18</v>
      </c>
      <c r="O8" s="12">
        <v>44786.583333333336</v>
      </c>
      <c r="P8" s="12">
        <v>44787.458333333336</v>
      </c>
      <c r="Q8" s="12">
        <v>44787.511111111111</v>
      </c>
      <c r="R8" s="12">
        <v>44787.534722222219</v>
      </c>
      <c r="S8" s="12">
        <v>44789.118055555555</v>
      </c>
      <c r="U8" t="b">
        <v>1</v>
      </c>
      <c r="V8" s="12">
        <v>44891.916666666664</v>
      </c>
      <c r="W8" t="s">
        <v>1001</v>
      </c>
      <c r="X8" t="s">
        <v>1318</v>
      </c>
    </row>
    <row r="9" spans="1:25">
      <c r="A9" t="s">
        <v>1319</v>
      </c>
      <c r="B9" t="s">
        <v>1215</v>
      </c>
      <c r="C9" t="s">
        <v>1320</v>
      </c>
      <c r="D9" t="s">
        <v>1321</v>
      </c>
      <c r="E9" t="s">
        <v>704</v>
      </c>
      <c r="F9" t="s">
        <v>1322</v>
      </c>
      <c r="G9">
        <v>93</v>
      </c>
      <c r="H9" t="s">
        <v>23</v>
      </c>
      <c r="I9" t="s">
        <v>24</v>
      </c>
      <c r="J9" t="s">
        <v>1288</v>
      </c>
      <c r="K9">
        <v>75</v>
      </c>
      <c r="L9" t="s">
        <v>1272</v>
      </c>
      <c r="M9" t="s">
        <v>1273</v>
      </c>
      <c r="N9" t="s">
        <v>25</v>
      </c>
      <c r="O9" s="12">
        <v>45501.311111111114</v>
      </c>
      <c r="P9" s="12">
        <v>45503.186111111114</v>
      </c>
      <c r="Q9" s="12">
        <v>45503.20416666667</v>
      </c>
      <c r="R9" s="12">
        <v>45503.347916666666</v>
      </c>
      <c r="S9" s="12">
        <v>45503.472916666666</v>
      </c>
      <c r="U9" t="b">
        <v>1</v>
      </c>
      <c r="V9" s="12">
        <v>45562.727777777778</v>
      </c>
      <c r="W9" t="s">
        <v>703</v>
      </c>
      <c r="X9" t="s">
        <v>1323</v>
      </c>
      <c r="Y9" t="s">
        <v>1324</v>
      </c>
    </row>
    <row r="10" spans="1:25">
      <c r="A10" t="s">
        <v>1325</v>
      </c>
      <c r="B10" t="s">
        <v>1207</v>
      </c>
      <c r="C10" t="s">
        <v>1176</v>
      </c>
      <c r="D10" t="s">
        <v>1326</v>
      </c>
      <c r="E10" t="s">
        <v>451</v>
      </c>
      <c r="F10" t="s">
        <v>1316</v>
      </c>
      <c r="G10">
        <v>582</v>
      </c>
      <c r="H10" t="s">
        <v>68</v>
      </c>
      <c r="I10" t="s">
        <v>30</v>
      </c>
      <c r="J10" t="s">
        <v>1271</v>
      </c>
      <c r="K10">
        <v>72</v>
      </c>
      <c r="L10" t="s">
        <v>42</v>
      </c>
      <c r="M10" t="s">
        <v>1273</v>
      </c>
      <c r="N10" t="s">
        <v>55</v>
      </c>
      <c r="O10" s="12">
        <v>44511.657638888886</v>
      </c>
      <c r="P10" s="12">
        <v>44511.782638888886</v>
      </c>
      <c r="Q10" s="12">
        <v>44511.824999999997</v>
      </c>
      <c r="R10" s="12">
        <v>44511.896527777775</v>
      </c>
      <c r="S10" s="12">
        <v>44512.396527777775</v>
      </c>
      <c r="U10" t="b">
        <v>1</v>
      </c>
      <c r="V10" s="12">
        <v>44641.157638888886</v>
      </c>
      <c r="W10" t="s">
        <v>450</v>
      </c>
      <c r="X10" t="s">
        <v>1327</v>
      </c>
      <c r="Y10" t="s">
        <v>1328</v>
      </c>
    </row>
    <row r="11" spans="1:25">
      <c r="A11" t="s">
        <v>1329</v>
      </c>
      <c r="B11" t="s">
        <v>1330</v>
      </c>
      <c r="C11" t="s">
        <v>1331</v>
      </c>
      <c r="D11" t="s">
        <v>1332</v>
      </c>
      <c r="E11" t="s">
        <v>247</v>
      </c>
      <c r="F11" t="s">
        <v>1333</v>
      </c>
      <c r="G11">
        <v>2096</v>
      </c>
      <c r="H11" t="s">
        <v>249</v>
      </c>
      <c r="I11" t="s">
        <v>17</v>
      </c>
      <c r="J11" t="s">
        <v>1317</v>
      </c>
      <c r="K11">
        <v>80</v>
      </c>
      <c r="L11" t="s">
        <v>42</v>
      </c>
      <c r="M11" t="s">
        <v>1273</v>
      </c>
      <c r="N11" t="s">
        <v>36</v>
      </c>
      <c r="O11" s="12">
        <v>45980.682638888888</v>
      </c>
      <c r="P11" s="12">
        <v>45983.474305555559</v>
      </c>
      <c r="Q11" s="12">
        <v>45983.529166666667</v>
      </c>
      <c r="R11" s="12">
        <v>45983.629166666666</v>
      </c>
      <c r="S11" s="12">
        <v>45983.962500000001</v>
      </c>
      <c r="U11" t="b">
        <v>1</v>
      </c>
      <c r="V11" s="12">
        <v>46097.390972222223</v>
      </c>
      <c r="W11" t="s">
        <v>246</v>
      </c>
      <c r="X11" t="s">
        <v>1334</v>
      </c>
    </row>
    <row r="12" spans="1:25">
      <c r="A12" t="s">
        <v>1335</v>
      </c>
      <c r="B12" t="s">
        <v>1336</v>
      </c>
      <c r="C12" t="s">
        <v>1337</v>
      </c>
      <c r="D12" t="s">
        <v>1338</v>
      </c>
      <c r="E12" t="s">
        <v>593</v>
      </c>
      <c r="F12" t="s">
        <v>1218</v>
      </c>
      <c r="G12">
        <v>76</v>
      </c>
      <c r="H12" t="s">
        <v>16</v>
      </c>
      <c r="I12" t="s">
        <v>24</v>
      </c>
      <c r="J12" t="s">
        <v>1339</v>
      </c>
      <c r="K12">
        <v>86</v>
      </c>
      <c r="L12" t="s">
        <v>1272</v>
      </c>
      <c r="M12" t="s">
        <v>1273</v>
      </c>
      <c r="N12" t="s">
        <v>91</v>
      </c>
      <c r="O12" s="12">
        <v>45024.92083333333</v>
      </c>
      <c r="P12" s="12">
        <v>45025.67083333333</v>
      </c>
      <c r="Q12" s="12">
        <v>45025.699305555558</v>
      </c>
      <c r="R12" s="12">
        <v>45026.865972222222</v>
      </c>
      <c r="S12" s="12">
        <v>45029.865972222222</v>
      </c>
      <c r="U12" t="b">
        <v>1</v>
      </c>
      <c r="V12" s="12">
        <v>45046.92083333333</v>
      </c>
      <c r="W12" t="s">
        <v>592</v>
      </c>
      <c r="X12" t="s">
        <v>1340</v>
      </c>
    </row>
    <row r="13" spans="1:25">
      <c r="A13" t="s">
        <v>1341</v>
      </c>
      <c r="B13" t="s">
        <v>1342</v>
      </c>
      <c r="C13" t="s">
        <v>1343</v>
      </c>
      <c r="D13" t="s">
        <v>1344</v>
      </c>
      <c r="E13" t="s">
        <v>283</v>
      </c>
      <c r="F13" t="s">
        <v>1309</v>
      </c>
      <c r="G13">
        <v>303</v>
      </c>
      <c r="H13" t="s">
        <v>285</v>
      </c>
      <c r="I13" t="s">
        <v>30</v>
      </c>
      <c r="J13" t="s">
        <v>1339</v>
      </c>
      <c r="K13">
        <v>94</v>
      </c>
      <c r="L13" t="s">
        <v>42</v>
      </c>
      <c r="M13" t="s">
        <v>1273</v>
      </c>
      <c r="N13" t="s">
        <v>36</v>
      </c>
      <c r="O13" s="12">
        <v>45957.726388888892</v>
      </c>
      <c r="P13" s="12">
        <v>45958.476388888892</v>
      </c>
      <c r="Q13" s="12">
        <v>45958.527777777781</v>
      </c>
      <c r="R13" s="12">
        <v>45959.236111111109</v>
      </c>
      <c r="S13" s="12">
        <v>45960.819444444445</v>
      </c>
      <c r="U13" t="b">
        <v>1</v>
      </c>
      <c r="V13" s="12">
        <v>46046.851388888892</v>
      </c>
      <c r="W13" t="s">
        <v>282</v>
      </c>
      <c r="X13" t="s">
        <v>1345</v>
      </c>
      <c r="Y13" t="s">
        <v>1346</v>
      </c>
    </row>
    <row r="14" spans="1:25">
      <c r="A14" t="s">
        <v>1347</v>
      </c>
      <c r="B14" t="s">
        <v>1306</v>
      </c>
      <c r="C14" t="s">
        <v>1208</v>
      </c>
      <c r="D14" t="s">
        <v>1348</v>
      </c>
      <c r="E14" t="s">
        <v>976</v>
      </c>
      <c r="F14" t="s">
        <v>1287</v>
      </c>
      <c r="G14">
        <v>117</v>
      </c>
      <c r="H14" t="s">
        <v>81</v>
      </c>
      <c r="I14" t="s">
        <v>24</v>
      </c>
      <c r="J14" t="s">
        <v>1317</v>
      </c>
      <c r="K14">
        <v>72</v>
      </c>
      <c r="L14" t="s">
        <v>42</v>
      </c>
      <c r="M14" t="s">
        <v>1273</v>
      </c>
      <c r="N14" t="s">
        <v>25</v>
      </c>
      <c r="O14" s="12">
        <v>45577.369444444441</v>
      </c>
      <c r="P14" s="12">
        <v>45579.536111111112</v>
      </c>
      <c r="Q14" s="12">
        <v>45579.55</v>
      </c>
      <c r="R14" s="12">
        <v>45579.663194444445</v>
      </c>
      <c r="S14" s="12">
        <v>45581.829861111109</v>
      </c>
      <c r="U14" t="b">
        <v>1</v>
      </c>
      <c r="V14" s="12">
        <v>45705.744444444441</v>
      </c>
      <c r="W14" t="s">
        <v>975</v>
      </c>
      <c r="X14" t="s">
        <v>1349</v>
      </c>
      <c r="Y14" t="s">
        <v>1350</v>
      </c>
    </row>
    <row r="15" spans="1:25">
      <c r="A15" t="s">
        <v>1351</v>
      </c>
      <c r="B15" t="s">
        <v>1352</v>
      </c>
      <c r="C15" t="s">
        <v>1353</v>
      </c>
      <c r="D15" t="s">
        <v>1354</v>
      </c>
      <c r="E15" t="s">
        <v>417</v>
      </c>
      <c r="F15" t="s">
        <v>1294</v>
      </c>
      <c r="G15">
        <v>529</v>
      </c>
      <c r="H15" t="s">
        <v>216</v>
      </c>
      <c r="I15" t="s">
        <v>30</v>
      </c>
      <c r="J15" t="s">
        <v>1355</v>
      </c>
      <c r="K15">
        <v>80</v>
      </c>
      <c r="L15" t="s">
        <v>1272</v>
      </c>
      <c r="M15" t="s">
        <v>1273</v>
      </c>
      <c r="N15" t="s">
        <v>18</v>
      </c>
      <c r="O15" s="12">
        <v>45879.90347222222</v>
      </c>
      <c r="P15" s="12">
        <v>45882.320138888892</v>
      </c>
      <c r="Q15" s="12">
        <v>45882.345833333333</v>
      </c>
      <c r="R15" s="12">
        <v>45882.445833333331</v>
      </c>
      <c r="S15" s="12">
        <v>45883.862500000003</v>
      </c>
      <c r="U15" t="b">
        <v>1</v>
      </c>
      <c r="V15" s="12">
        <v>46018.320138888892</v>
      </c>
      <c r="W15" t="s">
        <v>416</v>
      </c>
      <c r="X15" t="s">
        <v>1356</v>
      </c>
    </row>
    <row r="16" spans="1:25">
      <c r="A16" t="s">
        <v>1357</v>
      </c>
      <c r="B16" t="s">
        <v>1118</v>
      </c>
      <c r="C16" t="s">
        <v>1358</v>
      </c>
      <c r="D16" t="s">
        <v>1359</v>
      </c>
      <c r="E16" t="s">
        <v>616</v>
      </c>
      <c r="F16" t="s">
        <v>1360</v>
      </c>
      <c r="G16">
        <v>1224</v>
      </c>
      <c r="H16" t="s">
        <v>16</v>
      </c>
      <c r="I16" t="s">
        <v>17</v>
      </c>
      <c r="J16" t="s">
        <v>1317</v>
      </c>
      <c r="K16">
        <v>78</v>
      </c>
      <c r="L16" t="s">
        <v>1272</v>
      </c>
      <c r="M16" t="s">
        <v>1273</v>
      </c>
      <c r="N16" t="s">
        <v>18</v>
      </c>
      <c r="O16" s="12">
        <v>45579.142361111109</v>
      </c>
      <c r="P16" s="12">
        <v>45581.392361111109</v>
      </c>
      <c r="Q16" s="12">
        <v>45581.451388888891</v>
      </c>
      <c r="R16" s="12">
        <v>45581.530555555553</v>
      </c>
      <c r="S16" s="12">
        <v>45582.905555555553</v>
      </c>
      <c r="U16" t="b">
        <v>1</v>
      </c>
      <c r="V16" s="12">
        <v>45605.517361111109</v>
      </c>
      <c r="W16" t="s">
        <v>615</v>
      </c>
      <c r="X16" t="s">
        <v>1361</v>
      </c>
      <c r="Y16" t="s">
        <v>1362</v>
      </c>
    </row>
    <row r="17" spans="1:25">
      <c r="A17" t="s">
        <v>1363</v>
      </c>
      <c r="B17" t="s">
        <v>1364</v>
      </c>
      <c r="C17" t="s">
        <v>1365</v>
      </c>
      <c r="D17" t="s">
        <v>1366</v>
      </c>
      <c r="E17" t="s">
        <v>578</v>
      </c>
      <c r="F17" t="s">
        <v>1367</v>
      </c>
      <c r="G17">
        <v>148</v>
      </c>
      <c r="H17" t="s">
        <v>205</v>
      </c>
      <c r="I17" t="s">
        <v>24</v>
      </c>
      <c r="J17" t="s">
        <v>1295</v>
      </c>
      <c r="K17">
        <v>91</v>
      </c>
      <c r="L17" t="s">
        <v>1272</v>
      </c>
      <c r="M17" t="s">
        <v>1273</v>
      </c>
      <c r="N17" t="s">
        <v>59</v>
      </c>
      <c r="O17" s="12">
        <v>45450.013194444444</v>
      </c>
      <c r="P17" s="12">
        <v>45451.09652777778</v>
      </c>
      <c r="Q17" s="12">
        <v>45451.127083333333</v>
      </c>
      <c r="R17" s="12">
        <v>45451.165277777778</v>
      </c>
      <c r="S17" s="12">
        <v>45453.498611111114</v>
      </c>
      <c r="U17" t="b">
        <v>1</v>
      </c>
      <c r="V17" s="12">
        <v>45541.679861111108</v>
      </c>
      <c r="W17" t="s">
        <v>577</v>
      </c>
      <c r="X17" t="s">
        <v>1368</v>
      </c>
      <c r="Y17" t="s">
        <v>1369</v>
      </c>
    </row>
    <row r="18" spans="1:25">
      <c r="A18" t="s">
        <v>1370</v>
      </c>
      <c r="B18" t="s">
        <v>1371</v>
      </c>
      <c r="C18" t="s">
        <v>1222</v>
      </c>
      <c r="D18" t="s">
        <v>1372</v>
      </c>
      <c r="E18" t="s">
        <v>364</v>
      </c>
      <c r="F18" t="s">
        <v>1373</v>
      </c>
      <c r="G18">
        <v>1136</v>
      </c>
      <c r="H18" t="s">
        <v>366</v>
      </c>
      <c r="I18" t="s">
        <v>17</v>
      </c>
      <c r="J18" t="s">
        <v>1355</v>
      </c>
      <c r="K18">
        <v>72</v>
      </c>
      <c r="L18" t="s">
        <v>1272</v>
      </c>
      <c r="M18" t="s">
        <v>1273</v>
      </c>
      <c r="N18" t="s">
        <v>18</v>
      </c>
      <c r="O18" s="12">
        <v>45690.126388888886</v>
      </c>
      <c r="P18" s="12">
        <v>45691.334722222222</v>
      </c>
      <c r="Q18" s="12">
        <v>45691.370833333334</v>
      </c>
      <c r="R18" s="12">
        <v>45691.408333333333</v>
      </c>
      <c r="S18" s="12">
        <v>45692.158333333333</v>
      </c>
      <c r="U18" t="b">
        <v>1</v>
      </c>
      <c r="V18" s="12">
        <v>45774.668055555558</v>
      </c>
      <c r="W18" t="s">
        <v>363</v>
      </c>
      <c r="X18" t="s">
        <v>1374</v>
      </c>
      <c r="Y18" t="s">
        <v>1375</v>
      </c>
    </row>
    <row r="19" spans="1:25">
      <c r="A19" t="s">
        <v>1376</v>
      </c>
      <c r="B19" t="s">
        <v>1377</v>
      </c>
      <c r="C19" t="s">
        <v>1378</v>
      </c>
      <c r="D19" t="s">
        <v>1379</v>
      </c>
      <c r="E19" t="s">
        <v>231</v>
      </c>
      <c r="F19" t="s">
        <v>1380</v>
      </c>
      <c r="G19">
        <v>113</v>
      </c>
      <c r="H19" t="s">
        <v>95</v>
      </c>
      <c r="I19" t="s">
        <v>24</v>
      </c>
      <c r="J19" t="s">
        <v>1288</v>
      </c>
      <c r="K19">
        <v>72</v>
      </c>
      <c r="L19" t="s">
        <v>1272</v>
      </c>
      <c r="M19" t="s">
        <v>1273</v>
      </c>
      <c r="N19" t="s">
        <v>91</v>
      </c>
      <c r="O19" s="12">
        <v>46087.870833333334</v>
      </c>
      <c r="P19" s="12">
        <v>46090.787499999999</v>
      </c>
      <c r="Q19" s="12">
        <v>46090.802083333336</v>
      </c>
      <c r="R19" s="12">
        <v>46090.9375</v>
      </c>
      <c r="S19" s="12">
        <v>46093.854166666664</v>
      </c>
      <c r="U19" t="b">
        <v>1</v>
      </c>
      <c r="V19" s="12">
        <v>46172.245833333334</v>
      </c>
      <c r="W19" t="s">
        <v>230</v>
      </c>
      <c r="X19" t="s">
        <v>1381</v>
      </c>
      <c r="Y19" t="s">
        <v>1382</v>
      </c>
    </row>
    <row r="20" spans="1:25">
      <c r="A20" t="s">
        <v>1383</v>
      </c>
      <c r="B20" t="s">
        <v>1384</v>
      </c>
      <c r="C20" t="s">
        <v>1385</v>
      </c>
      <c r="D20" t="s">
        <v>1386</v>
      </c>
      <c r="E20" t="s">
        <v>483</v>
      </c>
      <c r="F20" t="s">
        <v>1367</v>
      </c>
      <c r="G20">
        <v>122</v>
      </c>
      <c r="H20" t="s">
        <v>205</v>
      </c>
      <c r="I20" t="s">
        <v>24</v>
      </c>
      <c r="J20" t="s">
        <v>1317</v>
      </c>
      <c r="K20">
        <v>72</v>
      </c>
      <c r="L20" t="s">
        <v>1272</v>
      </c>
      <c r="M20" t="s">
        <v>1273</v>
      </c>
      <c r="N20" t="s">
        <v>59</v>
      </c>
      <c r="O20" s="12">
        <v>45483.707638888889</v>
      </c>
      <c r="P20" s="12">
        <v>45483.957638888889</v>
      </c>
      <c r="Q20" s="12">
        <v>45484.018750000003</v>
      </c>
      <c r="R20" s="12">
        <v>45484.03402777778</v>
      </c>
      <c r="S20" s="12">
        <v>45484.207638888889</v>
      </c>
      <c r="U20" t="b">
        <v>1</v>
      </c>
      <c r="V20" s="12">
        <v>45577.124305555553</v>
      </c>
      <c r="W20" t="s">
        <v>482</v>
      </c>
      <c r="X20" t="s">
        <v>1387</v>
      </c>
      <c r="Y20" t="s">
        <v>1388</v>
      </c>
    </row>
    <row r="21" spans="1:25">
      <c r="A21" t="s">
        <v>1389</v>
      </c>
      <c r="B21" t="s">
        <v>1390</v>
      </c>
      <c r="C21" t="s">
        <v>1162</v>
      </c>
      <c r="D21" t="s">
        <v>1391</v>
      </c>
      <c r="E21" t="s">
        <v>495</v>
      </c>
      <c r="F21" t="s">
        <v>1392</v>
      </c>
      <c r="G21">
        <v>349</v>
      </c>
      <c r="H21" t="s">
        <v>50</v>
      </c>
      <c r="I21" t="s">
        <v>30</v>
      </c>
      <c r="J21" t="s">
        <v>1339</v>
      </c>
      <c r="K21">
        <v>81</v>
      </c>
      <c r="L21" t="s">
        <v>1272</v>
      </c>
      <c r="M21" t="s">
        <v>1273</v>
      </c>
      <c r="N21" t="s">
        <v>36</v>
      </c>
      <c r="O21" s="12">
        <v>45330.367361111108</v>
      </c>
      <c r="P21" s="12">
        <v>45330.950694444444</v>
      </c>
      <c r="Q21" s="12">
        <v>45330.994444444441</v>
      </c>
      <c r="R21" s="12">
        <v>45331.13958333333</v>
      </c>
      <c r="S21" s="12">
        <v>45333.306250000001</v>
      </c>
      <c r="U21" t="b">
        <v>1</v>
      </c>
      <c r="V21" s="12">
        <v>45384.78402777778</v>
      </c>
      <c r="W21" t="s">
        <v>494</v>
      </c>
      <c r="X21" t="s">
        <v>1393</v>
      </c>
      <c r="Y21" t="s">
        <v>1394</v>
      </c>
    </row>
    <row r="22" spans="1:25">
      <c r="A22" t="s">
        <v>1395</v>
      </c>
      <c r="B22" t="s">
        <v>1396</v>
      </c>
      <c r="C22" t="s">
        <v>1397</v>
      </c>
      <c r="D22" t="s">
        <v>1398</v>
      </c>
      <c r="E22" t="s">
        <v>358</v>
      </c>
      <c r="F22" t="s">
        <v>1399</v>
      </c>
      <c r="G22">
        <v>2073</v>
      </c>
      <c r="H22" t="s">
        <v>16</v>
      </c>
      <c r="I22" t="s">
        <v>17</v>
      </c>
      <c r="J22" t="s">
        <v>1271</v>
      </c>
      <c r="K22">
        <v>72</v>
      </c>
      <c r="L22" t="s">
        <v>42</v>
      </c>
      <c r="M22" t="s">
        <v>1273</v>
      </c>
      <c r="N22" t="s">
        <v>18</v>
      </c>
      <c r="O22" s="12">
        <v>45574.82916666667</v>
      </c>
      <c r="P22" s="12">
        <v>45575.32916666667</v>
      </c>
      <c r="Q22" s="12">
        <v>45575.351388888892</v>
      </c>
      <c r="R22" s="12">
        <v>45575.461805555555</v>
      </c>
      <c r="S22" s="12">
        <v>45577.545138888891</v>
      </c>
      <c r="U22" t="b">
        <v>1</v>
      </c>
      <c r="V22" s="12">
        <v>45687.370833333334</v>
      </c>
      <c r="W22" t="s">
        <v>357</v>
      </c>
      <c r="X22" t="s">
        <v>1400</v>
      </c>
      <c r="Y22" t="s">
        <v>1401</v>
      </c>
    </row>
    <row r="23" spans="1:25">
      <c r="A23" t="s">
        <v>1402</v>
      </c>
      <c r="B23" t="s">
        <v>1403</v>
      </c>
      <c r="C23" t="s">
        <v>1404</v>
      </c>
      <c r="D23" t="s">
        <v>1405</v>
      </c>
      <c r="E23" t="s">
        <v>138</v>
      </c>
      <c r="F23" t="s">
        <v>1406</v>
      </c>
      <c r="G23">
        <v>2147</v>
      </c>
      <c r="H23" t="s">
        <v>140</v>
      </c>
      <c r="I23" t="s">
        <v>17</v>
      </c>
      <c r="J23" t="s">
        <v>1317</v>
      </c>
      <c r="K23">
        <v>72</v>
      </c>
      <c r="L23" t="s">
        <v>42</v>
      </c>
      <c r="M23" t="s">
        <v>1273</v>
      </c>
      <c r="N23" t="s">
        <v>82</v>
      </c>
      <c r="O23" s="12">
        <v>45028.793749999997</v>
      </c>
      <c r="P23" s="12">
        <v>45030.793749999997</v>
      </c>
      <c r="Q23" s="12">
        <v>45030.814583333333</v>
      </c>
      <c r="R23" s="12">
        <v>45030.945138888892</v>
      </c>
      <c r="S23" s="12">
        <v>45032.695138888892</v>
      </c>
      <c r="U23" t="b">
        <v>1</v>
      </c>
      <c r="V23" s="12">
        <v>45106.168749999997</v>
      </c>
      <c r="W23" t="s">
        <v>137</v>
      </c>
      <c r="X23" t="s">
        <v>1407</v>
      </c>
      <c r="Y23" t="s">
        <v>1408</v>
      </c>
    </row>
    <row r="24" spans="1:25">
      <c r="A24" t="s">
        <v>1409</v>
      </c>
      <c r="B24" t="s">
        <v>1410</v>
      </c>
      <c r="C24" t="s">
        <v>1172</v>
      </c>
      <c r="D24" t="s">
        <v>1411</v>
      </c>
      <c r="E24" t="s">
        <v>1029</v>
      </c>
      <c r="F24" t="s">
        <v>1412</v>
      </c>
      <c r="G24">
        <v>62</v>
      </c>
      <c r="H24" t="s">
        <v>46</v>
      </c>
      <c r="I24" t="s">
        <v>24</v>
      </c>
      <c r="J24" t="s">
        <v>1413</v>
      </c>
      <c r="K24">
        <v>72</v>
      </c>
      <c r="L24" t="s">
        <v>1272</v>
      </c>
      <c r="M24" t="s">
        <v>1273</v>
      </c>
      <c r="N24" t="s">
        <v>91</v>
      </c>
      <c r="O24" s="12">
        <v>45374.887499999997</v>
      </c>
      <c r="P24" s="12">
        <v>45375.137499999997</v>
      </c>
      <c r="Q24" s="12">
        <v>45375.149305555555</v>
      </c>
      <c r="R24" s="12">
        <v>45375.239583333336</v>
      </c>
      <c r="S24" s="12">
        <v>45378.239583333336</v>
      </c>
      <c r="U24" t="b">
        <v>1</v>
      </c>
      <c r="V24" s="12">
        <v>45423.012499999997</v>
      </c>
      <c r="W24" t="s">
        <v>1028</v>
      </c>
      <c r="X24" t="s">
        <v>1414</v>
      </c>
      <c r="Y24" t="s">
        <v>1415</v>
      </c>
    </row>
    <row r="25" spans="1:25">
      <c r="A25" t="s">
        <v>1416</v>
      </c>
      <c r="B25" t="s">
        <v>1417</v>
      </c>
      <c r="C25" t="s">
        <v>1418</v>
      </c>
      <c r="D25" t="s">
        <v>1419</v>
      </c>
      <c r="E25" t="s">
        <v>698</v>
      </c>
      <c r="F25" t="s">
        <v>1420</v>
      </c>
      <c r="G25">
        <v>3773</v>
      </c>
      <c r="H25" t="s">
        <v>295</v>
      </c>
      <c r="J25" t="s">
        <v>1413</v>
      </c>
      <c r="K25">
        <v>72</v>
      </c>
      <c r="L25" t="s">
        <v>42</v>
      </c>
      <c r="M25" t="s">
        <v>1273</v>
      </c>
      <c r="N25" t="s">
        <v>82</v>
      </c>
      <c r="O25" s="12">
        <v>46154.90625</v>
      </c>
      <c r="P25" s="12">
        <v>46155.65625</v>
      </c>
      <c r="Q25" s="12">
        <v>46155.664583333331</v>
      </c>
      <c r="R25" s="12">
        <v>46155.779166666667</v>
      </c>
      <c r="S25" s="12">
        <v>46158.279166666667</v>
      </c>
      <c r="U25" t="b">
        <v>1</v>
      </c>
      <c r="V25" s="12">
        <v>46266.65625</v>
      </c>
      <c r="W25" t="s">
        <v>697</v>
      </c>
      <c r="X25" t="s">
        <v>1421</v>
      </c>
      <c r="Y25" t="s">
        <v>1422</v>
      </c>
    </row>
    <row r="26" spans="1:25">
      <c r="A26" t="s">
        <v>1423</v>
      </c>
      <c r="B26" t="s">
        <v>1424</v>
      </c>
      <c r="C26" t="s">
        <v>1425</v>
      </c>
      <c r="D26" t="s">
        <v>1426</v>
      </c>
      <c r="E26" t="s">
        <v>214</v>
      </c>
      <c r="F26" t="s">
        <v>1427</v>
      </c>
      <c r="G26">
        <v>1801</v>
      </c>
      <c r="H26" t="s">
        <v>216</v>
      </c>
      <c r="I26" t="s">
        <v>17</v>
      </c>
      <c r="J26" t="s">
        <v>1413</v>
      </c>
      <c r="K26">
        <v>72</v>
      </c>
      <c r="L26" t="s">
        <v>1272</v>
      </c>
      <c r="M26" t="s">
        <v>1273</v>
      </c>
      <c r="N26" t="s">
        <v>18</v>
      </c>
      <c r="O26" s="12">
        <v>46067.829861111109</v>
      </c>
      <c r="P26" s="12">
        <v>46068.246527777781</v>
      </c>
      <c r="Q26" s="12">
        <v>46068.29583333333</v>
      </c>
      <c r="R26" s="12">
        <v>46068.376388888886</v>
      </c>
      <c r="S26" s="12">
        <v>46070.876388888886</v>
      </c>
      <c r="U26" t="b">
        <v>1</v>
      </c>
      <c r="V26" s="12">
        <v>46187.496527777781</v>
      </c>
      <c r="W26" t="s">
        <v>213</v>
      </c>
      <c r="X26" t="s">
        <v>1428</v>
      </c>
      <c r="Y26" t="s">
        <v>1429</v>
      </c>
    </row>
    <row r="27" spans="1:25">
      <c r="A27" t="s">
        <v>1430</v>
      </c>
      <c r="B27" t="s">
        <v>1431</v>
      </c>
      <c r="C27" t="s">
        <v>1432</v>
      </c>
      <c r="D27" t="s">
        <v>1433</v>
      </c>
      <c r="E27" t="s">
        <v>492</v>
      </c>
      <c r="F27" t="s">
        <v>1427</v>
      </c>
      <c r="G27">
        <v>2121</v>
      </c>
      <c r="H27" t="s">
        <v>16</v>
      </c>
      <c r="I27" t="s">
        <v>17</v>
      </c>
      <c r="J27" t="s">
        <v>1288</v>
      </c>
      <c r="K27">
        <v>72</v>
      </c>
      <c r="L27" t="s">
        <v>42</v>
      </c>
      <c r="M27" t="s">
        <v>1273</v>
      </c>
      <c r="N27" t="s">
        <v>18</v>
      </c>
      <c r="O27" s="12">
        <v>46146.087500000001</v>
      </c>
      <c r="P27" s="12">
        <v>46147.129166666666</v>
      </c>
      <c r="Q27" s="12">
        <v>46147.156944444447</v>
      </c>
      <c r="R27" s="12">
        <v>46147.21875</v>
      </c>
      <c r="S27" s="12">
        <v>46149.302083333336</v>
      </c>
      <c r="U27" t="b">
        <v>1</v>
      </c>
      <c r="V27" s="12">
        <v>46189.379166666666</v>
      </c>
      <c r="W27" t="s">
        <v>491</v>
      </c>
      <c r="X27" t="s">
        <v>1434</v>
      </c>
    </row>
    <row r="28" spans="1:25">
      <c r="A28" t="s">
        <v>1435</v>
      </c>
      <c r="B28" t="s">
        <v>1396</v>
      </c>
      <c r="C28" t="s">
        <v>1436</v>
      </c>
      <c r="D28" t="s">
        <v>1437</v>
      </c>
      <c r="E28" t="s">
        <v>743</v>
      </c>
      <c r="F28" t="s">
        <v>1287</v>
      </c>
      <c r="G28">
        <v>122</v>
      </c>
      <c r="H28" t="s">
        <v>16</v>
      </c>
      <c r="I28" t="s">
        <v>24</v>
      </c>
      <c r="J28" t="s">
        <v>1317</v>
      </c>
      <c r="K28">
        <v>72</v>
      </c>
      <c r="L28" t="s">
        <v>42</v>
      </c>
      <c r="M28" t="s">
        <v>1273</v>
      </c>
      <c r="N28" t="s">
        <v>91</v>
      </c>
      <c r="O28" s="12">
        <v>45793.614583333336</v>
      </c>
      <c r="P28" s="12">
        <v>45795.447916666664</v>
      </c>
      <c r="Q28" s="12">
        <v>45795.481944444444</v>
      </c>
      <c r="R28" s="12">
        <v>45795.60833333333</v>
      </c>
      <c r="S28" s="12">
        <v>45797.48333333333</v>
      </c>
      <c r="U28" t="b">
        <v>1</v>
      </c>
      <c r="V28" s="12">
        <v>45899.322916666664</v>
      </c>
      <c r="W28" t="s">
        <v>742</v>
      </c>
      <c r="X28" t="s">
        <v>1438</v>
      </c>
      <c r="Y28" t="s">
        <v>1439</v>
      </c>
    </row>
    <row r="29" spans="1:25">
      <c r="A29" t="s">
        <v>1440</v>
      </c>
      <c r="B29" t="s">
        <v>1124</v>
      </c>
      <c r="C29" t="s">
        <v>1441</v>
      </c>
      <c r="D29" t="s">
        <v>1442</v>
      </c>
      <c r="E29" t="s">
        <v>337</v>
      </c>
      <c r="F29" t="s">
        <v>1322</v>
      </c>
      <c r="G29">
        <v>165</v>
      </c>
      <c r="H29" t="s">
        <v>339</v>
      </c>
      <c r="I29" t="s">
        <v>24</v>
      </c>
      <c r="J29" t="s">
        <v>1271</v>
      </c>
      <c r="K29">
        <v>72</v>
      </c>
      <c r="L29" t="s">
        <v>1272</v>
      </c>
      <c r="M29" t="s">
        <v>1273</v>
      </c>
      <c r="N29" t="s">
        <v>69</v>
      </c>
      <c r="O29" s="12">
        <v>45631.678472222222</v>
      </c>
      <c r="P29" s="12">
        <v>45631.803472222222</v>
      </c>
      <c r="Q29" s="12">
        <v>45631.850694444445</v>
      </c>
      <c r="R29" s="12">
        <v>45632.475694444445</v>
      </c>
      <c r="S29" s="12">
        <v>45634.684027777781</v>
      </c>
      <c r="U29" t="b">
        <v>1</v>
      </c>
      <c r="V29" s="12">
        <v>45653.261805555558</v>
      </c>
      <c r="W29" t="s">
        <v>336</v>
      </c>
      <c r="X29" t="s">
        <v>1443</v>
      </c>
      <c r="Y29" t="s">
        <v>1444</v>
      </c>
    </row>
    <row r="30" spans="1:25">
      <c r="A30" t="s">
        <v>1445</v>
      </c>
      <c r="B30" t="s">
        <v>1384</v>
      </c>
      <c r="C30" t="s">
        <v>1446</v>
      </c>
      <c r="D30" t="s">
        <v>1447</v>
      </c>
      <c r="E30" t="s">
        <v>190</v>
      </c>
      <c r="F30" t="s">
        <v>1448</v>
      </c>
      <c r="G30">
        <v>5</v>
      </c>
      <c r="H30" t="s">
        <v>192</v>
      </c>
      <c r="J30" t="s">
        <v>1281</v>
      </c>
      <c r="K30">
        <v>82</v>
      </c>
      <c r="L30" t="s">
        <v>42</v>
      </c>
      <c r="M30" t="s">
        <v>1273</v>
      </c>
      <c r="N30" t="s">
        <v>91</v>
      </c>
      <c r="O30" s="12">
        <v>45985.967361111114</v>
      </c>
      <c r="P30" s="12">
        <v>45987.509027777778</v>
      </c>
      <c r="Q30" s="12">
        <v>45987.542361111111</v>
      </c>
      <c r="R30" s="12">
        <v>45987.631944444445</v>
      </c>
      <c r="S30" s="12">
        <v>45990.215277777781</v>
      </c>
      <c r="U30" t="b">
        <v>1</v>
      </c>
      <c r="V30" s="12">
        <v>46038.550694444442</v>
      </c>
      <c r="W30" t="s">
        <v>189</v>
      </c>
      <c r="X30" t="s">
        <v>1449</v>
      </c>
      <c r="Y30" t="s">
        <v>1450</v>
      </c>
    </row>
    <row r="31" spans="1:25">
      <c r="A31" t="s">
        <v>1451</v>
      </c>
      <c r="B31" t="s">
        <v>1138</v>
      </c>
      <c r="C31" t="s">
        <v>1432</v>
      </c>
      <c r="D31" t="s">
        <v>1452</v>
      </c>
      <c r="E31" t="s">
        <v>1005</v>
      </c>
      <c r="F31" t="s">
        <v>1453</v>
      </c>
      <c r="G31">
        <v>549</v>
      </c>
      <c r="H31" t="s">
        <v>16</v>
      </c>
      <c r="I31" t="s">
        <v>30</v>
      </c>
      <c r="J31" t="s">
        <v>1281</v>
      </c>
      <c r="K31">
        <v>72</v>
      </c>
      <c r="L31" t="s">
        <v>1272</v>
      </c>
      <c r="M31" t="s">
        <v>1273</v>
      </c>
      <c r="N31" t="s">
        <v>18</v>
      </c>
      <c r="O31" s="12">
        <v>45196.262499999997</v>
      </c>
      <c r="P31" s="12">
        <v>45198.220833333333</v>
      </c>
      <c r="Q31" s="12">
        <v>45198.236805555556</v>
      </c>
      <c r="R31" s="12">
        <v>45198.258333333331</v>
      </c>
      <c r="S31" s="12">
        <v>45198.925000000003</v>
      </c>
      <c r="U31" t="b">
        <v>1</v>
      </c>
      <c r="V31" s="12">
        <v>45250.679166666669</v>
      </c>
      <c r="W31" t="s">
        <v>1004</v>
      </c>
      <c r="X31" t="s">
        <v>1454</v>
      </c>
    </row>
    <row r="32" spans="1:25">
      <c r="A32" t="s">
        <v>1455</v>
      </c>
      <c r="B32" t="s">
        <v>1456</v>
      </c>
      <c r="C32" t="s">
        <v>1112</v>
      </c>
      <c r="D32" t="s">
        <v>1457</v>
      </c>
      <c r="E32" t="s">
        <v>251</v>
      </c>
      <c r="F32" t="s">
        <v>1458</v>
      </c>
      <c r="G32">
        <v>502</v>
      </c>
      <c r="H32" t="s">
        <v>154</v>
      </c>
      <c r="I32" t="s">
        <v>30</v>
      </c>
      <c r="J32" t="s">
        <v>1281</v>
      </c>
      <c r="K32">
        <v>88</v>
      </c>
      <c r="L32" t="s">
        <v>42</v>
      </c>
      <c r="M32" t="s">
        <v>1273</v>
      </c>
      <c r="N32" t="s">
        <v>82</v>
      </c>
      <c r="O32" s="12">
        <v>44704.318055555559</v>
      </c>
      <c r="P32" s="12">
        <v>44707.026388888888</v>
      </c>
      <c r="Q32" s="12">
        <v>44707.048611111109</v>
      </c>
      <c r="R32" s="12">
        <v>44707.076388888891</v>
      </c>
      <c r="S32" s="12">
        <v>44708.076388888891</v>
      </c>
      <c r="U32" t="b">
        <v>1</v>
      </c>
      <c r="V32" s="12">
        <v>44832.943055555559</v>
      </c>
      <c r="W32" t="s">
        <v>250</v>
      </c>
      <c r="X32" t="s">
        <v>1459</v>
      </c>
      <c r="Y32" t="s">
        <v>1460</v>
      </c>
    </row>
    <row r="33" spans="1:25">
      <c r="A33" t="s">
        <v>1461</v>
      </c>
      <c r="B33" t="s">
        <v>1134</v>
      </c>
      <c r="C33" t="s">
        <v>1462</v>
      </c>
      <c r="D33" t="s">
        <v>1463</v>
      </c>
      <c r="E33" t="s">
        <v>724</v>
      </c>
      <c r="F33" t="s">
        <v>1464</v>
      </c>
      <c r="G33">
        <v>1910</v>
      </c>
      <c r="H33" t="s">
        <v>205</v>
      </c>
      <c r="I33" t="s">
        <v>17</v>
      </c>
      <c r="J33" t="s">
        <v>1317</v>
      </c>
      <c r="K33">
        <v>73</v>
      </c>
      <c r="L33" t="s">
        <v>42</v>
      </c>
      <c r="M33" t="s">
        <v>1273</v>
      </c>
      <c r="N33" t="s">
        <v>36</v>
      </c>
      <c r="O33" s="12">
        <v>45279.857638888891</v>
      </c>
      <c r="P33" s="12">
        <v>45281.482638888891</v>
      </c>
      <c r="Q33" s="12">
        <v>45281.530555555553</v>
      </c>
      <c r="R33" s="12">
        <v>45281.618750000001</v>
      </c>
      <c r="S33" s="12">
        <v>45284.45208333333</v>
      </c>
      <c r="U33" t="b">
        <v>1</v>
      </c>
      <c r="V33" s="12">
        <v>45355.940972222219</v>
      </c>
      <c r="W33" t="s">
        <v>723</v>
      </c>
      <c r="X33" t="s">
        <v>1465</v>
      </c>
      <c r="Y33" t="s">
        <v>1466</v>
      </c>
    </row>
    <row r="34" spans="1:25">
      <c r="A34" t="s">
        <v>1467</v>
      </c>
      <c r="B34" t="s">
        <v>1468</v>
      </c>
      <c r="C34" t="s">
        <v>1469</v>
      </c>
      <c r="D34" t="s">
        <v>1470</v>
      </c>
      <c r="E34" t="s">
        <v>107</v>
      </c>
      <c r="F34" t="s">
        <v>1471</v>
      </c>
      <c r="G34">
        <v>691</v>
      </c>
      <c r="H34" t="s">
        <v>95</v>
      </c>
      <c r="I34" t="s">
        <v>30</v>
      </c>
      <c r="J34" t="s">
        <v>1281</v>
      </c>
      <c r="K34">
        <v>73</v>
      </c>
      <c r="L34" t="s">
        <v>1272</v>
      </c>
      <c r="M34" t="s">
        <v>1273</v>
      </c>
      <c r="N34" t="s">
        <v>18</v>
      </c>
      <c r="O34" s="12">
        <v>46052.767361111109</v>
      </c>
      <c r="P34" s="12">
        <v>46055.225694444445</v>
      </c>
      <c r="Q34" s="12">
        <v>46055.283333333333</v>
      </c>
      <c r="R34" s="12">
        <v>46055.412499999999</v>
      </c>
      <c r="S34" s="12">
        <v>46058.20416666667</v>
      </c>
      <c r="U34" t="b">
        <v>1</v>
      </c>
      <c r="V34" s="12">
        <v>46142.892361111109</v>
      </c>
      <c r="W34" t="s">
        <v>106</v>
      </c>
      <c r="X34" t="s">
        <v>1472</v>
      </c>
    </row>
    <row r="35" spans="1:25">
      <c r="A35" t="s">
        <v>1473</v>
      </c>
      <c r="B35" t="s">
        <v>1474</v>
      </c>
      <c r="C35" t="s">
        <v>1475</v>
      </c>
      <c r="D35" t="s">
        <v>1476</v>
      </c>
      <c r="E35" t="s">
        <v>221</v>
      </c>
      <c r="F35" t="s">
        <v>1477</v>
      </c>
      <c r="G35">
        <v>586</v>
      </c>
      <c r="H35" t="s">
        <v>223</v>
      </c>
      <c r="I35" t="s">
        <v>30</v>
      </c>
      <c r="J35" t="s">
        <v>1317</v>
      </c>
      <c r="K35">
        <v>72</v>
      </c>
      <c r="L35" t="s">
        <v>42</v>
      </c>
      <c r="M35" t="s">
        <v>1273</v>
      </c>
      <c r="N35" t="s">
        <v>18</v>
      </c>
      <c r="O35" s="12">
        <v>44652.632638888892</v>
      </c>
      <c r="P35" s="12">
        <v>44653.132638888892</v>
      </c>
      <c r="Q35" s="12">
        <v>44653.162499999999</v>
      </c>
      <c r="R35" s="12">
        <v>44653.215277777781</v>
      </c>
      <c r="S35" s="12">
        <v>44654.756944444445</v>
      </c>
      <c r="U35" t="b">
        <v>1</v>
      </c>
      <c r="V35" s="12">
        <v>44748.09097222222</v>
      </c>
      <c r="W35" t="s">
        <v>220</v>
      </c>
      <c r="X35" t="s">
        <v>1478</v>
      </c>
      <c r="Y35" t="s">
        <v>1479</v>
      </c>
    </row>
    <row r="36" spans="1:25">
      <c r="A36" t="s">
        <v>1480</v>
      </c>
      <c r="B36" t="s">
        <v>1481</v>
      </c>
      <c r="C36" t="s">
        <v>1314</v>
      </c>
      <c r="D36" t="s">
        <v>1482</v>
      </c>
      <c r="E36" t="s">
        <v>234</v>
      </c>
      <c r="F36" t="s">
        <v>1412</v>
      </c>
      <c r="G36">
        <v>126</v>
      </c>
      <c r="H36" t="s">
        <v>236</v>
      </c>
      <c r="I36" t="s">
        <v>24</v>
      </c>
      <c r="J36" t="s">
        <v>1288</v>
      </c>
      <c r="K36">
        <v>72</v>
      </c>
      <c r="L36" t="s">
        <v>1272</v>
      </c>
      <c r="M36" t="s">
        <v>1273</v>
      </c>
      <c r="N36" t="s">
        <v>69</v>
      </c>
      <c r="O36" s="12">
        <v>46214.356249999997</v>
      </c>
      <c r="P36" s="12">
        <v>46217.147916666669</v>
      </c>
      <c r="Q36" s="12">
        <v>46217.206944444442</v>
      </c>
      <c r="R36" s="12">
        <v>46217.456944444442</v>
      </c>
      <c r="S36" s="12">
        <v>46218.165277777778</v>
      </c>
      <c r="U36" t="b">
        <v>1</v>
      </c>
      <c r="V36" s="12">
        <v>46283.981249999997</v>
      </c>
      <c r="W36" t="s">
        <v>233</v>
      </c>
      <c r="X36" t="s">
        <v>1483</v>
      </c>
    </row>
    <row r="37" spans="1:25">
      <c r="A37" t="s">
        <v>1484</v>
      </c>
      <c r="B37" t="s">
        <v>1485</v>
      </c>
      <c r="C37" t="s">
        <v>1203</v>
      </c>
      <c r="D37" t="s">
        <v>1486</v>
      </c>
      <c r="E37" t="s">
        <v>341</v>
      </c>
      <c r="F37" t="s">
        <v>1487</v>
      </c>
      <c r="G37">
        <v>391</v>
      </c>
      <c r="H37" t="s">
        <v>41</v>
      </c>
      <c r="I37" t="s">
        <v>30</v>
      </c>
      <c r="J37" t="s">
        <v>1271</v>
      </c>
      <c r="K37">
        <v>73</v>
      </c>
      <c r="L37" t="s">
        <v>42</v>
      </c>
      <c r="M37" t="s">
        <v>1273</v>
      </c>
      <c r="N37" t="s">
        <v>82</v>
      </c>
      <c r="O37" s="12">
        <v>44646.619444444441</v>
      </c>
      <c r="P37" s="12">
        <v>44649.077777777777</v>
      </c>
      <c r="Q37" s="12">
        <v>44649.124305555553</v>
      </c>
      <c r="R37" s="12">
        <v>44649.150694444441</v>
      </c>
      <c r="S37" s="12">
        <v>44649.525694444441</v>
      </c>
      <c r="U37" t="b">
        <v>1</v>
      </c>
      <c r="V37" s="12">
        <v>44667.119444444441</v>
      </c>
      <c r="W37" t="s">
        <v>340</v>
      </c>
      <c r="X37" t="s">
        <v>1488</v>
      </c>
    </row>
    <row r="38" spans="1:25">
      <c r="A38" t="s">
        <v>1489</v>
      </c>
      <c r="B38" t="s">
        <v>1403</v>
      </c>
      <c r="C38" t="s">
        <v>1490</v>
      </c>
      <c r="D38" t="s">
        <v>1491</v>
      </c>
      <c r="E38" t="s">
        <v>122</v>
      </c>
      <c r="F38" t="s">
        <v>1458</v>
      </c>
      <c r="G38">
        <v>488</v>
      </c>
      <c r="H38" t="s">
        <v>81</v>
      </c>
      <c r="I38" t="s">
        <v>30</v>
      </c>
      <c r="J38" t="s">
        <v>1355</v>
      </c>
      <c r="K38">
        <v>81</v>
      </c>
      <c r="L38" t="s">
        <v>1272</v>
      </c>
      <c r="M38" t="s">
        <v>1273</v>
      </c>
      <c r="N38" t="s">
        <v>82</v>
      </c>
      <c r="O38" s="12">
        <v>45329.776388888888</v>
      </c>
      <c r="P38" s="12">
        <v>45330.568055555559</v>
      </c>
      <c r="Q38" s="12">
        <v>45330.592361111114</v>
      </c>
      <c r="R38" s="12">
        <v>45330.7</v>
      </c>
      <c r="S38" s="12">
        <v>45330.991666666669</v>
      </c>
      <c r="U38" t="b">
        <v>1</v>
      </c>
      <c r="V38" s="12">
        <v>45426.151388888888</v>
      </c>
      <c r="W38" t="s">
        <v>121</v>
      </c>
      <c r="X38" t="s">
        <v>1492</v>
      </c>
    </row>
    <row r="39" spans="1:25">
      <c r="A39" t="s">
        <v>1493</v>
      </c>
      <c r="B39" t="s">
        <v>1494</v>
      </c>
      <c r="C39" t="s">
        <v>1145</v>
      </c>
      <c r="D39" t="s">
        <v>1495</v>
      </c>
      <c r="E39" t="s">
        <v>813</v>
      </c>
      <c r="F39" t="s">
        <v>1496</v>
      </c>
      <c r="G39">
        <v>52</v>
      </c>
      <c r="H39" t="s">
        <v>50</v>
      </c>
      <c r="I39" t="s">
        <v>24</v>
      </c>
      <c r="J39" t="s">
        <v>1281</v>
      </c>
      <c r="K39">
        <v>72</v>
      </c>
      <c r="L39" t="s">
        <v>42</v>
      </c>
      <c r="M39" t="s">
        <v>1273</v>
      </c>
      <c r="N39" t="s">
        <v>59</v>
      </c>
      <c r="O39" s="12">
        <v>44800.700694444444</v>
      </c>
      <c r="P39" s="12">
        <v>44801.65902777778</v>
      </c>
      <c r="Q39" s="12">
        <v>44801.67291666667</v>
      </c>
      <c r="R39" s="12">
        <v>44801.686111111114</v>
      </c>
      <c r="S39" s="12">
        <v>44803.561111111114</v>
      </c>
      <c r="U39" t="b">
        <v>1</v>
      </c>
      <c r="V39" s="12">
        <v>44944.90902777778</v>
      </c>
      <c r="W39" t="s">
        <v>812</v>
      </c>
      <c r="X39" t="s">
        <v>1497</v>
      </c>
      <c r="Y39" t="s">
        <v>1498</v>
      </c>
    </row>
    <row r="40" spans="1:25">
      <c r="A40" t="s">
        <v>1499</v>
      </c>
      <c r="B40" t="s">
        <v>1215</v>
      </c>
      <c r="C40" t="s">
        <v>1158</v>
      </c>
      <c r="D40" t="s">
        <v>1500</v>
      </c>
      <c r="E40" t="s">
        <v>949</v>
      </c>
      <c r="F40" t="s">
        <v>1501</v>
      </c>
      <c r="G40">
        <v>437</v>
      </c>
      <c r="H40" t="s">
        <v>50</v>
      </c>
      <c r="I40" t="s">
        <v>30</v>
      </c>
      <c r="J40" t="s">
        <v>1288</v>
      </c>
      <c r="K40">
        <v>72</v>
      </c>
      <c r="L40" t="s">
        <v>42</v>
      </c>
      <c r="M40" t="s">
        <v>1273</v>
      </c>
      <c r="N40" t="s">
        <v>36</v>
      </c>
      <c r="O40" s="12">
        <v>45773.484722222223</v>
      </c>
      <c r="P40" s="12">
        <v>45775.609722222223</v>
      </c>
      <c r="Q40" s="12">
        <v>45775.62777777778</v>
      </c>
      <c r="R40" s="12">
        <v>45775.718055555553</v>
      </c>
      <c r="S40" s="12">
        <v>45778.634722222225</v>
      </c>
      <c r="U40" t="b">
        <v>1</v>
      </c>
      <c r="V40" s="12">
        <v>45866.568055555559</v>
      </c>
      <c r="W40" t="s">
        <v>948</v>
      </c>
      <c r="X40" t="s">
        <v>1502</v>
      </c>
      <c r="Y40" t="s">
        <v>1503</v>
      </c>
    </row>
    <row r="41" spans="1:25">
      <c r="A41" t="s">
        <v>1504</v>
      </c>
      <c r="B41" t="s">
        <v>1505</v>
      </c>
      <c r="C41" t="s">
        <v>1112</v>
      </c>
      <c r="D41" t="s">
        <v>1506</v>
      </c>
      <c r="E41" t="s">
        <v>442</v>
      </c>
      <c r="F41" t="s">
        <v>1458</v>
      </c>
      <c r="G41">
        <v>577</v>
      </c>
      <c r="H41" t="s">
        <v>216</v>
      </c>
      <c r="I41" t="s">
        <v>30</v>
      </c>
      <c r="J41" t="s">
        <v>1355</v>
      </c>
      <c r="K41">
        <v>73</v>
      </c>
      <c r="L41" t="s">
        <v>1272</v>
      </c>
      <c r="M41" t="s">
        <v>1273</v>
      </c>
      <c r="N41" t="s">
        <v>18</v>
      </c>
      <c r="O41" s="12">
        <v>46211.248611111114</v>
      </c>
      <c r="P41" s="12">
        <v>46212.206944444442</v>
      </c>
      <c r="Q41" s="12">
        <v>46212.223611111112</v>
      </c>
      <c r="R41" s="12">
        <v>46212.267361111109</v>
      </c>
      <c r="S41" s="12">
        <v>46213.225694444445</v>
      </c>
      <c r="U41" t="b">
        <v>1</v>
      </c>
      <c r="V41" s="12">
        <v>46263.540277777778</v>
      </c>
      <c r="W41" t="s">
        <v>441</v>
      </c>
      <c r="X41" t="s">
        <v>1507</v>
      </c>
      <c r="Y41" t="s">
        <v>1508</v>
      </c>
    </row>
    <row r="42" spans="1:25">
      <c r="A42" t="s">
        <v>1509</v>
      </c>
      <c r="B42" t="s">
        <v>1424</v>
      </c>
      <c r="C42" t="s">
        <v>1291</v>
      </c>
      <c r="D42" t="s">
        <v>1510</v>
      </c>
      <c r="E42" t="s">
        <v>787</v>
      </c>
      <c r="F42" t="s">
        <v>1511</v>
      </c>
      <c r="G42">
        <v>68</v>
      </c>
      <c r="H42" t="s">
        <v>226</v>
      </c>
      <c r="I42" t="s">
        <v>24</v>
      </c>
      <c r="J42" t="s">
        <v>1288</v>
      </c>
      <c r="K42">
        <v>72</v>
      </c>
      <c r="L42" t="s">
        <v>1272</v>
      </c>
      <c r="M42" t="s">
        <v>1273</v>
      </c>
      <c r="N42" t="s">
        <v>69</v>
      </c>
      <c r="O42" s="12">
        <v>45825.491666666669</v>
      </c>
      <c r="P42" s="12">
        <v>45825.7</v>
      </c>
      <c r="Q42" s="12">
        <v>45825.725694444445</v>
      </c>
      <c r="R42" s="12">
        <v>45825.74722222222</v>
      </c>
      <c r="S42" s="12">
        <v>45828.705555555556</v>
      </c>
      <c r="U42" t="b">
        <v>1</v>
      </c>
      <c r="V42" s="12">
        <v>45933.491666666669</v>
      </c>
      <c r="W42" t="s">
        <v>786</v>
      </c>
      <c r="X42" t="s">
        <v>1512</v>
      </c>
      <c r="Y42" t="s">
        <v>1513</v>
      </c>
    </row>
    <row r="43" spans="1:25">
      <c r="A43" t="s">
        <v>1514</v>
      </c>
      <c r="B43" t="s">
        <v>1515</v>
      </c>
      <c r="C43" t="s">
        <v>1291</v>
      </c>
      <c r="D43" t="s">
        <v>1516</v>
      </c>
      <c r="E43" t="s">
        <v>516</v>
      </c>
      <c r="F43" t="s">
        <v>1517</v>
      </c>
      <c r="G43">
        <v>65</v>
      </c>
      <c r="H43" t="s">
        <v>81</v>
      </c>
      <c r="I43" t="s">
        <v>24</v>
      </c>
      <c r="J43" t="s">
        <v>1295</v>
      </c>
      <c r="K43">
        <v>83</v>
      </c>
      <c r="L43" t="s">
        <v>1272</v>
      </c>
      <c r="M43" t="s">
        <v>1273</v>
      </c>
      <c r="N43" t="s">
        <v>25</v>
      </c>
      <c r="O43" s="12">
        <v>45134.348611111112</v>
      </c>
      <c r="P43" s="12">
        <v>45135.098611111112</v>
      </c>
      <c r="Q43" s="12">
        <v>45135.121527777781</v>
      </c>
      <c r="R43" s="12">
        <v>45135.226388888892</v>
      </c>
      <c r="S43" s="12">
        <v>45137.601388888892</v>
      </c>
      <c r="U43" t="b">
        <v>1</v>
      </c>
      <c r="V43" s="12">
        <v>45227.765277777777</v>
      </c>
      <c r="W43" t="s">
        <v>515</v>
      </c>
      <c r="X43" t="s">
        <v>1518</v>
      </c>
      <c r="Y43" t="s">
        <v>1519</v>
      </c>
    </row>
    <row r="44" spans="1:25">
      <c r="A44" t="s">
        <v>1520</v>
      </c>
      <c r="B44" t="s">
        <v>1521</v>
      </c>
      <c r="C44" t="s">
        <v>1404</v>
      </c>
      <c r="D44" t="s">
        <v>1522</v>
      </c>
      <c r="E44" t="s">
        <v>146</v>
      </c>
      <c r="F44" t="s">
        <v>1523</v>
      </c>
      <c r="G44">
        <v>53</v>
      </c>
      <c r="H44" t="s">
        <v>50</v>
      </c>
      <c r="I44" t="s">
        <v>24</v>
      </c>
      <c r="J44" t="s">
        <v>1271</v>
      </c>
      <c r="K44">
        <v>72</v>
      </c>
      <c r="L44" t="s">
        <v>42</v>
      </c>
      <c r="M44" t="s">
        <v>1273</v>
      </c>
      <c r="N44" t="s">
        <v>59</v>
      </c>
      <c r="O44" s="12">
        <v>45524.29791666667</v>
      </c>
      <c r="P44" s="12">
        <v>45526.756249999999</v>
      </c>
      <c r="Q44" s="12">
        <v>45526.793749999997</v>
      </c>
      <c r="R44" s="12">
        <v>45526.915277777778</v>
      </c>
      <c r="S44" s="12">
        <v>45528.331944444442</v>
      </c>
      <c r="U44" t="b">
        <v>1</v>
      </c>
      <c r="V44" s="12">
        <v>45626.29791666667</v>
      </c>
      <c r="W44" t="s">
        <v>145</v>
      </c>
      <c r="X44" t="s">
        <v>1524</v>
      </c>
      <c r="Y44" t="s">
        <v>1525</v>
      </c>
    </row>
    <row r="45" spans="1:25">
      <c r="A45" t="s">
        <v>1526</v>
      </c>
      <c r="B45" t="s">
        <v>1207</v>
      </c>
      <c r="C45" t="s">
        <v>1180</v>
      </c>
      <c r="D45" t="s">
        <v>1527</v>
      </c>
      <c r="E45" t="s">
        <v>27</v>
      </c>
      <c r="F45" t="s">
        <v>1302</v>
      </c>
      <c r="G45">
        <v>542</v>
      </c>
      <c r="H45" t="s">
        <v>16</v>
      </c>
      <c r="I45" t="s">
        <v>30</v>
      </c>
      <c r="J45" t="s">
        <v>1295</v>
      </c>
      <c r="K45">
        <v>83</v>
      </c>
      <c r="L45" t="s">
        <v>1272</v>
      </c>
      <c r="M45" t="s">
        <v>1273</v>
      </c>
      <c r="N45" t="s">
        <v>18</v>
      </c>
      <c r="O45" s="12">
        <v>45442.361111111109</v>
      </c>
      <c r="P45" s="12">
        <v>45445.027777777781</v>
      </c>
      <c r="Q45" s="12">
        <v>45445.051388888889</v>
      </c>
      <c r="R45" s="12">
        <v>45445.07708333333</v>
      </c>
      <c r="S45" s="12">
        <v>45447.368750000001</v>
      </c>
      <c r="U45" t="b">
        <v>1</v>
      </c>
      <c r="V45" s="12">
        <v>45500.361111111109</v>
      </c>
      <c r="W45" t="s">
        <v>26</v>
      </c>
      <c r="X45" t="s">
        <v>1528</v>
      </c>
    </row>
    <row r="46" spans="1:25">
      <c r="A46" t="s">
        <v>1529</v>
      </c>
      <c r="B46" t="s">
        <v>1138</v>
      </c>
      <c r="C46" t="s">
        <v>1172</v>
      </c>
      <c r="D46" t="s">
        <v>1530</v>
      </c>
      <c r="E46" t="s">
        <v>71</v>
      </c>
      <c r="F46" t="s">
        <v>1302</v>
      </c>
      <c r="G46">
        <v>293</v>
      </c>
      <c r="H46" t="s">
        <v>16</v>
      </c>
      <c r="I46" t="s">
        <v>30</v>
      </c>
      <c r="J46" t="s">
        <v>1288</v>
      </c>
      <c r="K46">
        <v>81</v>
      </c>
      <c r="L46" t="s">
        <v>1272</v>
      </c>
      <c r="M46" t="s">
        <v>1273</v>
      </c>
      <c r="N46" t="s">
        <v>18</v>
      </c>
      <c r="O46" s="12">
        <v>46148.793749999997</v>
      </c>
      <c r="P46" s="12">
        <v>46151.752083333333</v>
      </c>
      <c r="Q46" s="12">
        <v>46151.76458333333</v>
      </c>
      <c r="R46" s="12">
        <v>46151.848611111112</v>
      </c>
      <c r="S46" s="12">
        <v>46152.515277777777</v>
      </c>
      <c r="U46" t="b">
        <v>1</v>
      </c>
      <c r="V46" s="12">
        <v>46238.835416666669</v>
      </c>
      <c r="W46" t="s">
        <v>70</v>
      </c>
      <c r="X46" t="s">
        <v>1531</v>
      </c>
    </row>
    <row r="47" spans="1:25">
      <c r="A47" t="s">
        <v>1532</v>
      </c>
      <c r="B47" t="s">
        <v>1533</v>
      </c>
      <c r="C47" t="s">
        <v>1180</v>
      </c>
      <c r="D47" t="s">
        <v>1534</v>
      </c>
      <c r="E47" t="s">
        <v>773</v>
      </c>
      <c r="F47" t="s">
        <v>1496</v>
      </c>
      <c r="G47">
        <v>73</v>
      </c>
      <c r="H47" t="s">
        <v>236</v>
      </c>
      <c r="I47" t="s">
        <v>24</v>
      </c>
      <c r="J47" t="s">
        <v>1295</v>
      </c>
      <c r="K47">
        <v>80</v>
      </c>
      <c r="L47" t="s">
        <v>1272</v>
      </c>
      <c r="M47" t="s">
        <v>1273</v>
      </c>
      <c r="N47" t="s">
        <v>91</v>
      </c>
      <c r="O47" s="12">
        <v>46131.053472222222</v>
      </c>
      <c r="P47" s="12">
        <v>46132.928472222222</v>
      </c>
      <c r="Q47" s="12">
        <v>46132.936805555553</v>
      </c>
      <c r="R47" s="12">
        <v>46133.005555555559</v>
      </c>
      <c r="S47" s="12">
        <v>46134.838888888888</v>
      </c>
      <c r="U47" t="b">
        <v>1</v>
      </c>
      <c r="V47" s="12">
        <v>46271.345138888886</v>
      </c>
      <c r="W47" t="s">
        <v>772</v>
      </c>
      <c r="X47" t="s">
        <v>1535</v>
      </c>
      <c r="Y47" t="s">
        <v>1536</v>
      </c>
    </row>
    <row r="48" spans="1:25">
      <c r="A48" t="s">
        <v>1537</v>
      </c>
      <c r="B48" t="s">
        <v>1167</v>
      </c>
      <c r="C48" t="s">
        <v>1436</v>
      </c>
      <c r="D48" t="s">
        <v>1538</v>
      </c>
      <c r="E48" t="s">
        <v>587</v>
      </c>
      <c r="F48" t="s">
        <v>1360</v>
      </c>
      <c r="G48">
        <v>2058</v>
      </c>
      <c r="H48" t="s">
        <v>154</v>
      </c>
      <c r="I48" t="s">
        <v>17</v>
      </c>
      <c r="J48" t="s">
        <v>1355</v>
      </c>
      <c r="K48">
        <v>72</v>
      </c>
      <c r="L48" t="s">
        <v>1272</v>
      </c>
      <c r="M48" t="s">
        <v>1273</v>
      </c>
      <c r="N48" t="s">
        <v>82</v>
      </c>
      <c r="O48" s="12">
        <v>45238.661805555559</v>
      </c>
      <c r="P48" s="12">
        <v>45239.078472222223</v>
      </c>
      <c r="Q48" s="12">
        <v>45239.092361111114</v>
      </c>
      <c r="R48" s="12">
        <v>45239.163194444445</v>
      </c>
      <c r="S48" s="12">
        <v>45240.996527777781</v>
      </c>
      <c r="U48" t="b">
        <v>1</v>
      </c>
      <c r="V48" s="12">
        <v>45272.120138888888</v>
      </c>
      <c r="W48" t="s">
        <v>586</v>
      </c>
      <c r="X48" t="s">
        <v>1539</v>
      </c>
    </row>
    <row r="49" spans="1:25">
      <c r="A49" t="s">
        <v>1540</v>
      </c>
      <c r="B49" t="s">
        <v>1111</v>
      </c>
      <c r="C49" t="s">
        <v>1541</v>
      </c>
      <c r="D49" t="s">
        <v>1542</v>
      </c>
      <c r="E49" t="s">
        <v>489</v>
      </c>
      <c r="F49" t="s">
        <v>1373</v>
      </c>
      <c r="G49">
        <v>1642</v>
      </c>
      <c r="H49" t="s">
        <v>50</v>
      </c>
      <c r="I49" t="s">
        <v>17</v>
      </c>
      <c r="J49" t="s">
        <v>1271</v>
      </c>
      <c r="K49">
        <v>72</v>
      </c>
      <c r="L49" t="s">
        <v>42</v>
      </c>
      <c r="M49" t="s">
        <v>1273</v>
      </c>
      <c r="N49" t="s">
        <v>36</v>
      </c>
      <c r="O49" s="12">
        <v>44874.788194444445</v>
      </c>
      <c r="P49" s="12">
        <v>44876.288194444445</v>
      </c>
      <c r="Q49" s="12">
        <v>44876.311111111114</v>
      </c>
      <c r="R49" s="12">
        <v>44876.351388888892</v>
      </c>
      <c r="S49" s="12">
        <v>44878.976388888892</v>
      </c>
      <c r="U49" t="b">
        <v>1</v>
      </c>
      <c r="V49" s="12">
        <v>44893.454861111109</v>
      </c>
      <c r="W49" t="s">
        <v>488</v>
      </c>
      <c r="X49" t="s">
        <v>1543</v>
      </c>
      <c r="Y49" t="s">
        <v>1544</v>
      </c>
    </row>
    <row r="50" spans="1:25">
      <c r="A50" t="s">
        <v>1545</v>
      </c>
      <c r="B50" t="s">
        <v>1546</v>
      </c>
      <c r="C50" t="s">
        <v>1203</v>
      </c>
      <c r="D50" t="s">
        <v>1547</v>
      </c>
      <c r="E50" t="s">
        <v>277</v>
      </c>
      <c r="F50" t="s">
        <v>1548</v>
      </c>
      <c r="G50">
        <v>288</v>
      </c>
      <c r="H50" t="s">
        <v>68</v>
      </c>
      <c r="I50" t="s">
        <v>30</v>
      </c>
      <c r="J50" t="s">
        <v>1355</v>
      </c>
      <c r="K50">
        <v>80</v>
      </c>
      <c r="L50" t="s">
        <v>42</v>
      </c>
      <c r="M50" t="s">
        <v>1273</v>
      </c>
      <c r="N50" t="s">
        <v>55</v>
      </c>
      <c r="O50" s="12">
        <v>45939.377083333333</v>
      </c>
      <c r="P50" s="12">
        <v>45940.043749999997</v>
      </c>
      <c r="Q50" s="12">
        <v>45940.080555555556</v>
      </c>
      <c r="R50" s="12">
        <v>45940.211805555555</v>
      </c>
      <c r="S50" s="12">
        <v>45940.670138888891</v>
      </c>
      <c r="U50" t="b">
        <v>1</v>
      </c>
      <c r="V50" s="12">
        <v>46054.127083333333</v>
      </c>
      <c r="W50" t="s">
        <v>276</v>
      </c>
      <c r="X50" t="s">
        <v>1549</v>
      </c>
      <c r="Y50" t="s">
        <v>1550</v>
      </c>
    </row>
    <row r="51" spans="1:25">
      <c r="A51" t="s">
        <v>1551</v>
      </c>
      <c r="B51" t="s">
        <v>1552</v>
      </c>
      <c r="C51" t="s">
        <v>1139</v>
      </c>
      <c r="D51" t="s">
        <v>1553</v>
      </c>
      <c r="E51" t="s">
        <v>52</v>
      </c>
      <c r="F51" t="s">
        <v>1554</v>
      </c>
      <c r="G51">
        <v>738</v>
      </c>
      <c r="H51" t="s">
        <v>54</v>
      </c>
      <c r="I51" t="s">
        <v>30</v>
      </c>
      <c r="J51" t="s">
        <v>1317</v>
      </c>
      <c r="K51">
        <v>72</v>
      </c>
      <c r="L51" t="s">
        <v>1272</v>
      </c>
      <c r="M51" t="s">
        <v>1273</v>
      </c>
      <c r="N51" t="s">
        <v>55</v>
      </c>
      <c r="O51" s="12">
        <v>45360.74722222222</v>
      </c>
      <c r="P51" s="12">
        <v>45361.49722222222</v>
      </c>
      <c r="Q51" s="12">
        <v>45361.529166666667</v>
      </c>
      <c r="R51" s="12">
        <v>45361.552777777775</v>
      </c>
      <c r="S51" s="12">
        <v>45364.344444444447</v>
      </c>
      <c r="U51" t="b">
        <v>1</v>
      </c>
      <c r="V51" s="12">
        <v>45446.830555555556</v>
      </c>
      <c r="W51" t="s">
        <v>51</v>
      </c>
      <c r="X51" t="s">
        <v>1555</v>
      </c>
      <c r="Y51" t="s">
        <v>1556</v>
      </c>
    </row>
    <row r="52" spans="1:25">
      <c r="A52" t="s">
        <v>1557</v>
      </c>
      <c r="B52" t="s">
        <v>1558</v>
      </c>
      <c r="C52" t="s">
        <v>1397</v>
      </c>
      <c r="D52" t="s">
        <v>1559</v>
      </c>
      <c r="E52" t="s">
        <v>383</v>
      </c>
      <c r="F52" t="s">
        <v>1302</v>
      </c>
      <c r="G52">
        <v>609</v>
      </c>
      <c r="H52" t="s">
        <v>385</v>
      </c>
      <c r="I52" t="s">
        <v>30</v>
      </c>
      <c r="J52" t="s">
        <v>1355</v>
      </c>
      <c r="K52">
        <v>77</v>
      </c>
      <c r="L52" t="s">
        <v>42</v>
      </c>
      <c r="M52" t="s">
        <v>1273</v>
      </c>
      <c r="N52" t="s">
        <v>18</v>
      </c>
      <c r="O52" s="12">
        <v>45433.999305555553</v>
      </c>
      <c r="P52" s="12">
        <v>45436.290972222225</v>
      </c>
      <c r="Q52" s="12">
        <v>45436.335416666669</v>
      </c>
      <c r="R52" s="12">
        <v>45436.402777777781</v>
      </c>
      <c r="S52" s="12">
        <v>45436.861111111109</v>
      </c>
      <c r="U52" t="b">
        <v>1</v>
      </c>
      <c r="V52" s="12">
        <v>45464.457638888889</v>
      </c>
      <c r="W52" t="s">
        <v>382</v>
      </c>
      <c r="X52" t="s">
        <v>1560</v>
      </c>
      <c r="Y52" t="s">
        <v>1561</v>
      </c>
    </row>
    <row r="53" spans="1:25">
      <c r="A53" t="s">
        <v>1562</v>
      </c>
      <c r="B53" t="s">
        <v>1306</v>
      </c>
      <c r="C53" t="s">
        <v>1155</v>
      </c>
      <c r="D53" t="s">
        <v>1563</v>
      </c>
      <c r="E53" t="s">
        <v>919</v>
      </c>
      <c r="F53" t="s">
        <v>1333</v>
      </c>
      <c r="G53">
        <v>1561</v>
      </c>
      <c r="H53" t="s">
        <v>50</v>
      </c>
      <c r="I53" t="s">
        <v>17</v>
      </c>
      <c r="J53" t="s">
        <v>1317</v>
      </c>
      <c r="K53">
        <v>72</v>
      </c>
      <c r="L53" t="s">
        <v>42</v>
      </c>
      <c r="M53" t="s">
        <v>1273</v>
      </c>
      <c r="N53" t="s">
        <v>36</v>
      </c>
      <c r="O53" s="12">
        <v>44618.371527777781</v>
      </c>
      <c r="P53" s="12">
        <v>44619.079861111109</v>
      </c>
      <c r="Q53" s="12">
        <v>44619.118750000001</v>
      </c>
      <c r="R53" s="12">
        <v>44619.140277777777</v>
      </c>
      <c r="S53" s="12">
        <v>44620.140277777777</v>
      </c>
      <c r="U53" t="b">
        <v>1</v>
      </c>
      <c r="V53" s="12">
        <v>44707.829861111109</v>
      </c>
      <c r="W53" t="s">
        <v>918</v>
      </c>
      <c r="X53" t="s">
        <v>1564</v>
      </c>
      <c r="Y53" t="s">
        <v>1565</v>
      </c>
    </row>
    <row r="54" spans="1:25">
      <c r="A54" t="s">
        <v>1566</v>
      </c>
      <c r="B54" t="s">
        <v>1567</v>
      </c>
      <c r="C54" t="s">
        <v>1418</v>
      </c>
      <c r="D54" t="s">
        <v>1568</v>
      </c>
      <c r="E54" t="s">
        <v>74</v>
      </c>
      <c r="F54" t="s">
        <v>1569</v>
      </c>
      <c r="G54">
        <v>2018</v>
      </c>
      <c r="H54" t="s">
        <v>76</v>
      </c>
      <c r="I54" t="s">
        <v>17</v>
      </c>
      <c r="J54" t="s">
        <v>1317</v>
      </c>
      <c r="K54">
        <v>77</v>
      </c>
      <c r="L54" t="s">
        <v>1272</v>
      </c>
      <c r="M54" t="s">
        <v>1273</v>
      </c>
      <c r="N54" t="s">
        <v>36</v>
      </c>
      <c r="O54" s="12">
        <v>46163.008333333331</v>
      </c>
      <c r="P54" s="12">
        <v>46163.175000000003</v>
      </c>
      <c r="Q54" s="12">
        <v>46163.192361111112</v>
      </c>
      <c r="R54" s="12">
        <v>46163.243750000001</v>
      </c>
      <c r="S54" s="12">
        <v>46163.535416666666</v>
      </c>
      <c r="U54" t="b">
        <v>1</v>
      </c>
      <c r="V54" s="12">
        <v>46284.341666666667</v>
      </c>
      <c r="W54" t="s">
        <v>73</v>
      </c>
      <c r="X54" t="s">
        <v>1570</v>
      </c>
      <c r="Y54" t="s">
        <v>1571</v>
      </c>
    </row>
    <row r="55" spans="1:25">
      <c r="A55" t="s">
        <v>1572</v>
      </c>
      <c r="B55" t="s">
        <v>1330</v>
      </c>
      <c r="C55" t="s">
        <v>1186</v>
      </c>
      <c r="D55" t="s">
        <v>1573</v>
      </c>
      <c r="E55" t="s">
        <v>210</v>
      </c>
      <c r="F55" t="s">
        <v>1574</v>
      </c>
      <c r="G55">
        <v>622</v>
      </c>
      <c r="H55" t="s">
        <v>212</v>
      </c>
      <c r="I55" t="s">
        <v>30</v>
      </c>
      <c r="J55" t="s">
        <v>1295</v>
      </c>
      <c r="K55">
        <v>93</v>
      </c>
      <c r="L55" t="s">
        <v>42</v>
      </c>
      <c r="M55" t="s">
        <v>1273</v>
      </c>
      <c r="N55" t="s">
        <v>55</v>
      </c>
      <c r="O55" s="12">
        <v>45679.751388888886</v>
      </c>
      <c r="P55" s="12">
        <v>45682.376388888886</v>
      </c>
      <c r="Q55" s="12">
        <v>45682.417361111111</v>
      </c>
      <c r="R55" s="12">
        <v>45682.482638888891</v>
      </c>
      <c r="S55" s="12">
        <v>45683.399305555555</v>
      </c>
      <c r="U55" t="b">
        <v>1</v>
      </c>
      <c r="V55" s="12">
        <v>45763.751388888886</v>
      </c>
      <c r="W55" t="s">
        <v>209</v>
      </c>
      <c r="X55" t="s">
        <v>1575</v>
      </c>
      <c r="Y55" t="s">
        <v>1576</v>
      </c>
    </row>
    <row r="56" spans="1:25">
      <c r="A56" t="s">
        <v>1577</v>
      </c>
      <c r="B56" t="s">
        <v>1578</v>
      </c>
      <c r="C56" t="s">
        <v>1579</v>
      </c>
      <c r="D56" t="s">
        <v>1580</v>
      </c>
      <c r="E56" t="s">
        <v>129</v>
      </c>
      <c r="F56" t="s">
        <v>1302</v>
      </c>
      <c r="G56">
        <v>483</v>
      </c>
      <c r="H56" t="s">
        <v>64</v>
      </c>
      <c r="I56" t="s">
        <v>30</v>
      </c>
      <c r="J56" t="s">
        <v>1295</v>
      </c>
      <c r="K56">
        <v>90</v>
      </c>
      <c r="L56" t="s">
        <v>1272</v>
      </c>
      <c r="M56" t="s">
        <v>1273</v>
      </c>
      <c r="N56" t="s">
        <v>55</v>
      </c>
      <c r="O56" s="12">
        <v>46100.800000000003</v>
      </c>
      <c r="P56" s="12">
        <v>46101.3</v>
      </c>
      <c r="Q56" s="12">
        <v>46101.34375</v>
      </c>
      <c r="R56" s="12">
        <v>46101.459027777775</v>
      </c>
      <c r="S56" s="12">
        <v>46104.459027777775</v>
      </c>
      <c r="U56" t="b">
        <v>1</v>
      </c>
      <c r="V56" s="12">
        <v>46245.133333333331</v>
      </c>
      <c r="W56" t="s">
        <v>128</v>
      </c>
      <c r="X56" t="s">
        <v>1581</v>
      </c>
      <c r="Y56" t="s">
        <v>1582</v>
      </c>
    </row>
    <row r="57" spans="1:25">
      <c r="A57" t="s">
        <v>1583</v>
      </c>
      <c r="B57" t="s">
        <v>1584</v>
      </c>
      <c r="C57" t="s">
        <v>1585</v>
      </c>
      <c r="D57" t="s">
        <v>1586</v>
      </c>
      <c r="E57" t="s">
        <v>293</v>
      </c>
      <c r="F57" t="s">
        <v>1587</v>
      </c>
      <c r="G57">
        <v>497</v>
      </c>
      <c r="H57" t="s">
        <v>295</v>
      </c>
      <c r="I57" t="s">
        <v>30</v>
      </c>
      <c r="J57" t="s">
        <v>1295</v>
      </c>
      <c r="K57">
        <v>84</v>
      </c>
      <c r="L57" t="s">
        <v>1272</v>
      </c>
      <c r="M57" t="s">
        <v>1273</v>
      </c>
      <c r="N57" t="s">
        <v>82</v>
      </c>
      <c r="O57" s="12">
        <v>45205.189583333333</v>
      </c>
      <c r="P57" s="12">
        <v>45206.522916666669</v>
      </c>
      <c r="Q57" s="12">
        <v>45206.576388888891</v>
      </c>
      <c r="R57" s="12">
        <v>45206.675694444442</v>
      </c>
      <c r="S57" s="12">
        <v>45208.925694444442</v>
      </c>
      <c r="U57" t="b">
        <v>1</v>
      </c>
      <c r="V57" s="12">
        <v>45284.189583333333</v>
      </c>
      <c r="W57" t="s">
        <v>292</v>
      </c>
      <c r="X57" t="s">
        <v>1588</v>
      </c>
      <c r="Y57" t="s">
        <v>1589</v>
      </c>
    </row>
    <row r="58" spans="1:25">
      <c r="A58" t="s">
        <v>1590</v>
      </c>
      <c r="B58" t="s">
        <v>1291</v>
      </c>
      <c r="C58" t="s">
        <v>1591</v>
      </c>
      <c r="D58" t="s">
        <v>1592</v>
      </c>
      <c r="E58" t="s">
        <v>260</v>
      </c>
      <c r="F58" t="s">
        <v>1302</v>
      </c>
      <c r="G58">
        <v>641</v>
      </c>
      <c r="H58" t="s">
        <v>81</v>
      </c>
      <c r="I58" t="s">
        <v>30</v>
      </c>
      <c r="J58" t="s">
        <v>1317</v>
      </c>
      <c r="K58">
        <v>72</v>
      </c>
      <c r="L58" t="s">
        <v>1272</v>
      </c>
      <c r="M58" t="s">
        <v>1273</v>
      </c>
      <c r="N58" t="s">
        <v>55</v>
      </c>
      <c r="O58" s="12">
        <v>45628.09652777778</v>
      </c>
      <c r="P58" s="12">
        <v>45628.679861111108</v>
      </c>
      <c r="Q58" s="12">
        <v>45628.722222222219</v>
      </c>
      <c r="R58" s="12">
        <v>45628.786111111112</v>
      </c>
      <c r="S58" s="12">
        <v>45629.952777777777</v>
      </c>
      <c r="U58" t="b">
        <v>1</v>
      </c>
      <c r="V58" s="12">
        <v>45668.638194444444</v>
      </c>
      <c r="W58" t="s">
        <v>259</v>
      </c>
      <c r="X58" t="s">
        <v>1593</v>
      </c>
      <c r="Y58" t="s">
        <v>1594</v>
      </c>
    </row>
    <row r="59" spans="1:25">
      <c r="A59" t="s">
        <v>1595</v>
      </c>
      <c r="B59" t="s">
        <v>1596</v>
      </c>
      <c r="C59" t="s">
        <v>1597</v>
      </c>
      <c r="D59" t="s">
        <v>1598</v>
      </c>
      <c r="E59" t="s">
        <v>587</v>
      </c>
      <c r="F59" t="s">
        <v>1471</v>
      </c>
      <c r="G59">
        <v>2058</v>
      </c>
      <c r="H59" t="s">
        <v>154</v>
      </c>
      <c r="I59" t="s">
        <v>17</v>
      </c>
      <c r="J59" t="s">
        <v>1295</v>
      </c>
      <c r="K59">
        <v>99</v>
      </c>
      <c r="L59" t="s">
        <v>1272</v>
      </c>
      <c r="M59" t="s">
        <v>1273</v>
      </c>
      <c r="N59" t="s">
        <v>82</v>
      </c>
      <c r="O59" s="12">
        <v>44899.526388888888</v>
      </c>
      <c r="P59" s="12">
        <v>44901.109722222223</v>
      </c>
      <c r="Q59" s="12">
        <v>44901.143750000003</v>
      </c>
      <c r="R59" s="12">
        <v>44901.254166666666</v>
      </c>
      <c r="S59" s="12">
        <v>44904.129166666666</v>
      </c>
      <c r="U59" t="b">
        <v>1</v>
      </c>
      <c r="V59" s="12">
        <v>45048.943055555559</v>
      </c>
      <c r="W59" t="s">
        <v>586</v>
      </c>
      <c r="X59" t="s">
        <v>1599</v>
      </c>
    </row>
    <row r="60" spans="1:25">
      <c r="A60" t="s">
        <v>1600</v>
      </c>
      <c r="B60" t="s">
        <v>1157</v>
      </c>
      <c r="C60" t="s">
        <v>1222</v>
      </c>
      <c r="D60" t="s">
        <v>1601</v>
      </c>
      <c r="E60" t="s">
        <v>247</v>
      </c>
      <c r="F60" t="s">
        <v>1602</v>
      </c>
      <c r="G60">
        <v>2096</v>
      </c>
      <c r="H60" t="s">
        <v>249</v>
      </c>
      <c r="I60" t="s">
        <v>17</v>
      </c>
      <c r="J60" t="s">
        <v>1288</v>
      </c>
      <c r="K60">
        <v>72</v>
      </c>
      <c r="L60" t="s">
        <v>42</v>
      </c>
      <c r="M60" t="s">
        <v>1273</v>
      </c>
      <c r="N60" t="s">
        <v>36</v>
      </c>
      <c r="O60" s="12">
        <v>46093.71597222222</v>
      </c>
      <c r="P60" s="12">
        <v>46096.507638888892</v>
      </c>
      <c r="Q60" s="12">
        <v>46096.51666666667</v>
      </c>
      <c r="R60" s="12">
        <v>46096.618750000001</v>
      </c>
      <c r="S60" s="12">
        <v>46099.20208333333</v>
      </c>
      <c r="U60" t="b">
        <v>1</v>
      </c>
      <c r="V60" s="12">
        <v>46206.132638888892</v>
      </c>
      <c r="W60" t="s">
        <v>246</v>
      </c>
      <c r="X60" t="s">
        <v>1603</v>
      </c>
    </row>
    <row r="61" spans="1:25">
      <c r="A61" t="s">
        <v>1604</v>
      </c>
      <c r="B61" t="s">
        <v>1605</v>
      </c>
      <c r="C61" t="s">
        <v>1083</v>
      </c>
      <c r="D61" t="s">
        <v>1606</v>
      </c>
      <c r="E61" t="s">
        <v>501</v>
      </c>
      <c r="F61" t="s">
        <v>1420</v>
      </c>
      <c r="G61">
        <v>150</v>
      </c>
      <c r="H61" t="s">
        <v>81</v>
      </c>
      <c r="I61" t="s">
        <v>24</v>
      </c>
      <c r="J61" t="s">
        <v>1355</v>
      </c>
      <c r="K61">
        <v>72</v>
      </c>
      <c r="L61" t="s">
        <v>42</v>
      </c>
      <c r="M61" t="s">
        <v>1273</v>
      </c>
      <c r="N61" t="s">
        <v>25</v>
      </c>
      <c r="O61" s="12">
        <v>45562.713888888888</v>
      </c>
      <c r="P61" s="12">
        <v>45565.088888888888</v>
      </c>
      <c r="Q61" s="12">
        <v>45565.106944444444</v>
      </c>
      <c r="R61" s="12">
        <v>45566.273611111108</v>
      </c>
      <c r="S61" s="12">
        <v>45567.356944444444</v>
      </c>
      <c r="U61" t="b">
        <v>1</v>
      </c>
      <c r="V61" s="12">
        <v>45591.338888888888</v>
      </c>
      <c r="W61" t="s">
        <v>500</v>
      </c>
      <c r="X61" t="s">
        <v>1607</v>
      </c>
      <c r="Y61" t="s">
        <v>1608</v>
      </c>
    </row>
    <row r="62" spans="1:25">
      <c r="A62" t="s">
        <v>1609</v>
      </c>
      <c r="B62" t="s">
        <v>1167</v>
      </c>
      <c r="C62" t="s">
        <v>1139</v>
      </c>
      <c r="D62" t="s">
        <v>1610</v>
      </c>
      <c r="E62" t="s">
        <v>584</v>
      </c>
      <c r="F62" t="s">
        <v>1487</v>
      </c>
      <c r="G62">
        <v>365</v>
      </c>
      <c r="H62" t="s">
        <v>249</v>
      </c>
      <c r="I62" t="s">
        <v>30</v>
      </c>
      <c r="J62" t="s">
        <v>1413</v>
      </c>
      <c r="K62">
        <v>72</v>
      </c>
      <c r="L62" t="s">
        <v>42</v>
      </c>
      <c r="M62" t="s">
        <v>1273</v>
      </c>
      <c r="N62" t="s">
        <v>36</v>
      </c>
      <c r="O62" s="12">
        <v>45364.661111111112</v>
      </c>
      <c r="P62" s="12">
        <v>45365.911111111112</v>
      </c>
      <c r="Q62" s="12">
        <v>45365.954861111109</v>
      </c>
      <c r="R62" s="12">
        <v>45366.288194444445</v>
      </c>
      <c r="S62" s="12">
        <v>45367.246527777781</v>
      </c>
      <c r="U62" t="b">
        <v>1</v>
      </c>
      <c r="V62" s="12">
        <v>45420.411111111112</v>
      </c>
      <c r="W62" t="s">
        <v>583</v>
      </c>
      <c r="X62" t="s">
        <v>1611</v>
      </c>
    </row>
    <row r="63" spans="1:25">
      <c r="A63" t="s">
        <v>1612</v>
      </c>
      <c r="B63" t="s">
        <v>1124</v>
      </c>
      <c r="C63" t="s">
        <v>1112</v>
      </c>
      <c r="D63" t="s">
        <v>1613</v>
      </c>
      <c r="E63" t="s">
        <v>287</v>
      </c>
      <c r="F63" t="s">
        <v>1367</v>
      </c>
      <c r="G63">
        <v>73</v>
      </c>
      <c r="H63" t="s">
        <v>68</v>
      </c>
      <c r="I63" t="s">
        <v>24</v>
      </c>
      <c r="J63" t="s">
        <v>1271</v>
      </c>
      <c r="K63">
        <v>72</v>
      </c>
      <c r="L63" t="s">
        <v>42</v>
      </c>
      <c r="M63" t="s">
        <v>1273</v>
      </c>
      <c r="N63" t="s">
        <v>69</v>
      </c>
      <c r="O63" s="12">
        <v>45485.740972222222</v>
      </c>
      <c r="P63" s="12">
        <v>45487.782638888886</v>
      </c>
      <c r="Q63" s="12">
        <v>45487.796527777777</v>
      </c>
      <c r="R63" s="12">
        <v>45487.927083333336</v>
      </c>
      <c r="S63" s="12">
        <v>45489.177083333336</v>
      </c>
      <c r="U63" t="b">
        <v>1</v>
      </c>
      <c r="V63" s="12">
        <v>45569.365972222222</v>
      </c>
      <c r="W63" t="s">
        <v>286</v>
      </c>
      <c r="X63" t="s">
        <v>1614</v>
      </c>
      <c r="Y63" t="s">
        <v>1615</v>
      </c>
    </row>
    <row r="64" spans="1:25">
      <c r="A64" t="s">
        <v>1616</v>
      </c>
      <c r="B64" t="s">
        <v>1617</v>
      </c>
      <c r="C64" t="s">
        <v>1155</v>
      </c>
      <c r="D64" t="s">
        <v>1618</v>
      </c>
      <c r="E64" t="s">
        <v>546</v>
      </c>
      <c r="F64" t="s">
        <v>1523</v>
      </c>
      <c r="G64">
        <v>127</v>
      </c>
      <c r="H64" t="s">
        <v>212</v>
      </c>
      <c r="I64" t="s">
        <v>24</v>
      </c>
      <c r="J64" t="s">
        <v>1413</v>
      </c>
      <c r="K64">
        <v>72</v>
      </c>
      <c r="L64" t="s">
        <v>42</v>
      </c>
      <c r="M64" t="s">
        <v>1273</v>
      </c>
      <c r="N64" t="s">
        <v>69</v>
      </c>
      <c r="O64" s="12">
        <v>46121.220138888886</v>
      </c>
      <c r="P64" s="12">
        <v>46121.803472222222</v>
      </c>
      <c r="Q64" s="12">
        <v>46121.824999999997</v>
      </c>
      <c r="R64" s="12">
        <v>46122.2</v>
      </c>
      <c r="S64" s="12">
        <v>46122.533333333333</v>
      </c>
      <c r="U64" t="b">
        <v>1</v>
      </c>
      <c r="V64" s="12">
        <v>46225.845138888886</v>
      </c>
      <c r="W64" t="s">
        <v>545</v>
      </c>
      <c r="X64" t="s">
        <v>1619</v>
      </c>
      <c r="Y64" t="s">
        <v>1620</v>
      </c>
    </row>
    <row r="65" spans="1:25">
      <c r="A65" t="s">
        <v>1621</v>
      </c>
      <c r="B65" t="s">
        <v>1622</v>
      </c>
      <c r="C65" t="s">
        <v>1623</v>
      </c>
      <c r="D65" t="s">
        <v>1624</v>
      </c>
      <c r="E65" t="s">
        <v>898</v>
      </c>
      <c r="F65" t="s">
        <v>1448</v>
      </c>
      <c r="G65">
        <v>618</v>
      </c>
      <c r="H65" t="s">
        <v>408</v>
      </c>
      <c r="I65" t="s">
        <v>30</v>
      </c>
      <c r="J65" t="s">
        <v>1339</v>
      </c>
      <c r="K65">
        <v>92</v>
      </c>
      <c r="L65" t="s">
        <v>1272</v>
      </c>
      <c r="M65" t="s">
        <v>1273</v>
      </c>
      <c r="N65" t="s">
        <v>55</v>
      </c>
      <c r="O65" s="12">
        <v>45037.381944444445</v>
      </c>
      <c r="P65" s="12">
        <v>45038.090277777781</v>
      </c>
      <c r="Q65" s="12">
        <v>45038.123611111114</v>
      </c>
      <c r="R65" s="12">
        <v>45038.175000000003</v>
      </c>
      <c r="S65" s="12">
        <v>45039.341666666667</v>
      </c>
      <c r="U65" t="b">
        <v>1</v>
      </c>
      <c r="V65" s="12">
        <v>45150.048611111109</v>
      </c>
      <c r="W65" t="s">
        <v>897</v>
      </c>
      <c r="X65" t="s">
        <v>1625</v>
      </c>
    </row>
    <row r="66" spans="1:25">
      <c r="A66" t="s">
        <v>1626</v>
      </c>
      <c r="B66" t="s">
        <v>1605</v>
      </c>
      <c r="C66" t="s">
        <v>1278</v>
      </c>
      <c r="D66" t="s">
        <v>1627</v>
      </c>
      <c r="E66" t="s">
        <v>892</v>
      </c>
      <c r="F66" t="s">
        <v>1554</v>
      </c>
      <c r="G66">
        <v>761</v>
      </c>
      <c r="H66" t="s">
        <v>81</v>
      </c>
      <c r="I66" t="s">
        <v>30</v>
      </c>
      <c r="J66" t="s">
        <v>1271</v>
      </c>
      <c r="K66">
        <v>72</v>
      </c>
      <c r="L66" t="s">
        <v>1272</v>
      </c>
      <c r="M66" t="s">
        <v>1273</v>
      </c>
      <c r="N66" t="s">
        <v>82</v>
      </c>
      <c r="O66" s="12">
        <v>45891.434027777781</v>
      </c>
      <c r="P66" s="12">
        <v>45894.100694444445</v>
      </c>
      <c r="Q66" s="12">
        <v>45894.126388888886</v>
      </c>
      <c r="R66" s="12">
        <v>45894.14166666667</v>
      </c>
      <c r="S66" s="12">
        <v>45894.724999999999</v>
      </c>
      <c r="U66" t="b">
        <v>1</v>
      </c>
      <c r="V66" s="12">
        <v>46018.142361111109</v>
      </c>
      <c r="W66" t="s">
        <v>891</v>
      </c>
      <c r="X66" t="s">
        <v>1628</v>
      </c>
      <c r="Y66" t="s">
        <v>1629</v>
      </c>
    </row>
    <row r="67" spans="1:25">
      <c r="A67" t="s">
        <v>1630</v>
      </c>
      <c r="B67" t="s">
        <v>1552</v>
      </c>
      <c r="C67" t="s">
        <v>1631</v>
      </c>
      <c r="D67" t="s">
        <v>1632</v>
      </c>
      <c r="E67" t="s">
        <v>934</v>
      </c>
      <c r="F67" t="s">
        <v>1633</v>
      </c>
      <c r="G67">
        <v>259</v>
      </c>
      <c r="H67" t="s">
        <v>120</v>
      </c>
      <c r="I67" t="s">
        <v>30</v>
      </c>
      <c r="J67" t="s">
        <v>1271</v>
      </c>
      <c r="K67">
        <v>72</v>
      </c>
      <c r="L67" t="s">
        <v>42</v>
      </c>
      <c r="M67" t="s">
        <v>1273</v>
      </c>
      <c r="N67" t="s">
        <v>82</v>
      </c>
      <c r="O67" s="12">
        <v>45740.446527777778</v>
      </c>
      <c r="P67" s="12">
        <v>45741.404861111114</v>
      </c>
      <c r="Q67" s="12">
        <v>45741.414583333331</v>
      </c>
      <c r="R67" s="12">
        <v>45741.438888888886</v>
      </c>
      <c r="S67" s="12">
        <v>45742.188888888886</v>
      </c>
      <c r="U67" t="b">
        <v>1</v>
      </c>
      <c r="V67" s="12">
        <v>45807.738194444442</v>
      </c>
      <c r="W67" t="s">
        <v>933</v>
      </c>
      <c r="X67" t="s">
        <v>1634</v>
      </c>
    </row>
    <row r="68" spans="1:25">
      <c r="A68" t="s">
        <v>1635</v>
      </c>
      <c r="B68" t="s">
        <v>1320</v>
      </c>
      <c r="C68" t="s">
        <v>1636</v>
      </c>
      <c r="D68" t="s">
        <v>1637</v>
      </c>
      <c r="E68" t="s">
        <v>507</v>
      </c>
      <c r="F68" t="s">
        <v>1302</v>
      </c>
      <c r="G68">
        <v>744</v>
      </c>
      <c r="H68" t="s">
        <v>226</v>
      </c>
      <c r="I68" t="s">
        <v>30</v>
      </c>
      <c r="J68" t="s">
        <v>1339</v>
      </c>
      <c r="K68">
        <v>99</v>
      </c>
      <c r="L68" t="s">
        <v>1272</v>
      </c>
      <c r="M68" t="s">
        <v>1273</v>
      </c>
      <c r="N68" t="s">
        <v>55</v>
      </c>
      <c r="O68" s="12">
        <v>46185.034722222219</v>
      </c>
      <c r="P68" s="12">
        <v>46185.493055555555</v>
      </c>
      <c r="Q68" s="12">
        <v>46185.523611111108</v>
      </c>
      <c r="R68" s="12">
        <v>46185.619444444441</v>
      </c>
      <c r="S68" s="12">
        <v>46188.036111111112</v>
      </c>
      <c r="U68" t="b">
        <v>1</v>
      </c>
      <c r="V68" s="12">
        <v>46265.743055555555</v>
      </c>
      <c r="W68" t="s">
        <v>506</v>
      </c>
      <c r="X68" t="s">
        <v>1638</v>
      </c>
      <c r="Y68" t="s">
        <v>1639</v>
      </c>
    </row>
    <row r="69" spans="1:25">
      <c r="A69" t="s">
        <v>1640</v>
      </c>
      <c r="B69" t="s">
        <v>1157</v>
      </c>
      <c r="C69" t="s">
        <v>1212</v>
      </c>
      <c r="D69" t="s">
        <v>1641</v>
      </c>
      <c r="E69" t="s">
        <v>432</v>
      </c>
      <c r="F69" t="s">
        <v>1548</v>
      </c>
      <c r="G69">
        <v>261</v>
      </c>
      <c r="H69" t="s">
        <v>205</v>
      </c>
      <c r="I69" t="s">
        <v>30</v>
      </c>
      <c r="J69" t="s">
        <v>1295</v>
      </c>
      <c r="K69">
        <v>94</v>
      </c>
      <c r="L69" t="s">
        <v>1272</v>
      </c>
      <c r="M69" t="s">
        <v>1273</v>
      </c>
      <c r="N69" t="s">
        <v>36</v>
      </c>
      <c r="O69" s="12">
        <v>46114.224305555559</v>
      </c>
      <c r="P69" s="12">
        <v>46115.724305555559</v>
      </c>
      <c r="Q69" s="12">
        <v>46115.751388888886</v>
      </c>
      <c r="R69" s="12">
        <v>46115.785416666666</v>
      </c>
      <c r="S69" s="12">
        <v>46118.493750000001</v>
      </c>
      <c r="U69" t="b">
        <v>1</v>
      </c>
      <c r="V69" s="12">
        <v>46260.682638888888</v>
      </c>
      <c r="W69" t="s">
        <v>431</v>
      </c>
      <c r="X69" t="s">
        <v>1642</v>
      </c>
      <c r="Y69" t="s">
        <v>1643</v>
      </c>
    </row>
    <row r="70" spans="1:25">
      <c r="A70" t="s">
        <v>1644</v>
      </c>
      <c r="B70" t="s">
        <v>1485</v>
      </c>
      <c r="C70" t="s">
        <v>1579</v>
      </c>
      <c r="D70" t="s">
        <v>1645</v>
      </c>
      <c r="E70" t="s">
        <v>410</v>
      </c>
      <c r="F70" t="s">
        <v>1646</v>
      </c>
      <c r="G70">
        <v>135</v>
      </c>
      <c r="H70" t="s">
        <v>68</v>
      </c>
      <c r="I70" t="s">
        <v>24</v>
      </c>
      <c r="J70" t="s">
        <v>1355</v>
      </c>
      <c r="K70">
        <v>72</v>
      </c>
      <c r="L70" t="s">
        <v>42</v>
      </c>
      <c r="M70" t="s">
        <v>1273</v>
      </c>
      <c r="N70" t="s">
        <v>69</v>
      </c>
      <c r="O70" s="12">
        <v>45928.236111111109</v>
      </c>
      <c r="P70" s="12">
        <v>45930.902777777781</v>
      </c>
      <c r="Q70" s="12">
        <v>45930.950694444444</v>
      </c>
      <c r="R70" s="12">
        <v>45931.001388888886</v>
      </c>
      <c r="S70" s="12">
        <v>45933.834722222222</v>
      </c>
      <c r="U70" t="b">
        <v>1</v>
      </c>
      <c r="V70" s="12">
        <v>46064.777777777781</v>
      </c>
      <c r="W70" t="s">
        <v>409</v>
      </c>
      <c r="X70" t="s">
        <v>1647</v>
      </c>
    </row>
    <row r="71" spans="1:25">
      <c r="A71" t="s">
        <v>1648</v>
      </c>
      <c r="B71" t="s">
        <v>1649</v>
      </c>
      <c r="C71" t="s">
        <v>1650</v>
      </c>
      <c r="D71" t="s">
        <v>1651</v>
      </c>
      <c r="E71" t="s">
        <v>607</v>
      </c>
      <c r="F71" t="s">
        <v>1294</v>
      </c>
      <c r="G71">
        <v>226</v>
      </c>
      <c r="H71" t="s">
        <v>226</v>
      </c>
      <c r="I71" t="s">
        <v>30</v>
      </c>
      <c r="J71" t="s">
        <v>1355</v>
      </c>
      <c r="K71">
        <v>72</v>
      </c>
      <c r="L71" t="s">
        <v>42</v>
      </c>
      <c r="M71" t="s">
        <v>1273</v>
      </c>
      <c r="N71" t="s">
        <v>55</v>
      </c>
      <c r="O71" s="12">
        <v>45044.963888888888</v>
      </c>
      <c r="P71" s="12">
        <v>45045.588888888888</v>
      </c>
      <c r="Q71" s="12">
        <v>45045.604166666664</v>
      </c>
      <c r="R71" s="12">
        <v>45045.734027777777</v>
      </c>
      <c r="S71" s="12">
        <v>45048.692361111112</v>
      </c>
      <c r="U71" t="b">
        <v>1</v>
      </c>
      <c r="V71" s="12">
        <v>45089.338888888888</v>
      </c>
      <c r="W71" t="s">
        <v>606</v>
      </c>
      <c r="X71" t="s">
        <v>1652</v>
      </c>
      <c r="Y71" t="s">
        <v>1653</v>
      </c>
    </row>
    <row r="72" spans="1:25">
      <c r="A72" t="s">
        <v>1654</v>
      </c>
      <c r="B72" t="s">
        <v>1384</v>
      </c>
      <c r="C72" t="s">
        <v>1655</v>
      </c>
      <c r="D72" t="s">
        <v>1656</v>
      </c>
      <c r="E72" t="s">
        <v>799</v>
      </c>
      <c r="F72" t="s">
        <v>1453</v>
      </c>
      <c r="G72">
        <v>2161</v>
      </c>
      <c r="H72" t="s">
        <v>35</v>
      </c>
      <c r="I72" t="s">
        <v>17</v>
      </c>
      <c r="J72" t="s">
        <v>1295</v>
      </c>
      <c r="K72">
        <v>92</v>
      </c>
      <c r="L72" t="s">
        <v>1272</v>
      </c>
      <c r="M72" t="s">
        <v>1273</v>
      </c>
      <c r="N72" t="s">
        <v>36</v>
      </c>
      <c r="O72" s="12">
        <v>46122.661805555559</v>
      </c>
      <c r="P72" s="12">
        <v>46125.286805555559</v>
      </c>
      <c r="Q72" s="12">
        <v>46125.304166666669</v>
      </c>
      <c r="R72" s="12">
        <v>46125.38958333333</v>
      </c>
      <c r="S72" s="12">
        <v>46127.63958333333</v>
      </c>
      <c r="U72" t="b">
        <v>1</v>
      </c>
      <c r="V72" s="12">
        <v>46154.203472222223</v>
      </c>
      <c r="W72" t="s">
        <v>798</v>
      </c>
      <c r="X72" t="s">
        <v>1657</v>
      </c>
      <c r="Y72" t="s">
        <v>1658</v>
      </c>
    </row>
    <row r="73" spans="1:25">
      <c r="A73" t="s">
        <v>1659</v>
      </c>
      <c r="B73" t="s">
        <v>1567</v>
      </c>
      <c r="C73" t="s">
        <v>1660</v>
      </c>
      <c r="D73" t="s">
        <v>1661</v>
      </c>
      <c r="E73" t="s">
        <v>435</v>
      </c>
      <c r="F73" t="s">
        <v>1662</v>
      </c>
      <c r="G73">
        <v>1398</v>
      </c>
      <c r="H73" t="s">
        <v>116</v>
      </c>
      <c r="I73" t="s">
        <v>17</v>
      </c>
      <c r="J73" t="s">
        <v>1413</v>
      </c>
      <c r="K73">
        <v>72</v>
      </c>
      <c r="L73" t="s">
        <v>1272</v>
      </c>
      <c r="M73" t="s">
        <v>1273</v>
      </c>
      <c r="N73" t="s">
        <v>82</v>
      </c>
      <c r="O73" s="12">
        <v>46230.822916666664</v>
      </c>
      <c r="P73" s="12">
        <v>46231.53125</v>
      </c>
      <c r="Q73" s="12">
        <v>46231.569444444445</v>
      </c>
      <c r="R73" s="12">
        <v>46231.59652777778</v>
      </c>
      <c r="S73" s="12">
        <v>46232.429861111108</v>
      </c>
      <c r="U73" t="b">
        <v>1</v>
      </c>
      <c r="V73" s="12">
        <v>46261.864583333336</v>
      </c>
      <c r="W73" t="s">
        <v>434</v>
      </c>
      <c r="X73" t="s">
        <v>1663</v>
      </c>
      <c r="Y73" t="s">
        <v>1664</v>
      </c>
    </row>
    <row r="74" spans="1:25">
      <c r="A74" t="s">
        <v>1665</v>
      </c>
      <c r="B74" t="s">
        <v>1666</v>
      </c>
      <c r="C74" t="s">
        <v>1172</v>
      </c>
      <c r="D74" t="s">
        <v>1667</v>
      </c>
      <c r="E74" t="s">
        <v>996</v>
      </c>
      <c r="F74" t="s">
        <v>1399</v>
      </c>
      <c r="G74">
        <v>1669</v>
      </c>
      <c r="H74" t="s">
        <v>23</v>
      </c>
      <c r="I74" t="s">
        <v>17</v>
      </c>
      <c r="J74" t="s">
        <v>1271</v>
      </c>
      <c r="K74">
        <v>72</v>
      </c>
      <c r="L74" t="s">
        <v>1272</v>
      </c>
      <c r="M74" t="s">
        <v>1273</v>
      </c>
      <c r="N74" t="s">
        <v>82</v>
      </c>
      <c r="O74" s="12">
        <v>45111.147916666669</v>
      </c>
      <c r="P74" s="12">
        <v>45113.564583333333</v>
      </c>
      <c r="Q74" s="12">
        <v>45113.604166666664</v>
      </c>
      <c r="R74" s="12">
        <v>45113.663194444445</v>
      </c>
      <c r="S74" s="12">
        <v>45115.663194444445</v>
      </c>
      <c r="U74" t="b">
        <v>1</v>
      </c>
      <c r="V74" s="12">
        <v>45157.689583333333</v>
      </c>
      <c r="W74" t="s">
        <v>995</v>
      </c>
      <c r="X74" t="s">
        <v>1668</v>
      </c>
      <c r="Y74" t="s">
        <v>1669</v>
      </c>
    </row>
    <row r="75" spans="1:25">
      <c r="A75" t="s">
        <v>1670</v>
      </c>
      <c r="B75" t="s">
        <v>1167</v>
      </c>
      <c r="C75" t="s">
        <v>1285</v>
      </c>
      <c r="D75" t="s">
        <v>1671</v>
      </c>
      <c r="E75" t="s">
        <v>984</v>
      </c>
      <c r="F75" t="s">
        <v>1672</v>
      </c>
      <c r="G75">
        <v>139</v>
      </c>
      <c r="H75" t="s">
        <v>140</v>
      </c>
      <c r="I75" t="s">
        <v>24</v>
      </c>
      <c r="J75" t="s">
        <v>1271</v>
      </c>
      <c r="K75">
        <v>72</v>
      </c>
      <c r="L75" t="s">
        <v>1272</v>
      </c>
      <c r="M75" t="s">
        <v>1273</v>
      </c>
      <c r="N75" t="s">
        <v>25</v>
      </c>
      <c r="O75" s="12">
        <v>45637.033333333333</v>
      </c>
      <c r="P75" s="12">
        <v>45639.324999999997</v>
      </c>
      <c r="Q75" s="12">
        <v>45639.340277777781</v>
      </c>
      <c r="R75" s="12">
        <v>45639.45416666667</v>
      </c>
      <c r="S75" s="12">
        <v>45640.162499999999</v>
      </c>
      <c r="U75" t="b">
        <v>1</v>
      </c>
      <c r="V75" s="12">
        <v>45742.616666666669</v>
      </c>
      <c r="W75" t="s">
        <v>983</v>
      </c>
      <c r="X75" t="s">
        <v>1673</v>
      </c>
      <c r="Y75" t="s">
        <v>1674</v>
      </c>
    </row>
    <row r="76" spans="1:25">
      <c r="A76" t="s">
        <v>1675</v>
      </c>
      <c r="B76" t="s">
        <v>1605</v>
      </c>
      <c r="C76" t="s">
        <v>1314</v>
      </c>
      <c r="D76" t="s">
        <v>1676</v>
      </c>
      <c r="E76" t="s">
        <v>871</v>
      </c>
      <c r="F76" t="s">
        <v>1517</v>
      </c>
      <c r="G76">
        <v>143</v>
      </c>
      <c r="H76" t="s">
        <v>16</v>
      </c>
      <c r="I76" t="s">
        <v>24</v>
      </c>
      <c r="J76" t="s">
        <v>1355</v>
      </c>
      <c r="K76">
        <v>72</v>
      </c>
      <c r="L76" t="s">
        <v>1272</v>
      </c>
      <c r="M76" t="s">
        <v>1273</v>
      </c>
      <c r="N76" t="s">
        <v>91</v>
      </c>
      <c r="O76" s="12">
        <v>45887.665277777778</v>
      </c>
      <c r="P76" s="12">
        <v>45889.998611111114</v>
      </c>
      <c r="Q76" s="12">
        <v>45890.032638888886</v>
      </c>
      <c r="R76" s="12">
        <v>45890.0625</v>
      </c>
      <c r="S76" s="12">
        <v>45890.979166666664</v>
      </c>
      <c r="U76" t="b">
        <v>1</v>
      </c>
      <c r="V76" s="12">
        <v>45941.956944444442</v>
      </c>
      <c r="W76" t="s">
        <v>870</v>
      </c>
      <c r="X76" t="s">
        <v>1677</v>
      </c>
      <c r="Y76" t="s">
        <v>1678</v>
      </c>
    </row>
    <row r="77" spans="1:25">
      <c r="A77" t="s">
        <v>1679</v>
      </c>
      <c r="B77" t="s">
        <v>1680</v>
      </c>
      <c r="C77" t="s">
        <v>1585</v>
      </c>
      <c r="D77" t="s">
        <v>1681</v>
      </c>
      <c r="E77" t="s">
        <v>393</v>
      </c>
      <c r="F77" t="s">
        <v>1373</v>
      </c>
      <c r="G77">
        <v>1191</v>
      </c>
      <c r="H77" t="s">
        <v>127</v>
      </c>
      <c r="I77" t="s">
        <v>17</v>
      </c>
      <c r="J77" t="s">
        <v>1271</v>
      </c>
      <c r="K77">
        <v>72</v>
      </c>
      <c r="L77" t="s">
        <v>42</v>
      </c>
      <c r="M77" t="s">
        <v>1273</v>
      </c>
      <c r="N77" t="s">
        <v>82</v>
      </c>
      <c r="O77" s="12">
        <v>45679.003472222219</v>
      </c>
      <c r="P77" s="12">
        <v>45680.336805555555</v>
      </c>
      <c r="Q77" s="12">
        <v>45680.351388888892</v>
      </c>
      <c r="R77" s="12">
        <v>45680.45208333333</v>
      </c>
      <c r="S77" s="12">
        <v>45683.07708333333</v>
      </c>
      <c r="U77" t="b">
        <v>1</v>
      </c>
      <c r="V77" s="12">
        <v>45815.711805555555</v>
      </c>
      <c r="W77" t="s">
        <v>392</v>
      </c>
      <c r="X77" t="s">
        <v>1682</v>
      </c>
      <c r="Y77" t="s">
        <v>1683</v>
      </c>
    </row>
    <row r="78" spans="1:25">
      <c r="A78" t="s">
        <v>1684</v>
      </c>
      <c r="B78" t="s">
        <v>1474</v>
      </c>
      <c r="C78" t="s">
        <v>1291</v>
      </c>
      <c r="D78" t="s">
        <v>1685</v>
      </c>
      <c r="E78" t="s">
        <v>1032</v>
      </c>
      <c r="F78" t="s">
        <v>1686</v>
      </c>
      <c r="G78">
        <v>1614</v>
      </c>
      <c r="H78" t="s">
        <v>1034</v>
      </c>
      <c r="I78" t="s">
        <v>17</v>
      </c>
      <c r="J78" t="s">
        <v>1295</v>
      </c>
      <c r="K78">
        <v>72</v>
      </c>
      <c r="L78" t="s">
        <v>1272</v>
      </c>
      <c r="M78" t="s">
        <v>1273</v>
      </c>
      <c r="N78" t="s">
        <v>36</v>
      </c>
      <c r="O78" s="12">
        <v>46200.272222222222</v>
      </c>
      <c r="P78" s="12">
        <v>46202.522222222222</v>
      </c>
      <c r="Q78" s="12">
        <v>46202.554861111108</v>
      </c>
      <c r="R78" s="12">
        <v>46202.659722222219</v>
      </c>
      <c r="S78" s="12">
        <v>46203.493055555555</v>
      </c>
      <c r="U78" t="b">
        <v>1</v>
      </c>
      <c r="V78" s="12">
        <v>46229.522222222222</v>
      </c>
      <c r="W78" t="s">
        <v>1031</v>
      </c>
      <c r="X78" t="s">
        <v>1687</v>
      </c>
      <c r="Y78" t="s">
        <v>1688</v>
      </c>
    </row>
    <row r="79" spans="1:25">
      <c r="A79" t="s">
        <v>1689</v>
      </c>
      <c r="B79" t="s">
        <v>1690</v>
      </c>
      <c r="C79" t="s">
        <v>1475</v>
      </c>
      <c r="D79" t="s">
        <v>1691</v>
      </c>
      <c r="E79" t="s">
        <v>380</v>
      </c>
      <c r="F79" t="s">
        <v>1511</v>
      </c>
      <c r="G79">
        <v>139</v>
      </c>
      <c r="H79" t="s">
        <v>50</v>
      </c>
      <c r="I79" t="s">
        <v>24</v>
      </c>
      <c r="J79" t="s">
        <v>1317</v>
      </c>
      <c r="K79">
        <v>73</v>
      </c>
      <c r="L79" t="s">
        <v>1272</v>
      </c>
      <c r="M79" t="s">
        <v>1273</v>
      </c>
      <c r="N79" t="s">
        <v>59</v>
      </c>
      <c r="O79" s="12">
        <v>45470.06527777778</v>
      </c>
      <c r="P79" s="12">
        <v>45472.19027777778</v>
      </c>
      <c r="Q79" s="12">
        <v>45472.205555555556</v>
      </c>
      <c r="R79" s="12">
        <v>45472.242361111108</v>
      </c>
      <c r="S79" s="12">
        <v>45474.65902777778</v>
      </c>
      <c r="U79" t="b">
        <v>1</v>
      </c>
      <c r="V79" s="12">
        <v>45566.648611111108</v>
      </c>
      <c r="W79" t="s">
        <v>379</v>
      </c>
      <c r="X79" t="s">
        <v>1692</v>
      </c>
      <c r="Y79" t="s">
        <v>1693</v>
      </c>
    </row>
    <row r="80" spans="1:25">
      <c r="A80" t="s">
        <v>1694</v>
      </c>
      <c r="B80" t="s">
        <v>1377</v>
      </c>
      <c r="C80" t="s">
        <v>1212</v>
      </c>
      <c r="D80" t="s">
        <v>1695</v>
      </c>
      <c r="E80" t="s">
        <v>315</v>
      </c>
      <c r="F80" t="s">
        <v>1477</v>
      </c>
      <c r="G80">
        <v>663</v>
      </c>
      <c r="H80" t="s">
        <v>81</v>
      </c>
      <c r="I80" t="s">
        <v>30</v>
      </c>
      <c r="J80" t="s">
        <v>1295</v>
      </c>
      <c r="K80">
        <v>73</v>
      </c>
      <c r="L80" t="s">
        <v>42</v>
      </c>
      <c r="M80" t="s">
        <v>1273</v>
      </c>
      <c r="N80" t="s">
        <v>82</v>
      </c>
      <c r="O80" s="12">
        <v>45395.678472222222</v>
      </c>
      <c r="P80" s="12">
        <v>45398.178472222222</v>
      </c>
      <c r="Q80" s="12">
        <v>45398.213194444441</v>
      </c>
      <c r="R80" s="12">
        <v>45398.250694444447</v>
      </c>
      <c r="S80" s="12">
        <v>45400.417361111111</v>
      </c>
      <c r="U80" t="b">
        <v>1</v>
      </c>
      <c r="V80" s="12">
        <v>45489.845138888886</v>
      </c>
      <c r="W80" t="s">
        <v>314</v>
      </c>
      <c r="X80" t="s">
        <v>1696</v>
      </c>
      <c r="Y80" t="s">
        <v>1697</v>
      </c>
    </row>
    <row r="81" spans="1:25">
      <c r="A81" t="s">
        <v>1698</v>
      </c>
      <c r="B81" t="s">
        <v>1699</v>
      </c>
      <c r="C81" t="s">
        <v>1436</v>
      </c>
      <c r="D81" t="s">
        <v>1700</v>
      </c>
      <c r="E81" t="s">
        <v>358</v>
      </c>
      <c r="F81" t="s">
        <v>1569</v>
      </c>
      <c r="G81">
        <v>2073</v>
      </c>
      <c r="H81" t="s">
        <v>16</v>
      </c>
      <c r="I81" t="s">
        <v>17</v>
      </c>
      <c r="J81" t="s">
        <v>1295</v>
      </c>
      <c r="K81">
        <v>86</v>
      </c>
      <c r="L81" t="s">
        <v>42</v>
      </c>
      <c r="M81" t="s">
        <v>1273</v>
      </c>
      <c r="N81" t="s">
        <v>18</v>
      </c>
      <c r="O81" s="12">
        <v>45705.597222222219</v>
      </c>
      <c r="P81" s="12">
        <v>45708.555555555555</v>
      </c>
      <c r="Q81" s="12">
        <v>45708.600694444445</v>
      </c>
      <c r="R81" s="12">
        <v>45708.65625</v>
      </c>
      <c r="S81" s="12">
        <v>45710.197916666664</v>
      </c>
      <c r="U81" t="b">
        <v>1</v>
      </c>
      <c r="V81" s="12">
        <v>45737.263888888891</v>
      </c>
      <c r="W81" t="s">
        <v>357</v>
      </c>
      <c r="X81" t="s">
        <v>1701</v>
      </c>
      <c r="Y81" t="s">
        <v>1702</v>
      </c>
    </row>
    <row r="82" spans="1:25">
      <c r="A82" t="s">
        <v>1703</v>
      </c>
      <c r="B82" t="s">
        <v>1622</v>
      </c>
      <c r="C82" t="s">
        <v>1142</v>
      </c>
      <c r="D82" t="s">
        <v>1704</v>
      </c>
      <c r="E82" t="s">
        <v>406</v>
      </c>
      <c r="F82" t="s">
        <v>1662</v>
      </c>
      <c r="G82">
        <v>1806</v>
      </c>
      <c r="H82" t="s">
        <v>408</v>
      </c>
      <c r="I82" t="s">
        <v>17</v>
      </c>
      <c r="J82" t="s">
        <v>1288</v>
      </c>
      <c r="K82">
        <v>78</v>
      </c>
      <c r="L82" t="s">
        <v>42</v>
      </c>
      <c r="M82" t="s">
        <v>1273</v>
      </c>
      <c r="N82" t="s">
        <v>55</v>
      </c>
      <c r="O82" s="12">
        <v>45912.107638888891</v>
      </c>
      <c r="P82" s="12">
        <v>45912.440972222219</v>
      </c>
      <c r="Q82" s="12">
        <v>45912.482638888891</v>
      </c>
      <c r="R82" s="12">
        <v>45913.732638888891</v>
      </c>
      <c r="S82" s="12">
        <v>45914.107638888891</v>
      </c>
      <c r="U82" t="b">
        <v>1</v>
      </c>
      <c r="V82" s="12">
        <v>45989.649305555555</v>
      </c>
      <c r="W82" t="s">
        <v>405</v>
      </c>
      <c r="X82" t="s">
        <v>1705</v>
      </c>
    </row>
    <row r="83" spans="1:25">
      <c r="A83" t="s">
        <v>1706</v>
      </c>
      <c r="B83" t="s">
        <v>1215</v>
      </c>
      <c r="C83" t="s">
        <v>1203</v>
      </c>
      <c r="D83" t="s">
        <v>1707</v>
      </c>
      <c r="E83" t="s">
        <v>143</v>
      </c>
      <c r="F83" t="s">
        <v>1367</v>
      </c>
      <c r="G83">
        <v>79</v>
      </c>
      <c r="H83" t="s">
        <v>23</v>
      </c>
      <c r="I83" t="s">
        <v>24</v>
      </c>
      <c r="J83" t="s">
        <v>1413</v>
      </c>
      <c r="K83">
        <v>72</v>
      </c>
      <c r="L83" t="s">
        <v>42</v>
      </c>
      <c r="M83" t="s">
        <v>1273</v>
      </c>
      <c r="N83" t="s">
        <v>25</v>
      </c>
      <c r="O83" s="12">
        <v>44873.070833333331</v>
      </c>
      <c r="P83" s="12">
        <v>44874.862500000003</v>
      </c>
      <c r="Q83" s="12">
        <v>44874.887499999997</v>
      </c>
      <c r="R83" s="12">
        <v>44875.029861111114</v>
      </c>
      <c r="S83" s="12">
        <v>44875.404861111114</v>
      </c>
      <c r="U83" t="b">
        <v>1</v>
      </c>
      <c r="V83" s="12">
        <v>45014.487500000003</v>
      </c>
      <c r="W83" t="s">
        <v>142</v>
      </c>
      <c r="X83" t="s">
        <v>1708</v>
      </c>
      <c r="Y83" t="s">
        <v>1709</v>
      </c>
    </row>
    <row r="84" spans="1:25">
      <c r="A84" t="s">
        <v>1710</v>
      </c>
      <c r="B84" t="s">
        <v>1336</v>
      </c>
      <c r="C84" t="s">
        <v>1378</v>
      </c>
      <c r="D84" t="s">
        <v>1711</v>
      </c>
      <c r="E84" t="s">
        <v>540</v>
      </c>
      <c r="F84" t="s">
        <v>1309</v>
      </c>
      <c r="G84">
        <v>163</v>
      </c>
      <c r="H84" t="s">
        <v>95</v>
      </c>
      <c r="I84" t="s">
        <v>24</v>
      </c>
      <c r="J84" t="s">
        <v>1271</v>
      </c>
      <c r="K84">
        <v>72</v>
      </c>
      <c r="L84" t="s">
        <v>1272</v>
      </c>
      <c r="M84" t="s">
        <v>1273</v>
      </c>
      <c r="N84" t="s">
        <v>69</v>
      </c>
      <c r="O84" s="12">
        <v>46156.581944444442</v>
      </c>
      <c r="P84" s="12">
        <v>46156.915277777778</v>
      </c>
      <c r="Q84" s="12">
        <v>46156.94027777778</v>
      </c>
      <c r="R84" s="12">
        <v>46157.026388888888</v>
      </c>
      <c r="S84" s="12">
        <v>46157.193055555559</v>
      </c>
      <c r="U84" t="b">
        <v>1</v>
      </c>
      <c r="V84" s="12">
        <v>46239.290277777778</v>
      </c>
      <c r="W84" t="s">
        <v>539</v>
      </c>
      <c r="X84" t="s">
        <v>1712</v>
      </c>
      <c r="Y84" t="s">
        <v>1713</v>
      </c>
    </row>
    <row r="85" spans="1:25">
      <c r="A85" t="s">
        <v>1714</v>
      </c>
      <c r="B85" t="s">
        <v>1715</v>
      </c>
      <c r="C85" t="s">
        <v>1716</v>
      </c>
      <c r="D85" t="s">
        <v>1717</v>
      </c>
      <c r="E85" t="s">
        <v>510</v>
      </c>
      <c r="F85" t="s">
        <v>1496</v>
      </c>
      <c r="G85">
        <v>82</v>
      </c>
      <c r="H85" t="s">
        <v>50</v>
      </c>
      <c r="I85" t="s">
        <v>24</v>
      </c>
      <c r="J85" t="s">
        <v>1295</v>
      </c>
      <c r="K85">
        <v>93</v>
      </c>
      <c r="L85" t="s">
        <v>42</v>
      </c>
      <c r="M85" t="s">
        <v>1273</v>
      </c>
      <c r="N85" t="s">
        <v>59</v>
      </c>
      <c r="O85" s="12">
        <v>45317.363888888889</v>
      </c>
      <c r="P85" s="12">
        <v>45318.030555555553</v>
      </c>
      <c r="Q85" s="12">
        <v>45318.081944444442</v>
      </c>
      <c r="R85" s="12">
        <v>45318.210416666669</v>
      </c>
      <c r="S85" s="12">
        <v>45319.460416666669</v>
      </c>
      <c r="U85" t="b">
        <v>1</v>
      </c>
      <c r="V85" s="12">
        <v>45365.488888888889</v>
      </c>
      <c r="W85" t="s">
        <v>509</v>
      </c>
      <c r="X85" t="s">
        <v>1718</v>
      </c>
      <c r="Y85" t="s">
        <v>1719</v>
      </c>
    </row>
    <row r="86" spans="1:25">
      <c r="A86" t="s">
        <v>1720</v>
      </c>
      <c r="B86" t="s">
        <v>1617</v>
      </c>
      <c r="C86" t="s">
        <v>1721</v>
      </c>
      <c r="D86" t="s">
        <v>1722</v>
      </c>
      <c r="E86" t="s">
        <v>74</v>
      </c>
      <c r="F86" t="s">
        <v>1333</v>
      </c>
      <c r="G86">
        <v>2018</v>
      </c>
      <c r="H86" t="s">
        <v>76</v>
      </c>
      <c r="I86" t="s">
        <v>17</v>
      </c>
      <c r="J86" t="s">
        <v>1271</v>
      </c>
      <c r="K86">
        <v>72</v>
      </c>
      <c r="L86" t="s">
        <v>1272</v>
      </c>
      <c r="M86" t="s">
        <v>1273</v>
      </c>
      <c r="N86" t="s">
        <v>36</v>
      </c>
      <c r="O86" s="12">
        <v>46203.677777777775</v>
      </c>
      <c r="P86" s="12">
        <v>46205.552777777775</v>
      </c>
      <c r="Q86" s="12">
        <v>46205.57708333333</v>
      </c>
      <c r="R86" s="12">
        <v>46205.612500000003</v>
      </c>
      <c r="S86" s="12">
        <v>46208.320833333331</v>
      </c>
      <c r="U86" t="b">
        <v>1</v>
      </c>
      <c r="V86" s="12">
        <v>46275.969444444447</v>
      </c>
      <c r="W86" t="s">
        <v>73</v>
      </c>
      <c r="X86" t="s">
        <v>1723</v>
      </c>
      <c r="Y86" t="s">
        <v>1724</v>
      </c>
    </row>
    <row r="87" spans="1:25">
      <c r="A87" t="s">
        <v>1725</v>
      </c>
      <c r="B87" t="s">
        <v>1313</v>
      </c>
      <c r="C87" t="s">
        <v>1208</v>
      </c>
      <c r="D87" t="s">
        <v>1726</v>
      </c>
      <c r="E87" t="s">
        <v>32</v>
      </c>
      <c r="F87" t="s">
        <v>1453</v>
      </c>
      <c r="G87">
        <v>595</v>
      </c>
      <c r="H87" t="s">
        <v>35</v>
      </c>
      <c r="I87" t="s">
        <v>30</v>
      </c>
      <c r="J87" t="s">
        <v>1295</v>
      </c>
      <c r="K87">
        <v>87</v>
      </c>
      <c r="L87" t="s">
        <v>1272</v>
      </c>
      <c r="M87" t="s">
        <v>1273</v>
      </c>
      <c r="N87" t="s">
        <v>36</v>
      </c>
      <c r="O87" s="12">
        <v>46125.281944444447</v>
      </c>
      <c r="P87" s="12">
        <v>46127.073611111111</v>
      </c>
      <c r="Q87" s="12">
        <v>46127.113194444442</v>
      </c>
      <c r="R87" s="12">
        <v>46127.158333333333</v>
      </c>
      <c r="S87" s="12">
        <v>46129.824999999997</v>
      </c>
      <c r="U87" t="b">
        <v>1</v>
      </c>
      <c r="V87" s="12">
        <v>46245.865277777775</v>
      </c>
      <c r="W87" t="s">
        <v>31</v>
      </c>
      <c r="X87" t="s">
        <v>1727</v>
      </c>
      <c r="Y87" t="s">
        <v>1728</v>
      </c>
    </row>
    <row r="88" spans="1:25">
      <c r="A88" t="s">
        <v>1729</v>
      </c>
      <c r="B88" t="s">
        <v>1129</v>
      </c>
      <c r="C88" t="s">
        <v>1721</v>
      </c>
      <c r="D88" t="s">
        <v>1730</v>
      </c>
      <c r="E88" t="s">
        <v>537</v>
      </c>
      <c r="F88" t="s">
        <v>1477</v>
      </c>
      <c r="G88">
        <v>513</v>
      </c>
      <c r="H88" t="s">
        <v>95</v>
      </c>
      <c r="I88" t="s">
        <v>30</v>
      </c>
      <c r="J88" t="s">
        <v>1355</v>
      </c>
      <c r="K88">
        <v>79</v>
      </c>
      <c r="L88" t="s">
        <v>1272</v>
      </c>
      <c r="M88" t="s">
        <v>1273</v>
      </c>
      <c r="N88" t="s">
        <v>18</v>
      </c>
      <c r="O88" s="12">
        <v>45179.066666666666</v>
      </c>
      <c r="P88" s="12">
        <v>45181.85833333333</v>
      </c>
      <c r="Q88" s="12">
        <v>45181.882638888892</v>
      </c>
      <c r="R88" s="12">
        <v>45182.01666666667</v>
      </c>
      <c r="S88" s="12">
        <v>45184.14166666667</v>
      </c>
      <c r="U88" t="b">
        <v>1</v>
      </c>
      <c r="V88" s="12">
        <v>45304.525000000001</v>
      </c>
      <c r="W88" t="s">
        <v>536</v>
      </c>
      <c r="X88" t="s">
        <v>1731</v>
      </c>
      <c r="Y88" t="s">
        <v>1732</v>
      </c>
    </row>
    <row r="89" spans="1:25">
      <c r="A89" t="s">
        <v>1733</v>
      </c>
      <c r="B89" t="s">
        <v>1161</v>
      </c>
      <c r="C89" t="s">
        <v>1208</v>
      </c>
      <c r="D89" t="s">
        <v>1734</v>
      </c>
      <c r="E89" t="s">
        <v>13</v>
      </c>
      <c r="F89" t="s">
        <v>1471</v>
      </c>
      <c r="G89">
        <v>1704</v>
      </c>
      <c r="H89" t="s">
        <v>16</v>
      </c>
      <c r="I89" t="s">
        <v>17</v>
      </c>
      <c r="J89" t="s">
        <v>1281</v>
      </c>
      <c r="K89">
        <v>96</v>
      </c>
      <c r="L89" t="s">
        <v>1272</v>
      </c>
      <c r="M89" t="s">
        <v>1273</v>
      </c>
      <c r="N89" t="s">
        <v>18</v>
      </c>
      <c r="O89" s="12">
        <v>45146.079861111109</v>
      </c>
      <c r="P89" s="12">
        <v>45148.913194444445</v>
      </c>
      <c r="Q89" s="12">
        <v>45148.956250000003</v>
      </c>
      <c r="R89" s="12">
        <v>45148.986111111109</v>
      </c>
      <c r="S89" s="12">
        <v>45150.361111111109</v>
      </c>
      <c r="U89" t="b">
        <v>1</v>
      </c>
      <c r="V89" s="12">
        <v>45175.663194444445</v>
      </c>
      <c r="W89" t="s">
        <v>12</v>
      </c>
      <c r="X89" t="s">
        <v>1735</v>
      </c>
      <c r="Y89" t="s">
        <v>1736</v>
      </c>
    </row>
    <row r="90" spans="1:25">
      <c r="A90" t="s">
        <v>1737</v>
      </c>
      <c r="B90" t="s">
        <v>1505</v>
      </c>
      <c r="C90" t="s">
        <v>1738</v>
      </c>
      <c r="D90" t="s">
        <v>1739</v>
      </c>
      <c r="E90" t="s">
        <v>266</v>
      </c>
      <c r="F90" t="s">
        <v>1740</v>
      </c>
      <c r="G90">
        <v>718</v>
      </c>
      <c r="H90" t="s">
        <v>23</v>
      </c>
      <c r="I90" t="s">
        <v>30</v>
      </c>
      <c r="J90" t="s">
        <v>1317</v>
      </c>
      <c r="K90">
        <v>77</v>
      </c>
      <c r="L90" t="s">
        <v>42</v>
      </c>
      <c r="M90" t="s">
        <v>1273</v>
      </c>
      <c r="N90" t="s">
        <v>82</v>
      </c>
      <c r="O90" s="12">
        <v>45887.809027777781</v>
      </c>
      <c r="P90" s="12">
        <v>45890.475694444445</v>
      </c>
      <c r="Q90" s="12">
        <v>45890.527777777781</v>
      </c>
      <c r="R90" s="12">
        <v>45890.581944444442</v>
      </c>
      <c r="S90" s="12">
        <v>45890.998611111114</v>
      </c>
      <c r="U90" t="b">
        <v>1</v>
      </c>
      <c r="V90" s="12">
        <v>45968.225694444445</v>
      </c>
      <c r="W90" t="s">
        <v>265</v>
      </c>
      <c r="X90" t="s">
        <v>1741</v>
      </c>
      <c r="Y90" t="s">
        <v>1742</v>
      </c>
    </row>
    <row r="91" spans="1:25">
      <c r="A91" t="s">
        <v>1743</v>
      </c>
      <c r="B91" t="s">
        <v>1744</v>
      </c>
      <c r="C91" t="s">
        <v>1180</v>
      </c>
      <c r="D91" t="s">
        <v>1745</v>
      </c>
      <c r="E91" t="s">
        <v>804</v>
      </c>
      <c r="F91" t="s">
        <v>1458</v>
      </c>
      <c r="G91">
        <v>826</v>
      </c>
      <c r="H91" t="s">
        <v>192</v>
      </c>
      <c r="I91" t="s">
        <v>30</v>
      </c>
      <c r="J91" t="s">
        <v>1355</v>
      </c>
      <c r="K91">
        <v>72</v>
      </c>
      <c r="L91" t="s">
        <v>42</v>
      </c>
      <c r="M91" t="s">
        <v>1273</v>
      </c>
      <c r="N91" t="s">
        <v>18</v>
      </c>
      <c r="O91" s="12">
        <v>46080.99722222222</v>
      </c>
      <c r="P91" s="12">
        <v>46083.205555555556</v>
      </c>
      <c r="Q91" s="12">
        <v>46083.23333333333</v>
      </c>
      <c r="R91" s="12">
        <v>46084.35833333333</v>
      </c>
      <c r="S91" s="12">
        <v>46087.10833333333</v>
      </c>
      <c r="U91" t="b">
        <v>1</v>
      </c>
      <c r="V91" s="12">
        <v>46151.37222222222</v>
      </c>
      <c r="W91" t="s">
        <v>803</v>
      </c>
      <c r="X91" t="s">
        <v>1746</v>
      </c>
      <c r="Y91" t="s">
        <v>1747</v>
      </c>
    </row>
    <row r="92" spans="1:25">
      <c r="A92" t="s">
        <v>1748</v>
      </c>
      <c r="B92" t="s">
        <v>1161</v>
      </c>
      <c r="C92" t="s">
        <v>1268</v>
      </c>
      <c r="D92" t="s">
        <v>1749</v>
      </c>
      <c r="E92" t="s">
        <v>877</v>
      </c>
      <c r="F92" t="s">
        <v>1750</v>
      </c>
      <c r="G92">
        <v>587</v>
      </c>
      <c r="H92" t="s">
        <v>23</v>
      </c>
      <c r="I92" t="s">
        <v>30</v>
      </c>
      <c r="J92" t="s">
        <v>1413</v>
      </c>
      <c r="K92">
        <v>72</v>
      </c>
      <c r="L92" t="s">
        <v>42</v>
      </c>
      <c r="M92" t="s">
        <v>1273</v>
      </c>
      <c r="N92" t="s">
        <v>82</v>
      </c>
      <c r="O92" s="12">
        <v>46067.125694444447</v>
      </c>
      <c r="P92" s="12">
        <v>46069.334027777775</v>
      </c>
      <c r="Q92" s="12">
        <v>46069.37222222222</v>
      </c>
      <c r="R92" s="12">
        <v>46069.511805555558</v>
      </c>
      <c r="S92" s="12">
        <v>46070.428472222222</v>
      </c>
      <c r="U92" t="b">
        <v>1</v>
      </c>
      <c r="V92" s="12">
        <v>46196.459027777775</v>
      </c>
      <c r="W92" t="s">
        <v>876</v>
      </c>
      <c r="X92" t="s">
        <v>1751</v>
      </c>
      <c r="Y92" t="s">
        <v>1752</v>
      </c>
    </row>
    <row r="93" spans="1:25">
      <c r="A93" t="s">
        <v>1753</v>
      </c>
      <c r="B93" t="s">
        <v>1754</v>
      </c>
      <c r="C93" t="s">
        <v>1191</v>
      </c>
      <c r="D93" t="s">
        <v>1755</v>
      </c>
      <c r="E93" t="s">
        <v>118</v>
      </c>
      <c r="F93" t="s">
        <v>1523</v>
      </c>
      <c r="G93">
        <v>179</v>
      </c>
      <c r="H93" t="s">
        <v>120</v>
      </c>
      <c r="I93" t="s">
        <v>24</v>
      </c>
      <c r="J93" t="s">
        <v>1288</v>
      </c>
      <c r="K93">
        <v>72</v>
      </c>
      <c r="L93" t="s">
        <v>1272</v>
      </c>
      <c r="M93" t="s">
        <v>1273</v>
      </c>
      <c r="N93" t="s">
        <v>25</v>
      </c>
      <c r="O93" s="12">
        <v>45872.05</v>
      </c>
      <c r="P93" s="12">
        <v>45872.508333333331</v>
      </c>
      <c r="Q93" s="12">
        <v>45872.570138888892</v>
      </c>
      <c r="R93" s="12">
        <v>45872.62777777778</v>
      </c>
      <c r="S93" s="12">
        <v>45873.25277777778</v>
      </c>
      <c r="U93" t="b">
        <v>1</v>
      </c>
      <c r="V93" s="12">
        <v>46014.216666666667</v>
      </c>
      <c r="W93" t="s">
        <v>117</v>
      </c>
      <c r="X93" t="s">
        <v>1756</v>
      </c>
    </row>
    <row r="94" spans="1:25">
      <c r="A94" t="s">
        <v>1757</v>
      </c>
      <c r="B94" t="s">
        <v>1758</v>
      </c>
      <c r="C94" t="s">
        <v>1186</v>
      </c>
      <c r="D94" t="s">
        <v>1759</v>
      </c>
      <c r="E94" t="s">
        <v>701</v>
      </c>
      <c r="F94" t="s">
        <v>1487</v>
      </c>
      <c r="G94">
        <v>353</v>
      </c>
      <c r="H94" t="s">
        <v>68</v>
      </c>
      <c r="I94" t="s">
        <v>30</v>
      </c>
      <c r="J94" t="s">
        <v>1271</v>
      </c>
      <c r="K94">
        <v>72</v>
      </c>
      <c r="L94" t="s">
        <v>1272</v>
      </c>
      <c r="M94" t="s">
        <v>1273</v>
      </c>
      <c r="N94" t="s">
        <v>55</v>
      </c>
      <c r="O94" s="12">
        <v>46089.229166666664</v>
      </c>
      <c r="P94" s="12">
        <v>46091.270833333336</v>
      </c>
      <c r="Q94" s="12">
        <v>46091.299305555556</v>
      </c>
      <c r="R94" s="12">
        <v>46091.4</v>
      </c>
      <c r="S94" s="12">
        <v>46092.025000000001</v>
      </c>
      <c r="U94" t="b">
        <v>1</v>
      </c>
      <c r="V94" s="12">
        <v>46223.520833333336</v>
      </c>
      <c r="W94" t="s">
        <v>700</v>
      </c>
      <c r="X94" t="s">
        <v>1760</v>
      </c>
    </row>
    <row r="95" spans="1:25">
      <c r="A95" t="s">
        <v>1761</v>
      </c>
      <c r="B95" t="s">
        <v>1494</v>
      </c>
      <c r="C95" t="s">
        <v>1176</v>
      </c>
      <c r="D95" t="s">
        <v>1762</v>
      </c>
      <c r="E95" t="s">
        <v>692</v>
      </c>
      <c r="F95" t="s">
        <v>1763</v>
      </c>
      <c r="G95">
        <v>83</v>
      </c>
      <c r="H95" t="s">
        <v>140</v>
      </c>
      <c r="I95" t="s">
        <v>24</v>
      </c>
      <c r="J95" t="s">
        <v>1281</v>
      </c>
      <c r="K95">
        <v>84</v>
      </c>
      <c r="L95" t="s">
        <v>42</v>
      </c>
      <c r="M95" t="s">
        <v>1273</v>
      </c>
      <c r="N95" t="s">
        <v>25</v>
      </c>
      <c r="O95" s="12">
        <v>45160.154166666667</v>
      </c>
      <c r="P95" s="12">
        <v>45163.112500000003</v>
      </c>
      <c r="Q95" s="12">
        <v>45163.15347222222</v>
      </c>
      <c r="R95" s="12">
        <v>45163.179166666669</v>
      </c>
      <c r="S95" s="12">
        <v>45164.262499999997</v>
      </c>
      <c r="U95" t="b">
        <v>1</v>
      </c>
      <c r="V95" s="12">
        <v>45201.570833333331</v>
      </c>
      <c r="W95" t="s">
        <v>691</v>
      </c>
      <c r="X95" t="s">
        <v>1764</v>
      </c>
      <c r="Y95" t="s">
        <v>1765</v>
      </c>
    </row>
    <row r="96" spans="1:25">
      <c r="A96" t="s">
        <v>1766</v>
      </c>
      <c r="B96" t="s">
        <v>1680</v>
      </c>
      <c r="C96" t="s">
        <v>1291</v>
      </c>
      <c r="D96" t="s">
        <v>1767</v>
      </c>
      <c r="E96" t="s">
        <v>862</v>
      </c>
      <c r="F96" t="s">
        <v>1646</v>
      </c>
      <c r="G96">
        <v>147</v>
      </c>
      <c r="H96" t="s">
        <v>16</v>
      </c>
      <c r="I96" t="s">
        <v>24</v>
      </c>
      <c r="J96" t="s">
        <v>1355</v>
      </c>
      <c r="K96">
        <v>72</v>
      </c>
      <c r="L96" t="s">
        <v>1272</v>
      </c>
      <c r="M96" t="s">
        <v>1273</v>
      </c>
      <c r="N96" t="s">
        <v>91</v>
      </c>
      <c r="O96" s="12">
        <v>45822.864583333336</v>
      </c>
      <c r="P96" s="12">
        <v>45823.239583333336</v>
      </c>
      <c r="Q96" s="12">
        <v>45823.249305555553</v>
      </c>
      <c r="R96" s="12">
        <v>45823.29583333333</v>
      </c>
      <c r="S96" s="12">
        <v>45825.337500000001</v>
      </c>
      <c r="U96" t="b">
        <v>1</v>
      </c>
      <c r="V96" s="12">
        <v>45906.197916666664</v>
      </c>
      <c r="W96" t="s">
        <v>861</v>
      </c>
      <c r="X96" t="s">
        <v>1768</v>
      </c>
      <c r="Y96" t="s">
        <v>1769</v>
      </c>
    </row>
    <row r="97" spans="1:25">
      <c r="A97" t="s">
        <v>1770</v>
      </c>
      <c r="B97" t="s">
        <v>1330</v>
      </c>
      <c r="C97" t="s">
        <v>1771</v>
      </c>
      <c r="D97" t="s">
        <v>1772</v>
      </c>
      <c r="E97" t="s">
        <v>676</v>
      </c>
      <c r="F97" t="s">
        <v>1501</v>
      </c>
      <c r="G97">
        <v>447</v>
      </c>
      <c r="H97" t="s">
        <v>41</v>
      </c>
      <c r="I97" t="s">
        <v>30</v>
      </c>
      <c r="J97" t="s">
        <v>1317</v>
      </c>
      <c r="K97">
        <v>72</v>
      </c>
      <c r="L97" t="s">
        <v>1272</v>
      </c>
      <c r="M97" t="s">
        <v>1273</v>
      </c>
      <c r="N97" t="s">
        <v>82</v>
      </c>
      <c r="O97" s="12">
        <v>45963.454861111109</v>
      </c>
      <c r="P97" s="12">
        <v>45964.288194444445</v>
      </c>
      <c r="Q97" s="12">
        <v>45964.295138888891</v>
      </c>
      <c r="R97" s="12">
        <v>45964.408333333333</v>
      </c>
      <c r="S97" s="12">
        <v>45965.366666666669</v>
      </c>
      <c r="U97" t="b">
        <v>1</v>
      </c>
      <c r="V97" s="12">
        <v>46086.913194444445</v>
      </c>
      <c r="W97" t="s">
        <v>675</v>
      </c>
      <c r="X97" t="s">
        <v>1773</v>
      </c>
    </row>
    <row r="98" spans="1:25">
      <c r="A98" t="s">
        <v>1774</v>
      </c>
      <c r="B98" t="s">
        <v>1267</v>
      </c>
      <c r="C98" t="s">
        <v>1432</v>
      </c>
      <c r="D98" t="s">
        <v>1775</v>
      </c>
      <c r="E98" t="s">
        <v>21</v>
      </c>
      <c r="F98" t="s">
        <v>1412</v>
      </c>
      <c r="G98">
        <v>130</v>
      </c>
      <c r="H98" t="s">
        <v>23</v>
      </c>
      <c r="I98" t="s">
        <v>24</v>
      </c>
      <c r="J98" t="s">
        <v>1288</v>
      </c>
      <c r="K98">
        <v>72</v>
      </c>
      <c r="L98" t="s">
        <v>1272</v>
      </c>
      <c r="M98" t="s">
        <v>1273</v>
      </c>
      <c r="N98" t="s">
        <v>25</v>
      </c>
      <c r="O98" s="12">
        <v>45124.146527777775</v>
      </c>
      <c r="P98" s="12">
        <v>45125.771527777775</v>
      </c>
      <c r="Q98" s="12">
        <v>45125.806944444441</v>
      </c>
      <c r="R98" s="12">
        <v>45125.856944444444</v>
      </c>
      <c r="S98" s="12">
        <v>45128.19027777778</v>
      </c>
      <c r="U98" t="b">
        <v>1</v>
      </c>
      <c r="V98" s="12">
        <v>45229.271527777775</v>
      </c>
      <c r="W98" t="s">
        <v>20</v>
      </c>
      <c r="X98" t="s">
        <v>1776</v>
      </c>
      <c r="Y98" t="s">
        <v>1777</v>
      </c>
    </row>
    <row r="99" spans="1:25">
      <c r="A99" t="s">
        <v>1778</v>
      </c>
      <c r="B99" t="s">
        <v>1364</v>
      </c>
      <c r="C99" t="s">
        <v>1432</v>
      </c>
      <c r="D99" t="s">
        <v>1779</v>
      </c>
      <c r="E99" t="s">
        <v>528</v>
      </c>
      <c r="F99" t="s">
        <v>1511</v>
      </c>
      <c r="G99">
        <v>71</v>
      </c>
      <c r="H99" t="s">
        <v>295</v>
      </c>
      <c r="I99" t="s">
        <v>24</v>
      </c>
      <c r="J99" t="s">
        <v>1281</v>
      </c>
      <c r="K99">
        <v>82</v>
      </c>
      <c r="L99" t="s">
        <v>42</v>
      </c>
      <c r="M99" t="s">
        <v>1273</v>
      </c>
      <c r="N99" t="s">
        <v>25</v>
      </c>
      <c r="O99" s="12">
        <v>45526.313888888886</v>
      </c>
      <c r="P99" s="12">
        <v>45527.605555555558</v>
      </c>
      <c r="Q99" s="12">
        <v>45527.654166666667</v>
      </c>
      <c r="R99" s="12">
        <v>45527.69027777778</v>
      </c>
      <c r="S99" s="12">
        <v>45529.606944444444</v>
      </c>
      <c r="U99" t="b">
        <v>1</v>
      </c>
      <c r="V99" s="12">
        <v>45660.938888888886</v>
      </c>
      <c r="W99" t="s">
        <v>527</v>
      </c>
      <c r="X99" t="s">
        <v>1780</v>
      </c>
      <c r="Y99" t="s">
        <v>1781</v>
      </c>
    </row>
    <row r="100" spans="1:25">
      <c r="A100" t="s">
        <v>1782</v>
      </c>
      <c r="B100" t="s">
        <v>1744</v>
      </c>
      <c r="C100" t="s">
        <v>1585</v>
      </c>
      <c r="D100" t="s">
        <v>1783</v>
      </c>
      <c r="E100" t="s">
        <v>435</v>
      </c>
      <c r="F100" t="s">
        <v>1784</v>
      </c>
      <c r="G100">
        <v>1398</v>
      </c>
      <c r="H100" t="s">
        <v>116</v>
      </c>
      <c r="I100" t="s">
        <v>17</v>
      </c>
      <c r="J100" t="s">
        <v>1281</v>
      </c>
      <c r="K100">
        <v>75</v>
      </c>
      <c r="L100" t="s">
        <v>1272</v>
      </c>
      <c r="M100" t="s">
        <v>1273</v>
      </c>
      <c r="N100" t="s">
        <v>82</v>
      </c>
      <c r="O100" s="12">
        <v>46199.161111111112</v>
      </c>
      <c r="P100" s="12">
        <v>46200.202777777777</v>
      </c>
      <c r="Q100" s="12">
        <v>46200.253472222219</v>
      </c>
      <c r="R100" s="12">
        <v>46200.352083333331</v>
      </c>
      <c r="S100" s="12">
        <v>46201.185416666667</v>
      </c>
      <c r="U100" t="b">
        <v>1</v>
      </c>
      <c r="V100" s="12">
        <v>46258.286111111112</v>
      </c>
      <c r="W100" t="s">
        <v>434</v>
      </c>
      <c r="X100" t="s">
        <v>1785</v>
      </c>
      <c r="Y100" t="s">
        <v>1786</v>
      </c>
    </row>
    <row r="101" spans="1:25">
      <c r="A101" t="s">
        <v>1787</v>
      </c>
      <c r="B101" t="s">
        <v>1617</v>
      </c>
      <c r="C101" t="s">
        <v>1203</v>
      </c>
      <c r="D101" t="s">
        <v>1788</v>
      </c>
      <c r="E101" t="s">
        <v>471</v>
      </c>
      <c r="F101" t="s">
        <v>1392</v>
      </c>
      <c r="G101">
        <v>56</v>
      </c>
      <c r="I101" t="s">
        <v>24</v>
      </c>
      <c r="J101" t="s">
        <v>1339</v>
      </c>
      <c r="K101">
        <v>72</v>
      </c>
      <c r="L101" t="s">
        <v>1272</v>
      </c>
      <c r="M101" t="s">
        <v>1273</v>
      </c>
      <c r="N101" t="s">
        <v>91</v>
      </c>
      <c r="O101" s="12">
        <v>45544.285416666666</v>
      </c>
      <c r="P101" s="12">
        <v>45546.410416666666</v>
      </c>
      <c r="Q101" s="12">
        <v>45546.441666666666</v>
      </c>
      <c r="R101" s="12">
        <v>45546.505555555559</v>
      </c>
      <c r="S101" s="12">
        <v>45549.255555555559</v>
      </c>
      <c r="U101" t="b">
        <v>1</v>
      </c>
      <c r="V101" s="12">
        <v>45666.410416666666</v>
      </c>
      <c r="W101" t="s">
        <v>470</v>
      </c>
      <c r="X101" t="s">
        <v>1789</v>
      </c>
      <c r="Y101" t="s">
        <v>1790</v>
      </c>
    </row>
    <row r="102" spans="1:25">
      <c r="A102" t="s">
        <v>1791</v>
      </c>
      <c r="B102" t="s">
        <v>1207</v>
      </c>
      <c r="C102" t="s">
        <v>1792</v>
      </c>
      <c r="D102" t="s">
        <v>1793</v>
      </c>
      <c r="E102" t="s">
        <v>218</v>
      </c>
      <c r="F102" t="s">
        <v>1523</v>
      </c>
      <c r="G102">
        <v>126</v>
      </c>
      <c r="H102" t="s">
        <v>120</v>
      </c>
      <c r="I102" t="s">
        <v>24</v>
      </c>
      <c r="J102" t="s">
        <v>1281</v>
      </c>
      <c r="K102">
        <v>75</v>
      </c>
      <c r="L102" t="s">
        <v>42</v>
      </c>
      <c r="M102" t="s">
        <v>1273</v>
      </c>
      <c r="N102" t="s">
        <v>25</v>
      </c>
      <c r="O102" s="12">
        <v>44884.59097222222</v>
      </c>
      <c r="P102" s="12">
        <v>44887.299305555556</v>
      </c>
      <c r="Q102" s="12">
        <v>44887.332638888889</v>
      </c>
      <c r="R102" s="12">
        <v>44887.362500000003</v>
      </c>
      <c r="S102" s="12">
        <v>44889.195833333331</v>
      </c>
      <c r="U102" t="b">
        <v>1</v>
      </c>
      <c r="V102" s="12">
        <v>44932.007638888892</v>
      </c>
      <c r="W102" t="s">
        <v>217</v>
      </c>
      <c r="X102" t="s">
        <v>1794</v>
      </c>
      <c r="Y102" t="s">
        <v>1795</v>
      </c>
    </row>
    <row r="103" spans="1:25">
      <c r="A103" t="s">
        <v>1796</v>
      </c>
      <c r="B103" t="s">
        <v>1190</v>
      </c>
      <c r="C103" t="s">
        <v>1797</v>
      </c>
      <c r="D103" t="s">
        <v>1798</v>
      </c>
      <c r="E103" t="s">
        <v>907</v>
      </c>
      <c r="F103" t="s">
        <v>1471</v>
      </c>
      <c r="G103">
        <v>2011</v>
      </c>
      <c r="H103" t="s">
        <v>154</v>
      </c>
      <c r="I103" t="s">
        <v>17</v>
      </c>
      <c r="J103" t="s">
        <v>1281</v>
      </c>
      <c r="K103">
        <v>79</v>
      </c>
      <c r="L103" t="s">
        <v>1272</v>
      </c>
      <c r="M103" t="s">
        <v>1273</v>
      </c>
      <c r="N103" t="s">
        <v>82</v>
      </c>
      <c r="O103" s="12">
        <v>45365.977777777778</v>
      </c>
      <c r="P103" s="12">
        <v>45367.144444444442</v>
      </c>
      <c r="Q103" s="12">
        <v>45367.174305555556</v>
      </c>
      <c r="R103" s="12">
        <v>45367.3125</v>
      </c>
      <c r="S103" s="12">
        <v>45367.770833333336</v>
      </c>
      <c r="U103" t="b">
        <v>1</v>
      </c>
      <c r="V103" s="12">
        <v>45469.477777777778</v>
      </c>
      <c r="W103" t="s">
        <v>906</v>
      </c>
      <c r="X103" t="s">
        <v>1799</v>
      </c>
      <c r="Y103" t="s">
        <v>1800</v>
      </c>
    </row>
    <row r="104" spans="1:25">
      <c r="A104" t="s">
        <v>1801</v>
      </c>
      <c r="B104" t="s">
        <v>1699</v>
      </c>
      <c r="C104" t="s">
        <v>1490</v>
      </c>
      <c r="D104" t="s">
        <v>1802</v>
      </c>
      <c r="E104" t="s">
        <v>471</v>
      </c>
      <c r="F104" t="s">
        <v>1511</v>
      </c>
      <c r="G104">
        <v>56</v>
      </c>
      <c r="I104" t="s">
        <v>24</v>
      </c>
      <c r="J104" t="s">
        <v>1413</v>
      </c>
      <c r="K104">
        <v>72</v>
      </c>
      <c r="L104" t="s">
        <v>1272</v>
      </c>
      <c r="M104" t="s">
        <v>1273</v>
      </c>
      <c r="N104" t="s">
        <v>91</v>
      </c>
      <c r="O104" s="12">
        <v>45340.447222222225</v>
      </c>
      <c r="P104" s="12">
        <v>45342.280555555553</v>
      </c>
      <c r="Q104" s="12">
        <v>45342.331944444442</v>
      </c>
      <c r="R104" s="12">
        <v>45342.45</v>
      </c>
      <c r="S104" s="12">
        <v>45345.45</v>
      </c>
      <c r="U104" t="b">
        <v>1</v>
      </c>
      <c r="V104" s="12">
        <v>45466.780555555553</v>
      </c>
      <c r="W104" t="s">
        <v>470</v>
      </c>
      <c r="X104" t="s">
        <v>1803</v>
      </c>
    </row>
    <row r="105" spans="1:25">
      <c r="A105" t="s">
        <v>1804</v>
      </c>
      <c r="B105" t="s">
        <v>1161</v>
      </c>
      <c r="C105" t="s">
        <v>1191</v>
      </c>
      <c r="D105" t="s">
        <v>1805</v>
      </c>
      <c r="E105" t="s">
        <v>293</v>
      </c>
      <c r="F105" t="s">
        <v>1806</v>
      </c>
      <c r="G105">
        <v>497</v>
      </c>
      <c r="H105" t="s">
        <v>295</v>
      </c>
      <c r="I105" t="s">
        <v>30</v>
      </c>
      <c r="J105" t="s">
        <v>1413</v>
      </c>
      <c r="K105">
        <v>77</v>
      </c>
      <c r="L105" t="s">
        <v>1272</v>
      </c>
      <c r="M105" t="s">
        <v>1273</v>
      </c>
      <c r="N105" t="s">
        <v>82</v>
      </c>
      <c r="O105" s="12">
        <v>45499.722222222219</v>
      </c>
      <c r="P105" s="12">
        <v>45501.263888888891</v>
      </c>
      <c r="Q105" s="12">
        <v>45501.325694444444</v>
      </c>
      <c r="R105" s="12">
        <v>45501.467361111114</v>
      </c>
      <c r="S105" s="12">
        <v>45503.259027777778</v>
      </c>
      <c r="U105" t="b">
        <v>1</v>
      </c>
      <c r="V105" s="12">
        <v>45589.472222222219</v>
      </c>
      <c r="W105" t="s">
        <v>292</v>
      </c>
      <c r="X105" t="s">
        <v>1807</v>
      </c>
    </row>
    <row r="106" spans="1:25">
      <c r="A106" t="s">
        <v>1808</v>
      </c>
      <c r="B106" t="s">
        <v>1809</v>
      </c>
      <c r="C106" t="s">
        <v>1278</v>
      </c>
      <c r="D106" t="s">
        <v>1810</v>
      </c>
      <c r="E106" t="s">
        <v>667</v>
      </c>
      <c r="F106" t="s">
        <v>1517</v>
      </c>
      <c r="G106">
        <v>83</v>
      </c>
      <c r="H106" t="s">
        <v>226</v>
      </c>
      <c r="I106" t="s">
        <v>24</v>
      </c>
      <c r="J106" t="s">
        <v>1317</v>
      </c>
      <c r="K106">
        <v>72</v>
      </c>
      <c r="L106" t="s">
        <v>1272</v>
      </c>
      <c r="M106" t="s">
        <v>1273</v>
      </c>
      <c r="N106" t="s">
        <v>69</v>
      </c>
      <c r="O106" s="12">
        <v>45117.026388888888</v>
      </c>
      <c r="P106" s="12">
        <v>45120.026388888888</v>
      </c>
      <c r="Q106" s="12">
        <v>45120.054166666669</v>
      </c>
      <c r="R106" s="12">
        <v>45120.111805555556</v>
      </c>
      <c r="S106" s="12">
        <v>45120.40347222222</v>
      </c>
      <c r="U106" t="b">
        <v>1</v>
      </c>
      <c r="V106" s="12">
        <v>45247.026388888888</v>
      </c>
      <c r="W106" t="s">
        <v>666</v>
      </c>
      <c r="X106" t="s">
        <v>1811</v>
      </c>
      <c r="Y106" t="s">
        <v>1812</v>
      </c>
    </row>
    <row r="107" spans="1:25">
      <c r="A107" t="s">
        <v>1813</v>
      </c>
      <c r="B107" t="s">
        <v>1814</v>
      </c>
      <c r="C107" t="s">
        <v>1446</v>
      </c>
      <c r="D107" t="s">
        <v>1815</v>
      </c>
      <c r="E107" t="s">
        <v>57</v>
      </c>
      <c r="F107" t="s">
        <v>1218</v>
      </c>
      <c r="G107">
        <v>148</v>
      </c>
      <c r="H107" t="s">
        <v>50</v>
      </c>
      <c r="I107" t="s">
        <v>24</v>
      </c>
      <c r="J107" t="s">
        <v>1339</v>
      </c>
      <c r="K107">
        <v>75</v>
      </c>
      <c r="L107" t="s">
        <v>1272</v>
      </c>
      <c r="M107" t="s">
        <v>1273</v>
      </c>
      <c r="N107" t="s">
        <v>59</v>
      </c>
      <c r="O107" s="12">
        <v>46104.339583333334</v>
      </c>
      <c r="P107" s="12">
        <v>46104.589583333334</v>
      </c>
      <c r="Q107" s="12">
        <v>46104.626388888886</v>
      </c>
      <c r="R107" s="12">
        <v>46104.646527777775</v>
      </c>
      <c r="S107" s="12">
        <v>46105.313194444447</v>
      </c>
      <c r="U107" t="b">
        <v>1</v>
      </c>
      <c r="V107" s="12">
        <v>46249.79791666667</v>
      </c>
      <c r="W107" t="s">
        <v>56</v>
      </c>
      <c r="X107" t="s">
        <v>1816</v>
      </c>
      <c r="Y107" t="s">
        <v>1817</v>
      </c>
    </row>
    <row r="108" spans="1:25">
      <c r="A108" t="s">
        <v>1818</v>
      </c>
      <c r="B108" t="s">
        <v>1622</v>
      </c>
      <c r="C108" t="s">
        <v>1191</v>
      </c>
      <c r="D108" t="s">
        <v>1819</v>
      </c>
      <c r="E108" t="s">
        <v>862</v>
      </c>
      <c r="F108" t="s">
        <v>1287</v>
      </c>
      <c r="G108">
        <v>147</v>
      </c>
      <c r="H108" t="s">
        <v>16</v>
      </c>
      <c r="I108" t="s">
        <v>24</v>
      </c>
      <c r="J108" t="s">
        <v>1339</v>
      </c>
      <c r="K108">
        <v>92</v>
      </c>
      <c r="L108" t="s">
        <v>1272</v>
      </c>
      <c r="M108" t="s">
        <v>1273</v>
      </c>
      <c r="N108" t="s">
        <v>91</v>
      </c>
      <c r="O108" s="12">
        <v>45745.229166666664</v>
      </c>
      <c r="P108" s="12">
        <v>45745.395833333336</v>
      </c>
      <c r="Q108" s="12">
        <v>45745.438194444447</v>
      </c>
      <c r="R108" s="12">
        <v>45745.546527777777</v>
      </c>
      <c r="S108" s="12">
        <v>45746.754861111112</v>
      </c>
      <c r="U108" t="b">
        <v>1</v>
      </c>
      <c r="V108" s="12">
        <v>45804.729166666664</v>
      </c>
      <c r="W108" t="s">
        <v>861</v>
      </c>
      <c r="X108" t="s">
        <v>1820</v>
      </c>
      <c r="Y108" t="s">
        <v>1821</v>
      </c>
    </row>
    <row r="109" spans="1:25">
      <c r="A109" t="s">
        <v>1822</v>
      </c>
      <c r="B109" t="s">
        <v>1521</v>
      </c>
      <c r="C109" t="s">
        <v>1142</v>
      </c>
      <c r="D109" t="s">
        <v>1823</v>
      </c>
      <c r="E109" t="s">
        <v>522</v>
      </c>
      <c r="F109" t="s">
        <v>1646</v>
      </c>
      <c r="G109">
        <v>69</v>
      </c>
      <c r="H109" t="s">
        <v>178</v>
      </c>
      <c r="I109" t="s">
        <v>24</v>
      </c>
      <c r="J109" t="s">
        <v>1413</v>
      </c>
      <c r="K109">
        <v>72</v>
      </c>
      <c r="L109" t="s">
        <v>42</v>
      </c>
      <c r="M109" t="s">
        <v>1273</v>
      </c>
      <c r="N109" t="s">
        <v>59</v>
      </c>
      <c r="O109" s="12">
        <v>46085.239583333336</v>
      </c>
      <c r="P109" s="12">
        <v>46085.40625</v>
      </c>
      <c r="Q109" s="12">
        <v>46085.419444444444</v>
      </c>
      <c r="R109" s="12">
        <v>46085.434027777781</v>
      </c>
      <c r="S109" s="12">
        <v>46088.434027777781</v>
      </c>
      <c r="U109" t="b">
        <v>1</v>
      </c>
      <c r="V109" s="12">
        <v>46211.614583333336</v>
      </c>
      <c r="W109" t="s">
        <v>521</v>
      </c>
      <c r="X109" t="s">
        <v>1824</v>
      </c>
      <c r="Y109" t="s">
        <v>1825</v>
      </c>
    </row>
    <row r="110" spans="1:25">
      <c r="A110" t="s">
        <v>1826</v>
      </c>
      <c r="B110" t="s">
        <v>1277</v>
      </c>
      <c r="C110" t="s">
        <v>1083</v>
      </c>
      <c r="D110" t="s">
        <v>1827</v>
      </c>
      <c r="E110" t="s">
        <v>129</v>
      </c>
      <c r="F110" t="s">
        <v>1633</v>
      </c>
      <c r="G110">
        <v>483</v>
      </c>
      <c r="H110" t="s">
        <v>64</v>
      </c>
      <c r="I110" t="s">
        <v>30</v>
      </c>
      <c r="J110" t="s">
        <v>1288</v>
      </c>
      <c r="K110">
        <v>72</v>
      </c>
      <c r="L110" t="s">
        <v>1272</v>
      </c>
      <c r="M110" t="s">
        <v>1273</v>
      </c>
      <c r="N110" t="s">
        <v>55</v>
      </c>
      <c r="O110" s="12">
        <v>46138.522222222222</v>
      </c>
      <c r="P110" s="12">
        <v>46139.897222222222</v>
      </c>
      <c r="Q110" s="12">
        <v>46139.927083333336</v>
      </c>
      <c r="R110" s="12">
        <v>46140.070833333331</v>
      </c>
      <c r="S110" s="12">
        <v>46141.737500000003</v>
      </c>
      <c r="U110" t="b">
        <v>1</v>
      </c>
      <c r="V110" s="12">
        <v>46260.813888888886</v>
      </c>
      <c r="W110" t="s">
        <v>128</v>
      </c>
      <c r="X110" t="s">
        <v>1828</v>
      </c>
      <c r="Y110" t="s">
        <v>1829</v>
      </c>
    </row>
    <row r="111" spans="1:25">
      <c r="A111" t="s">
        <v>1830</v>
      </c>
      <c r="B111" t="s">
        <v>1342</v>
      </c>
      <c r="C111" t="s">
        <v>1404</v>
      </c>
      <c r="D111" t="s">
        <v>1831</v>
      </c>
      <c r="E111" t="s">
        <v>1026</v>
      </c>
      <c r="F111" t="s">
        <v>1602</v>
      </c>
      <c r="G111">
        <v>1510</v>
      </c>
      <c r="H111" t="s">
        <v>95</v>
      </c>
      <c r="I111" t="s">
        <v>17</v>
      </c>
      <c r="J111" t="s">
        <v>1281</v>
      </c>
      <c r="K111">
        <v>92</v>
      </c>
      <c r="L111" t="s">
        <v>42</v>
      </c>
      <c r="M111" t="s">
        <v>1273</v>
      </c>
      <c r="N111" t="s">
        <v>18</v>
      </c>
      <c r="O111" s="12">
        <v>45106.782638888886</v>
      </c>
      <c r="P111" s="12">
        <v>45107.282638888886</v>
      </c>
      <c r="Q111" s="12">
        <v>45107.29583333333</v>
      </c>
      <c r="R111" s="12">
        <v>45107.629166666666</v>
      </c>
      <c r="S111" s="12">
        <v>45108.04583333333</v>
      </c>
      <c r="U111" t="b">
        <v>1</v>
      </c>
      <c r="V111" s="12">
        <v>45234.532638888886</v>
      </c>
      <c r="W111" t="s">
        <v>1025</v>
      </c>
      <c r="X111" t="s">
        <v>1832</v>
      </c>
    </row>
    <row r="112" spans="1:25">
      <c r="A112" t="s">
        <v>1833</v>
      </c>
      <c r="B112" t="s">
        <v>1138</v>
      </c>
      <c r="C112" t="s">
        <v>1191</v>
      </c>
      <c r="D112" t="s">
        <v>1834</v>
      </c>
      <c r="E112" t="s">
        <v>835</v>
      </c>
      <c r="F112" t="s">
        <v>1471</v>
      </c>
      <c r="G112">
        <v>711</v>
      </c>
      <c r="H112" t="s">
        <v>16</v>
      </c>
      <c r="I112" t="s">
        <v>30</v>
      </c>
      <c r="J112" t="s">
        <v>1288</v>
      </c>
      <c r="K112">
        <v>72</v>
      </c>
      <c r="L112" t="s">
        <v>42</v>
      </c>
      <c r="M112" t="s">
        <v>1273</v>
      </c>
      <c r="N112" t="s">
        <v>36</v>
      </c>
      <c r="O112" s="12">
        <v>46089.681250000001</v>
      </c>
      <c r="P112" s="12">
        <v>46091.431250000001</v>
      </c>
      <c r="Q112" s="12">
        <v>46091.472222222219</v>
      </c>
      <c r="R112" s="12">
        <v>46091.615972222222</v>
      </c>
      <c r="S112" s="12">
        <v>46092.782638888886</v>
      </c>
      <c r="U112" t="b">
        <v>1</v>
      </c>
      <c r="V112" s="12">
        <v>46222.88958333333</v>
      </c>
      <c r="W112" t="s">
        <v>834</v>
      </c>
      <c r="X112" t="s">
        <v>1835</v>
      </c>
      <c r="Y112" t="s">
        <v>1836</v>
      </c>
    </row>
    <row r="113" spans="1:25">
      <c r="A113" t="s">
        <v>1837</v>
      </c>
      <c r="B113" t="s">
        <v>1336</v>
      </c>
      <c r="C113" t="s">
        <v>1385</v>
      </c>
      <c r="D113" t="s">
        <v>1838</v>
      </c>
      <c r="E113" t="s">
        <v>658</v>
      </c>
      <c r="F113" t="s">
        <v>1448</v>
      </c>
      <c r="G113">
        <v>512</v>
      </c>
      <c r="H113" t="s">
        <v>64</v>
      </c>
      <c r="I113" t="s">
        <v>30</v>
      </c>
      <c r="J113" t="s">
        <v>1413</v>
      </c>
      <c r="K113">
        <v>72</v>
      </c>
      <c r="L113" t="s">
        <v>1272</v>
      </c>
      <c r="M113" t="s">
        <v>1273</v>
      </c>
      <c r="N113" t="s">
        <v>55</v>
      </c>
      <c r="O113" s="12">
        <v>45356.501388888886</v>
      </c>
      <c r="P113" s="12">
        <v>45358.834722222222</v>
      </c>
      <c r="Q113" s="12">
        <v>45358.84652777778</v>
      </c>
      <c r="R113" s="12">
        <v>45358.908333333333</v>
      </c>
      <c r="S113" s="12">
        <v>45360.908333333333</v>
      </c>
      <c r="U113" t="b">
        <v>1</v>
      </c>
      <c r="V113" s="12">
        <v>45407.209722222222</v>
      </c>
      <c r="W113" t="s">
        <v>657</v>
      </c>
      <c r="X113" t="s">
        <v>1839</v>
      </c>
    </row>
    <row r="114" spans="1:25">
      <c r="A114" t="s">
        <v>1840</v>
      </c>
      <c r="B114" t="s">
        <v>1754</v>
      </c>
      <c r="C114" t="s">
        <v>1841</v>
      </c>
      <c r="D114" t="s">
        <v>1842</v>
      </c>
      <c r="E114" t="s">
        <v>477</v>
      </c>
      <c r="F114" t="s">
        <v>1843</v>
      </c>
      <c r="G114">
        <v>842</v>
      </c>
      <c r="H114" t="s">
        <v>140</v>
      </c>
      <c r="I114" t="s">
        <v>30</v>
      </c>
      <c r="J114" t="s">
        <v>1288</v>
      </c>
      <c r="K114">
        <v>72</v>
      </c>
      <c r="L114" t="s">
        <v>42</v>
      </c>
      <c r="M114" t="s">
        <v>1273</v>
      </c>
      <c r="N114" t="s">
        <v>82</v>
      </c>
      <c r="O114" s="12">
        <v>46071.341666666667</v>
      </c>
      <c r="P114" s="12">
        <v>46072.716666666667</v>
      </c>
      <c r="Q114" s="12">
        <v>46072.772222222222</v>
      </c>
      <c r="R114" s="12">
        <v>46073.563888888886</v>
      </c>
      <c r="S114" s="12">
        <v>46074.647222222222</v>
      </c>
      <c r="U114" t="b">
        <v>1</v>
      </c>
      <c r="V114" s="12">
        <v>46182.425000000003</v>
      </c>
      <c r="W114" t="s">
        <v>476</v>
      </c>
      <c r="X114" t="s">
        <v>1844</v>
      </c>
      <c r="Y114" t="s">
        <v>1845</v>
      </c>
    </row>
    <row r="115" spans="1:25">
      <c r="A115" t="s">
        <v>1846</v>
      </c>
      <c r="B115" t="s">
        <v>1847</v>
      </c>
      <c r="C115" t="s">
        <v>1848</v>
      </c>
      <c r="D115" t="s">
        <v>1849</v>
      </c>
      <c r="E115" t="s">
        <v>883</v>
      </c>
      <c r="F115" t="s">
        <v>1487</v>
      </c>
      <c r="G115">
        <v>2368</v>
      </c>
      <c r="H115" t="s">
        <v>236</v>
      </c>
      <c r="I115" t="s">
        <v>17</v>
      </c>
      <c r="J115" t="s">
        <v>1281</v>
      </c>
      <c r="K115">
        <v>72</v>
      </c>
      <c r="L115" t="s">
        <v>42</v>
      </c>
      <c r="M115" t="s">
        <v>1273</v>
      </c>
      <c r="N115" t="s">
        <v>18</v>
      </c>
      <c r="O115" s="12">
        <v>45526.470833333333</v>
      </c>
      <c r="P115" s="12">
        <v>45526.970833333333</v>
      </c>
      <c r="Q115" s="12">
        <v>45526.990277777775</v>
      </c>
      <c r="R115" s="12">
        <v>45527.095833333333</v>
      </c>
      <c r="S115" s="12">
        <v>45527.429166666669</v>
      </c>
      <c r="U115" t="b">
        <v>1</v>
      </c>
      <c r="V115" s="12">
        <v>45644.845833333333</v>
      </c>
      <c r="W115" t="s">
        <v>882</v>
      </c>
      <c r="X115" t="s">
        <v>1850</v>
      </c>
      <c r="Y115" t="s">
        <v>1851</v>
      </c>
    </row>
    <row r="116" spans="1:25">
      <c r="A116" t="s">
        <v>1852</v>
      </c>
      <c r="B116" t="s">
        <v>1134</v>
      </c>
      <c r="C116" t="s">
        <v>1125</v>
      </c>
      <c r="D116" t="s">
        <v>1853</v>
      </c>
      <c r="E116" t="s">
        <v>111</v>
      </c>
      <c r="F116" t="s">
        <v>1511</v>
      </c>
      <c r="G116">
        <v>46</v>
      </c>
      <c r="H116" t="s">
        <v>81</v>
      </c>
      <c r="I116" t="s">
        <v>24</v>
      </c>
      <c r="J116" t="s">
        <v>1317</v>
      </c>
      <c r="K116">
        <v>72</v>
      </c>
      <c r="L116" t="s">
        <v>42</v>
      </c>
      <c r="M116" t="s">
        <v>1273</v>
      </c>
      <c r="N116" t="s">
        <v>25</v>
      </c>
      <c r="O116" s="12">
        <v>44558.318055555559</v>
      </c>
      <c r="P116" s="12">
        <v>44561.276388888888</v>
      </c>
      <c r="Q116" s="12">
        <v>44561.338194444441</v>
      </c>
      <c r="R116" s="12">
        <v>44561.48333333333</v>
      </c>
      <c r="S116" s="12">
        <v>44562.441666666666</v>
      </c>
      <c r="U116" t="b">
        <v>1</v>
      </c>
      <c r="V116" s="12">
        <v>44640.984722222223</v>
      </c>
      <c r="W116" t="s">
        <v>110</v>
      </c>
      <c r="X116" t="s">
        <v>1854</v>
      </c>
      <c r="Y116" t="s">
        <v>1855</v>
      </c>
    </row>
    <row r="117" spans="1:25">
      <c r="A117" t="s">
        <v>1856</v>
      </c>
      <c r="B117" t="s">
        <v>1299</v>
      </c>
      <c r="C117" t="s">
        <v>1585</v>
      </c>
      <c r="D117" t="s">
        <v>1857</v>
      </c>
      <c r="E117" t="s">
        <v>159</v>
      </c>
      <c r="F117" t="s">
        <v>1496</v>
      </c>
      <c r="G117">
        <v>97</v>
      </c>
      <c r="H117" t="s">
        <v>161</v>
      </c>
      <c r="I117" t="s">
        <v>24</v>
      </c>
      <c r="J117" t="s">
        <v>1295</v>
      </c>
      <c r="K117">
        <v>94</v>
      </c>
      <c r="L117" t="s">
        <v>1272</v>
      </c>
      <c r="M117" t="s">
        <v>1273</v>
      </c>
      <c r="N117" t="s">
        <v>59</v>
      </c>
      <c r="O117" s="12">
        <v>45342.484027777777</v>
      </c>
      <c r="P117" s="12">
        <v>45343.817361111112</v>
      </c>
      <c r="Q117" s="12">
        <v>45343.847916666666</v>
      </c>
      <c r="R117" s="12">
        <v>45343.897916666669</v>
      </c>
      <c r="S117" s="12">
        <v>45345.731249999997</v>
      </c>
      <c r="U117" t="b">
        <v>1</v>
      </c>
      <c r="V117" s="12">
        <v>45391.650694444441</v>
      </c>
      <c r="W117" t="s">
        <v>158</v>
      </c>
      <c r="X117" t="s">
        <v>1858</v>
      </c>
    </row>
    <row r="118" spans="1:25">
      <c r="A118" t="s">
        <v>1859</v>
      </c>
      <c r="B118" t="s">
        <v>1134</v>
      </c>
      <c r="C118" t="s">
        <v>1716</v>
      </c>
      <c r="D118" t="s">
        <v>1860</v>
      </c>
      <c r="E118" t="s">
        <v>816</v>
      </c>
      <c r="F118" t="s">
        <v>1511</v>
      </c>
      <c r="G118">
        <v>59</v>
      </c>
      <c r="H118" t="s">
        <v>50</v>
      </c>
      <c r="I118" t="s">
        <v>24</v>
      </c>
      <c r="J118" t="s">
        <v>1339</v>
      </c>
      <c r="K118">
        <v>91</v>
      </c>
      <c r="L118" t="s">
        <v>1272</v>
      </c>
      <c r="M118" t="s">
        <v>1273</v>
      </c>
      <c r="N118" t="s">
        <v>59</v>
      </c>
      <c r="O118" s="12">
        <v>45319.004166666666</v>
      </c>
      <c r="P118" s="12">
        <v>45321.462500000001</v>
      </c>
      <c r="Q118" s="12">
        <v>45321.505555555559</v>
      </c>
      <c r="R118" s="12">
        <v>45321.518055555556</v>
      </c>
      <c r="S118" s="12">
        <v>45322.101388888892</v>
      </c>
      <c r="U118" t="b">
        <v>1</v>
      </c>
      <c r="V118" s="12">
        <v>45407.087500000001</v>
      </c>
      <c r="W118" t="s">
        <v>815</v>
      </c>
      <c r="X118" t="s">
        <v>1861</v>
      </c>
      <c r="Y118" t="s">
        <v>1862</v>
      </c>
    </row>
    <row r="119" spans="1:25">
      <c r="A119" t="s">
        <v>1863</v>
      </c>
      <c r="B119" t="s">
        <v>1864</v>
      </c>
      <c r="C119" t="s">
        <v>1292</v>
      </c>
      <c r="D119" t="s">
        <v>1865</v>
      </c>
      <c r="E119" t="s">
        <v>907</v>
      </c>
      <c r="F119" t="s">
        <v>1866</v>
      </c>
      <c r="G119">
        <v>2011</v>
      </c>
      <c r="H119" t="s">
        <v>154</v>
      </c>
      <c r="I119" t="s">
        <v>17</v>
      </c>
      <c r="J119" t="s">
        <v>1271</v>
      </c>
      <c r="K119">
        <v>72</v>
      </c>
      <c r="L119" t="s">
        <v>1272</v>
      </c>
      <c r="M119" t="s">
        <v>1273</v>
      </c>
      <c r="N119" t="s">
        <v>82</v>
      </c>
      <c r="O119" s="12">
        <v>45394.574305555558</v>
      </c>
      <c r="P119" s="12">
        <v>45396.449305555558</v>
      </c>
      <c r="Q119" s="12">
        <v>45396.506944444445</v>
      </c>
      <c r="R119" s="12">
        <v>45396.5625</v>
      </c>
      <c r="S119" s="12">
        <v>45399.145833333336</v>
      </c>
      <c r="U119" t="b">
        <v>1</v>
      </c>
      <c r="V119" s="12">
        <v>45495.907638888886</v>
      </c>
      <c r="W119" t="s">
        <v>906</v>
      </c>
      <c r="X119" t="s">
        <v>1867</v>
      </c>
      <c r="Y119" t="s">
        <v>1868</v>
      </c>
    </row>
    <row r="120" spans="1:25">
      <c r="A120" t="s">
        <v>1869</v>
      </c>
      <c r="B120" t="s">
        <v>1284</v>
      </c>
      <c r="C120" t="s">
        <v>1870</v>
      </c>
      <c r="D120" t="s">
        <v>1871</v>
      </c>
      <c r="E120" t="s">
        <v>907</v>
      </c>
      <c r="F120" t="s">
        <v>1453</v>
      </c>
      <c r="G120">
        <v>2011</v>
      </c>
      <c r="H120" t="s">
        <v>154</v>
      </c>
      <c r="I120" t="s">
        <v>17</v>
      </c>
      <c r="J120" t="s">
        <v>1288</v>
      </c>
      <c r="K120">
        <v>76</v>
      </c>
      <c r="L120" t="s">
        <v>1272</v>
      </c>
      <c r="M120" t="s">
        <v>1273</v>
      </c>
      <c r="N120" t="s">
        <v>82</v>
      </c>
      <c r="O120" s="12">
        <v>45616.884722222225</v>
      </c>
      <c r="P120" s="12">
        <v>45618.093055555553</v>
      </c>
      <c r="Q120" s="12">
        <v>45618.132638888892</v>
      </c>
      <c r="R120" s="12">
        <v>45618.243750000001</v>
      </c>
      <c r="S120" s="12">
        <v>45620.07708333333</v>
      </c>
      <c r="U120" t="b">
        <v>1</v>
      </c>
      <c r="V120" s="12">
        <v>45649.593055555553</v>
      </c>
      <c r="W120" t="s">
        <v>906</v>
      </c>
      <c r="X120" t="s">
        <v>1872</v>
      </c>
      <c r="Y120" t="s">
        <v>1873</v>
      </c>
    </row>
    <row r="121" spans="1:25">
      <c r="A121" t="s">
        <v>1874</v>
      </c>
      <c r="B121" t="s">
        <v>1875</v>
      </c>
      <c r="C121" t="s">
        <v>1797</v>
      </c>
      <c r="D121" t="s">
        <v>1876</v>
      </c>
      <c r="E121" t="s">
        <v>194</v>
      </c>
      <c r="F121" t="s">
        <v>1412</v>
      </c>
      <c r="G121">
        <v>64</v>
      </c>
      <c r="H121" t="s">
        <v>23</v>
      </c>
      <c r="I121" t="s">
        <v>24</v>
      </c>
      <c r="J121" t="s">
        <v>1271</v>
      </c>
      <c r="K121">
        <v>72</v>
      </c>
      <c r="L121" t="s">
        <v>42</v>
      </c>
      <c r="M121" t="s">
        <v>1273</v>
      </c>
      <c r="N121" t="s">
        <v>25</v>
      </c>
      <c r="O121" s="12">
        <v>45712.505555555559</v>
      </c>
      <c r="P121" s="12">
        <v>45714.922222222223</v>
      </c>
      <c r="Q121" s="12">
        <v>45714.947916666664</v>
      </c>
      <c r="R121" s="12">
        <v>45714.981249999997</v>
      </c>
      <c r="S121" s="12">
        <v>45716.606249999997</v>
      </c>
      <c r="U121" t="b">
        <v>1</v>
      </c>
      <c r="V121" s="12">
        <v>45828.547222222223</v>
      </c>
      <c r="W121" t="s">
        <v>193</v>
      </c>
      <c r="X121" t="s">
        <v>1877</v>
      </c>
      <c r="Y121" t="s">
        <v>1878</v>
      </c>
    </row>
    <row r="122" spans="1:25">
      <c r="A122" t="s">
        <v>1879</v>
      </c>
      <c r="B122" t="s">
        <v>1299</v>
      </c>
      <c r="C122" t="s">
        <v>1771</v>
      </c>
      <c r="D122" t="s">
        <v>1880</v>
      </c>
      <c r="E122" t="s">
        <v>898</v>
      </c>
      <c r="F122" t="s">
        <v>1554</v>
      </c>
      <c r="G122">
        <v>618</v>
      </c>
      <c r="H122" t="s">
        <v>408</v>
      </c>
      <c r="I122" t="s">
        <v>30</v>
      </c>
      <c r="J122" t="s">
        <v>1295</v>
      </c>
      <c r="K122">
        <v>84</v>
      </c>
      <c r="L122" t="s">
        <v>1272</v>
      </c>
      <c r="M122" t="s">
        <v>1273</v>
      </c>
      <c r="N122" t="s">
        <v>55</v>
      </c>
      <c r="O122" s="12">
        <v>45046.730555555558</v>
      </c>
      <c r="P122" s="12">
        <v>45049.355555555558</v>
      </c>
      <c r="Q122" s="12">
        <v>45049.374305555553</v>
      </c>
      <c r="R122" s="12">
        <v>45049.440972222219</v>
      </c>
      <c r="S122" s="12">
        <v>45051.982638888891</v>
      </c>
      <c r="U122" t="b">
        <v>1</v>
      </c>
      <c r="V122" s="12">
        <v>45186.355555555558</v>
      </c>
      <c r="W122" t="s">
        <v>897</v>
      </c>
      <c r="X122" t="s">
        <v>1881</v>
      </c>
      <c r="Y122" t="s">
        <v>1882</v>
      </c>
    </row>
    <row r="123" spans="1:25">
      <c r="A123" t="s">
        <v>1883</v>
      </c>
      <c r="B123" t="s">
        <v>1167</v>
      </c>
      <c r="C123" t="s">
        <v>1884</v>
      </c>
      <c r="D123" t="s">
        <v>1885</v>
      </c>
      <c r="E123" t="s">
        <v>730</v>
      </c>
      <c r="F123" t="s">
        <v>1302</v>
      </c>
      <c r="G123">
        <v>365</v>
      </c>
      <c r="H123" t="s">
        <v>236</v>
      </c>
      <c r="I123" t="s">
        <v>30</v>
      </c>
      <c r="J123" t="s">
        <v>1355</v>
      </c>
      <c r="K123">
        <v>72</v>
      </c>
      <c r="L123" t="s">
        <v>1272</v>
      </c>
      <c r="M123" t="s">
        <v>1273</v>
      </c>
      <c r="N123" t="s">
        <v>18</v>
      </c>
      <c r="O123" s="12">
        <v>45754.759722222225</v>
      </c>
      <c r="P123" s="12">
        <v>45756.176388888889</v>
      </c>
      <c r="Q123" s="12">
        <v>45756.229861111111</v>
      </c>
      <c r="R123" s="12">
        <v>45756.979861111111</v>
      </c>
      <c r="S123" s="12">
        <v>45759.688194444447</v>
      </c>
      <c r="U123" t="b">
        <v>1</v>
      </c>
      <c r="V123" s="12">
        <v>45837.176388888889</v>
      </c>
      <c r="W123" t="s">
        <v>729</v>
      </c>
      <c r="X123" t="s">
        <v>1886</v>
      </c>
      <c r="Y123" t="s">
        <v>1887</v>
      </c>
    </row>
    <row r="124" spans="1:25">
      <c r="A124" t="s">
        <v>1888</v>
      </c>
      <c r="B124" t="s">
        <v>1889</v>
      </c>
      <c r="C124" t="s">
        <v>1365</v>
      </c>
      <c r="D124" t="s">
        <v>1890</v>
      </c>
      <c r="E124" t="s">
        <v>1014</v>
      </c>
      <c r="F124" t="s">
        <v>1523</v>
      </c>
      <c r="G124">
        <v>56</v>
      </c>
      <c r="H124" t="s">
        <v>41</v>
      </c>
      <c r="I124" t="s">
        <v>24</v>
      </c>
      <c r="J124" t="s">
        <v>1295</v>
      </c>
      <c r="K124">
        <v>79</v>
      </c>
      <c r="L124" t="s">
        <v>42</v>
      </c>
      <c r="M124" t="s">
        <v>1273</v>
      </c>
      <c r="N124" t="s">
        <v>25</v>
      </c>
      <c r="O124" s="12">
        <v>46062.355555555558</v>
      </c>
      <c r="P124" s="12">
        <v>46065.147222222222</v>
      </c>
      <c r="Q124" s="12">
        <v>46065.179166666669</v>
      </c>
      <c r="R124" s="12">
        <v>46065.21597222222</v>
      </c>
      <c r="S124" s="12">
        <v>46066.757638888892</v>
      </c>
      <c r="U124" t="b">
        <v>1</v>
      </c>
      <c r="V124" s="12">
        <v>46207.647222222222</v>
      </c>
      <c r="W124" t="s">
        <v>1013</v>
      </c>
      <c r="X124" t="s">
        <v>1891</v>
      </c>
      <c r="Y124" t="s">
        <v>1892</v>
      </c>
    </row>
    <row r="125" spans="1:25">
      <c r="A125" t="s">
        <v>1893</v>
      </c>
      <c r="B125" t="s">
        <v>1320</v>
      </c>
      <c r="C125" t="s">
        <v>1894</v>
      </c>
      <c r="D125" t="s">
        <v>1895</v>
      </c>
      <c r="E125" t="s">
        <v>146</v>
      </c>
      <c r="F125" t="s">
        <v>1420</v>
      </c>
      <c r="G125">
        <v>53</v>
      </c>
      <c r="H125" t="s">
        <v>50</v>
      </c>
      <c r="I125" t="s">
        <v>24</v>
      </c>
      <c r="J125" t="s">
        <v>1281</v>
      </c>
      <c r="K125">
        <v>74</v>
      </c>
      <c r="L125" t="s">
        <v>42</v>
      </c>
      <c r="M125" t="s">
        <v>1273</v>
      </c>
      <c r="N125" t="s">
        <v>59</v>
      </c>
      <c r="O125" s="12">
        <v>45638.563888888886</v>
      </c>
      <c r="P125" s="12">
        <v>45639.313888888886</v>
      </c>
      <c r="Q125" s="12">
        <v>45639.354166666664</v>
      </c>
      <c r="R125" s="12">
        <v>45639.5</v>
      </c>
      <c r="S125" s="12">
        <v>45639.666666666664</v>
      </c>
      <c r="U125" t="b">
        <v>1</v>
      </c>
      <c r="V125" s="12">
        <v>45679.313888888886</v>
      </c>
      <c r="W125" t="s">
        <v>145</v>
      </c>
      <c r="X125" t="s">
        <v>1896</v>
      </c>
    </row>
    <row r="126" spans="1:25">
      <c r="A126" t="s">
        <v>1897</v>
      </c>
      <c r="B126" t="s">
        <v>1567</v>
      </c>
      <c r="C126" t="s">
        <v>1898</v>
      </c>
      <c r="D126" t="s">
        <v>1899</v>
      </c>
      <c r="E126" t="s">
        <v>74</v>
      </c>
      <c r="F126" t="s">
        <v>1900</v>
      </c>
      <c r="G126">
        <v>2018</v>
      </c>
      <c r="H126" t="s">
        <v>76</v>
      </c>
      <c r="I126" t="s">
        <v>17</v>
      </c>
      <c r="J126" t="s">
        <v>1317</v>
      </c>
      <c r="K126">
        <v>72</v>
      </c>
      <c r="L126" t="s">
        <v>1272</v>
      </c>
      <c r="M126" t="s">
        <v>1273</v>
      </c>
      <c r="N126" t="s">
        <v>36</v>
      </c>
      <c r="O126" s="12">
        <v>46179.809027777781</v>
      </c>
      <c r="P126" s="12">
        <v>46181.809027777781</v>
      </c>
      <c r="Q126" s="12">
        <v>46181.82708333333</v>
      </c>
      <c r="R126" s="12">
        <v>46182.118750000001</v>
      </c>
      <c r="S126" s="12">
        <v>46184.660416666666</v>
      </c>
      <c r="U126" t="b">
        <v>1</v>
      </c>
      <c r="V126" s="12">
        <v>46254.850694444445</v>
      </c>
      <c r="W126" t="s">
        <v>73</v>
      </c>
      <c r="X126" t="s">
        <v>1901</v>
      </c>
      <c r="Y126" t="s">
        <v>1902</v>
      </c>
    </row>
    <row r="127" spans="1:25">
      <c r="A127" t="s">
        <v>1903</v>
      </c>
      <c r="B127" t="s">
        <v>1410</v>
      </c>
      <c r="C127" t="s">
        <v>1623</v>
      </c>
      <c r="D127" t="s">
        <v>1904</v>
      </c>
      <c r="E127" t="s">
        <v>203</v>
      </c>
      <c r="F127" t="s">
        <v>1294</v>
      </c>
      <c r="G127">
        <v>79</v>
      </c>
      <c r="H127" t="s">
        <v>205</v>
      </c>
      <c r="I127" t="s">
        <v>24</v>
      </c>
      <c r="J127" t="s">
        <v>1295</v>
      </c>
      <c r="K127">
        <v>95</v>
      </c>
      <c r="L127" t="s">
        <v>42</v>
      </c>
      <c r="M127" t="s">
        <v>1273</v>
      </c>
      <c r="N127" t="s">
        <v>59</v>
      </c>
      <c r="O127" s="12">
        <v>45529.356249999997</v>
      </c>
      <c r="P127" s="12">
        <v>45531.231249999997</v>
      </c>
      <c r="Q127" s="12">
        <v>45531.24722222222</v>
      </c>
      <c r="R127" s="12">
        <v>45531.290277777778</v>
      </c>
      <c r="S127" s="12">
        <v>45533.331944444442</v>
      </c>
      <c r="U127" t="b">
        <v>1</v>
      </c>
      <c r="V127" s="12">
        <v>45595.356249999997</v>
      </c>
      <c r="W127" t="s">
        <v>202</v>
      </c>
      <c r="X127" t="s">
        <v>1905</v>
      </c>
      <c r="Y127" t="s">
        <v>1906</v>
      </c>
    </row>
    <row r="128" spans="1:25">
      <c r="A128" t="s">
        <v>1907</v>
      </c>
      <c r="B128" t="s">
        <v>1605</v>
      </c>
      <c r="C128" t="s">
        <v>1894</v>
      </c>
      <c r="D128" t="s">
        <v>1908</v>
      </c>
      <c r="E128" t="s">
        <v>810</v>
      </c>
      <c r="F128" t="s">
        <v>1453</v>
      </c>
      <c r="G128">
        <v>377</v>
      </c>
      <c r="H128" t="s">
        <v>81</v>
      </c>
      <c r="I128" t="s">
        <v>30</v>
      </c>
      <c r="J128" t="s">
        <v>1317</v>
      </c>
      <c r="K128">
        <v>72</v>
      </c>
      <c r="L128" t="s">
        <v>1272</v>
      </c>
      <c r="M128" t="s">
        <v>1273</v>
      </c>
      <c r="N128" t="s">
        <v>82</v>
      </c>
      <c r="O128" s="12">
        <v>45788.979861111111</v>
      </c>
      <c r="P128" s="12">
        <v>45789.854861111111</v>
      </c>
      <c r="Q128" s="12">
        <v>45789.865972222222</v>
      </c>
      <c r="R128" s="12">
        <v>45789.881249999999</v>
      </c>
      <c r="S128" s="12">
        <v>45792.589583333334</v>
      </c>
      <c r="U128" t="b">
        <v>1</v>
      </c>
      <c r="V128" s="12">
        <v>45897.229861111111</v>
      </c>
      <c r="W128" t="s">
        <v>809</v>
      </c>
      <c r="X128" t="s">
        <v>1909</v>
      </c>
      <c r="Y128" t="s">
        <v>1910</v>
      </c>
    </row>
    <row r="129" spans="1:25">
      <c r="A129" t="s">
        <v>1911</v>
      </c>
      <c r="B129" t="s">
        <v>1754</v>
      </c>
      <c r="C129" t="s">
        <v>1912</v>
      </c>
      <c r="E129" t="s">
        <v>732</v>
      </c>
      <c r="F129" t="s">
        <v>1309</v>
      </c>
      <c r="G129">
        <v>61</v>
      </c>
      <c r="H129" t="s">
        <v>50</v>
      </c>
      <c r="I129" t="s">
        <v>24</v>
      </c>
      <c r="J129" t="s">
        <v>1317</v>
      </c>
      <c r="K129">
        <v>72</v>
      </c>
      <c r="L129" t="s">
        <v>1272</v>
      </c>
      <c r="M129" t="s">
        <v>1273</v>
      </c>
      <c r="N129" t="s">
        <v>59</v>
      </c>
      <c r="O129" s="12">
        <v>45413.900694444441</v>
      </c>
      <c r="P129" s="12">
        <v>45414.484027777777</v>
      </c>
      <c r="Q129" s="12">
        <v>45414.509722222225</v>
      </c>
      <c r="R129" s="12">
        <v>45414.588194444441</v>
      </c>
      <c r="S129" s="12">
        <v>45415.671527777777</v>
      </c>
      <c r="U129" t="b">
        <v>1</v>
      </c>
      <c r="V129" s="12">
        <v>45452.900694444441</v>
      </c>
      <c r="W129" t="s">
        <v>731</v>
      </c>
      <c r="X129" t="s">
        <v>1913</v>
      </c>
      <c r="Y129" t="s">
        <v>1914</v>
      </c>
    </row>
    <row r="130" spans="1:25">
      <c r="A130" t="s">
        <v>1915</v>
      </c>
      <c r="B130" t="s">
        <v>1916</v>
      </c>
      <c r="C130" t="s">
        <v>1917</v>
      </c>
      <c r="D130" t="s">
        <v>1918</v>
      </c>
      <c r="E130" t="s">
        <v>78</v>
      </c>
      <c r="F130" t="s">
        <v>1399</v>
      </c>
      <c r="G130">
        <v>1774</v>
      </c>
      <c r="H130" t="s">
        <v>81</v>
      </c>
      <c r="I130" t="s">
        <v>17</v>
      </c>
      <c r="J130" t="s">
        <v>1413</v>
      </c>
      <c r="K130">
        <v>72</v>
      </c>
      <c r="L130" t="s">
        <v>1272</v>
      </c>
      <c r="M130" t="s">
        <v>1273</v>
      </c>
      <c r="N130" t="s">
        <v>82</v>
      </c>
      <c r="O130" s="12">
        <v>45202.811805555553</v>
      </c>
      <c r="P130" s="12">
        <v>45203.145138888889</v>
      </c>
      <c r="Q130" s="12">
        <v>45203.175000000003</v>
      </c>
      <c r="R130" s="12">
        <v>45203.234722222223</v>
      </c>
      <c r="S130" s="12">
        <v>45205.484722222223</v>
      </c>
      <c r="U130" t="b">
        <v>1</v>
      </c>
      <c r="V130" s="12">
        <v>45303.311805555553</v>
      </c>
      <c r="W130" t="s">
        <v>77</v>
      </c>
      <c r="X130" t="s">
        <v>1919</v>
      </c>
    </row>
    <row r="131" spans="1:25">
      <c r="A131" t="s">
        <v>1920</v>
      </c>
      <c r="B131" t="s">
        <v>1306</v>
      </c>
      <c r="C131" t="s">
        <v>1148</v>
      </c>
      <c r="D131" t="s">
        <v>1921</v>
      </c>
      <c r="E131" t="s">
        <v>958</v>
      </c>
      <c r="F131" t="s">
        <v>1517</v>
      </c>
      <c r="G131">
        <v>52</v>
      </c>
      <c r="H131" t="s">
        <v>576</v>
      </c>
      <c r="I131" t="s">
        <v>24</v>
      </c>
      <c r="J131" t="s">
        <v>1271</v>
      </c>
      <c r="K131">
        <v>72</v>
      </c>
      <c r="L131" t="s">
        <v>1272</v>
      </c>
      <c r="M131" t="s">
        <v>1273</v>
      </c>
      <c r="N131" t="s">
        <v>25</v>
      </c>
      <c r="O131" s="12">
        <v>45419.572916666664</v>
      </c>
      <c r="P131" s="12">
        <v>45421.989583333336</v>
      </c>
      <c r="Q131" s="12">
        <v>45422.036111111112</v>
      </c>
      <c r="R131" s="12">
        <v>45422.12777777778</v>
      </c>
      <c r="S131" s="12">
        <v>45423.711111111108</v>
      </c>
      <c r="U131" t="b">
        <v>1</v>
      </c>
      <c r="V131" s="12">
        <v>45455.572916666664</v>
      </c>
      <c r="W131" t="s">
        <v>957</v>
      </c>
      <c r="X131" t="s">
        <v>1922</v>
      </c>
      <c r="Y131" t="s">
        <v>1923</v>
      </c>
    </row>
    <row r="132" spans="1:25">
      <c r="A132" t="s">
        <v>1924</v>
      </c>
      <c r="B132" t="s">
        <v>1847</v>
      </c>
      <c r="C132" t="s">
        <v>1848</v>
      </c>
      <c r="D132" t="s">
        <v>1925</v>
      </c>
      <c r="E132" t="s">
        <v>735</v>
      </c>
      <c r="F132" t="s">
        <v>1602</v>
      </c>
      <c r="G132">
        <v>1862</v>
      </c>
      <c r="H132" t="s">
        <v>226</v>
      </c>
      <c r="I132" t="s">
        <v>17</v>
      </c>
      <c r="J132" t="s">
        <v>1317</v>
      </c>
      <c r="K132">
        <v>77</v>
      </c>
      <c r="L132" t="s">
        <v>1272</v>
      </c>
      <c r="M132" t="s">
        <v>1273</v>
      </c>
      <c r="N132" t="s">
        <v>55</v>
      </c>
      <c r="O132" s="12">
        <v>46123.720138888886</v>
      </c>
      <c r="P132" s="12">
        <v>46126.720138888886</v>
      </c>
      <c r="Q132" s="12">
        <v>46126.755555555559</v>
      </c>
      <c r="R132" s="12">
        <v>46126.779861111114</v>
      </c>
      <c r="S132" s="12">
        <v>46127.946527777778</v>
      </c>
      <c r="U132" t="b">
        <v>1</v>
      </c>
      <c r="V132" s="12">
        <v>46263.303472222222</v>
      </c>
      <c r="W132" t="s">
        <v>734</v>
      </c>
      <c r="X132" t="s">
        <v>1926</v>
      </c>
    </row>
    <row r="133" spans="1:25">
      <c r="A133" t="s">
        <v>1927</v>
      </c>
      <c r="B133" t="s">
        <v>1758</v>
      </c>
      <c r="C133" t="s">
        <v>1631</v>
      </c>
      <c r="D133" t="s">
        <v>1928</v>
      </c>
      <c r="E133" t="s">
        <v>955</v>
      </c>
      <c r="F133" t="s">
        <v>1309</v>
      </c>
      <c r="G133">
        <v>510</v>
      </c>
      <c r="H133" t="s">
        <v>440</v>
      </c>
      <c r="I133" t="s">
        <v>30</v>
      </c>
      <c r="J133" t="s">
        <v>1317</v>
      </c>
      <c r="K133">
        <v>72</v>
      </c>
      <c r="L133" t="s">
        <v>1272</v>
      </c>
      <c r="M133" t="s">
        <v>1273</v>
      </c>
      <c r="N133" t="s">
        <v>55</v>
      </c>
      <c r="O133" s="12">
        <v>45647.237500000003</v>
      </c>
      <c r="P133" s="12">
        <v>45647.570833333331</v>
      </c>
      <c r="Q133" s="12">
        <v>45647.586111111108</v>
      </c>
      <c r="R133" s="12">
        <v>45647.628472222219</v>
      </c>
      <c r="S133" s="12">
        <v>45649.961805555555</v>
      </c>
      <c r="U133" t="b">
        <v>1</v>
      </c>
      <c r="V133" s="12">
        <v>45733.529166666667</v>
      </c>
      <c r="W133" t="s">
        <v>954</v>
      </c>
      <c r="X133" t="s">
        <v>1929</v>
      </c>
      <c r="Y133" t="s">
        <v>1930</v>
      </c>
    </row>
    <row r="134" spans="1:25">
      <c r="A134" t="s">
        <v>1931</v>
      </c>
      <c r="B134" t="s">
        <v>1396</v>
      </c>
      <c r="C134" t="s">
        <v>1353</v>
      </c>
      <c r="D134" t="s">
        <v>1932</v>
      </c>
      <c r="E134" t="s">
        <v>802</v>
      </c>
      <c r="F134" t="s">
        <v>1933</v>
      </c>
      <c r="G134">
        <v>2013</v>
      </c>
      <c r="H134" t="s">
        <v>249</v>
      </c>
      <c r="I134" t="s">
        <v>17</v>
      </c>
      <c r="J134" t="s">
        <v>1288</v>
      </c>
      <c r="K134">
        <v>77</v>
      </c>
      <c r="L134" t="s">
        <v>42</v>
      </c>
      <c r="M134" t="s">
        <v>1273</v>
      </c>
      <c r="N134" t="s">
        <v>36</v>
      </c>
      <c r="O134" s="12">
        <v>45210.027777777781</v>
      </c>
      <c r="P134" s="12">
        <v>45211.152777777781</v>
      </c>
      <c r="Q134" s="12">
        <v>45211.190972222219</v>
      </c>
      <c r="R134" s="12">
        <v>45212.357638888891</v>
      </c>
      <c r="S134" s="12">
        <v>45212.899305555555</v>
      </c>
      <c r="U134" t="b">
        <v>1</v>
      </c>
      <c r="V134" s="12">
        <v>45259.236111111109</v>
      </c>
      <c r="W134" t="s">
        <v>801</v>
      </c>
      <c r="X134" t="s">
        <v>1934</v>
      </c>
    </row>
    <row r="135" spans="1:25">
      <c r="A135" t="s">
        <v>1935</v>
      </c>
      <c r="B135" t="s">
        <v>1546</v>
      </c>
      <c r="C135" t="s">
        <v>1936</v>
      </c>
      <c r="D135" t="s">
        <v>1937</v>
      </c>
      <c r="E135" t="s">
        <v>633</v>
      </c>
      <c r="F135" t="s">
        <v>1367</v>
      </c>
      <c r="G135">
        <v>162</v>
      </c>
      <c r="H135" t="s">
        <v>635</v>
      </c>
      <c r="I135" t="s">
        <v>24</v>
      </c>
      <c r="J135" t="s">
        <v>1413</v>
      </c>
      <c r="K135">
        <v>72</v>
      </c>
      <c r="L135" t="s">
        <v>42</v>
      </c>
      <c r="M135" t="s">
        <v>1273</v>
      </c>
      <c r="N135" t="s">
        <v>59</v>
      </c>
      <c r="O135" s="12">
        <v>45624.657638888886</v>
      </c>
      <c r="P135" s="12">
        <v>45624.949305555558</v>
      </c>
      <c r="Q135" s="12">
        <v>45625.006944444445</v>
      </c>
      <c r="R135" s="12">
        <v>45625.123611111114</v>
      </c>
      <c r="S135" s="12">
        <v>45625.373611111114</v>
      </c>
      <c r="U135" t="b">
        <v>1</v>
      </c>
      <c r="V135" s="12">
        <v>45772.824305555558</v>
      </c>
      <c r="W135" t="s">
        <v>632</v>
      </c>
      <c r="X135" t="s">
        <v>1938</v>
      </c>
      <c r="Y135" t="s">
        <v>1939</v>
      </c>
    </row>
    <row r="136" spans="1:25">
      <c r="A136" t="s">
        <v>1940</v>
      </c>
      <c r="B136" t="s">
        <v>1941</v>
      </c>
      <c r="C136" t="s">
        <v>1353</v>
      </c>
      <c r="D136" t="s">
        <v>1942</v>
      </c>
      <c r="E136" t="s">
        <v>937</v>
      </c>
      <c r="F136" t="s">
        <v>1270</v>
      </c>
      <c r="G136">
        <v>701</v>
      </c>
      <c r="H136" t="s">
        <v>205</v>
      </c>
      <c r="I136" t="s">
        <v>30</v>
      </c>
      <c r="J136" t="s">
        <v>1271</v>
      </c>
      <c r="K136">
        <v>72</v>
      </c>
      <c r="L136" t="s">
        <v>1272</v>
      </c>
      <c r="M136" t="s">
        <v>1273</v>
      </c>
      <c r="N136" t="s">
        <v>36</v>
      </c>
      <c r="O136" s="12">
        <v>45729.60833333333</v>
      </c>
      <c r="P136" s="12">
        <v>45731.48333333333</v>
      </c>
      <c r="Q136" s="12">
        <v>45731.495833333334</v>
      </c>
      <c r="R136" s="12">
        <v>45731.628472222219</v>
      </c>
      <c r="S136" s="12">
        <v>45732.170138888891</v>
      </c>
      <c r="U136" t="b">
        <v>1</v>
      </c>
      <c r="V136" s="12">
        <v>45839.9</v>
      </c>
      <c r="W136" t="s">
        <v>936</v>
      </c>
      <c r="X136" t="s">
        <v>1943</v>
      </c>
      <c r="Y136" t="s">
        <v>1944</v>
      </c>
    </row>
    <row r="137" spans="1:25">
      <c r="A137" t="s">
        <v>1945</v>
      </c>
      <c r="B137" t="s">
        <v>1342</v>
      </c>
      <c r="C137" t="s">
        <v>1148</v>
      </c>
      <c r="D137" t="s">
        <v>1946</v>
      </c>
      <c r="E137" t="s">
        <v>393</v>
      </c>
      <c r="F137" t="s">
        <v>1399</v>
      </c>
      <c r="G137">
        <v>1191</v>
      </c>
      <c r="H137" t="s">
        <v>127</v>
      </c>
      <c r="I137" t="s">
        <v>17</v>
      </c>
      <c r="J137" t="s">
        <v>1317</v>
      </c>
      <c r="K137">
        <v>72</v>
      </c>
      <c r="L137" t="s">
        <v>42</v>
      </c>
      <c r="M137" t="s">
        <v>1273</v>
      </c>
      <c r="N137" t="s">
        <v>82</v>
      </c>
      <c r="O137" s="12">
        <v>46075.260416666664</v>
      </c>
      <c r="P137" s="12">
        <v>46077.135416666664</v>
      </c>
      <c r="Q137" s="12">
        <v>46077.167361111111</v>
      </c>
      <c r="R137" s="12">
        <v>46077.25</v>
      </c>
      <c r="S137" s="12">
        <v>46077.416666666664</v>
      </c>
      <c r="U137" t="b">
        <v>1</v>
      </c>
      <c r="V137" s="12">
        <v>46169.010416666664</v>
      </c>
      <c r="W137" t="s">
        <v>392</v>
      </c>
      <c r="X137" t="s">
        <v>1947</v>
      </c>
      <c r="Y137" t="s">
        <v>1948</v>
      </c>
    </row>
    <row r="138" spans="1:25">
      <c r="A138" t="s">
        <v>1949</v>
      </c>
      <c r="B138" t="s">
        <v>1134</v>
      </c>
      <c r="C138" t="s">
        <v>1155</v>
      </c>
      <c r="D138" t="s">
        <v>1950</v>
      </c>
      <c r="E138" t="s">
        <v>825</v>
      </c>
      <c r="F138" t="s">
        <v>1900</v>
      </c>
      <c r="G138">
        <v>2169</v>
      </c>
      <c r="H138" t="s">
        <v>90</v>
      </c>
      <c r="I138" t="s">
        <v>17</v>
      </c>
      <c r="J138" t="s">
        <v>1295</v>
      </c>
      <c r="K138">
        <v>90</v>
      </c>
      <c r="L138" t="s">
        <v>42</v>
      </c>
      <c r="M138" t="s">
        <v>1273</v>
      </c>
      <c r="N138" t="s">
        <v>18</v>
      </c>
      <c r="O138" s="12">
        <v>45800.249305555553</v>
      </c>
      <c r="P138" s="12">
        <v>45801.874305555553</v>
      </c>
      <c r="Q138" s="12">
        <v>45801.882638888892</v>
      </c>
      <c r="R138" s="12">
        <v>45801.904861111114</v>
      </c>
      <c r="S138" s="12">
        <v>45804.863194444442</v>
      </c>
      <c r="U138" t="b">
        <v>1</v>
      </c>
      <c r="V138" s="12">
        <v>45940.749305555553</v>
      </c>
      <c r="W138" t="s">
        <v>824</v>
      </c>
      <c r="X138" t="s">
        <v>1951</v>
      </c>
    </row>
    <row r="139" spans="1:25">
      <c r="A139" t="s">
        <v>1952</v>
      </c>
      <c r="B139" t="s">
        <v>1267</v>
      </c>
      <c r="C139" t="s">
        <v>1314</v>
      </c>
      <c r="D139" t="s">
        <v>1953</v>
      </c>
      <c r="E139" t="s">
        <v>835</v>
      </c>
      <c r="F139" t="s">
        <v>1633</v>
      </c>
      <c r="G139">
        <v>711</v>
      </c>
      <c r="H139" t="s">
        <v>16</v>
      </c>
      <c r="I139" t="s">
        <v>30</v>
      </c>
      <c r="J139" t="s">
        <v>1295</v>
      </c>
      <c r="K139">
        <v>81</v>
      </c>
      <c r="L139" t="s">
        <v>42</v>
      </c>
      <c r="M139" t="s">
        <v>1273</v>
      </c>
      <c r="N139" t="s">
        <v>36</v>
      </c>
      <c r="O139" s="12">
        <v>46215.658333333333</v>
      </c>
      <c r="P139" s="12">
        <v>46218.574999999997</v>
      </c>
      <c r="Q139" s="12">
        <v>46218.626388888886</v>
      </c>
      <c r="R139" s="12">
        <v>46219.418055555558</v>
      </c>
      <c r="S139" s="12">
        <v>46220.668055555558</v>
      </c>
      <c r="U139" t="b">
        <v>1</v>
      </c>
      <c r="V139" s="12">
        <v>46267.033333333333</v>
      </c>
      <c r="W139" t="s">
        <v>834</v>
      </c>
      <c r="X139" t="s">
        <v>1954</v>
      </c>
      <c r="Y139" t="s">
        <v>1955</v>
      </c>
    </row>
    <row r="140" spans="1:25">
      <c r="A140" t="s">
        <v>1956</v>
      </c>
      <c r="B140" t="s">
        <v>1957</v>
      </c>
      <c r="C140" t="s">
        <v>1385</v>
      </c>
      <c r="D140" t="s">
        <v>1958</v>
      </c>
      <c r="E140" t="s">
        <v>297</v>
      </c>
      <c r="F140" t="s">
        <v>1806</v>
      </c>
      <c r="G140">
        <v>586</v>
      </c>
      <c r="H140" t="s">
        <v>178</v>
      </c>
      <c r="I140" t="s">
        <v>30</v>
      </c>
      <c r="J140" t="s">
        <v>1295</v>
      </c>
      <c r="K140">
        <v>86</v>
      </c>
      <c r="L140" t="s">
        <v>1272</v>
      </c>
      <c r="M140" t="s">
        <v>1273</v>
      </c>
      <c r="N140" t="s">
        <v>36</v>
      </c>
      <c r="O140" s="12">
        <v>46111.649305555555</v>
      </c>
      <c r="P140" s="12">
        <v>46112.440972222219</v>
      </c>
      <c r="Q140" s="12">
        <v>46112.496527777781</v>
      </c>
      <c r="R140" s="12">
        <v>46112.577777777777</v>
      </c>
      <c r="S140" s="12">
        <v>46115.202777777777</v>
      </c>
      <c r="U140" t="b">
        <v>1</v>
      </c>
      <c r="V140" s="12">
        <v>46227.649305555555</v>
      </c>
      <c r="W140" t="s">
        <v>296</v>
      </c>
      <c r="X140" t="s">
        <v>1959</v>
      </c>
      <c r="Y140" t="s">
        <v>1960</v>
      </c>
    </row>
    <row r="141" spans="1:25">
      <c r="A141" t="s">
        <v>1961</v>
      </c>
      <c r="B141" t="s">
        <v>1875</v>
      </c>
      <c r="C141" t="s">
        <v>1268</v>
      </c>
      <c r="D141" t="s">
        <v>1962</v>
      </c>
      <c r="E141" t="s">
        <v>489</v>
      </c>
      <c r="F141" t="s">
        <v>1963</v>
      </c>
      <c r="G141">
        <v>1642</v>
      </c>
      <c r="H141" t="s">
        <v>50</v>
      </c>
      <c r="I141" t="s">
        <v>17</v>
      </c>
      <c r="J141" t="s">
        <v>1355</v>
      </c>
      <c r="K141">
        <v>72</v>
      </c>
      <c r="L141" t="s">
        <v>42</v>
      </c>
      <c r="M141" t="s">
        <v>1273</v>
      </c>
      <c r="N141" t="s">
        <v>36</v>
      </c>
      <c r="O141" s="12">
        <v>44714.32916666667</v>
      </c>
      <c r="P141" s="12">
        <v>44714.620833333334</v>
      </c>
      <c r="Q141" s="12">
        <v>44714.679861111108</v>
      </c>
      <c r="R141" s="12">
        <v>44714.755555555559</v>
      </c>
      <c r="S141" s="12">
        <v>44716.838888888888</v>
      </c>
      <c r="U141" t="b">
        <v>1</v>
      </c>
      <c r="V141" s="12">
        <v>44736.995833333334</v>
      </c>
      <c r="W141" t="s">
        <v>488</v>
      </c>
      <c r="X141" t="s">
        <v>1964</v>
      </c>
      <c r="Y141" t="s">
        <v>1965</v>
      </c>
    </row>
    <row r="142" spans="1:25">
      <c r="A142" t="s">
        <v>1966</v>
      </c>
      <c r="B142" t="s">
        <v>1306</v>
      </c>
      <c r="C142" t="s">
        <v>1541</v>
      </c>
      <c r="D142" t="s">
        <v>1967</v>
      </c>
      <c r="E142" t="s">
        <v>599</v>
      </c>
      <c r="F142" t="s">
        <v>1412</v>
      </c>
      <c r="G142">
        <v>131</v>
      </c>
      <c r="H142" t="s">
        <v>81</v>
      </c>
      <c r="I142" t="s">
        <v>24</v>
      </c>
      <c r="J142" t="s">
        <v>1295</v>
      </c>
      <c r="K142">
        <v>79</v>
      </c>
      <c r="L142" t="s">
        <v>42</v>
      </c>
      <c r="M142" t="s">
        <v>1273</v>
      </c>
      <c r="N142" t="s">
        <v>25</v>
      </c>
      <c r="O142" s="12">
        <v>45093.875</v>
      </c>
      <c r="P142" s="12">
        <v>45094.916666666664</v>
      </c>
      <c r="Q142" s="12">
        <v>45094.960416666669</v>
      </c>
      <c r="R142" s="12">
        <v>45095.040972222225</v>
      </c>
      <c r="S142" s="12">
        <v>45095.999305555553</v>
      </c>
      <c r="U142" t="b">
        <v>1</v>
      </c>
      <c r="V142" s="12">
        <v>45165.541666666664</v>
      </c>
      <c r="W142" t="s">
        <v>598</v>
      </c>
      <c r="X142" t="s">
        <v>1968</v>
      </c>
      <c r="Y142" t="s">
        <v>1969</v>
      </c>
    </row>
    <row r="143" spans="1:25">
      <c r="A143" t="s">
        <v>1970</v>
      </c>
      <c r="B143" t="s">
        <v>1179</v>
      </c>
      <c r="C143" t="s">
        <v>1971</v>
      </c>
      <c r="D143" t="s">
        <v>1972</v>
      </c>
      <c r="E143" t="s">
        <v>940</v>
      </c>
      <c r="F143" t="s">
        <v>1554</v>
      </c>
      <c r="G143">
        <v>612</v>
      </c>
      <c r="H143" t="s">
        <v>205</v>
      </c>
      <c r="I143" t="s">
        <v>30</v>
      </c>
      <c r="J143" t="s">
        <v>1288</v>
      </c>
      <c r="K143">
        <v>73</v>
      </c>
      <c r="L143" t="s">
        <v>1272</v>
      </c>
      <c r="M143" t="s">
        <v>1273</v>
      </c>
      <c r="N143" t="s">
        <v>36</v>
      </c>
      <c r="O143" s="12">
        <v>45234.059027777781</v>
      </c>
      <c r="P143" s="12">
        <v>45234.517361111109</v>
      </c>
      <c r="Q143" s="12">
        <v>45234.561111111114</v>
      </c>
      <c r="R143" s="12">
        <v>45234.597916666666</v>
      </c>
      <c r="S143" s="12">
        <v>45235.722916666666</v>
      </c>
      <c r="U143" t="b">
        <v>1</v>
      </c>
      <c r="V143" s="12">
        <v>45283.059027777781</v>
      </c>
      <c r="W143" t="s">
        <v>939</v>
      </c>
      <c r="X143" t="s">
        <v>1973</v>
      </c>
      <c r="Y143" t="s">
        <v>1974</v>
      </c>
    </row>
    <row r="144" spans="1:25">
      <c r="A144" t="s">
        <v>1975</v>
      </c>
      <c r="B144" t="s">
        <v>1306</v>
      </c>
      <c r="C144" t="s">
        <v>1320</v>
      </c>
      <c r="D144" t="s">
        <v>1976</v>
      </c>
      <c r="E144" t="s">
        <v>510</v>
      </c>
      <c r="F144" t="s">
        <v>1420</v>
      </c>
      <c r="G144">
        <v>82</v>
      </c>
      <c r="H144" t="s">
        <v>50</v>
      </c>
      <c r="I144" t="s">
        <v>24</v>
      </c>
      <c r="J144" t="s">
        <v>1295</v>
      </c>
      <c r="K144">
        <v>83</v>
      </c>
      <c r="L144" t="s">
        <v>42</v>
      </c>
      <c r="M144" t="s">
        <v>1273</v>
      </c>
      <c r="N144" t="s">
        <v>59</v>
      </c>
      <c r="O144" s="12">
        <v>45063.05</v>
      </c>
      <c r="P144" s="12">
        <v>45064.925000000003</v>
      </c>
      <c r="Q144" s="12">
        <v>45064.952777777777</v>
      </c>
      <c r="R144" s="12">
        <v>45065.061805555553</v>
      </c>
      <c r="S144" s="12">
        <v>45066.145138888889</v>
      </c>
      <c r="U144" t="b">
        <v>1</v>
      </c>
      <c r="V144" s="12">
        <v>45196.258333333331</v>
      </c>
      <c r="W144" t="s">
        <v>509</v>
      </c>
      <c r="X144" t="s">
        <v>1977</v>
      </c>
      <c r="Y144" t="s">
        <v>1978</v>
      </c>
    </row>
    <row r="145" spans="1:25">
      <c r="A145" t="s">
        <v>1979</v>
      </c>
      <c r="B145" t="s">
        <v>1889</v>
      </c>
      <c r="C145" t="s">
        <v>1397</v>
      </c>
      <c r="D145" t="s">
        <v>1980</v>
      </c>
      <c r="E145" t="s">
        <v>241</v>
      </c>
      <c r="F145" t="s">
        <v>1554</v>
      </c>
      <c r="G145">
        <v>462</v>
      </c>
      <c r="H145" t="s">
        <v>54</v>
      </c>
      <c r="I145" t="s">
        <v>30</v>
      </c>
      <c r="J145" t="s">
        <v>1413</v>
      </c>
      <c r="K145">
        <v>78</v>
      </c>
      <c r="L145" t="s">
        <v>42</v>
      </c>
      <c r="M145" t="s">
        <v>1273</v>
      </c>
      <c r="N145" t="s">
        <v>55</v>
      </c>
      <c r="O145" s="12">
        <v>44801.461111111108</v>
      </c>
      <c r="P145" s="12">
        <v>44803.544444444444</v>
      </c>
      <c r="Q145" s="12">
        <v>44803.593055555553</v>
      </c>
      <c r="R145" s="12">
        <v>44803.615972222222</v>
      </c>
      <c r="S145" s="12">
        <v>44804.407638888886</v>
      </c>
      <c r="U145" t="b">
        <v>1</v>
      </c>
      <c r="V145" s="12">
        <v>44900.461111111108</v>
      </c>
      <c r="W145" t="s">
        <v>240</v>
      </c>
      <c r="X145" t="s">
        <v>1981</v>
      </c>
    </row>
    <row r="146" spans="1:25">
      <c r="A146" t="s">
        <v>1982</v>
      </c>
      <c r="B146" t="s">
        <v>1983</v>
      </c>
      <c r="C146" t="s">
        <v>1738</v>
      </c>
      <c r="D146" t="s">
        <v>1984</v>
      </c>
      <c r="E146" t="s">
        <v>716</v>
      </c>
      <c r="F146" t="s">
        <v>1471</v>
      </c>
      <c r="G146">
        <v>370</v>
      </c>
      <c r="H146" t="s">
        <v>638</v>
      </c>
      <c r="I146" t="s">
        <v>30</v>
      </c>
      <c r="J146" t="s">
        <v>1271</v>
      </c>
      <c r="K146">
        <v>72</v>
      </c>
      <c r="L146" t="s">
        <v>42</v>
      </c>
      <c r="M146" t="s">
        <v>1273</v>
      </c>
      <c r="N146" t="s">
        <v>55</v>
      </c>
      <c r="O146" s="12">
        <v>45112.249305555553</v>
      </c>
      <c r="P146" s="12">
        <v>45113.207638888889</v>
      </c>
      <c r="Q146" s="12">
        <v>45113.231249999997</v>
      </c>
      <c r="R146" s="12">
        <v>45113.314583333333</v>
      </c>
      <c r="S146" s="12">
        <v>45114.772916666669</v>
      </c>
      <c r="U146" t="b">
        <v>1</v>
      </c>
      <c r="V146" s="12">
        <v>45183.540972222225</v>
      </c>
      <c r="W146" t="s">
        <v>715</v>
      </c>
      <c r="X146" t="s">
        <v>1985</v>
      </c>
      <c r="Y146" t="s">
        <v>1986</v>
      </c>
    </row>
    <row r="147" spans="1:25">
      <c r="A147" t="s">
        <v>1987</v>
      </c>
      <c r="B147" t="s">
        <v>1431</v>
      </c>
      <c r="C147" t="s">
        <v>1292</v>
      </c>
      <c r="D147" t="s">
        <v>1988</v>
      </c>
      <c r="E147" t="s">
        <v>549</v>
      </c>
      <c r="F147" t="s">
        <v>1989</v>
      </c>
      <c r="G147">
        <v>323</v>
      </c>
      <c r="H147" t="s">
        <v>249</v>
      </c>
      <c r="I147" t="s">
        <v>30</v>
      </c>
      <c r="J147" t="s">
        <v>1288</v>
      </c>
      <c r="K147">
        <v>72</v>
      </c>
      <c r="L147" t="s">
        <v>1272</v>
      </c>
      <c r="M147" t="s">
        <v>1273</v>
      </c>
      <c r="N147" t="s">
        <v>36</v>
      </c>
      <c r="O147" s="12">
        <v>46058.53125</v>
      </c>
      <c r="P147" s="12">
        <v>46059.03125</v>
      </c>
      <c r="Q147" s="12">
        <v>46059.051388888889</v>
      </c>
      <c r="R147" s="12">
        <v>46059.135416666664</v>
      </c>
      <c r="S147" s="12">
        <v>46060.677083333336</v>
      </c>
      <c r="U147" t="b">
        <v>1</v>
      </c>
      <c r="V147" s="12">
        <v>46185.197916666664</v>
      </c>
      <c r="W147" t="s">
        <v>548</v>
      </c>
      <c r="X147" t="s">
        <v>1990</v>
      </c>
    </row>
    <row r="148" spans="1:25">
      <c r="A148" t="s">
        <v>1991</v>
      </c>
      <c r="B148" t="s">
        <v>1809</v>
      </c>
      <c r="C148" t="s">
        <v>1992</v>
      </c>
      <c r="D148" t="s">
        <v>1993</v>
      </c>
      <c r="E148" t="s">
        <v>999</v>
      </c>
      <c r="F148" t="s">
        <v>1294</v>
      </c>
      <c r="G148">
        <v>590</v>
      </c>
      <c r="H148" t="s">
        <v>192</v>
      </c>
      <c r="I148" t="s">
        <v>30</v>
      </c>
      <c r="J148" t="s">
        <v>1317</v>
      </c>
      <c r="K148">
        <v>72</v>
      </c>
      <c r="L148" t="s">
        <v>42</v>
      </c>
      <c r="M148" t="s">
        <v>1273</v>
      </c>
      <c r="N148" t="s">
        <v>18</v>
      </c>
      <c r="O148" s="12">
        <v>46073.930555555555</v>
      </c>
      <c r="P148" s="12">
        <v>46075.972222222219</v>
      </c>
      <c r="Q148" s="12">
        <v>46076.005555555559</v>
      </c>
      <c r="R148" s="12">
        <v>46076.338888888888</v>
      </c>
      <c r="S148" s="12">
        <v>46078.963888888888</v>
      </c>
      <c r="U148" t="b">
        <v>1</v>
      </c>
      <c r="V148" s="12">
        <v>46179.138888888891</v>
      </c>
      <c r="W148" t="s">
        <v>998</v>
      </c>
      <c r="X148" t="s">
        <v>1994</v>
      </c>
      <c r="Y148" t="s">
        <v>1995</v>
      </c>
    </row>
    <row r="149" spans="1:25">
      <c r="A149" t="s">
        <v>1996</v>
      </c>
      <c r="B149" t="s">
        <v>1396</v>
      </c>
      <c r="C149" t="s">
        <v>1650</v>
      </c>
      <c r="D149" t="s">
        <v>1997</v>
      </c>
      <c r="E149" t="s">
        <v>241</v>
      </c>
      <c r="F149" t="s">
        <v>1453</v>
      </c>
      <c r="G149">
        <v>462</v>
      </c>
      <c r="H149" t="s">
        <v>54</v>
      </c>
      <c r="I149" t="s">
        <v>30</v>
      </c>
      <c r="J149" t="s">
        <v>1281</v>
      </c>
      <c r="K149">
        <v>87</v>
      </c>
      <c r="L149" t="s">
        <v>42</v>
      </c>
      <c r="M149" t="s">
        <v>1273</v>
      </c>
      <c r="N149" t="s">
        <v>55</v>
      </c>
      <c r="O149" s="12">
        <v>45138.109027777777</v>
      </c>
      <c r="P149" s="12">
        <v>45138.942361111112</v>
      </c>
      <c r="Q149" s="12">
        <v>45138.977777777778</v>
      </c>
      <c r="R149" s="12">
        <v>45139.05972222222</v>
      </c>
      <c r="S149" s="12">
        <v>45140.55972222222</v>
      </c>
      <c r="U149" t="b">
        <v>1</v>
      </c>
      <c r="V149" s="12">
        <v>45188.692361111112</v>
      </c>
      <c r="W149" t="s">
        <v>240</v>
      </c>
      <c r="X149" t="s">
        <v>1998</v>
      </c>
      <c r="Y149" t="s">
        <v>1999</v>
      </c>
    </row>
    <row r="150" spans="1:25">
      <c r="A150" t="s">
        <v>2000</v>
      </c>
      <c r="B150" t="s">
        <v>1171</v>
      </c>
      <c r="C150" t="s">
        <v>1320</v>
      </c>
      <c r="D150" t="s">
        <v>2001</v>
      </c>
      <c r="E150" t="s">
        <v>169</v>
      </c>
      <c r="F150" t="s">
        <v>1517</v>
      </c>
      <c r="G150">
        <v>41</v>
      </c>
      <c r="H150" t="s">
        <v>171</v>
      </c>
      <c r="I150" t="s">
        <v>24</v>
      </c>
      <c r="J150" t="s">
        <v>1271</v>
      </c>
      <c r="K150">
        <v>72</v>
      </c>
      <c r="L150" t="s">
        <v>42</v>
      </c>
      <c r="M150" t="s">
        <v>1273</v>
      </c>
      <c r="N150" t="s">
        <v>91</v>
      </c>
      <c r="O150" s="12">
        <v>45173.954861111109</v>
      </c>
      <c r="P150" s="12">
        <v>45176.913194444445</v>
      </c>
      <c r="Q150" s="12">
        <v>45176.922222222223</v>
      </c>
      <c r="R150" s="12">
        <v>45177.015972222223</v>
      </c>
      <c r="S150" s="12">
        <v>45179.432638888888</v>
      </c>
      <c r="U150" t="b">
        <v>1</v>
      </c>
      <c r="V150" s="12">
        <v>45314.538194444445</v>
      </c>
      <c r="W150" t="s">
        <v>168</v>
      </c>
      <c r="X150" t="s">
        <v>2002</v>
      </c>
      <c r="Y150" t="s">
        <v>2003</v>
      </c>
    </row>
    <row r="151" spans="1:25">
      <c r="A151" t="s">
        <v>2004</v>
      </c>
      <c r="B151" t="s">
        <v>1584</v>
      </c>
      <c r="C151" t="s">
        <v>2005</v>
      </c>
      <c r="D151" t="s">
        <v>2006</v>
      </c>
      <c r="E151" t="s">
        <v>643</v>
      </c>
      <c r="F151" t="s">
        <v>1496</v>
      </c>
      <c r="G151">
        <v>45</v>
      </c>
      <c r="H151" t="s">
        <v>81</v>
      </c>
      <c r="I151" t="s">
        <v>24</v>
      </c>
      <c r="J151" t="s">
        <v>1413</v>
      </c>
      <c r="K151">
        <v>72</v>
      </c>
      <c r="L151" t="s">
        <v>1272</v>
      </c>
      <c r="M151" t="s">
        <v>1273</v>
      </c>
      <c r="N151" t="s">
        <v>25</v>
      </c>
      <c r="O151" s="12">
        <v>46124.847916666666</v>
      </c>
      <c r="P151" s="12">
        <v>46126.38958333333</v>
      </c>
      <c r="Q151" s="12">
        <v>46126.429861111108</v>
      </c>
      <c r="R151" s="12">
        <v>46126.449305555558</v>
      </c>
      <c r="S151" s="12">
        <v>46128.282638888886</v>
      </c>
      <c r="U151" t="b">
        <v>1</v>
      </c>
      <c r="V151" s="12">
        <v>46205.01458333333</v>
      </c>
      <c r="W151" t="s">
        <v>642</v>
      </c>
      <c r="X151" t="s">
        <v>2007</v>
      </c>
      <c r="Y151" t="s">
        <v>2008</v>
      </c>
    </row>
    <row r="152" spans="1:25">
      <c r="A152" t="s">
        <v>2009</v>
      </c>
      <c r="B152" t="s">
        <v>1533</v>
      </c>
      <c r="C152" t="s">
        <v>1139</v>
      </c>
      <c r="D152" t="s">
        <v>2010</v>
      </c>
      <c r="E152" t="s">
        <v>730</v>
      </c>
      <c r="F152" t="s">
        <v>2011</v>
      </c>
      <c r="G152">
        <v>365</v>
      </c>
      <c r="H152" t="s">
        <v>236</v>
      </c>
      <c r="I152" t="s">
        <v>30</v>
      </c>
      <c r="J152" t="s">
        <v>1271</v>
      </c>
      <c r="K152">
        <v>72</v>
      </c>
      <c r="L152" t="s">
        <v>1272</v>
      </c>
      <c r="M152" t="s">
        <v>1273</v>
      </c>
      <c r="N152" t="s">
        <v>18</v>
      </c>
      <c r="O152" s="12">
        <v>45600.868750000001</v>
      </c>
      <c r="P152" s="12">
        <v>45602.910416666666</v>
      </c>
      <c r="Q152" s="12">
        <v>45602.96875</v>
      </c>
      <c r="R152" s="12">
        <v>45603.007638888892</v>
      </c>
      <c r="S152" s="12">
        <v>45605.007638888892</v>
      </c>
      <c r="U152" t="b">
        <v>1</v>
      </c>
      <c r="V152" s="12">
        <v>45665.118750000001</v>
      </c>
      <c r="W152" t="s">
        <v>729</v>
      </c>
      <c r="X152" t="s">
        <v>2012</v>
      </c>
      <c r="Y152" t="s">
        <v>2013</v>
      </c>
    </row>
    <row r="153" spans="1:25">
      <c r="A153" t="s">
        <v>2014</v>
      </c>
      <c r="B153" t="s">
        <v>2015</v>
      </c>
      <c r="C153" t="s">
        <v>1650</v>
      </c>
      <c r="D153" t="s">
        <v>2016</v>
      </c>
      <c r="E153" t="s">
        <v>590</v>
      </c>
      <c r="F153" t="s">
        <v>1511</v>
      </c>
      <c r="G153">
        <v>113</v>
      </c>
      <c r="H153" t="s">
        <v>50</v>
      </c>
      <c r="I153" t="s">
        <v>24</v>
      </c>
      <c r="J153" t="s">
        <v>1271</v>
      </c>
      <c r="K153">
        <v>72</v>
      </c>
      <c r="L153" t="s">
        <v>42</v>
      </c>
      <c r="M153" t="s">
        <v>1273</v>
      </c>
      <c r="N153" t="s">
        <v>59</v>
      </c>
      <c r="O153" s="12">
        <v>46051.619444444441</v>
      </c>
      <c r="P153" s="12">
        <v>46052.827777777777</v>
      </c>
      <c r="Q153" s="12">
        <v>46052.849305555559</v>
      </c>
      <c r="R153" s="12">
        <v>46052.947222222225</v>
      </c>
      <c r="S153" s="12">
        <v>46055.447222222225</v>
      </c>
      <c r="U153" t="b">
        <v>1</v>
      </c>
      <c r="V153" s="12">
        <v>46090.327777777777</v>
      </c>
      <c r="W153" t="s">
        <v>589</v>
      </c>
      <c r="X153" t="s">
        <v>2017</v>
      </c>
      <c r="Y153" t="s">
        <v>2018</v>
      </c>
    </row>
    <row r="154" spans="1:25">
      <c r="A154" t="s">
        <v>2019</v>
      </c>
      <c r="B154" t="s">
        <v>1690</v>
      </c>
      <c r="C154" t="s">
        <v>2020</v>
      </c>
      <c r="D154" t="s">
        <v>2021</v>
      </c>
      <c r="E154" t="s">
        <v>724</v>
      </c>
      <c r="F154" t="s">
        <v>1399</v>
      </c>
      <c r="G154">
        <v>1910</v>
      </c>
      <c r="H154" t="s">
        <v>205</v>
      </c>
      <c r="I154" t="s">
        <v>17</v>
      </c>
      <c r="J154" t="s">
        <v>1271</v>
      </c>
      <c r="K154">
        <v>72</v>
      </c>
      <c r="L154" t="s">
        <v>42</v>
      </c>
      <c r="M154" t="s">
        <v>1273</v>
      </c>
      <c r="N154" t="s">
        <v>36</v>
      </c>
      <c r="O154" s="12">
        <v>45333.447222222225</v>
      </c>
      <c r="P154" s="12">
        <v>45335.030555555553</v>
      </c>
      <c r="Q154" s="12">
        <v>45335.064583333333</v>
      </c>
      <c r="R154" s="12">
        <v>45335.080555555556</v>
      </c>
      <c r="S154" s="12">
        <v>45336.705555555556</v>
      </c>
      <c r="U154" t="b">
        <v>1</v>
      </c>
      <c r="V154" s="12">
        <v>45453.697222222225</v>
      </c>
      <c r="W154" t="s">
        <v>723</v>
      </c>
      <c r="X154" t="s">
        <v>2022</v>
      </c>
      <c r="Y154" t="s">
        <v>2023</v>
      </c>
    </row>
    <row r="155" spans="1:25">
      <c r="A155" t="s">
        <v>2024</v>
      </c>
      <c r="B155" t="s">
        <v>1578</v>
      </c>
      <c r="C155" t="s">
        <v>1636</v>
      </c>
      <c r="D155" t="s">
        <v>2025</v>
      </c>
      <c r="E155" t="s">
        <v>833</v>
      </c>
      <c r="F155" t="s">
        <v>1453</v>
      </c>
      <c r="G155">
        <v>895</v>
      </c>
      <c r="H155" t="s">
        <v>68</v>
      </c>
      <c r="I155" t="s">
        <v>30</v>
      </c>
      <c r="J155" t="s">
        <v>1288</v>
      </c>
      <c r="K155">
        <v>72</v>
      </c>
      <c r="L155" t="s">
        <v>42</v>
      </c>
      <c r="M155" t="s">
        <v>1273</v>
      </c>
      <c r="N155" t="s">
        <v>55</v>
      </c>
      <c r="O155" s="12">
        <v>44947.857638888891</v>
      </c>
      <c r="P155" s="12">
        <v>44950.565972222219</v>
      </c>
      <c r="Q155" s="12">
        <v>44950.625694444447</v>
      </c>
      <c r="R155" s="12">
        <v>44950.740972222222</v>
      </c>
      <c r="S155" s="12">
        <v>44953.574305555558</v>
      </c>
      <c r="U155" t="b">
        <v>1</v>
      </c>
      <c r="V155" s="12">
        <v>44988.190972222219</v>
      </c>
      <c r="W155" t="s">
        <v>832</v>
      </c>
      <c r="X155" t="s">
        <v>2026</v>
      </c>
      <c r="Y155" t="s">
        <v>2027</v>
      </c>
    </row>
    <row r="156" spans="1:25">
      <c r="A156" t="s">
        <v>2028</v>
      </c>
      <c r="B156" t="s">
        <v>1505</v>
      </c>
      <c r="C156" t="s">
        <v>1158</v>
      </c>
      <c r="D156" t="s">
        <v>2029</v>
      </c>
      <c r="E156" t="s">
        <v>868</v>
      </c>
      <c r="F156" t="s">
        <v>1487</v>
      </c>
      <c r="G156">
        <v>306</v>
      </c>
      <c r="H156" t="s">
        <v>171</v>
      </c>
      <c r="I156" t="s">
        <v>30</v>
      </c>
      <c r="J156" t="s">
        <v>1413</v>
      </c>
      <c r="K156">
        <v>80</v>
      </c>
      <c r="L156" t="s">
        <v>1272</v>
      </c>
      <c r="M156" t="s">
        <v>1273</v>
      </c>
      <c r="N156" t="s">
        <v>18</v>
      </c>
      <c r="O156" s="12">
        <v>45144.834722222222</v>
      </c>
      <c r="P156" s="12">
        <v>45145.751388888886</v>
      </c>
      <c r="Q156" s="12">
        <v>45145.808333333334</v>
      </c>
      <c r="R156" s="12">
        <v>45145.836111111108</v>
      </c>
      <c r="S156" s="12">
        <v>45146.87777777778</v>
      </c>
      <c r="U156" t="b">
        <v>1</v>
      </c>
      <c r="V156" s="12">
        <v>45173.126388888886</v>
      </c>
      <c r="W156" t="s">
        <v>867</v>
      </c>
      <c r="X156" t="s">
        <v>2030</v>
      </c>
      <c r="Y156" t="s">
        <v>2031</v>
      </c>
    </row>
    <row r="157" spans="1:25">
      <c r="A157" t="s">
        <v>2032</v>
      </c>
      <c r="B157" t="s">
        <v>1505</v>
      </c>
      <c r="C157" t="s">
        <v>2033</v>
      </c>
      <c r="D157" t="s">
        <v>2034</v>
      </c>
      <c r="E157" t="s">
        <v>859</v>
      </c>
      <c r="F157" t="s">
        <v>1471</v>
      </c>
      <c r="G157">
        <v>1448</v>
      </c>
      <c r="H157" t="s">
        <v>68</v>
      </c>
      <c r="I157" t="s">
        <v>17</v>
      </c>
      <c r="J157" t="s">
        <v>1413</v>
      </c>
      <c r="K157">
        <v>72</v>
      </c>
      <c r="L157" t="s">
        <v>42</v>
      </c>
      <c r="M157" t="s">
        <v>1273</v>
      </c>
      <c r="N157" t="s">
        <v>55</v>
      </c>
      <c r="O157" s="12">
        <v>45122.734722222223</v>
      </c>
      <c r="P157" s="12">
        <v>45123.484722222223</v>
      </c>
      <c r="Q157" s="12">
        <v>45123.507638888892</v>
      </c>
      <c r="R157" s="12">
        <v>45123.547222222223</v>
      </c>
      <c r="S157" s="12">
        <v>45125.922222222223</v>
      </c>
      <c r="U157" t="b">
        <v>1</v>
      </c>
      <c r="V157" s="12">
        <v>45252.276388888888</v>
      </c>
      <c r="W157" t="s">
        <v>858</v>
      </c>
      <c r="X157" t="s">
        <v>2035</v>
      </c>
      <c r="Y157" t="s">
        <v>2036</v>
      </c>
    </row>
    <row r="158" spans="1:25">
      <c r="A158" t="s">
        <v>2037</v>
      </c>
      <c r="B158" t="s">
        <v>1617</v>
      </c>
      <c r="C158" t="s">
        <v>1475</v>
      </c>
      <c r="D158" t="s">
        <v>2038</v>
      </c>
      <c r="E158" t="s">
        <v>640</v>
      </c>
      <c r="F158" t="s">
        <v>1487</v>
      </c>
      <c r="G158">
        <v>693</v>
      </c>
      <c r="I158" t="s">
        <v>30</v>
      </c>
      <c r="J158" t="s">
        <v>1288</v>
      </c>
      <c r="K158">
        <v>75</v>
      </c>
      <c r="L158" t="s">
        <v>1272</v>
      </c>
      <c r="M158" t="s">
        <v>1273</v>
      </c>
      <c r="N158" t="s">
        <v>82</v>
      </c>
      <c r="O158" s="12">
        <v>45564.197222222225</v>
      </c>
      <c r="P158" s="12">
        <v>45566.613888888889</v>
      </c>
      <c r="Q158" s="12">
        <v>45566.629861111112</v>
      </c>
      <c r="R158" s="12">
        <v>45567.671527777777</v>
      </c>
      <c r="S158" s="12">
        <v>45568.796527777777</v>
      </c>
      <c r="U158" t="b">
        <v>1</v>
      </c>
      <c r="V158" s="12">
        <v>45653.947222222225</v>
      </c>
      <c r="W158" t="s">
        <v>639</v>
      </c>
      <c r="X158" t="s">
        <v>2039</v>
      </c>
      <c r="Y158" t="s">
        <v>2040</v>
      </c>
    </row>
    <row r="159" spans="1:25">
      <c r="A159" t="s">
        <v>2041</v>
      </c>
      <c r="B159" t="s">
        <v>1474</v>
      </c>
      <c r="C159" t="s">
        <v>2005</v>
      </c>
      <c r="D159" t="s">
        <v>2042</v>
      </c>
      <c r="E159" t="s">
        <v>755</v>
      </c>
      <c r="F159" t="s">
        <v>1464</v>
      </c>
      <c r="G159">
        <v>1853</v>
      </c>
      <c r="H159" t="s">
        <v>212</v>
      </c>
      <c r="I159" t="s">
        <v>17</v>
      </c>
      <c r="J159" t="s">
        <v>1271</v>
      </c>
      <c r="K159">
        <v>72</v>
      </c>
      <c r="L159" t="s">
        <v>1272</v>
      </c>
      <c r="M159" t="s">
        <v>1273</v>
      </c>
      <c r="N159" t="s">
        <v>55</v>
      </c>
      <c r="O159" s="12">
        <v>45809.412499999999</v>
      </c>
      <c r="P159" s="12">
        <v>45809.662499999999</v>
      </c>
      <c r="Q159" s="12">
        <v>45809.68472222222</v>
      </c>
      <c r="R159" s="12">
        <v>45809.712500000001</v>
      </c>
      <c r="S159" s="12">
        <v>45810.754166666666</v>
      </c>
      <c r="U159" t="b">
        <v>1</v>
      </c>
      <c r="V159" s="12">
        <v>45937.995833333334</v>
      </c>
      <c r="W159" t="s">
        <v>754</v>
      </c>
      <c r="X159" t="s">
        <v>2043</v>
      </c>
      <c r="Y159" t="s">
        <v>2044</v>
      </c>
    </row>
    <row r="160" spans="1:25">
      <c r="A160" t="s">
        <v>2045</v>
      </c>
      <c r="B160" t="s">
        <v>1622</v>
      </c>
      <c r="C160" t="s">
        <v>1441</v>
      </c>
      <c r="D160" t="s">
        <v>2046</v>
      </c>
      <c r="E160" t="s">
        <v>486</v>
      </c>
      <c r="F160" t="s">
        <v>1458</v>
      </c>
      <c r="G160">
        <v>731</v>
      </c>
      <c r="H160" t="s">
        <v>408</v>
      </c>
      <c r="I160" t="s">
        <v>30</v>
      </c>
      <c r="J160" t="s">
        <v>1271</v>
      </c>
      <c r="K160">
        <v>72</v>
      </c>
      <c r="L160" t="s">
        <v>42</v>
      </c>
      <c r="M160" t="s">
        <v>1273</v>
      </c>
      <c r="N160" t="s">
        <v>55</v>
      </c>
      <c r="O160" s="12">
        <v>46053.69027777778</v>
      </c>
      <c r="P160" s="12">
        <v>46053.898611111108</v>
      </c>
      <c r="Q160" s="12">
        <v>46053.927777777775</v>
      </c>
      <c r="R160" s="12">
        <v>46054.068749999999</v>
      </c>
      <c r="S160" s="12">
        <v>46056.11041666667</v>
      </c>
      <c r="U160" t="b">
        <v>1</v>
      </c>
      <c r="V160" s="12">
        <v>46109.69027777778</v>
      </c>
      <c r="W160" t="s">
        <v>485</v>
      </c>
      <c r="X160" t="s">
        <v>2047</v>
      </c>
      <c r="Y160" t="s">
        <v>2048</v>
      </c>
    </row>
    <row r="161" spans="1:25">
      <c r="A161" t="s">
        <v>2049</v>
      </c>
      <c r="B161" t="s">
        <v>1364</v>
      </c>
      <c r="C161" t="s">
        <v>1971</v>
      </c>
      <c r="D161" t="s">
        <v>2050</v>
      </c>
      <c r="E161" t="s">
        <v>406</v>
      </c>
      <c r="F161" t="s">
        <v>1453</v>
      </c>
      <c r="G161">
        <v>1806</v>
      </c>
      <c r="H161" t="s">
        <v>408</v>
      </c>
      <c r="I161" t="s">
        <v>17</v>
      </c>
      <c r="J161" t="s">
        <v>1355</v>
      </c>
      <c r="K161">
        <v>72</v>
      </c>
      <c r="L161" t="s">
        <v>42</v>
      </c>
      <c r="M161" t="s">
        <v>1273</v>
      </c>
      <c r="N161" t="s">
        <v>55</v>
      </c>
      <c r="O161" s="12">
        <v>45921.007638888892</v>
      </c>
      <c r="P161" s="12">
        <v>45923.507638888892</v>
      </c>
      <c r="Q161" s="12">
        <v>45923.527777777781</v>
      </c>
      <c r="R161" s="12">
        <v>45923.944444444445</v>
      </c>
      <c r="S161" s="12">
        <v>45924.486111111109</v>
      </c>
      <c r="U161" t="b">
        <v>1</v>
      </c>
      <c r="V161" s="12">
        <v>46013.674305555556</v>
      </c>
      <c r="W161" t="s">
        <v>405</v>
      </c>
      <c r="X161" t="s">
        <v>2051</v>
      </c>
    </row>
    <row r="162" spans="1:25">
      <c r="A162" t="s">
        <v>2052</v>
      </c>
      <c r="B162" t="s">
        <v>1306</v>
      </c>
      <c r="C162" t="s">
        <v>1469</v>
      </c>
      <c r="D162" t="s">
        <v>2053</v>
      </c>
      <c r="E162" t="s">
        <v>489</v>
      </c>
      <c r="F162" t="s">
        <v>2054</v>
      </c>
      <c r="G162">
        <v>1642</v>
      </c>
      <c r="H162" t="s">
        <v>50</v>
      </c>
      <c r="I162" t="s">
        <v>17</v>
      </c>
      <c r="J162" t="s">
        <v>1281</v>
      </c>
      <c r="K162">
        <v>75</v>
      </c>
      <c r="L162" t="s">
        <v>42</v>
      </c>
      <c r="M162" t="s">
        <v>1273</v>
      </c>
      <c r="N162" t="s">
        <v>36</v>
      </c>
      <c r="O162" s="12">
        <v>44849.158333333333</v>
      </c>
      <c r="P162" s="12">
        <v>44851.574999999997</v>
      </c>
      <c r="Q162" s="12">
        <v>44851.634027777778</v>
      </c>
      <c r="R162" s="12">
        <v>44852.425694444442</v>
      </c>
      <c r="S162" s="12">
        <v>44854.550694444442</v>
      </c>
      <c r="U162" t="b">
        <v>1</v>
      </c>
      <c r="V162" s="12">
        <v>44955.491666666669</v>
      </c>
      <c r="W162" t="s">
        <v>488</v>
      </c>
      <c r="X162" t="s">
        <v>2055</v>
      </c>
      <c r="Y162" t="s">
        <v>2056</v>
      </c>
    </row>
    <row r="163" spans="1:25">
      <c r="A163" t="s">
        <v>2057</v>
      </c>
      <c r="B163" t="s">
        <v>2058</v>
      </c>
      <c r="C163" t="s">
        <v>2059</v>
      </c>
      <c r="D163" t="s">
        <v>2060</v>
      </c>
      <c r="E163" t="s">
        <v>184</v>
      </c>
      <c r="F163" t="s">
        <v>1487</v>
      </c>
      <c r="G163">
        <v>128</v>
      </c>
      <c r="H163" t="s">
        <v>81</v>
      </c>
      <c r="I163" t="s">
        <v>24</v>
      </c>
      <c r="J163" t="s">
        <v>1317</v>
      </c>
      <c r="K163">
        <v>72</v>
      </c>
      <c r="L163" t="s">
        <v>1272</v>
      </c>
      <c r="M163" t="s">
        <v>1273</v>
      </c>
      <c r="N163" t="s">
        <v>25</v>
      </c>
      <c r="O163" s="12">
        <v>45092.874305555553</v>
      </c>
      <c r="P163" s="12">
        <v>45093.832638888889</v>
      </c>
      <c r="Q163" s="12">
        <v>45093.859027777777</v>
      </c>
      <c r="R163" s="12">
        <v>45093.89166666667</v>
      </c>
      <c r="S163" s="12">
        <v>45094.1</v>
      </c>
      <c r="U163" t="b">
        <v>1</v>
      </c>
      <c r="V163" s="12">
        <v>45185.249305555553</v>
      </c>
      <c r="W163" t="s">
        <v>183</v>
      </c>
      <c r="X163" t="s">
        <v>2061</v>
      </c>
      <c r="Y163" t="s">
        <v>2062</v>
      </c>
    </row>
    <row r="164" spans="1:25">
      <c r="A164" t="s">
        <v>2063</v>
      </c>
      <c r="B164" t="s">
        <v>1306</v>
      </c>
      <c r="C164" t="s">
        <v>1971</v>
      </c>
      <c r="D164" t="s">
        <v>2064</v>
      </c>
      <c r="E164" t="s">
        <v>987</v>
      </c>
      <c r="F164" t="s">
        <v>1287</v>
      </c>
      <c r="G164">
        <v>3289</v>
      </c>
      <c r="H164" t="s">
        <v>140</v>
      </c>
      <c r="J164" t="s">
        <v>1355</v>
      </c>
      <c r="K164">
        <v>72</v>
      </c>
      <c r="L164" t="s">
        <v>42</v>
      </c>
      <c r="M164" t="s">
        <v>1273</v>
      </c>
      <c r="N164" t="s">
        <v>82</v>
      </c>
      <c r="O164" s="12">
        <v>45520.234027777777</v>
      </c>
      <c r="P164" s="12">
        <v>45521.609027777777</v>
      </c>
      <c r="Q164" s="12">
        <v>45521.640277777777</v>
      </c>
      <c r="R164" s="12">
        <v>45521.712500000001</v>
      </c>
      <c r="S164" s="12">
        <v>45523.087500000001</v>
      </c>
      <c r="U164" t="b">
        <v>1</v>
      </c>
      <c r="V164" s="12">
        <v>45575.942361111112</v>
      </c>
      <c r="W164" t="s">
        <v>986</v>
      </c>
      <c r="X164" t="s">
        <v>2065</v>
      </c>
    </row>
    <row r="165" spans="1:25">
      <c r="A165" t="s">
        <v>2066</v>
      </c>
      <c r="B165" t="s">
        <v>1157</v>
      </c>
      <c r="C165" t="s">
        <v>1660</v>
      </c>
      <c r="D165" t="s">
        <v>2067</v>
      </c>
      <c r="E165" t="s">
        <v>775</v>
      </c>
      <c r="F165" t="s">
        <v>1633</v>
      </c>
      <c r="G165">
        <v>283</v>
      </c>
      <c r="H165" t="s">
        <v>366</v>
      </c>
      <c r="I165" t="s">
        <v>30</v>
      </c>
      <c r="J165" t="s">
        <v>1271</v>
      </c>
      <c r="K165">
        <v>72</v>
      </c>
      <c r="L165" t="s">
        <v>1272</v>
      </c>
      <c r="M165" t="s">
        <v>1273</v>
      </c>
      <c r="N165" t="s">
        <v>18</v>
      </c>
      <c r="O165" s="12">
        <v>46151.472222222219</v>
      </c>
      <c r="P165" s="12">
        <v>46154.263888888891</v>
      </c>
      <c r="Q165" s="12">
        <v>46154.287499999999</v>
      </c>
      <c r="R165" s="12">
        <v>46154.3</v>
      </c>
      <c r="S165" s="12">
        <v>46155.05</v>
      </c>
      <c r="U165" t="b">
        <v>1</v>
      </c>
      <c r="V165" s="12">
        <v>46266.555555555555</v>
      </c>
      <c r="W165" t="s">
        <v>774</v>
      </c>
      <c r="X165" t="s">
        <v>2068</v>
      </c>
      <c r="Y165" t="s">
        <v>2069</v>
      </c>
    </row>
    <row r="166" spans="1:25">
      <c r="A166" t="s">
        <v>2070</v>
      </c>
      <c r="B166" t="s">
        <v>2071</v>
      </c>
      <c r="C166" t="s">
        <v>1792</v>
      </c>
      <c r="D166" t="s">
        <v>2072</v>
      </c>
      <c r="E166" t="s">
        <v>613</v>
      </c>
      <c r="F166" t="s">
        <v>1633</v>
      </c>
      <c r="G166">
        <v>447</v>
      </c>
      <c r="H166" t="s">
        <v>140</v>
      </c>
      <c r="I166" t="s">
        <v>30</v>
      </c>
      <c r="J166" t="s">
        <v>1295</v>
      </c>
      <c r="K166">
        <v>93</v>
      </c>
      <c r="L166" t="s">
        <v>42</v>
      </c>
      <c r="M166" t="s">
        <v>1273</v>
      </c>
      <c r="N166" t="s">
        <v>82</v>
      </c>
      <c r="O166" s="12">
        <v>46146.594444444447</v>
      </c>
      <c r="P166" s="12">
        <v>46147.636111111111</v>
      </c>
      <c r="Q166" s="12">
        <v>46147.657638888886</v>
      </c>
      <c r="R166" s="12">
        <v>46148.574305555558</v>
      </c>
      <c r="S166" s="12">
        <v>46149.074305555558</v>
      </c>
      <c r="U166" t="b">
        <v>1</v>
      </c>
      <c r="V166" s="12">
        <v>46222.636111111111</v>
      </c>
      <c r="W166" t="s">
        <v>612</v>
      </c>
      <c r="X166" t="s">
        <v>2073</v>
      </c>
      <c r="Y166" t="s">
        <v>2074</v>
      </c>
    </row>
    <row r="167" spans="1:25">
      <c r="A167" t="s">
        <v>2075</v>
      </c>
      <c r="B167" t="s">
        <v>1306</v>
      </c>
      <c r="C167" t="s">
        <v>1212</v>
      </c>
      <c r="D167" t="s">
        <v>2076</v>
      </c>
      <c r="E167" t="s">
        <v>346</v>
      </c>
      <c r="F167" t="s">
        <v>1523</v>
      </c>
      <c r="G167">
        <v>166</v>
      </c>
      <c r="H167" t="s">
        <v>192</v>
      </c>
      <c r="I167" t="s">
        <v>24</v>
      </c>
      <c r="J167" t="s">
        <v>1413</v>
      </c>
      <c r="K167">
        <v>72</v>
      </c>
      <c r="L167" t="s">
        <v>1272</v>
      </c>
      <c r="M167" t="s">
        <v>1273</v>
      </c>
      <c r="N167" t="s">
        <v>91</v>
      </c>
      <c r="O167" s="12">
        <v>45178.213194444441</v>
      </c>
      <c r="P167" s="12">
        <v>45179.088194444441</v>
      </c>
      <c r="Q167" s="12">
        <v>45179.1</v>
      </c>
      <c r="R167" s="12">
        <v>45179.113888888889</v>
      </c>
      <c r="S167" s="12">
        <v>45180.988888888889</v>
      </c>
      <c r="U167" t="b">
        <v>1</v>
      </c>
      <c r="V167" s="12">
        <v>45252.754861111112</v>
      </c>
      <c r="W167" t="s">
        <v>345</v>
      </c>
      <c r="X167" t="s">
        <v>2077</v>
      </c>
    </row>
    <row r="168" spans="1:25">
      <c r="A168" t="s">
        <v>2078</v>
      </c>
      <c r="B168" t="s">
        <v>1680</v>
      </c>
      <c r="C168" t="s">
        <v>1158</v>
      </c>
      <c r="D168" t="s">
        <v>2079</v>
      </c>
      <c r="E168" t="s">
        <v>364</v>
      </c>
      <c r="F168" t="s">
        <v>1963</v>
      </c>
      <c r="G168">
        <v>1136</v>
      </c>
      <c r="H168" t="s">
        <v>366</v>
      </c>
      <c r="I168" t="s">
        <v>17</v>
      </c>
      <c r="J168" t="s">
        <v>1413</v>
      </c>
      <c r="K168">
        <v>72</v>
      </c>
      <c r="L168" t="s">
        <v>1272</v>
      </c>
      <c r="M168" t="s">
        <v>1273</v>
      </c>
      <c r="N168" t="s">
        <v>18</v>
      </c>
      <c r="O168" s="12">
        <v>45611.501388888886</v>
      </c>
      <c r="P168" s="12">
        <v>45612.168055555558</v>
      </c>
      <c r="Q168" s="12">
        <v>45612.177777777775</v>
      </c>
      <c r="R168" s="12">
        <v>45612.254861111112</v>
      </c>
      <c r="S168" s="12">
        <v>45615.004861111112</v>
      </c>
      <c r="U168" t="b">
        <v>1</v>
      </c>
      <c r="V168" s="12">
        <v>45631.001388888886</v>
      </c>
      <c r="W168" t="s">
        <v>363</v>
      </c>
      <c r="X168" t="s">
        <v>2080</v>
      </c>
      <c r="Y168" t="s">
        <v>2081</v>
      </c>
    </row>
    <row r="169" spans="1:25">
      <c r="A169" t="s">
        <v>2082</v>
      </c>
      <c r="B169" t="s">
        <v>1546</v>
      </c>
      <c r="C169" t="s">
        <v>1490</v>
      </c>
      <c r="D169" t="s">
        <v>2083</v>
      </c>
      <c r="E169" t="s">
        <v>129</v>
      </c>
      <c r="F169" t="s">
        <v>2084</v>
      </c>
      <c r="G169">
        <v>483</v>
      </c>
      <c r="H169" t="s">
        <v>64</v>
      </c>
      <c r="I169" t="s">
        <v>30</v>
      </c>
      <c r="J169" t="s">
        <v>1271</v>
      </c>
      <c r="K169">
        <v>72</v>
      </c>
      <c r="L169" t="s">
        <v>1272</v>
      </c>
      <c r="M169" t="s">
        <v>1273</v>
      </c>
      <c r="N169" t="s">
        <v>55</v>
      </c>
      <c r="O169" s="12">
        <v>46135.143055555556</v>
      </c>
      <c r="P169" s="12">
        <v>46138.05972222222</v>
      </c>
      <c r="Q169" s="12">
        <v>46138.076388888891</v>
      </c>
      <c r="R169" s="12">
        <v>46138.160416666666</v>
      </c>
      <c r="S169" s="12">
        <v>46139.743750000001</v>
      </c>
      <c r="U169" t="b">
        <v>1</v>
      </c>
      <c r="V169" s="12">
        <v>46249.476388888892</v>
      </c>
      <c r="W169" t="s">
        <v>128</v>
      </c>
      <c r="X169" t="s">
        <v>2085</v>
      </c>
      <c r="Y169" t="s">
        <v>2086</v>
      </c>
    </row>
    <row r="170" spans="1:25">
      <c r="A170" t="s">
        <v>2087</v>
      </c>
      <c r="B170" t="s">
        <v>2071</v>
      </c>
      <c r="C170" t="s">
        <v>1579</v>
      </c>
      <c r="D170" t="s">
        <v>2088</v>
      </c>
      <c r="E170" t="s">
        <v>466</v>
      </c>
      <c r="F170" t="s">
        <v>1501</v>
      </c>
      <c r="G170">
        <v>735</v>
      </c>
      <c r="H170" t="s">
        <v>216</v>
      </c>
      <c r="I170" t="s">
        <v>30</v>
      </c>
      <c r="J170" t="s">
        <v>1339</v>
      </c>
      <c r="K170">
        <v>80</v>
      </c>
      <c r="L170" t="s">
        <v>1272</v>
      </c>
      <c r="M170" t="s">
        <v>1273</v>
      </c>
      <c r="N170" t="s">
        <v>18</v>
      </c>
      <c r="O170" s="12">
        <v>45743.855555555558</v>
      </c>
      <c r="P170" s="12">
        <v>45745.272222222222</v>
      </c>
      <c r="Q170" s="12">
        <v>45745.284722222219</v>
      </c>
      <c r="R170" s="12">
        <v>45745.318749999999</v>
      </c>
      <c r="S170" s="12">
        <v>45745.522222222222</v>
      </c>
      <c r="U170" t="b">
        <v>1</v>
      </c>
      <c r="V170" s="12">
        <v>45878.438888888886</v>
      </c>
      <c r="W170" t="s">
        <v>465</v>
      </c>
      <c r="X170" t="s">
        <v>2089</v>
      </c>
      <c r="Y170" t="s">
        <v>2090</v>
      </c>
    </row>
    <row r="171" spans="1:25">
      <c r="A171" t="s">
        <v>2091</v>
      </c>
      <c r="B171" t="s">
        <v>1578</v>
      </c>
      <c r="C171" t="s">
        <v>1650</v>
      </c>
      <c r="D171" t="s">
        <v>2092</v>
      </c>
      <c r="E171" t="s">
        <v>678</v>
      </c>
      <c r="F171" t="s">
        <v>1333</v>
      </c>
      <c r="G171">
        <v>1296</v>
      </c>
      <c r="H171" t="s">
        <v>226</v>
      </c>
      <c r="I171" t="s">
        <v>17</v>
      </c>
      <c r="J171" t="s">
        <v>1413</v>
      </c>
      <c r="K171">
        <v>72</v>
      </c>
      <c r="L171" t="s">
        <v>42</v>
      </c>
      <c r="M171" t="s">
        <v>1273</v>
      </c>
      <c r="N171" t="s">
        <v>55</v>
      </c>
      <c r="O171" s="12">
        <v>45363.625</v>
      </c>
      <c r="P171" s="12">
        <v>45363.875</v>
      </c>
      <c r="Q171" s="12">
        <v>45363.893055555556</v>
      </c>
      <c r="R171" s="12">
        <v>45363.945833333331</v>
      </c>
      <c r="S171" s="12">
        <v>45364.404166666667</v>
      </c>
      <c r="U171" t="b">
        <v>1</v>
      </c>
      <c r="V171" s="12">
        <v>45507.333333333336</v>
      </c>
      <c r="W171" t="s">
        <v>677</v>
      </c>
      <c r="X171" t="s">
        <v>2093</v>
      </c>
      <c r="Y171" t="s">
        <v>2094</v>
      </c>
    </row>
    <row r="172" spans="1:25">
      <c r="A172" t="s">
        <v>2095</v>
      </c>
      <c r="B172" t="s">
        <v>1284</v>
      </c>
      <c r="C172" t="s">
        <v>1397</v>
      </c>
      <c r="D172" t="s">
        <v>2096</v>
      </c>
      <c r="E172" t="s">
        <v>495</v>
      </c>
      <c r="F172" t="s">
        <v>1309</v>
      </c>
      <c r="G172">
        <v>349</v>
      </c>
      <c r="H172" t="s">
        <v>50</v>
      </c>
      <c r="I172" t="s">
        <v>30</v>
      </c>
      <c r="J172" t="s">
        <v>1288</v>
      </c>
      <c r="K172">
        <v>72</v>
      </c>
      <c r="L172" t="s">
        <v>1272</v>
      </c>
      <c r="M172" t="s">
        <v>1273</v>
      </c>
      <c r="N172" t="s">
        <v>36</v>
      </c>
      <c r="O172" s="12">
        <v>45138.534722222219</v>
      </c>
      <c r="P172" s="12">
        <v>45141.534722222219</v>
      </c>
      <c r="Q172" s="12">
        <v>45141.554861111108</v>
      </c>
      <c r="R172" s="12">
        <v>45141.682638888888</v>
      </c>
      <c r="S172" s="12">
        <v>45144.474305555559</v>
      </c>
      <c r="U172" t="b">
        <v>1</v>
      </c>
      <c r="V172" s="12">
        <v>45222.743055555555</v>
      </c>
      <c r="W172" t="s">
        <v>494</v>
      </c>
      <c r="X172" t="s">
        <v>2097</v>
      </c>
      <c r="Y172" t="s">
        <v>2098</v>
      </c>
    </row>
    <row r="173" spans="1:25">
      <c r="A173" t="s">
        <v>2099</v>
      </c>
      <c r="B173" t="s">
        <v>1622</v>
      </c>
      <c r="C173" t="s">
        <v>2100</v>
      </c>
      <c r="D173" t="s">
        <v>2101</v>
      </c>
      <c r="E173" t="s">
        <v>1017</v>
      </c>
      <c r="F173" t="s">
        <v>1302</v>
      </c>
      <c r="G173">
        <v>587</v>
      </c>
      <c r="H173" t="s">
        <v>50</v>
      </c>
      <c r="I173" t="s">
        <v>30</v>
      </c>
      <c r="J173" t="s">
        <v>1317</v>
      </c>
      <c r="K173">
        <v>72</v>
      </c>
      <c r="L173" t="s">
        <v>1272</v>
      </c>
      <c r="M173" t="s">
        <v>1273</v>
      </c>
      <c r="N173" t="s">
        <v>36</v>
      </c>
      <c r="O173" s="12">
        <v>46113.581944444442</v>
      </c>
      <c r="P173" s="12">
        <v>46115.206944444442</v>
      </c>
      <c r="Q173" s="12">
        <v>46115.236805555556</v>
      </c>
      <c r="R173" s="12">
        <v>46115.304166666669</v>
      </c>
      <c r="S173" s="12">
        <v>46117.387499999997</v>
      </c>
      <c r="U173" t="b">
        <v>1</v>
      </c>
      <c r="V173" s="12">
        <v>46256.081944444442</v>
      </c>
      <c r="W173" t="s">
        <v>1016</v>
      </c>
      <c r="X173" t="s">
        <v>2102</v>
      </c>
    </row>
    <row r="174" spans="1:25">
      <c r="A174" t="s">
        <v>2103</v>
      </c>
      <c r="B174" t="s">
        <v>1875</v>
      </c>
      <c r="C174" t="s">
        <v>1145</v>
      </c>
      <c r="D174" t="s">
        <v>2104</v>
      </c>
      <c r="E174" t="s">
        <v>463</v>
      </c>
      <c r="F174" t="s">
        <v>1218</v>
      </c>
      <c r="G174">
        <v>48</v>
      </c>
      <c r="H174" t="s">
        <v>323</v>
      </c>
      <c r="I174" t="s">
        <v>24</v>
      </c>
      <c r="J174" t="s">
        <v>1295</v>
      </c>
      <c r="K174">
        <v>92</v>
      </c>
      <c r="L174" t="s">
        <v>1272</v>
      </c>
      <c r="M174" t="s">
        <v>1273</v>
      </c>
      <c r="N174" t="s">
        <v>25</v>
      </c>
      <c r="O174" s="12">
        <v>46102.587500000001</v>
      </c>
      <c r="P174" s="12">
        <v>46103.629166666666</v>
      </c>
      <c r="Q174" s="12">
        <v>46103.679861111108</v>
      </c>
      <c r="R174" s="12">
        <v>46103.813888888886</v>
      </c>
      <c r="S174" s="12">
        <v>46105.522222222222</v>
      </c>
      <c r="U174" t="b">
        <v>1</v>
      </c>
      <c r="V174" s="12">
        <v>46252.254166666666</v>
      </c>
      <c r="W174" t="s">
        <v>462</v>
      </c>
      <c r="X174" t="s">
        <v>2105</v>
      </c>
    </row>
    <row r="175" spans="1:25">
      <c r="A175" t="s">
        <v>2106</v>
      </c>
      <c r="B175" t="s">
        <v>1336</v>
      </c>
      <c r="C175" t="s">
        <v>2107</v>
      </c>
      <c r="D175" t="s">
        <v>2108</v>
      </c>
      <c r="E175" t="s">
        <v>601</v>
      </c>
      <c r="F175" t="s">
        <v>1294</v>
      </c>
      <c r="G175">
        <v>129</v>
      </c>
      <c r="H175" t="s">
        <v>154</v>
      </c>
      <c r="I175" t="s">
        <v>24</v>
      </c>
      <c r="J175" t="s">
        <v>1295</v>
      </c>
      <c r="K175">
        <v>72</v>
      </c>
      <c r="L175" t="s">
        <v>1272</v>
      </c>
      <c r="M175" t="s">
        <v>1273</v>
      </c>
      <c r="N175" t="s">
        <v>25</v>
      </c>
      <c r="O175" s="12">
        <v>46236.339583333334</v>
      </c>
      <c r="P175" s="12">
        <v>46238.79791666667</v>
      </c>
      <c r="Q175" s="12">
        <v>46238.833333333336</v>
      </c>
      <c r="R175" s="12">
        <v>46239.5</v>
      </c>
      <c r="S175" s="12">
        <v>46242.333333333336</v>
      </c>
      <c r="U175" t="b">
        <v>1</v>
      </c>
      <c r="V175" s="12">
        <v>46269.631249999999</v>
      </c>
      <c r="W175" t="s">
        <v>600</v>
      </c>
      <c r="X175" t="s">
        <v>2109</v>
      </c>
      <c r="Y175" t="s">
        <v>2110</v>
      </c>
    </row>
    <row r="176" spans="1:25">
      <c r="A176" t="s">
        <v>2111</v>
      </c>
      <c r="B176" t="s">
        <v>1330</v>
      </c>
      <c r="C176" t="s">
        <v>1203</v>
      </c>
      <c r="D176" t="s">
        <v>2112</v>
      </c>
      <c r="E176" t="s">
        <v>919</v>
      </c>
      <c r="F176" t="s">
        <v>1427</v>
      </c>
      <c r="G176">
        <v>1561</v>
      </c>
      <c r="H176" t="s">
        <v>50</v>
      </c>
      <c r="I176" t="s">
        <v>17</v>
      </c>
      <c r="J176" t="s">
        <v>1413</v>
      </c>
      <c r="K176">
        <v>72</v>
      </c>
      <c r="L176" t="s">
        <v>42</v>
      </c>
      <c r="M176" t="s">
        <v>1273</v>
      </c>
      <c r="N176" t="s">
        <v>36</v>
      </c>
      <c r="O176" s="12">
        <v>44788.010416666664</v>
      </c>
      <c r="P176" s="12">
        <v>44788.46875</v>
      </c>
      <c r="Q176" s="12">
        <v>44788.520138888889</v>
      </c>
      <c r="R176" s="12">
        <v>44788.583333333336</v>
      </c>
      <c r="S176" s="12">
        <v>44790</v>
      </c>
      <c r="U176" t="b">
        <v>1</v>
      </c>
      <c r="V176" s="12">
        <v>44819.677083333336</v>
      </c>
      <c r="W176" t="s">
        <v>918</v>
      </c>
      <c r="X176" t="s">
        <v>2113</v>
      </c>
      <c r="Y176" t="s">
        <v>2114</v>
      </c>
    </row>
    <row r="177" spans="1:25">
      <c r="A177" t="s">
        <v>2115</v>
      </c>
      <c r="B177" t="s">
        <v>1167</v>
      </c>
      <c r="C177" t="s">
        <v>2059</v>
      </c>
      <c r="D177" t="s">
        <v>2116</v>
      </c>
      <c r="E177" t="s">
        <v>568</v>
      </c>
      <c r="F177" t="s">
        <v>2117</v>
      </c>
      <c r="G177">
        <v>59</v>
      </c>
      <c r="H177" t="s">
        <v>226</v>
      </c>
      <c r="I177" t="s">
        <v>24</v>
      </c>
      <c r="J177" t="s">
        <v>1413</v>
      </c>
      <c r="K177">
        <v>72</v>
      </c>
      <c r="L177" t="s">
        <v>1272</v>
      </c>
      <c r="M177" t="s">
        <v>1273</v>
      </c>
      <c r="N177" t="s">
        <v>69</v>
      </c>
      <c r="O177" s="12">
        <v>46008.742361111108</v>
      </c>
      <c r="P177" s="12">
        <v>46009.117361111108</v>
      </c>
      <c r="Q177" s="12">
        <v>46009.15</v>
      </c>
      <c r="R177" s="12">
        <v>46009.183333333334</v>
      </c>
      <c r="S177" s="12">
        <v>46011.183333333334</v>
      </c>
      <c r="U177" t="b">
        <v>1</v>
      </c>
      <c r="V177" s="12">
        <v>46082.40902777778</v>
      </c>
      <c r="W177" t="s">
        <v>567</v>
      </c>
      <c r="X177" t="s">
        <v>2118</v>
      </c>
      <c r="Y177" t="s">
        <v>2119</v>
      </c>
    </row>
    <row r="178" spans="1:25">
      <c r="A178" t="s">
        <v>2120</v>
      </c>
      <c r="B178" t="s">
        <v>1196</v>
      </c>
      <c r="C178" t="s">
        <v>1917</v>
      </c>
      <c r="D178" t="s">
        <v>2121</v>
      </c>
      <c r="E178" t="s">
        <v>448</v>
      </c>
      <c r="F178" t="s">
        <v>1511</v>
      </c>
      <c r="G178">
        <v>160</v>
      </c>
      <c r="H178" t="s">
        <v>16</v>
      </c>
      <c r="I178" t="s">
        <v>24</v>
      </c>
      <c r="J178" t="s">
        <v>1271</v>
      </c>
      <c r="K178">
        <v>72</v>
      </c>
      <c r="L178" t="s">
        <v>42</v>
      </c>
      <c r="M178" t="s">
        <v>1273</v>
      </c>
      <c r="N178" t="s">
        <v>91</v>
      </c>
      <c r="O178" s="12">
        <v>44902.36041666667</v>
      </c>
      <c r="P178" s="12">
        <v>44903.318749999999</v>
      </c>
      <c r="Q178" s="12">
        <v>44903.340277777781</v>
      </c>
      <c r="R178" s="12">
        <v>44903.481249999997</v>
      </c>
      <c r="S178" s="12">
        <v>44904.772916666669</v>
      </c>
      <c r="U178" t="b">
        <v>1</v>
      </c>
      <c r="V178" s="12">
        <v>44989.61041666667</v>
      </c>
      <c r="W178" t="s">
        <v>447</v>
      </c>
      <c r="X178" t="s">
        <v>2122</v>
      </c>
      <c r="Y178" t="s">
        <v>2123</v>
      </c>
    </row>
    <row r="179" spans="1:25">
      <c r="A179" t="s">
        <v>2124</v>
      </c>
      <c r="B179" t="s">
        <v>1417</v>
      </c>
      <c r="C179" t="s">
        <v>1292</v>
      </c>
      <c r="D179" t="s">
        <v>2125</v>
      </c>
      <c r="E179" t="s">
        <v>107</v>
      </c>
      <c r="F179" t="s">
        <v>1806</v>
      </c>
      <c r="G179">
        <v>691</v>
      </c>
      <c r="H179" t="s">
        <v>95</v>
      </c>
      <c r="I179" t="s">
        <v>30</v>
      </c>
      <c r="J179" t="s">
        <v>1281</v>
      </c>
      <c r="K179">
        <v>72</v>
      </c>
      <c r="L179" t="s">
        <v>1272</v>
      </c>
      <c r="M179" t="s">
        <v>1273</v>
      </c>
      <c r="N179" t="s">
        <v>18</v>
      </c>
      <c r="O179" s="12">
        <v>45986.340277777781</v>
      </c>
      <c r="P179" s="12">
        <v>45987.881944444445</v>
      </c>
      <c r="Q179" s="12">
        <v>45987.926388888889</v>
      </c>
      <c r="R179" s="12">
        <v>45988.056250000001</v>
      </c>
      <c r="S179" s="12">
        <v>45990.681250000001</v>
      </c>
      <c r="U179" t="b">
        <v>1</v>
      </c>
      <c r="V179" s="12">
        <v>46094.840277777781</v>
      </c>
      <c r="W179" t="s">
        <v>106</v>
      </c>
      <c r="X179" t="s">
        <v>2126</v>
      </c>
    </row>
    <row r="180" spans="1:25">
      <c r="A180" t="s">
        <v>2127</v>
      </c>
      <c r="B180" t="s">
        <v>1171</v>
      </c>
      <c r="C180" t="s">
        <v>1397</v>
      </c>
      <c r="D180" t="s">
        <v>2128</v>
      </c>
      <c r="E180" t="s">
        <v>152</v>
      </c>
      <c r="F180" t="s">
        <v>1763</v>
      </c>
      <c r="G180">
        <v>91</v>
      </c>
      <c r="H180" t="s">
        <v>154</v>
      </c>
      <c r="I180" t="s">
        <v>24</v>
      </c>
      <c r="J180" t="s">
        <v>1288</v>
      </c>
      <c r="K180">
        <v>72</v>
      </c>
      <c r="L180" t="s">
        <v>1272</v>
      </c>
      <c r="M180" t="s">
        <v>1273</v>
      </c>
      <c r="N180" t="s">
        <v>25</v>
      </c>
      <c r="O180" s="12">
        <v>45414.675694444442</v>
      </c>
      <c r="P180" s="12">
        <v>45417.342361111114</v>
      </c>
      <c r="Q180" s="12">
        <v>45417.402083333334</v>
      </c>
      <c r="R180" s="12">
        <v>45417.422222222223</v>
      </c>
      <c r="S180" s="12">
        <v>45419.880555555559</v>
      </c>
      <c r="U180" t="b">
        <v>1</v>
      </c>
      <c r="V180" s="12">
        <v>45495.050694444442</v>
      </c>
      <c r="W180" t="s">
        <v>151</v>
      </c>
      <c r="X180" t="s">
        <v>2129</v>
      </c>
      <c r="Y180" t="s">
        <v>2130</v>
      </c>
    </row>
    <row r="181" spans="1:25">
      <c r="A181" t="s">
        <v>2131</v>
      </c>
      <c r="B181" t="s">
        <v>1456</v>
      </c>
      <c r="C181" t="s">
        <v>1142</v>
      </c>
      <c r="D181" t="s">
        <v>2132</v>
      </c>
      <c r="E181" t="s">
        <v>689</v>
      </c>
      <c r="F181" t="s">
        <v>1294</v>
      </c>
      <c r="G181">
        <v>476</v>
      </c>
      <c r="H181" t="s">
        <v>140</v>
      </c>
      <c r="I181" t="s">
        <v>30</v>
      </c>
      <c r="J181" t="s">
        <v>1271</v>
      </c>
      <c r="K181">
        <v>72</v>
      </c>
      <c r="L181" t="s">
        <v>42</v>
      </c>
      <c r="M181" t="s">
        <v>1273</v>
      </c>
      <c r="N181" t="s">
        <v>82</v>
      </c>
      <c r="O181" s="12">
        <v>45059.647222222222</v>
      </c>
      <c r="P181" s="12">
        <v>45061.397222222222</v>
      </c>
      <c r="Q181" s="12">
        <v>45061.425694444442</v>
      </c>
      <c r="R181" s="12">
        <v>45061.565972222219</v>
      </c>
      <c r="S181" s="12">
        <v>45063.774305555555</v>
      </c>
      <c r="U181" t="b">
        <v>1</v>
      </c>
      <c r="V181" s="12">
        <v>45166.105555555558</v>
      </c>
      <c r="W181" t="s">
        <v>688</v>
      </c>
      <c r="X181" t="s">
        <v>2133</v>
      </c>
      <c r="Y181" t="s">
        <v>2134</v>
      </c>
    </row>
    <row r="182" spans="1:25">
      <c r="A182" t="s">
        <v>2135</v>
      </c>
      <c r="B182" t="s">
        <v>2136</v>
      </c>
      <c r="C182" t="s">
        <v>1579</v>
      </c>
      <c r="D182" t="s">
        <v>2137</v>
      </c>
      <c r="E182" t="s">
        <v>435</v>
      </c>
      <c r="F182" t="s">
        <v>1866</v>
      </c>
      <c r="G182">
        <v>1398</v>
      </c>
      <c r="H182" t="s">
        <v>116</v>
      </c>
      <c r="I182" t="s">
        <v>17</v>
      </c>
      <c r="J182" t="s">
        <v>1413</v>
      </c>
      <c r="K182">
        <v>72</v>
      </c>
      <c r="L182" t="s">
        <v>1272</v>
      </c>
      <c r="M182" t="s">
        <v>1273</v>
      </c>
      <c r="N182" t="s">
        <v>82</v>
      </c>
      <c r="O182" s="12">
        <v>46216.994444444441</v>
      </c>
      <c r="P182" s="12">
        <v>46217.702777777777</v>
      </c>
      <c r="Q182" s="12">
        <v>46217.759027777778</v>
      </c>
      <c r="R182" s="12">
        <v>46217.877083333333</v>
      </c>
      <c r="S182" s="12">
        <v>46218.168749999997</v>
      </c>
      <c r="U182" t="b">
        <v>1</v>
      </c>
      <c r="V182" s="12">
        <v>46262.619444444441</v>
      </c>
      <c r="W182" t="s">
        <v>434</v>
      </c>
      <c r="X182" t="s">
        <v>2138</v>
      </c>
      <c r="Y182" t="s">
        <v>2139</v>
      </c>
    </row>
    <row r="183" spans="1:25">
      <c r="A183" t="s">
        <v>2140</v>
      </c>
      <c r="B183" t="s">
        <v>1138</v>
      </c>
      <c r="C183" t="s">
        <v>1797</v>
      </c>
      <c r="D183" t="s">
        <v>2141</v>
      </c>
      <c r="E183" t="s">
        <v>93</v>
      </c>
      <c r="F183" t="s">
        <v>1367</v>
      </c>
      <c r="G183">
        <v>57</v>
      </c>
      <c r="H183" t="s">
        <v>95</v>
      </c>
      <c r="I183" t="s">
        <v>24</v>
      </c>
      <c r="J183" t="s">
        <v>1413</v>
      </c>
      <c r="K183">
        <v>72</v>
      </c>
      <c r="L183" t="s">
        <v>1272</v>
      </c>
      <c r="M183" t="s">
        <v>1273</v>
      </c>
      <c r="N183" t="s">
        <v>91</v>
      </c>
      <c r="O183" s="12">
        <v>45171.331944444442</v>
      </c>
      <c r="P183" s="12">
        <v>45171.706944444442</v>
      </c>
      <c r="Q183" s="12">
        <v>45171.768055555556</v>
      </c>
      <c r="R183" s="12">
        <v>45171.906944444447</v>
      </c>
      <c r="S183" s="12">
        <v>45173.198611111111</v>
      </c>
      <c r="U183" t="b">
        <v>1</v>
      </c>
      <c r="V183" s="12">
        <v>45196.665277777778</v>
      </c>
      <c r="W183" t="s">
        <v>92</v>
      </c>
      <c r="X183" t="s">
        <v>2142</v>
      </c>
      <c r="Y183" t="s">
        <v>2143</v>
      </c>
    </row>
    <row r="184" spans="1:25">
      <c r="A184" t="s">
        <v>2144</v>
      </c>
      <c r="B184" t="s">
        <v>1481</v>
      </c>
      <c r="C184" t="s">
        <v>1884</v>
      </c>
      <c r="D184" t="s">
        <v>2145</v>
      </c>
      <c r="E184" t="s">
        <v>670</v>
      </c>
      <c r="F184" t="s">
        <v>1392</v>
      </c>
      <c r="G184">
        <v>135</v>
      </c>
      <c r="I184" t="s">
        <v>24</v>
      </c>
      <c r="J184" t="s">
        <v>1339</v>
      </c>
      <c r="K184">
        <v>88</v>
      </c>
      <c r="L184" t="s">
        <v>1272</v>
      </c>
      <c r="M184" t="s">
        <v>1273</v>
      </c>
      <c r="N184" t="s">
        <v>25</v>
      </c>
      <c r="O184" s="12">
        <v>44985.574305555558</v>
      </c>
      <c r="P184" s="12">
        <v>44986.574305555558</v>
      </c>
      <c r="Q184" s="12">
        <v>44986.620833333334</v>
      </c>
      <c r="R184" s="12">
        <v>44987.370833333334</v>
      </c>
      <c r="S184" s="12">
        <v>44989.037499999999</v>
      </c>
      <c r="U184" t="b">
        <v>1</v>
      </c>
      <c r="V184" s="12">
        <v>45050.199305555558</v>
      </c>
      <c r="W184" t="s">
        <v>669</v>
      </c>
      <c r="X184" t="s">
        <v>2146</v>
      </c>
    </row>
    <row r="185" spans="1:25">
      <c r="A185" t="s">
        <v>2147</v>
      </c>
      <c r="B185" t="s">
        <v>1396</v>
      </c>
      <c r="C185" t="s">
        <v>1112</v>
      </c>
      <c r="D185" t="s">
        <v>2148</v>
      </c>
      <c r="E185" t="s">
        <v>546</v>
      </c>
      <c r="F185" t="s">
        <v>2149</v>
      </c>
      <c r="G185">
        <v>127</v>
      </c>
      <c r="H185" t="s">
        <v>212</v>
      </c>
      <c r="I185" t="s">
        <v>24</v>
      </c>
      <c r="J185" t="s">
        <v>1413</v>
      </c>
      <c r="K185">
        <v>72</v>
      </c>
      <c r="L185" t="s">
        <v>42</v>
      </c>
      <c r="M185" t="s">
        <v>1273</v>
      </c>
      <c r="N185" t="s">
        <v>69</v>
      </c>
      <c r="O185" s="12">
        <v>46054.650694444441</v>
      </c>
      <c r="P185" s="12">
        <v>46055.775694444441</v>
      </c>
      <c r="Q185" s="12">
        <v>46055.833333333336</v>
      </c>
      <c r="R185" s="12">
        <v>46055.87777777778</v>
      </c>
      <c r="S185" s="12">
        <v>46056.961111111108</v>
      </c>
      <c r="U185" t="b">
        <v>1</v>
      </c>
      <c r="V185" s="12">
        <v>46132.817361111112</v>
      </c>
      <c r="W185" t="s">
        <v>545</v>
      </c>
      <c r="X185" t="s">
        <v>2150</v>
      </c>
    </row>
    <row r="186" spans="1:25">
      <c r="A186" t="s">
        <v>2151</v>
      </c>
      <c r="B186" t="s">
        <v>1277</v>
      </c>
      <c r="C186" t="s">
        <v>1971</v>
      </c>
      <c r="E186" t="s">
        <v>901</v>
      </c>
      <c r="F186" t="s">
        <v>1412</v>
      </c>
      <c r="G186">
        <v>114</v>
      </c>
      <c r="H186" t="s">
        <v>68</v>
      </c>
      <c r="I186" t="s">
        <v>24</v>
      </c>
      <c r="J186" t="s">
        <v>1271</v>
      </c>
      <c r="K186">
        <v>72</v>
      </c>
      <c r="L186" t="s">
        <v>42</v>
      </c>
      <c r="M186" t="s">
        <v>1273</v>
      </c>
      <c r="N186" t="s">
        <v>69</v>
      </c>
      <c r="O186" s="12">
        <v>45094.095833333333</v>
      </c>
      <c r="P186" s="12">
        <v>45094.304166666669</v>
      </c>
      <c r="Q186" s="12">
        <v>45094.362500000003</v>
      </c>
      <c r="R186" s="12">
        <v>45094.377083333333</v>
      </c>
      <c r="S186" s="12">
        <v>45096.168749999997</v>
      </c>
      <c r="U186" t="b">
        <v>1</v>
      </c>
      <c r="V186" s="12">
        <v>45230.512499999997</v>
      </c>
      <c r="W186" t="s">
        <v>900</v>
      </c>
      <c r="X186" t="s">
        <v>2152</v>
      </c>
      <c r="Y186" t="s">
        <v>2153</v>
      </c>
    </row>
    <row r="187" spans="1:25">
      <c r="A187" t="s">
        <v>2154</v>
      </c>
      <c r="B187" t="s">
        <v>1118</v>
      </c>
      <c r="C187" t="s">
        <v>1490</v>
      </c>
      <c r="D187" t="s">
        <v>2155</v>
      </c>
      <c r="E187" t="s">
        <v>513</v>
      </c>
      <c r="F187" t="s">
        <v>1672</v>
      </c>
      <c r="G187">
        <v>124</v>
      </c>
      <c r="H187" t="s">
        <v>323</v>
      </c>
      <c r="I187" t="s">
        <v>24</v>
      </c>
      <c r="J187" t="s">
        <v>1281</v>
      </c>
      <c r="K187">
        <v>79</v>
      </c>
      <c r="L187" t="s">
        <v>1272</v>
      </c>
      <c r="M187" t="s">
        <v>1273</v>
      </c>
      <c r="N187" t="s">
        <v>25</v>
      </c>
      <c r="O187" s="12">
        <v>45352.45</v>
      </c>
      <c r="P187" s="12">
        <v>45355.241666666669</v>
      </c>
      <c r="Q187" s="12">
        <v>45355.282638888886</v>
      </c>
      <c r="R187" s="12">
        <v>45355.949305555558</v>
      </c>
      <c r="S187" s="12">
        <v>45358.907638888886</v>
      </c>
      <c r="U187" t="b">
        <v>1</v>
      </c>
      <c r="V187" s="12">
        <v>45419.158333333333</v>
      </c>
      <c r="W187" t="s">
        <v>512</v>
      </c>
      <c r="X187" t="s">
        <v>2156</v>
      </c>
    </row>
    <row r="188" spans="1:25">
      <c r="A188" t="s">
        <v>2157</v>
      </c>
      <c r="B188" t="s">
        <v>1699</v>
      </c>
      <c r="C188" t="s">
        <v>1490</v>
      </c>
      <c r="E188" t="s">
        <v>831</v>
      </c>
      <c r="F188" t="s">
        <v>1523</v>
      </c>
      <c r="G188">
        <v>55</v>
      </c>
      <c r="H188" t="s">
        <v>81</v>
      </c>
      <c r="I188" t="s">
        <v>24</v>
      </c>
      <c r="J188" t="s">
        <v>1413</v>
      </c>
      <c r="K188">
        <v>72</v>
      </c>
      <c r="L188" t="s">
        <v>42</v>
      </c>
      <c r="M188" t="s">
        <v>1273</v>
      </c>
      <c r="N188" t="s">
        <v>25</v>
      </c>
      <c r="O188" s="12">
        <v>46060.822222222225</v>
      </c>
      <c r="P188" s="12">
        <v>46061.488888888889</v>
      </c>
      <c r="Q188" s="12">
        <v>46061.517361111109</v>
      </c>
      <c r="R188" s="12">
        <v>46062.392361111109</v>
      </c>
      <c r="S188" s="12">
        <v>46063.017361111109</v>
      </c>
      <c r="U188" t="b">
        <v>1</v>
      </c>
      <c r="V188" s="12">
        <v>46210.238888888889</v>
      </c>
      <c r="W188" t="s">
        <v>830</v>
      </c>
      <c r="X188" t="s">
        <v>2158</v>
      </c>
      <c r="Y188" t="s">
        <v>2159</v>
      </c>
    </row>
    <row r="189" spans="1:25">
      <c r="A189" t="s">
        <v>2160</v>
      </c>
      <c r="B189" t="s">
        <v>1377</v>
      </c>
      <c r="C189" t="s">
        <v>1337</v>
      </c>
      <c r="D189" t="s">
        <v>2161</v>
      </c>
      <c r="E189" t="s">
        <v>429</v>
      </c>
      <c r="F189" t="s">
        <v>1548</v>
      </c>
      <c r="G189">
        <v>490</v>
      </c>
      <c r="H189" t="s">
        <v>285</v>
      </c>
      <c r="I189" t="s">
        <v>30</v>
      </c>
      <c r="J189" t="s">
        <v>1355</v>
      </c>
      <c r="K189">
        <v>74</v>
      </c>
      <c r="L189" t="s">
        <v>42</v>
      </c>
      <c r="M189" t="s">
        <v>1273</v>
      </c>
      <c r="N189" t="s">
        <v>36</v>
      </c>
      <c r="O189" s="12">
        <v>45426.204861111109</v>
      </c>
      <c r="P189" s="12">
        <v>45427.579861111109</v>
      </c>
      <c r="Q189" s="12">
        <v>45427.621527777781</v>
      </c>
      <c r="R189" s="12">
        <v>45427.726388888892</v>
      </c>
      <c r="S189" s="12">
        <v>45429.05972222222</v>
      </c>
      <c r="U189" t="b">
        <v>1</v>
      </c>
      <c r="V189" s="12">
        <v>45462.621527777781</v>
      </c>
      <c r="W189" t="s">
        <v>428</v>
      </c>
      <c r="X189" t="s">
        <v>2162</v>
      </c>
      <c r="Y189" t="s">
        <v>2163</v>
      </c>
    </row>
    <row r="190" spans="1:25">
      <c r="A190" t="s">
        <v>2164</v>
      </c>
      <c r="B190" t="s">
        <v>2165</v>
      </c>
      <c r="C190" t="s">
        <v>1936</v>
      </c>
      <c r="D190" t="s">
        <v>2166</v>
      </c>
      <c r="E190" t="s">
        <v>919</v>
      </c>
      <c r="F190" t="s">
        <v>1602</v>
      </c>
      <c r="G190">
        <v>1561</v>
      </c>
      <c r="H190" t="s">
        <v>50</v>
      </c>
      <c r="I190" t="s">
        <v>17</v>
      </c>
      <c r="J190" t="s">
        <v>1355</v>
      </c>
      <c r="K190">
        <v>72</v>
      </c>
      <c r="L190" t="s">
        <v>42</v>
      </c>
      <c r="M190" t="s">
        <v>1273</v>
      </c>
      <c r="N190" t="s">
        <v>36</v>
      </c>
      <c r="O190" s="12">
        <v>44709.3</v>
      </c>
      <c r="P190" s="12">
        <v>44711.216666666667</v>
      </c>
      <c r="Q190" s="12">
        <v>44711.236111111109</v>
      </c>
      <c r="R190" s="12">
        <v>44711.370138888888</v>
      </c>
      <c r="S190" s="12">
        <v>44713.328472222223</v>
      </c>
      <c r="U190" t="b">
        <v>1</v>
      </c>
      <c r="V190" s="12">
        <v>44781.05</v>
      </c>
      <c r="W190" t="s">
        <v>918</v>
      </c>
      <c r="X190" t="s">
        <v>2167</v>
      </c>
      <c r="Y190" t="s">
        <v>2168</v>
      </c>
    </row>
    <row r="191" spans="1:25">
      <c r="A191" t="s">
        <v>2169</v>
      </c>
      <c r="B191" t="s">
        <v>1983</v>
      </c>
      <c r="C191" t="s">
        <v>1168</v>
      </c>
      <c r="D191" t="s">
        <v>2170</v>
      </c>
      <c r="E191" t="s">
        <v>283</v>
      </c>
      <c r="F191" t="s">
        <v>1294</v>
      </c>
      <c r="G191">
        <v>303</v>
      </c>
      <c r="H191" t="s">
        <v>285</v>
      </c>
      <c r="I191" t="s">
        <v>30</v>
      </c>
      <c r="J191" t="s">
        <v>1295</v>
      </c>
      <c r="K191">
        <v>85</v>
      </c>
      <c r="L191" t="s">
        <v>42</v>
      </c>
      <c r="M191" t="s">
        <v>1273</v>
      </c>
      <c r="N191" t="s">
        <v>36</v>
      </c>
      <c r="O191" s="12">
        <v>46172.170138888891</v>
      </c>
      <c r="P191" s="12">
        <v>46173.295138888891</v>
      </c>
      <c r="Q191" s="12">
        <v>46173.331944444442</v>
      </c>
      <c r="R191" s="12">
        <v>46174.498611111114</v>
      </c>
      <c r="S191" s="12">
        <v>46174.915277777778</v>
      </c>
      <c r="U191" t="b">
        <v>1</v>
      </c>
      <c r="V191" s="12">
        <v>46283.753472222219</v>
      </c>
      <c r="W191" t="s">
        <v>282</v>
      </c>
      <c r="X191" t="s">
        <v>2171</v>
      </c>
    </row>
    <row r="192" spans="1:25">
      <c r="A192" t="s">
        <v>2172</v>
      </c>
      <c r="B192" t="s">
        <v>1481</v>
      </c>
      <c r="C192" t="s">
        <v>1475</v>
      </c>
      <c r="D192" t="s">
        <v>2173</v>
      </c>
      <c r="E192" t="s">
        <v>943</v>
      </c>
      <c r="F192" t="s">
        <v>1548</v>
      </c>
      <c r="G192">
        <v>783</v>
      </c>
      <c r="H192" t="s">
        <v>192</v>
      </c>
      <c r="I192" t="s">
        <v>30</v>
      </c>
      <c r="J192" t="s">
        <v>1281</v>
      </c>
      <c r="K192">
        <v>74</v>
      </c>
      <c r="L192" t="s">
        <v>42</v>
      </c>
      <c r="M192" t="s">
        <v>1273</v>
      </c>
      <c r="N192" t="s">
        <v>55</v>
      </c>
      <c r="O192" s="12">
        <v>44945.425000000003</v>
      </c>
      <c r="P192" s="12">
        <v>44947.8</v>
      </c>
      <c r="Q192" s="12">
        <v>44947.84097222222</v>
      </c>
      <c r="R192" s="12">
        <v>44947.968055555553</v>
      </c>
      <c r="S192" s="12">
        <v>44950.301388888889</v>
      </c>
      <c r="U192" t="b">
        <v>1</v>
      </c>
      <c r="V192" s="12">
        <v>44971.758333333331</v>
      </c>
      <c r="W192" t="s">
        <v>942</v>
      </c>
      <c r="X192" t="s">
        <v>2174</v>
      </c>
      <c r="Y192" t="s">
        <v>2175</v>
      </c>
    </row>
    <row r="193" spans="1:25">
      <c r="A193" t="s">
        <v>2176</v>
      </c>
      <c r="B193" t="s">
        <v>1134</v>
      </c>
      <c r="C193" t="s">
        <v>1148</v>
      </c>
      <c r="D193" t="s">
        <v>2177</v>
      </c>
      <c r="E193" t="s">
        <v>413</v>
      </c>
      <c r="F193" t="s">
        <v>1333</v>
      </c>
      <c r="G193">
        <v>1879</v>
      </c>
      <c r="H193" t="s">
        <v>415</v>
      </c>
      <c r="I193" t="s">
        <v>17</v>
      </c>
      <c r="J193" t="s">
        <v>1413</v>
      </c>
      <c r="K193">
        <v>78</v>
      </c>
      <c r="L193" t="s">
        <v>42</v>
      </c>
      <c r="M193" t="s">
        <v>1273</v>
      </c>
      <c r="N193" t="s">
        <v>55</v>
      </c>
      <c r="O193" s="12">
        <v>45250.693055555559</v>
      </c>
      <c r="P193" s="12">
        <v>45252.401388888888</v>
      </c>
      <c r="Q193" s="12">
        <v>45252.428472222222</v>
      </c>
      <c r="R193" s="12">
        <v>45253.095138888886</v>
      </c>
      <c r="S193" s="12">
        <v>45255.553472222222</v>
      </c>
      <c r="U193" t="b">
        <v>1</v>
      </c>
      <c r="V193" s="12">
        <v>45316.734722222223</v>
      </c>
      <c r="W193" t="s">
        <v>412</v>
      </c>
      <c r="X193" t="s">
        <v>2178</v>
      </c>
    </row>
    <row r="194" spans="1:25">
      <c r="A194" t="s">
        <v>2179</v>
      </c>
      <c r="B194" t="s">
        <v>1138</v>
      </c>
      <c r="C194" t="s">
        <v>1180</v>
      </c>
      <c r="D194" t="s">
        <v>2180</v>
      </c>
      <c r="E194" t="s">
        <v>678</v>
      </c>
      <c r="F194" t="s">
        <v>1399</v>
      </c>
      <c r="G194">
        <v>1296</v>
      </c>
      <c r="H194" t="s">
        <v>226</v>
      </c>
      <c r="I194" t="s">
        <v>17</v>
      </c>
      <c r="J194" t="s">
        <v>1271</v>
      </c>
      <c r="K194">
        <v>72</v>
      </c>
      <c r="L194" t="s">
        <v>42</v>
      </c>
      <c r="M194" t="s">
        <v>1273</v>
      </c>
      <c r="N194" t="s">
        <v>55</v>
      </c>
      <c r="O194" s="12">
        <v>45689.01666666667</v>
      </c>
      <c r="P194" s="12">
        <v>45691.51666666667</v>
      </c>
      <c r="Q194" s="12">
        <v>45691.561805555553</v>
      </c>
      <c r="R194" s="12">
        <v>45691.624305555553</v>
      </c>
      <c r="S194" s="12">
        <v>45693.457638888889</v>
      </c>
      <c r="U194" t="b">
        <v>1</v>
      </c>
      <c r="V194" s="12">
        <v>45720.14166666667</v>
      </c>
      <c r="W194" t="s">
        <v>677</v>
      </c>
      <c r="X194" t="s">
        <v>2181</v>
      </c>
      <c r="Y194" t="s">
        <v>2182</v>
      </c>
    </row>
    <row r="195" spans="1:25">
      <c r="A195" t="s">
        <v>2183</v>
      </c>
      <c r="B195" t="s">
        <v>2184</v>
      </c>
      <c r="C195" t="s">
        <v>1186</v>
      </c>
      <c r="D195" t="s">
        <v>2185</v>
      </c>
      <c r="E195" t="s">
        <v>841</v>
      </c>
      <c r="F195" t="s">
        <v>1523</v>
      </c>
      <c r="G195">
        <v>106</v>
      </c>
      <c r="H195" t="s">
        <v>192</v>
      </c>
      <c r="I195" t="s">
        <v>24</v>
      </c>
      <c r="J195" t="s">
        <v>1317</v>
      </c>
      <c r="K195">
        <v>80</v>
      </c>
      <c r="L195" t="s">
        <v>42</v>
      </c>
      <c r="M195" t="s">
        <v>1273</v>
      </c>
      <c r="N195" t="s">
        <v>91</v>
      </c>
      <c r="O195" s="12">
        <v>45498.324305555558</v>
      </c>
      <c r="P195" s="12">
        <v>45499.699305555558</v>
      </c>
      <c r="Q195" s="12">
        <v>45499.754861111112</v>
      </c>
      <c r="R195" s="12">
        <v>45499.816666666666</v>
      </c>
      <c r="S195" s="12">
        <v>45502.48333333333</v>
      </c>
      <c r="U195" t="b">
        <v>1</v>
      </c>
      <c r="V195" s="12">
        <v>45547.699305555558</v>
      </c>
      <c r="W195" t="s">
        <v>840</v>
      </c>
      <c r="X195" t="s">
        <v>2186</v>
      </c>
      <c r="Y195" t="s">
        <v>2187</v>
      </c>
    </row>
    <row r="196" spans="1:25">
      <c r="A196" t="s">
        <v>2188</v>
      </c>
      <c r="B196" t="s">
        <v>1567</v>
      </c>
      <c r="C196" t="s">
        <v>1203</v>
      </c>
      <c r="D196" t="s">
        <v>2189</v>
      </c>
      <c r="E196" t="s">
        <v>228</v>
      </c>
      <c r="F196" t="s">
        <v>1453</v>
      </c>
      <c r="G196">
        <v>1885</v>
      </c>
      <c r="H196" t="s">
        <v>50</v>
      </c>
      <c r="I196" t="s">
        <v>17</v>
      </c>
      <c r="J196" t="s">
        <v>1288</v>
      </c>
      <c r="K196">
        <v>72</v>
      </c>
      <c r="L196" t="s">
        <v>1272</v>
      </c>
      <c r="M196" t="s">
        <v>1273</v>
      </c>
      <c r="N196" t="s">
        <v>36</v>
      </c>
      <c r="O196" s="12">
        <v>45975.15347222222</v>
      </c>
      <c r="P196" s="12">
        <v>45975.52847222222</v>
      </c>
      <c r="Q196" s="12">
        <v>45975.552083333336</v>
      </c>
      <c r="R196" s="12">
        <v>45975.567361111112</v>
      </c>
      <c r="S196" s="12">
        <v>45977.984027777777</v>
      </c>
      <c r="U196" t="b">
        <v>1</v>
      </c>
      <c r="V196" s="12">
        <v>46023.40347222222</v>
      </c>
      <c r="W196" t="s">
        <v>227</v>
      </c>
      <c r="X196" t="s">
        <v>2190</v>
      </c>
      <c r="Y196" t="s">
        <v>2191</v>
      </c>
    </row>
    <row r="197" spans="1:25">
      <c r="A197" t="s">
        <v>2192</v>
      </c>
      <c r="B197" t="s">
        <v>1313</v>
      </c>
      <c r="C197" t="s">
        <v>1441</v>
      </c>
      <c r="D197" t="s">
        <v>2193</v>
      </c>
      <c r="E197" t="s">
        <v>244</v>
      </c>
      <c r="F197" t="s">
        <v>1367</v>
      </c>
      <c r="G197">
        <v>59</v>
      </c>
      <c r="H197" t="s">
        <v>154</v>
      </c>
      <c r="I197" t="s">
        <v>24</v>
      </c>
      <c r="J197" t="s">
        <v>1317</v>
      </c>
      <c r="K197">
        <v>82</v>
      </c>
      <c r="L197" t="s">
        <v>1272</v>
      </c>
      <c r="M197" t="s">
        <v>1273</v>
      </c>
      <c r="N197" t="s">
        <v>25</v>
      </c>
      <c r="O197" s="12">
        <v>45794.179861111108</v>
      </c>
      <c r="P197" s="12">
        <v>45796.054861111108</v>
      </c>
      <c r="Q197" s="12">
        <v>45796.07916666667</v>
      </c>
      <c r="R197" s="12">
        <v>45796.172222222223</v>
      </c>
      <c r="S197" s="12">
        <v>45797.713888888888</v>
      </c>
      <c r="U197" t="b">
        <v>1</v>
      </c>
      <c r="V197" s="12">
        <v>45900.22152777778</v>
      </c>
      <c r="W197" t="s">
        <v>243</v>
      </c>
      <c r="X197" t="s">
        <v>2194</v>
      </c>
    </row>
    <row r="198" spans="1:25">
      <c r="A198" t="s">
        <v>2195</v>
      </c>
      <c r="B198" t="s">
        <v>1744</v>
      </c>
      <c r="C198" t="s">
        <v>1191</v>
      </c>
      <c r="D198" t="s">
        <v>2196</v>
      </c>
      <c r="E198" t="s">
        <v>104</v>
      </c>
      <c r="F198" t="s">
        <v>1412</v>
      </c>
      <c r="G198">
        <v>66</v>
      </c>
      <c r="H198" t="s">
        <v>68</v>
      </c>
      <c r="I198" t="s">
        <v>24</v>
      </c>
      <c r="J198" t="s">
        <v>1271</v>
      </c>
      <c r="K198">
        <v>72</v>
      </c>
      <c r="L198" t="s">
        <v>1272</v>
      </c>
      <c r="M198" t="s">
        <v>1273</v>
      </c>
      <c r="N198" t="s">
        <v>69</v>
      </c>
      <c r="O198" s="12">
        <v>45952.089583333334</v>
      </c>
      <c r="P198" s="12">
        <v>45954.589583333334</v>
      </c>
      <c r="Q198" s="12">
        <v>45954.629166666666</v>
      </c>
      <c r="R198" s="12">
        <v>45954.720138888886</v>
      </c>
      <c r="S198" s="12">
        <v>45956.636805555558</v>
      </c>
      <c r="U198" t="b">
        <v>1</v>
      </c>
      <c r="V198" s="12">
        <v>46023.756249999999</v>
      </c>
      <c r="W198" t="s">
        <v>103</v>
      </c>
      <c r="X198" t="s">
        <v>2197</v>
      </c>
      <c r="Y198" t="s">
        <v>2198</v>
      </c>
    </row>
    <row r="199" spans="1:25">
      <c r="A199" t="s">
        <v>2199</v>
      </c>
      <c r="B199" t="s">
        <v>1485</v>
      </c>
      <c r="C199" t="s">
        <v>1636</v>
      </c>
      <c r="D199" t="s">
        <v>2200</v>
      </c>
      <c r="E199" t="s">
        <v>770</v>
      </c>
      <c r="F199" t="s">
        <v>1496</v>
      </c>
      <c r="G199">
        <v>89</v>
      </c>
      <c r="H199" t="s">
        <v>154</v>
      </c>
      <c r="I199" t="s">
        <v>24</v>
      </c>
      <c r="J199" t="s">
        <v>1355</v>
      </c>
      <c r="K199">
        <v>72</v>
      </c>
      <c r="L199" t="s">
        <v>1272</v>
      </c>
      <c r="M199" t="s">
        <v>1273</v>
      </c>
      <c r="N199" t="s">
        <v>25</v>
      </c>
      <c r="O199" s="12">
        <v>45223.329861111109</v>
      </c>
      <c r="P199" s="12">
        <v>45223.413194444445</v>
      </c>
      <c r="Q199" s="12">
        <v>45223.45</v>
      </c>
      <c r="R199" s="12">
        <v>45223.527083333334</v>
      </c>
      <c r="S199" s="12">
        <v>45224.027083333334</v>
      </c>
      <c r="U199" t="b">
        <v>1</v>
      </c>
      <c r="V199" s="12">
        <v>45281.996527777781</v>
      </c>
      <c r="W199" t="s">
        <v>769</v>
      </c>
      <c r="X199" t="s">
        <v>2201</v>
      </c>
      <c r="Y199" t="s">
        <v>2202</v>
      </c>
    </row>
    <row r="200" spans="1:25">
      <c r="A200" t="s">
        <v>2203</v>
      </c>
      <c r="B200" t="s">
        <v>1267</v>
      </c>
      <c r="C200" t="s">
        <v>1125</v>
      </c>
      <c r="D200" t="s">
        <v>2204</v>
      </c>
      <c r="E200" t="s">
        <v>952</v>
      </c>
      <c r="F200" t="s">
        <v>1646</v>
      </c>
      <c r="G200">
        <v>93</v>
      </c>
      <c r="H200" t="s">
        <v>35</v>
      </c>
      <c r="I200" t="s">
        <v>24</v>
      </c>
      <c r="J200" t="s">
        <v>1413</v>
      </c>
      <c r="K200">
        <v>72</v>
      </c>
      <c r="L200" t="s">
        <v>42</v>
      </c>
      <c r="M200" t="s">
        <v>1273</v>
      </c>
      <c r="N200" t="s">
        <v>59</v>
      </c>
      <c r="O200" s="12">
        <v>45789.704861111109</v>
      </c>
      <c r="P200" s="12">
        <v>45790.496527777781</v>
      </c>
      <c r="Q200" s="12">
        <v>45790.546527777777</v>
      </c>
      <c r="R200" s="12">
        <v>45790.754861111112</v>
      </c>
      <c r="S200" s="12">
        <v>45791.171527777777</v>
      </c>
      <c r="U200" t="b">
        <v>1</v>
      </c>
      <c r="V200" s="12">
        <v>45827.329861111109</v>
      </c>
      <c r="W200" t="s">
        <v>951</v>
      </c>
      <c r="X200" t="s">
        <v>2205</v>
      </c>
      <c r="Y200" t="s">
        <v>2206</v>
      </c>
    </row>
    <row r="201" spans="1:25">
      <c r="A201" t="s">
        <v>2207</v>
      </c>
      <c r="B201" t="s">
        <v>2015</v>
      </c>
      <c r="C201" t="s">
        <v>1292</v>
      </c>
      <c r="D201" t="s">
        <v>2208</v>
      </c>
      <c r="E201" t="s">
        <v>755</v>
      </c>
      <c r="F201" t="s">
        <v>1900</v>
      </c>
      <c r="G201">
        <v>1853</v>
      </c>
      <c r="H201" t="s">
        <v>212</v>
      </c>
      <c r="I201" t="s">
        <v>17</v>
      </c>
      <c r="J201" t="s">
        <v>1317</v>
      </c>
      <c r="K201">
        <v>85</v>
      </c>
      <c r="L201" t="s">
        <v>1272</v>
      </c>
      <c r="M201" t="s">
        <v>1273</v>
      </c>
      <c r="N201" t="s">
        <v>55</v>
      </c>
      <c r="O201" s="12">
        <v>45780.965277777781</v>
      </c>
      <c r="P201" s="12">
        <v>45782.048611111109</v>
      </c>
      <c r="Q201" s="12">
        <v>45782.072916666664</v>
      </c>
      <c r="R201" s="12">
        <v>45782.097916666666</v>
      </c>
      <c r="S201" s="12">
        <v>45784.431250000001</v>
      </c>
      <c r="U201" t="b">
        <v>1</v>
      </c>
      <c r="V201" s="12">
        <v>45840.423611111109</v>
      </c>
      <c r="W201" t="s">
        <v>754</v>
      </c>
      <c r="X201" t="s">
        <v>2209</v>
      </c>
    </row>
    <row r="202" spans="1:25">
      <c r="A202" t="s">
        <v>2210</v>
      </c>
      <c r="B202" t="s">
        <v>1291</v>
      </c>
      <c r="C202" t="s">
        <v>1475</v>
      </c>
      <c r="D202" t="s">
        <v>2211</v>
      </c>
      <c r="E202" t="s">
        <v>552</v>
      </c>
      <c r="F202" t="s">
        <v>1367</v>
      </c>
      <c r="G202">
        <v>61</v>
      </c>
      <c r="H202" t="s">
        <v>16</v>
      </c>
      <c r="I202" t="s">
        <v>24</v>
      </c>
      <c r="J202" t="s">
        <v>1271</v>
      </c>
      <c r="K202">
        <v>72</v>
      </c>
      <c r="L202" t="s">
        <v>42</v>
      </c>
      <c r="M202" t="s">
        <v>1273</v>
      </c>
      <c r="N202" t="s">
        <v>91</v>
      </c>
      <c r="O202" s="12">
        <v>46105.551388888889</v>
      </c>
      <c r="P202" s="12">
        <v>46107.259722222225</v>
      </c>
      <c r="Q202" s="12">
        <v>46107.28402777778</v>
      </c>
      <c r="R202" s="12">
        <v>46107.311111111114</v>
      </c>
      <c r="S202" s="12">
        <v>46108.561111111114</v>
      </c>
      <c r="U202" t="b">
        <v>1</v>
      </c>
      <c r="V202" s="12">
        <v>46238.593055555553</v>
      </c>
      <c r="W202" t="s">
        <v>551</v>
      </c>
      <c r="X202" t="s">
        <v>2212</v>
      </c>
      <c r="Y202" t="s">
        <v>2213</v>
      </c>
    </row>
    <row r="203" spans="1:25">
      <c r="A203" t="s">
        <v>2214</v>
      </c>
      <c r="B203" t="s">
        <v>1157</v>
      </c>
      <c r="C203" t="s">
        <v>1358</v>
      </c>
      <c r="D203" t="s">
        <v>2215</v>
      </c>
      <c r="E203" t="s">
        <v>596</v>
      </c>
      <c r="F203" t="s">
        <v>2149</v>
      </c>
      <c r="G203">
        <v>164</v>
      </c>
      <c r="H203" t="s">
        <v>23</v>
      </c>
      <c r="I203" t="s">
        <v>24</v>
      </c>
      <c r="J203" t="s">
        <v>1339</v>
      </c>
      <c r="K203">
        <v>83</v>
      </c>
      <c r="L203" t="s">
        <v>42</v>
      </c>
      <c r="M203" t="s">
        <v>1273</v>
      </c>
      <c r="N203" t="s">
        <v>25</v>
      </c>
      <c r="O203" s="12">
        <v>45694.963888888888</v>
      </c>
      <c r="P203" s="12">
        <v>45696.047222222223</v>
      </c>
      <c r="Q203" s="12">
        <v>45696.074305555558</v>
      </c>
      <c r="R203" s="12">
        <v>45696.123611111114</v>
      </c>
      <c r="S203" s="12">
        <v>45697.748611111114</v>
      </c>
      <c r="U203" t="b">
        <v>1</v>
      </c>
      <c r="V203" s="12">
        <v>45771.422222222223</v>
      </c>
      <c r="W203" t="s">
        <v>595</v>
      </c>
      <c r="X203" t="s">
        <v>2216</v>
      </c>
      <c r="Y203" t="s">
        <v>2217</v>
      </c>
    </row>
    <row r="204" spans="1:25">
      <c r="A204" t="s">
        <v>2218</v>
      </c>
      <c r="B204" t="s">
        <v>1138</v>
      </c>
      <c r="C204" t="s">
        <v>1655</v>
      </c>
      <c r="D204" t="s">
        <v>2219</v>
      </c>
      <c r="E204" t="s">
        <v>104</v>
      </c>
      <c r="F204" t="s">
        <v>1448</v>
      </c>
      <c r="G204">
        <v>66</v>
      </c>
      <c r="H204" t="s">
        <v>68</v>
      </c>
      <c r="I204" t="s">
        <v>24</v>
      </c>
      <c r="J204" t="s">
        <v>1295</v>
      </c>
      <c r="K204">
        <v>78</v>
      </c>
      <c r="L204" t="s">
        <v>1272</v>
      </c>
      <c r="M204" t="s">
        <v>1273</v>
      </c>
      <c r="N204" t="s">
        <v>69</v>
      </c>
      <c r="O204" s="12">
        <v>45975.282638888886</v>
      </c>
      <c r="P204" s="12">
        <v>45976.990972222222</v>
      </c>
      <c r="Q204" s="12">
        <v>45977.002083333333</v>
      </c>
      <c r="R204" s="12">
        <v>45977.960416666669</v>
      </c>
      <c r="S204" s="12">
        <v>45980.210416666669</v>
      </c>
      <c r="U204" t="b">
        <v>1</v>
      </c>
      <c r="V204" s="12">
        <v>46034.699305555558</v>
      </c>
      <c r="W204" t="s">
        <v>103</v>
      </c>
      <c r="X204" t="s">
        <v>2220</v>
      </c>
      <c r="Y204" t="s">
        <v>2221</v>
      </c>
    </row>
    <row r="205" spans="1:25">
      <c r="A205" t="s">
        <v>2222</v>
      </c>
      <c r="B205" t="s">
        <v>1558</v>
      </c>
      <c r="C205" t="s">
        <v>1203</v>
      </c>
      <c r="D205" t="s">
        <v>2223</v>
      </c>
      <c r="E205" t="s">
        <v>886</v>
      </c>
      <c r="F205" t="s">
        <v>1367</v>
      </c>
      <c r="G205">
        <v>97</v>
      </c>
      <c r="H205" t="s">
        <v>81</v>
      </c>
      <c r="I205" t="s">
        <v>24</v>
      </c>
      <c r="J205" t="s">
        <v>1288</v>
      </c>
      <c r="K205">
        <v>72</v>
      </c>
      <c r="L205" t="s">
        <v>1272</v>
      </c>
      <c r="M205" t="s">
        <v>1273</v>
      </c>
      <c r="N205" t="s">
        <v>25</v>
      </c>
      <c r="O205" s="12">
        <v>46129.237500000003</v>
      </c>
      <c r="P205" s="12">
        <v>46131.154166666667</v>
      </c>
      <c r="Q205" s="12">
        <v>46131.213194444441</v>
      </c>
      <c r="R205" s="12">
        <v>46131.283333333333</v>
      </c>
      <c r="S205" s="12">
        <v>46132.2</v>
      </c>
      <c r="U205" t="b">
        <v>1</v>
      </c>
      <c r="V205" s="12">
        <v>46230.654166666667</v>
      </c>
      <c r="W205" t="s">
        <v>885</v>
      </c>
      <c r="X205" t="s">
        <v>2224</v>
      </c>
      <c r="Y205" t="s">
        <v>2225</v>
      </c>
    </row>
    <row r="206" spans="1:25">
      <c r="A206" t="s">
        <v>2226</v>
      </c>
      <c r="B206" t="s">
        <v>1129</v>
      </c>
      <c r="C206" t="s">
        <v>1278</v>
      </c>
      <c r="D206" t="s">
        <v>2227</v>
      </c>
      <c r="E206" t="s">
        <v>828</v>
      </c>
      <c r="F206" t="s">
        <v>1302</v>
      </c>
      <c r="G206">
        <v>532</v>
      </c>
      <c r="H206" t="s">
        <v>50</v>
      </c>
      <c r="I206" t="s">
        <v>30</v>
      </c>
      <c r="J206" t="s">
        <v>1271</v>
      </c>
      <c r="K206">
        <v>72</v>
      </c>
      <c r="L206" t="s">
        <v>1272</v>
      </c>
      <c r="M206" t="s">
        <v>1273</v>
      </c>
      <c r="N206" t="s">
        <v>36</v>
      </c>
      <c r="O206" s="12">
        <v>46196.043749999997</v>
      </c>
      <c r="P206" s="12">
        <v>46198.252083333333</v>
      </c>
      <c r="Q206" s="12">
        <v>46198.27847222222</v>
      </c>
      <c r="R206" s="12">
        <v>46198.371527777781</v>
      </c>
      <c r="S206" s="12">
        <v>46200.371527777781</v>
      </c>
      <c r="U206" t="b">
        <v>1</v>
      </c>
      <c r="V206" s="12">
        <v>46244.460416666669</v>
      </c>
      <c r="W206" t="s">
        <v>827</v>
      </c>
      <c r="X206" t="s">
        <v>2228</v>
      </c>
      <c r="Y206" t="s">
        <v>2229</v>
      </c>
    </row>
    <row r="207" spans="1:25">
      <c r="A207" t="s">
        <v>2230</v>
      </c>
      <c r="B207" t="s">
        <v>1179</v>
      </c>
      <c r="C207" t="s">
        <v>1579</v>
      </c>
      <c r="D207" t="s">
        <v>2231</v>
      </c>
      <c r="E207" t="s">
        <v>1036</v>
      </c>
      <c r="F207" t="s">
        <v>1309</v>
      </c>
      <c r="G207">
        <v>39</v>
      </c>
      <c r="H207" t="s">
        <v>81</v>
      </c>
      <c r="I207" t="s">
        <v>24</v>
      </c>
      <c r="J207" t="s">
        <v>1413</v>
      </c>
      <c r="K207">
        <v>72</v>
      </c>
      <c r="L207" t="s">
        <v>1272</v>
      </c>
      <c r="M207" t="s">
        <v>1273</v>
      </c>
      <c r="N207" t="s">
        <v>25</v>
      </c>
      <c r="O207" s="12">
        <v>45546.752083333333</v>
      </c>
      <c r="P207" s="12">
        <v>45547.960416666669</v>
      </c>
      <c r="Q207" s="12">
        <v>45548.013888888891</v>
      </c>
      <c r="R207" s="12">
        <v>45548.121527777781</v>
      </c>
      <c r="S207" s="12">
        <v>45550.246527777781</v>
      </c>
      <c r="U207" t="b">
        <v>1</v>
      </c>
      <c r="V207" s="12">
        <v>45657.043749999997</v>
      </c>
      <c r="W207" t="s">
        <v>1035</v>
      </c>
      <c r="X207" t="s">
        <v>2232</v>
      </c>
      <c r="Y207" t="s">
        <v>2233</v>
      </c>
    </row>
    <row r="208" spans="1:25">
      <c r="A208" t="s">
        <v>2234</v>
      </c>
      <c r="B208" t="s">
        <v>1666</v>
      </c>
      <c r="C208" t="s">
        <v>1172</v>
      </c>
      <c r="D208" t="s">
        <v>2235</v>
      </c>
      <c r="E208" t="s">
        <v>673</v>
      </c>
      <c r="F208" t="s">
        <v>1646</v>
      </c>
      <c r="G208">
        <v>38</v>
      </c>
      <c r="H208" t="s">
        <v>50</v>
      </c>
      <c r="I208" t="s">
        <v>24</v>
      </c>
      <c r="J208" t="s">
        <v>1281</v>
      </c>
      <c r="K208">
        <v>72</v>
      </c>
      <c r="L208" t="s">
        <v>42</v>
      </c>
      <c r="M208" t="s">
        <v>1273</v>
      </c>
      <c r="N208" t="s">
        <v>59</v>
      </c>
      <c r="O208" s="12">
        <v>45026.785416666666</v>
      </c>
      <c r="P208" s="12">
        <v>45027.20208333333</v>
      </c>
      <c r="Q208" s="12">
        <v>45027.209722222222</v>
      </c>
      <c r="R208" s="12">
        <v>45027.297222222223</v>
      </c>
      <c r="S208" s="12">
        <v>45029.880555555559</v>
      </c>
      <c r="U208" t="b">
        <v>1</v>
      </c>
      <c r="V208" s="12">
        <v>45048.32708333333</v>
      </c>
      <c r="W208" t="s">
        <v>672</v>
      </c>
      <c r="X208" t="s">
        <v>2236</v>
      </c>
      <c r="Y208" t="s">
        <v>2237</v>
      </c>
    </row>
    <row r="209" spans="1:25">
      <c r="A209" t="s">
        <v>2238</v>
      </c>
      <c r="B209" t="s">
        <v>1983</v>
      </c>
      <c r="C209" t="s">
        <v>1337</v>
      </c>
      <c r="D209" t="s">
        <v>2239</v>
      </c>
      <c r="E209" t="s">
        <v>1017</v>
      </c>
      <c r="F209" t="s">
        <v>1574</v>
      </c>
      <c r="G209">
        <v>587</v>
      </c>
      <c r="H209" t="s">
        <v>50</v>
      </c>
      <c r="I209" t="s">
        <v>30</v>
      </c>
      <c r="J209" t="s">
        <v>1355</v>
      </c>
      <c r="K209">
        <v>72</v>
      </c>
      <c r="L209" t="s">
        <v>1272</v>
      </c>
      <c r="M209" t="s">
        <v>1273</v>
      </c>
      <c r="N209" t="s">
        <v>36</v>
      </c>
      <c r="O209" s="12">
        <v>46217.279166666667</v>
      </c>
      <c r="P209" s="12">
        <v>46218.029166666667</v>
      </c>
      <c r="Q209" s="12">
        <v>46218.086805555555</v>
      </c>
      <c r="R209" s="12">
        <v>46218.147222222222</v>
      </c>
      <c r="S209" s="12">
        <v>46218.647222222222</v>
      </c>
      <c r="U209" t="b">
        <v>1</v>
      </c>
      <c r="V209" s="12">
        <v>46271.862500000003</v>
      </c>
      <c r="W209" t="s">
        <v>1016</v>
      </c>
      <c r="X209" t="s">
        <v>2240</v>
      </c>
    </row>
    <row r="210" spans="1:25">
      <c r="A210" t="s">
        <v>2241</v>
      </c>
      <c r="B210" t="s">
        <v>1431</v>
      </c>
      <c r="C210" t="s">
        <v>1579</v>
      </c>
      <c r="D210" t="s">
        <v>2242</v>
      </c>
      <c r="E210" t="s">
        <v>410</v>
      </c>
      <c r="F210" t="s">
        <v>1412</v>
      </c>
      <c r="G210">
        <v>135</v>
      </c>
      <c r="H210" t="s">
        <v>68</v>
      </c>
      <c r="I210" t="s">
        <v>24</v>
      </c>
      <c r="J210" t="s">
        <v>1339</v>
      </c>
      <c r="K210">
        <v>83</v>
      </c>
      <c r="L210" t="s">
        <v>42</v>
      </c>
      <c r="M210" t="s">
        <v>1273</v>
      </c>
      <c r="N210" t="s">
        <v>69</v>
      </c>
      <c r="O210" s="12">
        <v>46062.468055555553</v>
      </c>
      <c r="P210" s="12">
        <v>46063.593055555553</v>
      </c>
      <c r="Q210" s="12">
        <v>46063.621527777781</v>
      </c>
      <c r="R210" s="12">
        <v>46063.658333333333</v>
      </c>
      <c r="S210" s="12">
        <v>46063.843055555553</v>
      </c>
      <c r="U210" t="b">
        <v>1</v>
      </c>
      <c r="V210" s="12">
        <v>46178.843055555553</v>
      </c>
      <c r="W210" t="s">
        <v>409</v>
      </c>
      <c r="X210" t="s">
        <v>2243</v>
      </c>
      <c r="Y210" t="s">
        <v>2244</v>
      </c>
    </row>
    <row r="211" spans="1:25">
      <c r="A211" t="s">
        <v>2245</v>
      </c>
      <c r="B211" t="s">
        <v>1485</v>
      </c>
      <c r="C211" t="s">
        <v>1631</v>
      </c>
      <c r="D211" t="s">
        <v>2246</v>
      </c>
      <c r="E211" t="s">
        <v>492</v>
      </c>
      <c r="F211" t="s">
        <v>1602</v>
      </c>
      <c r="G211">
        <v>2121</v>
      </c>
      <c r="H211" t="s">
        <v>16</v>
      </c>
      <c r="I211" t="s">
        <v>17</v>
      </c>
      <c r="J211" t="s">
        <v>1288</v>
      </c>
      <c r="K211">
        <v>77</v>
      </c>
      <c r="L211" t="s">
        <v>42</v>
      </c>
      <c r="M211" t="s">
        <v>1273</v>
      </c>
      <c r="N211" t="s">
        <v>18</v>
      </c>
      <c r="O211" s="12">
        <v>46075.193749999999</v>
      </c>
      <c r="P211" s="12">
        <v>46077.693749999999</v>
      </c>
      <c r="Q211" s="12">
        <v>46077.73541666667</v>
      </c>
      <c r="R211" s="12">
        <v>46077.841666666667</v>
      </c>
      <c r="S211" s="12">
        <v>46078.925000000003</v>
      </c>
      <c r="U211" t="b">
        <v>1</v>
      </c>
      <c r="V211" s="12">
        <v>46179.48541666667</v>
      </c>
      <c r="W211" t="s">
        <v>491</v>
      </c>
      <c r="X211" t="s">
        <v>2247</v>
      </c>
      <c r="Y211" t="s">
        <v>2248</v>
      </c>
    </row>
    <row r="212" spans="1:25">
      <c r="A212" t="s">
        <v>2249</v>
      </c>
      <c r="B212" t="s">
        <v>1622</v>
      </c>
      <c r="C212" t="s">
        <v>1738</v>
      </c>
      <c r="D212" t="s">
        <v>2250</v>
      </c>
      <c r="E212" t="s">
        <v>184</v>
      </c>
      <c r="F212" t="s">
        <v>1448</v>
      </c>
      <c r="G212">
        <v>128</v>
      </c>
      <c r="H212" t="s">
        <v>81</v>
      </c>
      <c r="I212" t="s">
        <v>24</v>
      </c>
      <c r="J212" t="s">
        <v>1413</v>
      </c>
      <c r="K212">
        <v>77</v>
      </c>
      <c r="L212" t="s">
        <v>1272</v>
      </c>
      <c r="M212" t="s">
        <v>1273</v>
      </c>
      <c r="N212" t="s">
        <v>25</v>
      </c>
      <c r="O212" s="12">
        <v>45091.604861111111</v>
      </c>
      <c r="P212" s="12">
        <v>45092.396527777775</v>
      </c>
      <c r="Q212" s="12">
        <v>45092.435416666667</v>
      </c>
      <c r="R212" s="12">
        <v>45092.501388888886</v>
      </c>
      <c r="S212" s="12">
        <v>45094.543055555558</v>
      </c>
      <c r="U212" t="b">
        <v>1</v>
      </c>
      <c r="V212" s="12">
        <v>45202.146527777775</v>
      </c>
      <c r="W212" t="s">
        <v>183</v>
      </c>
      <c r="X212" t="s">
        <v>2251</v>
      </c>
      <c r="Y212" t="s">
        <v>2252</v>
      </c>
    </row>
    <row r="213" spans="1:25">
      <c r="A213" t="s">
        <v>2253</v>
      </c>
      <c r="B213" t="s">
        <v>1578</v>
      </c>
      <c r="C213" t="s">
        <v>1475</v>
      </c>
      <c r="D213" t="s">
        <v>2254</v>
      </c>
      <c r="E213" t="s">
        <v>749</v>
      </c>
      <c r="F213" t="s">
        <v>1302</v>
      </c>
      <c r="G213">
        <v>695</v>
      </c>
      <c r="H213" t="s">
        <v>50</v>
      </c>
      <c r="I213" t="s">
        <v>30</v>
      </c>
      <c r="J213" t="s">
        <v>1288</v>
      </c>
      <c r="K213">
        <v>72</v>
      </c>
      <c r="L213" t="s">
        <v>42</v>
      </c>
      <c r="M213" t="s">
        <v>1273</v>
      </c>
      <c r="N213" t="s">
        <v>36</v>
      </c>
      <c r="O213" s="12">
        <v>46163.980555555558</v>
      </c>
      <c r="P213" s="12">
        <v>46166.272222222222</v>
      </c>
      <c r="Q213" s="12">
        <v>46166.286111111112</v>
      </c>
      <c r="R213" s="12">
        <v>46166.424305555556</v>
      </c>
      <c r="S213" s="12">
        <v>46167.257638888892</v>
      </c>
      <c r="U213" t="b">
        <v>1</v>
      </c>
      <c r="V213" s="12">
        <v>46278.980555555558</v>
      </c>
      <c r="W213" t="s">
        <v>748</v>
      </c>
      <c r="X213" t="s">
        <v>2255</v>
      </c>
    </row>
    <row r="214" spans="1:25">
      <c r="A214" t="s">
        <v>2256</v>
      </c>
      <c r="B214" t="s">
        <v>1377</v>
      </c>
      <c r="C214" t="s">
        <v>1208</v>
      </c>
      <c r="D214" t="s">
        <v>2257</v>
      </c>
      <c r="E214" t="s">
        <v>498</v>
      </c>
      <c r="F214" t="s">
        <v>1523</v>
      </c>
      <c r="G214">
        <v>162</v>
      </c>
      <c r="H214" t="s">
        <v>50</v>
      </c>
      <c r="I214" t="s">
        <v>24</v>
      </c>
      <c r="J214" t="s">
        <v>1317</v>
      </c>
      <c r="K214">
        <v>80</v>
      </c>
      <c r="L214" t="s">
        <v>42</v>
      </c>
      <c r="M214" t="s">
        <v>1273</v>
      </c>
      <c r="N214" t="s">
        <v>59</v>
      </c>
      <c r="O214" s="12">
        <v>45556.614583333336</v>
      </c>
      <c r="P214" s="12">
        <v>45556.697916666664</v>
      </c>
      <c r="Q214" s="12">
        <v>45556.71597222222</v>
      </c>
      <c r="R214" s="12">
        <v>45556.763888888891</v>
      </c>
      <c r="S214" s="12">
        <v>45559.638888888891</v>
      </c>
      <c r="U214" t="b">
        <v>1</v>
      </c>
      <c r="V214" s="12">
        <v>45633.822916666664</v>
      </c>
      <c r="W214" t="s">
        <v>497</v>
      </c>
      <c r="X214" t="s">
        <v>2258</v>
      </c>
      <c r="Y214" t="s">
        <v>2259</v>
      </c>
    </row>
    <row r="215" spans="1:25">
      <c r="A215" t="s">
        <v>2260</v>
      </c>
      <c r="B215" t="s">
        <v>1267</v>
      </c>
      <c r="C215" t="s">
        <v>1425</v>
      </c>
      <c r="D215" t="s">
        <v>2261</v>
      </c>
      <c r="E215" t="s">
        <v>495</v>
      </c>
      <c r="F215" t="s">
        <v>1633</v>
      </c>
      <c r="G215">
        <v>349</v>
      </c>
      <c r="H215" t="s">
        <v>50</v>
      </c>
      <c r="I215" t="s">
        <v>30</v>
      </c>
      <c r="J215" t="s">
        <v>1288</v>
      </c>
      <c r="K215">
        <v>72</v>
      </c>
      <c r="L215" t="s">
        <v>1272</v>
      </c>
      <c r="M215" t="s">
        <v>1273</v>
      </c>
      <c r="N215" t="s">
        <v>36</v>
      </c>
      <c r="O215" s="12">
        <v>45394.329861111109</v>
      </c>
      <c r="P215" s="12">
        <v>45396.913194444445</v>
      </c>
      <c r="Q215" s="12">
        <v>45396.92083333333</v>
      </c>
      <c r="R215" s="12">
        <v>45396.948611111111</v>
      </c>
      <c r="S215" s="12">
        <v>45397.281944444447</v>
      </c>
      <c r="U215" t="b">
        <v>1</v>
      </c>
      <c r="V215" s="12">
        <v>45462.079861111109</v>
      </c>
      <c r="W215" t="s">
        <v>494</v>
      </c>
      <c r="X215" t="s">
        <v>2262</v>
      </c>
    </row>
    <row r="216" spans="1:25">
      <c r="A216" t="s">
        <v>2263</v>
      </c>
      <c r="B216" t="s">
        <v>1371</v>
      </c>
      <c r="C216" t="s">
        <v>1212</v>
      </c>
      <c r="D216" t="s">
        <v>2264</v>
      </c>
      <c r="E216" t="s">
        <v>649</v>
      </c>
      <c r="F216" t="s">
        <v>1287</v>
      </c>
      <c r="G216">
        <v>141</v>
      </c>
      <c r="H216" t="s">
        <v>216</v>
      </c>
      <c r="I216" t="s">
        <v>24</v>
      </c>
      <c r="J216" t="s">
        <v>1281</v>
      </c>
      <c r="K216">
        <v>72</v>
      </c>
      <c r="L216" t="s">
        <v>1272</v>
      </c>
      <c r="M216" t="s">
        <v>1273</v>
      </c>
      <c r="N216" t="s">
        <v>91</v>
      </c>
      <c r="O216" s="12">
        <v>46027.549305555556</v>
      </c>
      <c r="P216" s="12">
        <v>46029.09097222222</v>
      </c>
      <c r="Q216" s="12">
        <v>46029.1</v>
      </c>
      <c r="R216" s="12">
        <v>46029.23333333333</v>
      </c>
      <c r="S216" s="12">
        <v>46029.73333333333</v>
      </c>
      <c r="U216" t="b">
        <v>1</v>
      </c>
      <c r="V216" s="12">
        <v>46132.007638888892</v>
      </c>
      <c r="W216" t="s">
        <v>648</v>
      </c>
      <c r="X216" t="s">
        <v>2265</v>
      </c>
    </row>
    <row r="217" spans="1:25">
      <c r="A217" t="s">
        <v>2266</v>
      </c>
      <c r="B217" t="s">
        <v>1431</v>
      </c>
      <c r="C217" t="s">
        <v>1917</v>
      </c>
      <c r="D217" t="s">
        <v>2267</v>
      </c>
      <c r="E217" t="s">
        <v>466</v>
      </c>
      <c r="F217" t="s">
        <v>2117</v>
      </c>
      <c r="G217">
        <v>735</v>
      </c>
      <c r="H217" t="s">
        <v>216</v>
      </c>
      <c r="I217" t="s">
        <v>30</v>
      </c>
      <c r="J217" t="s">
        <v>1288</v>
      </c>
      <c r="K217">
        <v>72</v>
      </c>
      <c r="L217" t="s">
        <v>1272</v>
      </c>
      <c r="M217" t="s">
        <v>1273</v>
      </c>
      <c r="N217" t="s">
        <v>18</v>
      </c>
      <c r="O217" s="12">
        <v>45549.379166666666</v>
      </c>
      <c r="P217" s="12">
        <v>45550.79583333333</v>
      </c>
      <c r="Q217" s="12">
        <v>45550.811111111114</v>
      </c>
      <c r="R217" s="12">
        <v>45550.892361111109</v>
      </c>
      <c r="S217" s="12">
        <v>45553.767361111109</v>
      </c>
      <c r="U217" t="b">
        <v>1</v>
      </c>
      <c r="V217" s="12">
        <v>45620.879166666666</v>
      </c>
      <c r="W217" t="s">
        <v>465</v>
      </c>
      <c r="X217" t="s">
        <v>2268</v>
      </c>
    </row>
    <row r="218" spans="1:25">
      <c r="A218" t="s">
        <v>2269</v>
      </c>
      <c r="B218" t="s">
        <v>1111</v>
      </c>
      <c r="C218" t="s">
        <v>1191</v>
      </c>
      <c r="D218" t="s">
        <v>2270</v>
      </c>
      <c r="E218" t="s">
        <v>361</v>
      </c>
      <c r="F218" t="s">
        <v>2271</v>
      </c>
      <c r="G218">
        <v>87</v>
      </c>
      <c r="H218" t="s">
        <v>178</v>
      </c>
      <c r="I218" t="s">
        <v>24</v>
      </c>
      <c r="J218" t="s">
        <v>1295</v>
      </c>
      <c r="K218">
        <v>73</v>
      </c>
      <c r="L218" t="s">
        <v>42</v>
      </c>
      <c r="M218" t="s">
        <v>1273</v>
      </c>
      <c r="N218" t="s">
        <v>59</v>
      </c>
      <c r="O218" s="12">
        <v>45421.494444444441</v>
      </c>
      <c r="P218" s="12">
        <v>45424.244444444441</v>
      </c>
      <c r="Q218" s="12">
        <v>45424.295138888891</v>
      </c>
      <c r="R218" s="12">
        <v>45424.411805555559</v>
      </c>
      <c r="S218" s="12">
        <v>45425.203472222223</v>
      </c>
      <c r="U218" t="b">
        <v>1</v>
      </c>
      <c r="V218" s="12">
        <v>45475.202777777777</v>
      </c>
      <c r="W218" t="s">
        <v>360</v>
      </c>
      <c r="X218" t="s">
        <v>2272</v>
      </c>
      <c r="Y218" t="s">
        <v>2273</v>
      </c>
    </row>
    <row r="219" spans="1:25">
      <c r="A219" t="s">
        <v>2274</v>
      </c>
      <c r="B219" t="s">
        <v>1157</v>
      </c>
      <c r="C219" t="s">
        <v>1397</v>
      </c>
      <c r="D219" t="s">
        <v>2275</v>
      </c>
      <c r="E219" t="s">
        <v>981</v>
      </c>
      <c r="F219" t="s">
        <v>1380</v>
      </c>
      <c r="G219">
        <v>89</v>
      </c>
      <c r="H219" t="s">
        <v>140</v>
      </c>
      <c r="I219" t="s">
        <v>24</v>
      </c>
      <c r="J219" t="s">
        <v>1295</v>
      </c>
      <c r="K219">
        <v>90</v>
      </c>
      <c r="L219" t="s">
        <v>1272</v>
      </c>
      <c r="M219" t="s">
        <v>1273</v>
      </c>
      <c r="N219" t="s">
        <v>25</v>
      </c>
      <c r="O219" s="12">
        <v>45861.619444444441</v>
      </c>
      <c r="P219" s="12">
        <v>45862.869444444441</v>
      </c>
      <c r="Q219" s="12">
        <v>45862.900694444441</v>
      </c>
      <c r="R219" s="12">
        <v>45863.011805555558</v>
      </c>
      <c r="S219" s="12">
        <v>45864.636805555558</v>
      </c>
      <c r="U219" t="b">
        <v>1</v>
      </c>
      <c r="V219" s="12">
        <v>45912.327777777777</v>
      </c>
      <c r="W219" t="s">
        <v>980</v>
      </c>
      <c r="X219" t="s">
        <v>2276</v>
      </c>
      <c r="Y219" t="s">
        <v>2277</v>
      </c>
    </row>
    <row r="220" spans="1:25">
      <c r="A220" t="s">
        <v>2278</v>
      </c>
      <c r="B220" t="s">
        <v>1847</v>
      </c>
      <c r="C220" t="s">
        <v>1285</v>
      </c>
      <c r="D220" t="s">
        <v>2279</v>
      </c>
      <c r="E220" t="s">
        <v>558</v>
      </c>
      <c r="F220" t="s">
        <v>1287</v>
      </c>
      <c r="G220">
        <v>105</v>
      </c>
      <c r="H220" t="s">
        <v>560</v>
      </c>
      <c r="I220" t="s">
        <v>24</v>
      </c>
      <c r="J220" t="s">
        <v>1413</v>
      </c>
      <c r="K220">
        <v>72</v>
      </c>
      <c r="L220" t="s">
        <v>1272</v>
      </c>
      <c r="M220" t="s">
        <v>1273</v>
      </c>
      <c r="N220" t="s">
        <v>25</v>
      </c>
      <c r="O220" s="12">
        <v>44966.451388888891</v>
      </c>
      <c r="P220" s="12">
        <v>44969.326388888891</v>
      </c>
      <c r="Q220" s="12">
        <v>44969.378472222219</v>
      </c>
      <c r="R220" s="12">
        <v>44969.394444444442</v>
      </c>
      <c r="S220" s="12">
        <v>44970.186111111114</v>
      </c>
      <c r="U220" t="b">
        <v>1</v>
      </c>
      <c r="V220" s="12">
        <v>45058.076388888891</v>
      </c>
      <c r="W220" t="s">
        <v>557</v>
      </c>
      <c r="X220" t="s">
        <v>2280</v>
      </c>
      <c r="Y220" t="s">
        <v>2281</v>
      </c>
    </row>
    <row r="221" spans="1:25">
      <c r="A221" t="s">
        <v>2282</v>
      </c>
      <c r="B221" t="s">
        <v>1485</v>
      </c>
      <c r="C221" t="s">
        <v>2283</v>
      </c>
      <c r="D221" t="s">
        <v>2284</v>
      </c>
      <c r="E221" t="s">
        <v>883</v>
      </c>
      <c r="F221" t="s">
        <v>1373</v>
      </c>
      <c r="G221">
        <v>2368</v>
      </c>
      <c r="H221" t="s">
        <v>236</v>
      </c>
      <c r="I221" t="s">
        <v>17</v>
      </c>
      <c r="J221" t="s">
        <v>1271</v>
      </c>
      <c r="K221">
        <v>72</v>
      </c>
      <c r="L221" t="s">
        <v>42</v>
      </c>
      <c r="M221" t="s">
        <v>1273</v>
      </c>
      <c r="N221" t="s">
        <v>18</v>
      </c>
      <c r="O221" s="12">
        <v>45674.947916666664</v>
      </c>
      <c r="P221" s="12">
        <v>45677.78125</v>
      </c>
      <c r="Q221" s="12">
        <v>45677.840277777781</v>
      </c>
      <c r="R221" s="12">
        <v>45677.961805555555</v>
      </c>
      <c r="S221" s="12">
        <v>45678.253472222219</v>
      </c>
      <c r="U221" t="b">
        <v>1</v>
      </c>
      <c r="V221" s="12">
        <v>45730.614583333336</v>
      </c>
      <c r="W221" t="s">
        <v>882</v>
      </c>
      <c r="X221" t="s">
        <v>2285</v>
      </c>
    </row>
    <row r="222" spans="1:25">
      <c r="A222" t="s">
        <v>2286</v>
      </c>
      <c r="B222" t="s">
        <v>1221</v>
      </c>
      <c r="C222" t="s">
        <v>1441</v>
      </c>
      <c r="D222" t="s">
        <v>2287</v>
      </c>
      <c r="E222" t="s">
        <v>48</v>
      </c>
      <c r="F222" t="s">
        <v>1548</v>
      </c>
      <c r="G222">
        <v>310</v>
      </c>
      <c r="H222" t="s">
        <v>50</v>
      </c>
      <c r="I222" t="s">
        <v>30</v>
      </c>
      <c r="J222" t="s">
        <v>1295</v>
      </c>
      <c r="K222">
        <v>86</v>
      </c>
      <c r="L222" t="s">
        <v>1272</v>
      </c>
      <c r="M222" t="s">
        <v>1273</v>
      </c>
      <c r="N222" t="s">
        <v>36</v>
      </c>
      <c r="O222" s="12">
        <v>46050</v>
      </c>
      <c r="P222" s="12">
        <v>46051.333333333336</v>
      </c>
      <c r="Q222" s="12">
        <v>46051.351388888892</v>
      </c>
      <c r="R222" s="12">
        <v>46051.487500000003</v>
      </c>
      <c r="S222" s="12">
        <v>46051.904166666667</v>
      </c>
      <c r="U222" t="b">
        <v>1</v>
      </c>
      <c r="V222" s="12">
        <v>46099.166666666664</v>
      </c>
      <c r="W222" t="s">
        <v>47</v>
      </c>
      <c r="X222" t="s">
        <v>2288</v>
      </c>
    </row>
    <row r="223" spans="1:25">
      <c r="A223" t="s">
        <v>2289</v>
      </c>
      <c r="B223" t="s">
        <v>1567</v>
      </c>
      <c r="C223" t="s">
        <v>1176</v>
      </c>
      <c r="D223" t="s">
        <v>2290</v>
      </c>
      <c r="E223" t="s">
        <v>534</v>
      </c>
      <c r="F223" t="s">
        <v>1392</v>
      </c>
      <c r="G223">
        <v>235</v>
      </c>
      <c r="H223" t="s">
        <v>236</v>
      </c>
      <c r="I223" t="s">
        <v>30</v>
      </c>
      <c r="J223" t="s">
        <v>1355</v>
      </c>
      <c r="K223">
        <v>72</v>
      </c>
      <c r="L223" t="s">
        <v>1272</v>
      </c>
      <c r="M223" t="s">
        <v>1273</v>
      </c>
      <c r="N223" t="s">
        <v>18</v>
      </c>
      <c r="O223" s="12">
        <v>45425.143750000003</v>
      </c>
      <c r="P223" s="12">
        <v>45425.977083333331</v>
      </c>
      <c r="Q223" s="12">
        <v>45426.029166666667</v>
      </c>
      <c r="R223" s="12">
        <v>45426.063888888886</v>
      </c>
      <c r="S223" s="12">
        <v>45428.438888888886</v>
      </c>
      <c r="U223" t="b">
        <v>1</v>
      </c>
      <c r="V223" s="12">
        <v>45512.435416666667</v>
      </c>
      <c r="W223" t="s">
        <v>533</v>
      </c>
      <c r="X223" t="s">
        <v>2291</v>
      </c>
    </row>
    <row r="224" spans="1:25">
      <c r="A224" t="s">
        <v>2292</v>
      </c>
      <c r="B224" t="s">
        <v>1207</v>
      </c>
      <c r="C224" t="s">
        <v>1631</v>
      </c>
      <c r="D224" t="s">
        <v>2293</v>
      </c>
      <c r="E224" t="s">
        <v>755</v>
      </c>
      <c r="F224" t="s">
        <v>1280</v>
      </c>
      <c r="G224">
        <v>1853</v>
      </c>
      <c r="H224" t="s">
        <v>212</v>
      </c>
      <c r="I224" t="s">
        <v>17</v>
      </c>
      <c r="J224" t="s">
        <v>1413</v>
      </c>
      <c r="K224">
        <v>72</v>
      </c>
      <c r="L224" t="s">
        <v>1272</v>
      </c>
      <c r="M224" t="s">
        <v>1273</v>
      </c>
      <c r="N224" t="s">
        <v>55</v>
      </c>
      <c r="O224" s="12">
        <v>45879.21597222222</v>
      </c>
      <c r="P224" s="12">
        <v>45880.382638888892</v>
      </c>
      <c r="Q224" s="12">
        <v>45880.410416666666</v>
      </c>
      <c r="R224" s="12">
        <v>45880.463888888888</v>
      </c>
      <c r="S224" s="12">
        <v>45881.380555555559</v>
      </c>
      <c r="U224" t="b">
        <v>1</v>
      </c>
      <c r="V224" s="12">
        <v>45928.59097222222</v>
      </c>
      <c r="W224" t="s">
        <v>754</v>
      </c>
      <c r="X224" t="s">
        <v>2294</v>
      </c>
    </row>
    <row r="225" spans="1:25">
      <c r="A225" t="s">
        <v>2295</v>
      </c>
      <c r="B225" t="s">
        <v>1154</v>
      </c>
      <c r="C225" t="s">
        <v>1462</v>
      </c>
      <c r="D225" t="s">
        <v>2296</v>
      </c>
      <c r="E225" t="s">
        <v>996</v>
      </c>
      <c r="F225" t="s">
        <v>2297</v>
      </c>
      <c r="G225">
        <v>1669</v>
      </c>
      <c r="H225" t="s">
        <v>23</v>
      </c>
      <c r="I225" t="s">
        <v>17</v>
      </c>
      <c r="J225" t="s">
        <v>1281</v>
      </c>
      <c r="K225">
        <v>75</v>
      </c>
      <c r="L225" t="s">
        <v>1272</v>
      </c>
      <c r="M225" t="s">
        <v>1273</v>
      </c>
      <c r="N225" t="s">
        <v>82</v>
      </c>
      <c r="O225" s="12">
        <v>45155.385416666664</v>
      </c>
      <c r="P225" s="12">
        <v>45157.927083333336</v>
      </c>
      <c r="Q225" s="12">
        <v>45157.953472222223</v>
      </c>
      <c r="R225" s="12">
        <v>45158.040277777778</v>
      </c>
      <c r="S225" s="12">
        <v>45159.623611111114</v>
      </c>
      <c r="U225" t="b">
        <v>1</v>
      </c>
      <c r="V225" s="12">
        <v>45266.84375</v>
      </c>
      <c r="W225" t="s">
        <v>995</v>
      </c>
      <c r="X225" t="s">
        <v>2298</v>
      </c>
    </row>
    <row r="226" spans="1:25">
      <c r="A226" t="s">
        <v>2299</v>
      </c>
      <c r="B226" t="s">
        <v>1410</v>
      </c>
      <c r="C226" t="s">
        <v>1623</v>
      </c>
      <c r="E226" t="s">
        <v>761</v>
      </c>
      <c r="F226" t="s">
        <v>1453</v>
      </c>
      <c r="G226">
        <v>421</v>
      </c>
      <c r="H226" t="s">
        <v>415</v>
      </c>
      <c r="I226" t="s">
        <v>30</v>
      </c>
      <c r="J226" t="s">
        <v>1281</v>
      </c>
      <c r="K226">
        <v>88</v>
      </c>
      <c r="L226" t="s">
        <v>1272</v>
      </c>
      <c r="M226" t="s">
        <v>1273</v>
      </c>
      <c r="N226" t="s">
        <v>55</v>
      </c>
      <c r="O226" s="12">
        <v>45243.248611111114</v>
      </c>
      <c r="P226" s="12">
        <v>45243.540277777778</v>
      </c>
      <c r="Q226" s="12">
        <v>45243.572916666664</v>
      </c>
      <c r="R226" s="12">
        <v>45243.611111111109</v>
      </c>
      <c r="S226" s="12">
        <v>45244.736111111109</v>
      </c>
      <c r="U226" t="b">
        <v>1</v>
      </c>
      <c r="V226" s="12">
        <v>45286.498611111114</v>
      </c>
      <c r="W226" t="s">
        <v>760</v>
      </c>
      <c r="X226" t="s">
        <v>2300</v>
      </c>
      <c r="Y226" t="s">
        <v>2301</v>
      </c>
    </row>
    <row r="227" spans="1:25">
      <c r="A227" t="s">
        <v>2302</v>
      </c>
      <c r="B227" t="s">
        <v>1424</v>
      </c>
      <c r="C227" t="s">
        <v>1623</v>
      </c>
      <c r="D227" t="s">
        <v>2303</v>
      </c>
      <c r="E227" t="s">
        <v>695</v>
      </c>
      <c r="F227" t="s">
        <v>1406</v>
      </c>
      <c r="G227">
        <v>1557</v>
      </c>
      <c r="H227" t="s">
        <v>366</v>
      </c>
      <c r="I227" t="s">
        <v>17</v>
      </c>
      <c r="J227" t="s">
        <v>1271</v>
      </c>
      <c r="K227">
        <v>72</v>
      </c>
      <c r="L227" t="s">
        <v>1272</v>
      </c>
      <c r="M227" t="s">
        <v>1273</v>
      </c>
      <c r="N227" t="s">
        <v>18</v>
      </c>
      <c r="O227" s="12">
        <v>45470.97152777778</v>
      </c>
      <c r="P227" s="12">
        <v>45471.72152777778</v>
      </c>
      <c r="Q227" s="12">
        <v>45471.751388888886</v>
      </c>
      <c r="R227" s="12">
        <v>45471.786111111112</v>
      </c>
      <c r="S227" s="12">
        <v>45472.369444444441</v>
      </c>
      <c r="U227" t="b">
        <v>1</v>
      </c>
      <c r="V227" s="12">
        <v>45590.638194444444</v>
      </c>
      <c r="W227" t="s">
        <v>694</v>
      </c>
      <c r="X227" t="s">
        <v>2304</v>
      </c>
      <c r="Y227" t="s">
        <v>2305</v>
      </c>
    </row>
    <row r="228" spans="1:25">
      <c r="A228" t="s">
        <v>2306</v>
      </c>
      <c r="B228" t="s">
        <v>1622</v>
      </c>
      <c r="C228" t="s">
        <v>1579</v>
      </c>
      <c r="D228" t="s">
        <v>2307</v>
      </c>
      <c r="E228" t="s">
        <v>707</v>
      </c>
      <c r="F228" t="s">
        <v>1517</v>
      </c>
      <c r="G228">
        <v>2605</v>
      </c>
      <c r="H228" t="s">
        <v>440</v>
      </c>
      <c r="J228" t="s">
        <v>1295</v>
      </c>
      <c r="K228">
        <v>82</v>
      </c>
      <c r="L228" t="s">
        <v>1272</v>
      </c>
      <c r="M228" t="s">
        <v>1273</v>
      </c>
      <c r="N228" t="s">
        <v>55</v>
      </c>
      <c r="O228" s="12">
        <v>46149.722222222219</v>
      </c>
      <c r="P228" s="12">
        <v>46151.347222222219</v>
      </c>
      <c r="Q228" s="12">
        <v>46151.386111111111</v>
      </c>
      <c r="R228" s="12">
        <v>46151.454861111109</v>
      </c>
      <c r="S228" s="12">
        <v>46153.038194444445</v>
      </c>
      <c r="U228" t="b">
        <v>1</v>
      </c>
      <c r="V228" s="12">
        <v>46284.055555555555</v>
      </c>
      <c r="W228" t="s">
        <v>706</v>
      </c>
      <c r="X228" t="s">
        <v>2308</v>
      </c>
      <c r="Y228" t="s">
        <v>2309</v>
      </c>
    </row>
    <row r="229" spans="1:25">
      <c r="A229" t="s">
        <v>2310</v>
      </c>
      <c r="B229" t="s">
        <v>1138</v>
      </c>
      <c r="C229" t="s">
        <v>1320</v>
      </c>
      <c r="D229" t="s">
        <v>2311</v>
      </c>
      <c r="E229" t="s">
        <v>946</v>
      </c>
      <c r="F229" t="s">
        <v>1501</v>
      </c>
      <c r="G229">
        <v>452</v>
      </c>
      <c r="H229" t="s">
        <v>81</v>
      </c>
      <c r="I229" t="s">
        <v>30</v>
      </c>
      <c r="J229" t="s">
        <v>1355</v>
      </c>
      <c r="K229">
        <v>72</v>
      </c>
      <c r="L229" t="s">
        <v>42</v>
      </c>
      <c r="M229" t="s">
        <v>1273</v>
      </c>
      <c r="N229" t="s">
        <v>82</v>
      </c>
      <c r="O229" s="12">
        <v>45010.086805555555</v>
      </c>
      <c r="P229" s="12">
        <v>45012.170138888891</v>
      </c>
      <c r="Q229" s="12">
        <v>45012.223611111112</v>
      </c>
      <c r="R229" s="12">
        <v>45012.326388888891</v>
      </c>
      <c r="S229" s="12">
        <v>45015.159722222219</v>
      </c>
      <c r="U229" t="b">
        <v>1</v>
      </c>
      <c r="V229" s="12">
        <v>45047.170138888891</v>
      </c>
      <c r="W229" t="s">
        <v>945</v>
      </c>
      <c r="X229" t="s">
        <v>2312</v>
      </c>
      <c r="Y229" t="s">
        <v>2313</v>
      </c>
    </row>
    <row r="230" spans="1:25">
      <c r="A230" t="s">
        <v>2314</v>
      </c>
      <c r="B230" t="s">
        <v>1957</v>
      </c>
      <c r="C230" t="s">
        <v>1130</v>
      </c>
      <c r="D230" t="s">
        <v>2315</v>
      </c>
      <c r="E230" t="s">
        <v>274</v>
      </c>
      <c r="F230" t="s">
        <v>1302</v>
      </c>
      <c r="G230">
        <v>864</v>
      </c>
      <c r="H230" t="s">
        <v>64</v>
      </c>
      <c r="I230" t="s">
        <v>30</v>
      </c>
      <c r="J230" t="s">
        <v>1317</v>
      </c>
      <c r="K230">
        <v>83</v>
      </c>
      <c r="L230" t="s">
        <v>42</v>
      </c>
      <c r="M230" t="s">
        <v>1273</v>
      </c>
      <c r="N230" t="s">
        <v>55</v>
      </c>
      <c r="O230" s="12">
        <v>46025.631944444445</v>
      </c>
      <c r="P230" s="12">
        <v>46026.548611111109</v>
      </c>
      <c r="Q230" s="12">
        <v>46026.556250000001</v>
      </c>
      <c r="R230" s="12">
        <v>46026.628472222219</v>
      </c>
      <c r="S230" s="12">
        <v>46027.545138888891</v>
      </c>
      <c r="U230" t="b">
        <v>1</v>
      </c>
      <c r="V230" s="12">
        <v>46139.798611111109</v>
      </c>
      <c r="W230" t="s">
        <v>273</v>
      </c>
      <c r="X230" t="s">
        <v>2316</v>
      </c>
      <c r="Y230" t="s">
        <v>2317</v>
      </c>
    </row>
    <row r="231" spans="1:25">
      <c r="A231" t="s">
        <v>2318</v>
      </c>
      <c r="B231" t="s">
        <v>1118</v>
      </c>
      <c r="C231" t="s">
        <v>1148</v>
      </c>
      <c r="D231" t="s">
        <v>2319</v>
      </c>
      <c r="E231" t="s">
        <v>676</v>
      </c>
      <c r="F231" t="s">
        <v>1294</v>
      </c>
      <c r="G231">
        <v>447</v>
      </c>
      <c r="H231" t="s">
        <v>41</v>
      </c>
      <c r="I231" t="s">
        <v>30</v>
      </c>
      <c r="J231" t="s">
        <v>1288</v>
      </c>
      <c r="K231">
        <v>72</v>
      </c>
      <c r="L231" t="s">
        <v>1272</v>
      </c>
      <c r="M231" t="s">
        <v>1273</v>
      </c>
      <c r="N231" t="s">
        <v>82</v>
      </c>
      <c r="O231" s="12">
        <v>45988.586111111108</v>
      </c>
      <c r="P231" s="12">
        <v>45989.794444444444</v>
      </c>
      <c r="Q231" s="12">
        <v>45989.8125</v>
      </c>
      <c r="R231" s="12">
        <v>45989.936111111114</v>
      </c>
      <c r="S231" s="12">
        <v>45990.144444444442</v>
      </c>
      <c r="U231" t="b">
        <v>1</v>
      </c>
      <c r="V231" s="12">
        <v>46066.12777777778</v>
      </c>
      <c r="W231" t="s">
        <v>675</v>
      </c>
      <c r="X231" t="s">
        <v>2320</v>
      </c>
      <c r="Y231" t="s">
        <v>2321</v>
      </c>
    </row>
    <row r="232" spans="1:25">
      <c r="A232" t="s">
        <v>2322</v>
      </c>
      <c r="B232" t="s">
        <v>1299</v>
      </c>
      <c r="C232" t="s">
        <v>1591</v>
      </c>
      <c r="D232" t="s">
        <v>2323</v>
      </c>
      <c r="E232" t="s">
        <v>27</v>
      </c>
      <c r="F232" t="s">
        <v>2324</v>
      </c>
      <c r="G232">
        <v>542</v>
      </c>
      <c r="H232" t="s">
        <v>16</v>
      </c>
      <c r="I232" t="s">
        <v>30</v>
      </c>
      <c r="J232" t="s">
        <v>1295</v>
      </c>
      <c r="K232">
        <v>88</v>
      </c>
      <c r="L232" t="s">
        <v>1272</v>
      </c>
      <c r="M232" t="s">
        <v>1273</v>
      </c>
      <c r="N232" t="s">
        <v>18</v>
      </c>
      <c r="O232" s="12">
        <v>45358.138194444444</v>
      </c>
      <c r="P232" s="12">
        <v>45360.638194444444</v>
      </c>
      <c r="Q232" s="12">
        <v>45360.67083333333</v>
      </c>
      <c r="R232" s="12">
        <v>45361.254166666666</v>
      </c>
      <c r="S232" s="12">
        <v>45361.462500000001</v>
      </c>
      <c r="U232" t="b">
        <v>1</v>
      </c>
      <c r="V232" s="12">
        <v>45507.429861111108</v>
      </c>
      <c r="W232" t="s">
        <v>26</v>
      </c>
      <c r="X232" t="s">
        <v>2325</v>
      </c>
      <c r="Y232" t="s">
        <v>2326</v>
      </c>
    </row>
    <row r="233" spans="1:25">
      <c r="A233" t="s">
        <v>2327</v>
      </c>
      <c r="B233" t="s">
        <v>1313</v>
      </c>
      <c r="C233" t="s">
        <v>1145</v>
      </c>
      <c r="D233" t="s">
        <v>2328</v>
      </c>
      <c r="E233" t="s">
        <v>856</v>
      </c>
      <c r="F233" t="s">
        <v>1294</v>
      </c>
      <c r="G233">
        <v>146</v>
      </c>
      <c r="H233" t="s">
        <v>178</v>
      </c>
      <c r="I233" t="s">
        <v>24</v>
      </c>
      <c r="J233" t="s">
        <v>1317</v>
      </c>
      <c r="K233">
        <v>72</v>
      </c>
      <c r="L233" t="s">
        <v>1272</v>
      </c>
      <c r="M233" t="s">
        <v>1273</v>
      </c>
      <c r="N233" t="s">
        <v>59</v>
      </c>
      <c r="O233" s="12">
        <v>45986.912499999999</v>
      </c>
      <c r="P233" s="12">
        <v>45989.412499999999</v>
      </c>
      <c r="Q233" s="12">
        <v>45989.446527777778</v>
      </c>
      <c r="R233" s="12">
        <v>45989.502083333333</v>
      </c>
      <c r="S233" s="12">
        <v>45991.543749999997</v>
      </c>
      <c r="U233" t="b">
        <v>1</v>
      </c>
      <c r="V233" s="12">
        <v>46128.620833333334</v>
      </c>
      <c r="W233" t="s">
        <v>855</v>
      </c>
      <c r="X233" t="s">
        <v>2329</v>
      </c>
    </row>
    <row r="234" spans="1:25">
      <c r="A234" t="s">
        <v>2330</v>
      </c>
      <c r="B234" t="s">
        <v>1384</v>
      </c>
      <c r="C234" t="s">
        <v>1541</v>
      </c>
      <c r="D234" t="s">
        <v>2331</v>
      </c>
      <c r="E234" t="s">
        <v>135</v>
      </c>
      <c r="F234" t="s">
        <v>1294</v>
      </c>
      <c r="G234">
        <v>19</v>
      </c>
      <c r="H234" t="s">
        <v>41</v>
      </c>
      <c r="J234" t="s">
        <v>1295</v>
      </c>
      <c r="K234">
        <v>76</v>
      </c>
      <c r="L234" t="s">
        <v>1272</v>
      </c>
      <c r="M234" t="s">
        <v>1273</v>
      </c>
      <c r="N234" t="s">
        <v>25</v>
      </c>
      <c r="O234" s="12">
        <v>45811.662499999999</v>
      </c>
      <c r="P234" s="12">
        <v>45812.07916666667</v>
      </c>
      <c r="Q234" s="12">
        <v>45812.138888888891</v>
      </c>
      <c r="R234" s="12">
        <v>45812.227777777778</v>
      </c>
      <c r="S234" s="12">
        <v>45813.894444444442</v>
      </c>
      <c r="U234" t="b">
        <v>1</v>
      </c>
      <c r="V234" s="12">
        <v>45951.370833333334</v>
      </c>
      <c r="W234" t="s">
        <v>134</v>
      </c>
      <c r="X234" t="s">
        <v>2332</v>
      </c>
      <c r="Y234" t="s">
        <v>2333</v>
      </c>
    </row>
    <row r="235" spans="1:25">
      <c r="A235" t="s">
        <v>2334</v>
      </c>
      <c r="B235" t="s">
        <v>1481</v>
      </c>
      <c r="C235" t="s">
        <v>1222</v>
      </c>
      <c r="D235" t="s">
        <v>2335</v>
      </c>
      <c r="E235" t="s">
        <v>13</v>
      </c>
      <c r="F235" t="s">
        <v>1784</v>
      </c>
      <c r="G235">
        <v>1053</v>
      </c>
      <c r="H235" t="s">
        <v>16</v>
      </c>
      <c r="I235" t="s">
        <v>17</v>
      </c>
      <c r="J235" t="s">
        <v>1271</v>
      </c>
      <c r="K235">
        <v>72</v>
      </c>
      <c r="L235" t="s">
        <v>1272</v>
      </c>
      <c r="M235" t="s">
        <v>1273</v>
      </c>
      <c r="N235" t="s">
        <v>18</v>
      </c>
      <c r="O235" s="12">
        <v>45282.238888888889</v>
      </c>
      <c r="P235" s="12">
        <v>45284.947222222225</v>
      </c>
      <c r="Q235" s="12">
        <v>45284.977777777778</v>
      </c>
      <c r="R235" s="12">
        <v>45285.088194444441</v>
      </c>
      <c r="S235" s="12">
        <v>45285.463194444441</v>
      </c>
      <c r="U235" t="b">
        <v>1</v>
      </c>
      <c r="V235" s="12">
        <v>45330.905555555553</v>
      </c>
      <c r="W235" t="s">
        <v>12</v>
      </c>
      <c r="X235" t="s">
        <v>2336</v>
      </c>
      <c r="Y235" t="s">
        <v>2337</v>
      </c>
    </row>
    <row r="236" spans="1:25">
      <c r="A236" t="s">
        <v>2338</v>
      </c>
      <c r="B236" t="s">
        <v>1384</v>
      </c>
      <c r="C236" t="s">
        <v>1292</v>
      </c>
      <c r="D236" t="s">
        <v>2339</v>
      </c>
      <c r="E236" t="s">
        <v>318</v>
      </c>
      <c r="F236" t="s">
        <v>1487</v>
      </c>
      <c r="G236">
        <v>104</v>
      </c>
      <c r="H236" t="s">
        <v>95</v>
      </c>
      <c r="I236" t="s">
        <v>24</v>
      </c>
      <c r="J236" t="s">
        <v>1295</v>
      </c>
      <c r="K236">
        <v>72</v>
      </c>
      <c r="L236" t="s">
        <v>1272</v>
      </c>
      <c r="M236" t="s">
        <v>1273</v>
      </c>
      <c r="N236" t="s">
        <v>91</v>
      </c>
      <c r="O236" s="12">
        <v>45548.120138888888</v>
      </c>
      <c r="P236" s="12">
        <v>45550.536805555559</v>
      </c>
      <c r="Q236" s="12">
        <v>45550.563194444447</v>
      </c>
      <c r="R236" s="12">
        <v>45550.685416666667</v>
      </c>
      <c r="S236" s="12">
        <v>45551.143750000003</v>
      </c>
      <c r="U236" t="b">
        <v>1</v>
      </c>
      <c r="V236" s="12">
        <v>45576.286805555559</v>
      </c>
      <c r="W236" t="s">
        <v>317</v>
      </c>
      <c r="X236" t="s">
        <v>2340</v>
      </c>
      <c r="Y236" t="s">
        <v>2341</v>
      </c>
    </row>
    <row r="237" spans="1:25">
      <c r="A237" t="s">
        <v>2342</v>
      </c>
      <c r="B237" t="s">
        <v>1384</v>
      </c>
      <c r="C237" t="s">
        <v>1119</v>
      </c>
      <c r="D237" t="s">
        <v>2343</v>
      </c>
      <c r="E237" t="s">
        <v>268</v>
      </c>
      <c r="F237" t="s">
        <v>1392</v>
      </c>
      <c r="G237">
        <v>125</v>
      </c>
      <c r="H237" t="s">
        <v>99</v>
      </c>
      <c r="I237" t="s">
        <v>24</v>
      </c>
      <c r="J237" t="s">
        <v>1271</v>
      </c>
      <c r="K237">
        <v>72</v>
      </c>
      <c r="L237" t="s">
        <v>42</v>
      </c>
      <c r="M237" t="s">
        <v>1273</v>
      </c>
      <c r="N237" t="s">
        <v>59</v>
      </c>
      <c r="O237" s="12">
        <v>45482.493750000001</v>
      </c>
      <c r="P237" s="12">
        <v>45485.035416666666</v>
      </c>
      <c r="Q237" s="12">
        <v>45485.077777777777</v>
      </c>
      <c r="R237" s="12">
        <v>45485.185416666667</v>
      </c>
      <c r="S237" s="12">
        <v>45486.685416666667</v>
      </c>
      <c r="U237" t="b">
        <v>1</v>
      </c>
      <c r="V237" s="12">
        <v>45507.618750000001</v>
      </c>
      <c r="W237" t="s">
        <v>267</v>
      </c>
      <c r="X237" t="s">
        <v>2344</v>
      </c>
    </row>
    <row r="238" spans="1:25">
      <c r="A238" t="s">
        <v>2345</v>
      </c>
      <c r="B238" t="s">
        <v>1277</v>
      </c>
      <c r="C238" t="s">
        <v>1112</v>
      </c>
      <c r="D238" t="s">
        <v>2346</v>
      </c>
      <c r="E238" t="s">
        <v>761</v>
      </c>
      <c r="F238" t="s">
        <v>1309</v>
      </c>
      <c r="G238">
        <v>421</v>
      </c>
      <c r="H238" t="s">
        <v>415</v>
      </c>
      <c r="I238" t="s">
        <v>30</v>
      </c>
      <c r="J238" t="s">
        <v>1317</v>
      </c>
      <c r="K238">
        <v>72</v>
      </c>
      <c r="L238" t="s">
        <v>1272</v>
      </c>
      <c r="M238" t="s">
        <v>1273</v>
      </c>
      <c r="N238" t="s">
        <v>55</v>
      </c>
      <c r="O238" s="12">
        <v>45337.272916666669</v>
      </c>
      <c r="P238" s="12">
        <v>45338.731249999997</v>
      </c>
      <c r="Q238" s="12">
        <v>45338.756249999999</v>
      </c>
      <c r="R238" s="12">
        <v>45338.823611111111</v>
      </c>
      <c r="S238" s="12">
        <v>45339.323611111111</v>
      </c>
      <c r="U238" t="b">
        <v>1</v>
      </c>
      <c r="V238" s="12">
        <v>45392.022916666669</v>
      </c>
      <c r="W238" t="s">
        <v>760</v>
      </c>
      <c r="X238" t="s">
        <v>2347</v>
      </c>
    </row>
    <row r="239" spans="1:25">
      <c r="A239" t="s">
        <v>2348</v>
      </c>
      <c r="B239" t="s">
        <v>1320</v>
      </c>
      <c r="C239" t="s">
        <v>1130</v>
      </c>
      <c r="D239" t="s">
        <v>2349</v>
      </c>
      <c r="E239" t="s">
        <v>624</v>
      </c>
      <c r="F239" t="s">
        <v>1322</v>
      </c>
      <c r="G239">
        <v>96</v>
      </c>
      <c r="H239" t="s">
        <v>16</v>
      </c>
      <c r="I239" t="s">
        <v>24</v>
      </c>
      <c r="J239" t="s">
        <v>1317</v>
      </c>
      <c r="K239">
        <v>72</v>
      </c>
      <c r="L239" t="s">
        <v>42</v>
      </c>
      <c r="M239" t="s">
        <v>1273</v>
      </c>
      <c r="N239" t="s">
        <v>91</v>
      </c>
      <c r="O239" s="12">
        <v>45836.938194444447</v>
      </c>
      <c r="P239" s="12">
        <v>45839.729861111111</v>
      </c>
      <c r="Q239" s="12">
        <v>45839.76458333333</v>
      </c>
      <c r="R239" s="12">
        <v>45839.863888888889</v>
      </c>
      <c r="S239" s="12">
        <v>45841.988888888889</v>
      </c>
      <c r="U239" t="b">
        <v>1</v>
      </c>
      <c r="V239" s="12">
        <v>45872.438194444447</v>
      </c>
      <c r="W239" t="s">
        <v>623</v>
      </c>
      <c r="X239" t="s">
        <v>2350</v>
      </c>
      <c r="Y239" t="s">
        <v>2351</v>
      </c>
    </row>
    <row r="240" spans="1:25">
      <c r="A240" t="s">
        <v>2352</v>
      </c>
      <c r="B240" t="s">
        <v>2071</v>
      </c>
      <c r="C240" t="s">
        <v>1738</v>
      </c>
      <c r="D240" t="s">
        <v>2353</v>
      </c>
      <c r="E240" t="s">
        <v>707</v>
      </c>
      <c r="F240" t="s">
        <v>1523</v>
      </c>
      <c r="G240">
        <v>2605</v>
      </c>
      <c r="H240" t="s">
        <v>440</v>
      </c>
      <c r="J240" t="s">
        <v>1317</v>
      </c>
      <c r="K240">
        <v>72</v>
      </c>
      <c r="L240" t="s">
        <v>1272</v>
      </c>
      <c r="M240" t="s">
        <v>1273</v>
      </c>
      <c r="N240" t="s">
        <v>55</v>
      </c>
      <c r="O240" s="12">
        <v>46138.324999999997</v>
      </c>
      <c r="P240" s="12">
        <v>46141.324999999997</v>
      </c>
      <c r="Q240" s="12">
        <v>46141.376388888886</v>
      </c>
      <c r="R240" s="12">
        <v>46141.413194444445</v>
      </c>
      <c r="S240" s="12">
        <v>46142.913194444445</v>
      </c>
      <c r="U240" t="b">
        <v>1</v>
      </c>
      <c r="V240" s="12">
        <v>46284.574999999997</v>
      </c>
      <c r="W240" t="s">
        <v>706</v>
      </c>
      <c r="X240" t="s">
        <v>2354</v>
      </c>
    </row>
    <row r="241" spans="1:25">
      <c r="A241" t="s">
        <v>2355</v>
      </c>
      <c r="B241" t="s">
        <v>1983</v>
      </c>
      <c r="C241" t="s">
        <v>1490</v>
      </c>
      <c r="D241" t="s">
        <v>2356</v>
      </c>
      <c r="E241" t="s">
        <v>1026</v>
      </c>
      <c r="F241" t="s">
        <v>1471</v>
      </c>
      <c r="G241">
        <v>1510</v>
      </c>
      <c r="H241" t="s">
        <v>95</v>
      </c>
      <c r="I241" t="s">
        <v>17</v>
      </c>
      <c r="J241" t="s">
        <v>1288</v>
      </c>
      <c r="K241">
        <v>72</v>
      </c>
      <c r="L241" t="s">
        <v>42</v>
      </c>
      <c r="M241" t="s">
        <v>1273</v>
      </c>
      <c r="N241" t="s">
        <v>18</v>
      </c>
      <c r="O241" s="12">
        <v>45353.910416666666</v>
      </c>
      <c r="P241" s="12">
        <v>45355.243750000001</v>
      </c>
      <c r="Q241" s="12">
        <v>45355.293749999997</v>
      </c>
      <c r="R241" s="12">
        <v>45355.420138888891</v>
      </c>
      <c r="S241" s="12">
        <v>45358.086805555555</v>
      </c>
      <c r="U241" t="b">
        <v>1</v>
      </c>
      <c r="V241" s="12">
        <v>45474.07708333333</v>
      </c>
      <c r="W241" t="s">
        <v>1025</v>
      </c>
      <c r="X241" t="s">
        <v>2357</v>
      </c>
      <c r="Y241" t="s">
        <v>2358</v>
      </c>
    </row>
    <row r="242" spans="1:25">
      <c r="A242" t="s">
        <v>2359</v>
      </c>
      <c r="B242" t="s">
        <v>1485</v>
      </c>
      <c r="C242" t="s">
        <v>1721</v>
      </c>
      <c r="D242" t="s">
        <v>2360</v>
      </c>
      <c r="E242" t="s">
        <v>300</v>
      </c>
      <c r="F242" t="s">
        <v>1392</v>
      </c>
      <c r="G242">
        <v>37</v>
      </c>
      <c r="H242" t="s">
        <v>16</v>
      </c>
      <c r="I242" t="s">
        <v>24</v>
      </c>
      <c r="J242" t="s">
        <v>1288</v>
      </c>
      <c r="K242">
        <v>72</v>
      </c>
      <c r="L242" t="s">
        <v>42</v>
      </c>
      <c r="M242" t="s">
        <v>1273</v>
      </c>
      <c r="N242" t="s">
        <v>91</v>
      </c>
      <c r="O242" s="12">
        <v>45396.884722222225</v>
      </c>
      <c r="P242" s="12">
        <v>45397.843055555553</v>
      </c>
      <c r="Q242" s="12">
        <v>45397.893750000003</v>
      </c>
      <c r="R242" s="12">
        <v>45398.015277777777</v>
      </c>
      <c r="S242" s="12">
        <v>45400.931944444441</v>
      </c>
      <c r="U242" t="b">
        <v>1</v>
      </c>
      <c r="V242" s="12">
        <v>45460.426388888889</v>
      </c>
      <c r="W242" t="s">
        <v>299</v>
      </c>
      <c r="X242" t="s">
        <v>2361</v>
      </c>
    </row>
    <row r="243" spans="1:25">
      <c r="A243" t="s">
        <v>2362</v>
      </c>
      <c r="B243" t="s">
        <v>2058</v>
      </c>
      <c r="C243" t="s">
        <v>1636</v>
      </c>
      <c r="D243" t="s">
        <v>2363</v>
      </c>
      <c r="E243" t="s">
        <v>781</v>
      </c>
      <c r="F243" t="s">
        <v>1270</v>
      </c>
      <c r="G243">
        <v>398</v>
      </c>
      <c r="H243" t="s">
        <v>99</v>
      </c>
      <c r="I243" t="s">
        <v>30</v>
      </c>
      <c r="J243" t="s">
        <v>1413</v>
      </c>
      <c r="K243">
        <v>72</v>
      </c>
      <c r="L243" t="s">
        <v>42</v>
      </c>
      <c r="M243" t="s">
        <v>1273</v>
      </c>
      <c r="N243" t="s">
        <v>36</v>
      </c>
      <c r="O243" s="12">
        <v>45388.419444444444</v>
      </c>
      <c r="P243" s="12">
        <v>45390.75277777778</v>
      </c>
      <c r="Q243" s="12">
        <v>45390.796527777777</v>
      </c>
      <c r="R243" s="12">
        <v>45390.849305555559</v>
      </c>
      <c r="S243" s="12">
        <v>45391.224305555559</v>
      </c>
      <c r="U243" t="b">
        <v>1</v>
      </c>
      <c r="V243" s="12">
        <v>45411.00277777778</v>
      </c>
      <c r="W243" t="s">
        <v>780</v>
      </c>
      <c r="X243" t="s">
        <v>2364</v>
      </c>
      <c r="Y243" t="s">
        <v>2365</v>
      </c>
    </row>
    <row r="244" spans="1:25">
      <c r="A244" t="s">
        <v>2366</v>
      </c>
      <c r="B244" t="s">
        <v>1396</v>
      </c>
      <c r="C244" t="s">
        <v>1655</v>
      </c>
      <c r="D244" t="s">
        <v>2367</v>
      </c>
      <c r="E244" t="s">
        <v>716</v>
      </c>
      <c r="F244" t="s">
        <v>1633</v>
      </c>
      <c r="G244">
        <v>370</v>
      </c>
      <c r="H244" t="s">
        <v>638</v>
      </c>
      <c r="I244" t="s">
        <v>30</v>
      </c>
      <c r="J244" t="s">
        <v>1271</v>
      </c>
      <c r="K244">
        <v>72</v>
      </c>
      <c r="L244" t="s">
        <v>42</v>
      </c>
      <c r="M244" t="s">
        <v>1273</v>
      </c>
      <c r="N244" t="s">
        <v>55</v>
      </c>
      <c r="O244" s="12">
        <v>44867.720138888886</v>
      </c>
      <c r="P244" s="12">
        <v>44869.136805555558</v>
      </c>
      <c r="Q244" s="12">
        <v>44869.154166666667</v>
      </c>
      <c r="R244" s="12">
        <v>44869.261111111111</v>
      </c>
      <c r="S244" s="12">
        <v>44871.386111111111</v>
      </c>
      <c r="U244" t="b">
        <v>1</v>
      </c>
      <c r="V244" s="12">
        <v>44897.470138888886</v>
      </c>
      <c r="W244" t="s">
        <v>715</v>
      </c>
      <c r="X244" t="s">
        <v>2368</v>
      </c>
      <c r="Y244" t="s">
        <v>2369</v>
      </c>
    </row>
    <row r="245" spans="1:25">
      <c r="A245" t="s">
        <v>2370</v>
      </c>
      <c r="B245" t="s">
        <v>1147</v>
      </c>
      <c r="C245" t="s">
        <v>1291</v>
      </c>
      <c r="D245" t="s">
        <v>2371</v>
      </c>
      <c r="E245" t="s">
        <v>361</v>
      </c>
      <c r="F245" t="s">
        <v>1322</v>
      </c>
      <c r="G245">
        <v>87</v>
      </c>
      <c r="H245" t="s">
        <v>178</v>
      </c>
      <c r="I245" t="s">
        <v>24</v>
      </c>
      <c r="J245" t="s">
        <v>1413</v>
      </c>
      <c r="K245">
        <v>72</v>
      </c>
      <c r="L245" t="s">
        <v>42</v>
      </c>
      <c r="M245" t="s">
        <v>1273</v>
      </c>
      <c r="N245" t="s">
        <v>59</v>
      </c>
      <c r="O245" s="12">
        <v>45776.881944444445</v>
      </c>
      <c r="P245" s="12">
        <v>45778.423611111109</v>
      </c>
      <c r="Q245" s="12">
        <v>45778.473611111112</v>
      </c>
      <c r="R245" s="12">
        <v>45778.515972222223</v>
      </c>
      <c r="S245" s="12">
        <v>45781.265972222223</v>
      </c>
      <c r="U245" t="b">
        <v>1</v>
      </c>
      <c r="V245" s="12">
        <v>45814.590277777781</v>
      </c>
      <c r="W245" t="s">
        <v>360</v>
      </c>
      <c r="X245" t="s">
        <v>2372</v>
      </c>
      <c r="Y245" t="s">
        <v>2373</v>
      </c>
    </row>
    <row r="246" spans="1:25">
      <c r="A246" t="s">
        <v>2374</v>
      </c>
      <c r="B246" t="s">
        <v>1567</v>
      </c>
      <c r="C246" t="s">
        <v>1797</v>
      </c>
      <c r="D246" t="s">
        <v>2375</v>
      </c>
      <c r="E246" t="s">
        <v>877</v>
      </c>
      <c r="F246" t="s">
        <v>1453</v>
      </c>
      <c r="G246">
        <v>587</v>
      </c>
      <c r="H246" t="s">
        <v>23</v>
      </c>
      <c r="I246" t="s">
        <v>30</v>
      </c>
      <c r="J246" t="s">
        <v>1413</v>
      </c>
      <c r="K246">
        <v>72</v>
      </c>
      <c r="L246" t="s">
        <v>42</v>
      </c>
      <c r="M246" t="s">
        <v>1273</v>
      </c>
      <c r="N246" t="s">
        <v>82</v>
      </c>
      <c r="O246" s="12">
        <v>46001.459722222222</v>
      </c>
      <c r="P246" s="12">
        <v>46001.584722222222</v>
      </c>
      <c r="Q246" s="12">
        <v>46001.625</v>
      </c>
      <c r="R246" s="12">
        <v>46001.660416666666</v>
      </c>
      <c r="S246" s="12">
        <v>46003.32708333333</v>
      </c>
      <c r="U246" t="b">
        <v>1</v>
      </c>
      <c r="V246" s="12">
        <v>46102.584722222222</v>
      </c>
      <c r="W246" t="s">
        <v>876</v>
      </c>
      <c r="X246" t="s">
        <v>2376</v>
      </c>
      <c r="Y246" t="s">
        <v>2377</v>
      </c>
    </row>
    <row r="247" spans="1:25">
      <c r="A247" t="s">
        <v>2378</v>
      </c>
      <c r="B247" t="s">
        <v>1179</v>
      </c>
      <c r="C247" t="s">
        <v>1203</v>
      </c>
      <c r="D247" t="s">
        <v>2379</v>
      </c>
      <c r="E247" t="s">
        <v>599</v>
      </c>
      <c r="F247" t="s">
        <v>2271</v>
      </c>
      <c r="G247">
        <v>131</v>
      </c>
      <c r="H247" t="s">
        <v>81</v>
      </c>
      <c r="I247" t="s">
        <v>24</v>
      </c>
      <c r="J247" t="s">
        <v>1317</v>
      </c>
      <c r="K247">
        <v>80</v>
      </c>
      <c r="L247" t="s">
        <v>42</v>
      </c>
      <c r="M247" t="s">
        <v>1273</v>
      </c>
      <c r="N247" t="s">
        <v>25</v>
      </c>
      <c r="O247" s="12">
        <v>44994.609027777777</v>
      </c>
      <c r="P247" s="12">
        <v>44994.817361111112</v>
      </c>
      <c r="Q247" s="12">
        <v>44994.843055555553</v>
      </c>
      <c r="R247" s="12">
        <v>44994.927083333336</v>
      </c>
      <c r="S247" s="12">
        <v>44995.71875</v>
      </c>
      <c r="U247" t="b">
        <v>1</v>
      </c>
      <c r="V247" s="12">
        <v>45091.817361111112</v>
      </c>
      <c r="W247" t="s">
        <v>598</v>
      </c>
      <c r="X247" t="s">
        <v>2380</v>
      </c>
      <c r="Y247" t="s">
        <v>2381</v>
      </c>
    </row>
    <row r="248" spans="1:25">
      <c r="A248" t="s">
        <v>2382</v>
      </c>
      <c r="B248" t="s">
        <v>1515</v>
      </c>
      <c r="C248" t="s">
        <v>1841</v>
      </c>
      <c r="D248" t="s">
        <v>2383</v>
      </c>
      <c r="E248" t="s">
        <v>426</v>
      </c>
      <c r="F248" t="s">
        <v>1287</v>
      </c>
      <c r="G248">
        <v>69</v>
      </c>
      <c r="H248" t="s">
        <v>95</v>
      </c>
      <c r="I248" t="s">
        <v>24</v>
      </c>
      <c r="J248" t="s">
        <v>1288</v>
      </c>
      <c r="K248">
        <v>72</v>
      </c>
      <c r="L248" t="s">
        <v>42</v>
      </c>
      <c r="M248" t="s">
        <v>1273</v>
      </c>
      <c r="N248" t="s">
        <v>91</v>
      </c>
      <c r="O248" s="12">
        <v>45306.501388888886</v>
      </c>
      <c r="P248" s="12">
        <v>45307.959722222222</v>
      </c>
      <c r="Q248" s="12">
        <v>45307.979861111111</v>
      </c>
      <c r="R248" s="12">
        <v>45308.00277777778</v>
      </c>
      <c r="S248" s="12">
        <v>45309.586111111108</v>
      </c>
      <c r="U248" t="b">
        <v>1</v>
      </c>
      <c r="V248" s="12">
        <v>45329.168055555558</v>
      </c>
      <c r="W248" t="s">
        <v>425</v>
      </c>
      <c r="X248" t="s">
        <v>2384</v>
      </c>
      <c r="Y248" t="s">
        <v>2385</v>
      </c>
    </row>
    <row r="249" spans="1:25">
      <c r="A249" t="s">
        <v>2386</v>
      </c>
      <c r="B249" t="s">
        <v>1485</v>
      </c>
      <c r="C249" t="s">
        <v>1579</v>
      </c>
      <c r="D249" t="s">
        <v>2387</v>
      </c>
      <c r="E249" t="s">
        <v>225</v>
      </c>
      <c r="F249" t="s">
        <v>1477</v>
      </c>
      <c r="G249">
        <v>657</v>
      </c>
      <c r="H249" t="s">
        <v>226</v>
      </c>
      <c r="I249" t="s">
        <v>30</v>
      </c>
      <c r="J249" t="s">
        <v>1413</v>
      </c>
      <c r="K249">
        <v>72</v>
      </c>
      <c r="L249" t="s">
        <v>1272</v>
      </c>
      <c r="M249" t="s">
        <v>1273</v>
      </c>
      <c r="N249" t="s">
        <v>55</v>
      </c>
      <c r="O249" s="12">
        <v>45592.011111111111</v>
      </c>
      <c r="P249" s="12">
        <v>45594.386111111111</v>
      </c>
      <c r="Q249" s="12">
        <v>45594.40625</v>
      </c>
      <c r="R249" s="12">
        <v>45594.505555555559</v>
      </c>
      <c r="S249" s="12">
        <v>45596.755555555559</v>
      </c>
      <c r="U249" t="b">
        <v>1</v>
      </c>
      <c r="V249" s="12">
        <v>45705.552777777775</v>
      </c>
      <c r="W249" t="s">
        <v>224</v>
      </c>
      <c r="X249" t="s">
        <v>2388</v>
      </c>
    </row>
    <row r="250" spans="1:25">
      <c r="A250" t="s">
        <v>2389</v>
      </c>
      <c r="B250" t="s">
        <v>1485</v>
      </c>
      <c r="C250" t="s">
        <v>1278</v>
      </c>
      <c r="D250" t="s">
        <v>2390</v>
      </c>
      <c r="E250" t="s">
        <v>393</v>
      </c>
      <c r="F250" t="s">
        <v>2084</v>
      </c>
      <c r="G250">
        <v>1191</v>
      </c>
      <c r="H250" t="s">
        <v>127</v>
      </c>
      <c r="I250" t="s">
        <v>17</v>
      </c>
      <c r="J250" t="s">
        <v>1413</v>
      </c>
      <c r="K250">
        <v>72</v>
      </c>
      <c r="L250" t="s">
        <v>42</v>
      </c>
      <c r="M250" t="s">
        <v>1273</v>
      </c>
      <c r="N250" t="s">
        <v>82</v>
      </c>
      <c r="O250" s="12">
        <v>45803.274305555555</v>
      </c>
      <c r="P250" s="12">
        <v>45803.440972222219</v>
      </c>
      <c r="Q250" s="12">
        <v>45803.48333333333</v>
      </c>
      <c r="R250" s="12">
        <v>45803.507638888892</v>
      </c>
      <c r="S250" s="12">
        <v>45805.96597222222</v>
      </c>
      <c r="U250" t="b">
        <v>1</v>
      </c>
      <c r="V250" s="12">
        <v>45905.274305555555</v>
      </c>
      <c r="W250" t="s">
        <v>392</v>
      </c>
      <c r="X250" t="s">
        <v>2391</v>
      </c>
      <c r="Y250" t="s">
        <v>2392</v>
      </c>
    </row>
    <row r="251" spans="1:25">
      <c r="A251" t="s">
        <v>2393</v>
      </c>
      <c r="B251" t="s">
        <v>1171</v>
      </c>
      <c r="C251" t="s">
        <v>1222</v>
      </c>
      <c r="D251" t="s">
        <v>2394</v>
      </c>
      <c r="E251" t="s">
        <v>200</v>
      </c>
      <c r="F251" t="s">
        <v>1523</v>
      </c>
      <c r="G251">
        <v>56</v>
      </c>
      <c r="H251" t="s">
        <v>192</v>
      </c>
      <c r="I251" t="s">
        <v>24</v>
      </c>
      <c r="J251" t="s">
        <v>1288</v>
      </c>
      <c r="K251">
        <v>72</v>
      </c>
      <c r="L251" t="s">
        <v>42</v>
      </c>
      <c r="M251" t="s">
        <v>1273</v>
      </c>
      <c r="N251" t="s">
        <v>91</v>
      </c>
      <c r="O251" s="12">
        <v>45807.462500000001</v>
      </c>
      <c r="P251" s="12">
        <v>45809.54583333333</v>
      </c>
      <c r="Q251" s="12">
        <v>45809.59652777778</v>
      </c>
      <c r="R251" s="12">
        <v>45809.67083333333</v>
      </c>
      <c r="S251" s="12">
        <v>45812.254166666666</v>
      </c>
      <c r="U251" t="b">
        <v>1</v>
      </c>
      <c r="V251" s="12">
        <v>45940.962500000001</v>
      </c>
      <c r="W251" t="s">
        <v>199</v>
      </c>
      <c r="X251" t="s">
        <v>2395</v>
      </c>
      <c r="Y251" t="s">
        <v>2396</v>
      </c>
    </row>
    <row r="252" spans="1:25">
      <c r="A252" t="s">
        <v>2397</v>
      </c>
      <c r="B252" t="s">
        <v>1809</v>
      </c>
      <c r="C252" t="s">
        <v>1365</v>
      </c>
      <c r="D252" t="s">
        <v>2398</v>
      </c>
      <c r="E252" t="s">
        <v>251</v>
      </c>
      <c r="F252" t="s">
        <v>1453</v>
      </c>
      <c r="G252">
        <v>502</v>
      </c>
      <c r="H252" t="s">
        <v>154</v>
      </c>
      <c r="I252" t="s">
        <v>30</v>
      </c>
      <c r="J252" t="s">
        <v>1413</v>
      </c>
      <c r="K252">
        <v>72</v>
      </c>
      <c r="L252" t="s">
        <v>42</v>
      </c>
      <c r="M252" t="s">
        <v>1273</v>
      </c>
      <c r="N252" t="s">
        <v>82</v>
      </c>
      <c r="O252" s="12">
        <v>44927.504166666666</v>
      </c>
      <c r="P252" s="12">
        <v>44928.712500000001</v>
      </c>
      <c r="Q252" s="12">
        <v>44928.724305555559</v>
      </c>
      <c r="R252" s="12">
        <v>44929.807638888888</v>
      </c>
      <c r="S252" s="12">
        <v>44931.557638888888</v>
      </c>
      <c r="U252" t="b">
        <v>1</v>
      </c>
      <c r="V252" s="12">
        <v>45033.79583333333</v>
      </c>
      <c r="W252" t="s">
        <v>250</v>
      </c>
      <c r="X252" t="s">
        <v>2399</v>
      </c>
    </row>
    <row r="253" spans="1:25">
      <c r="A253" t="s">
        <v>2400</v>
      </c>
      <c r="B253" t="s">
        <v>1605</v>
      </c>
      <c r="C253" t="s">
        <v>1152</v>
      </c>
      <c r="D253" t="s">
        <v>2401</v>
      </c>
      <c r="E253" t="s">
        <v>468</v>
      </c>
      <c r="F253" t="s">
        <v>2011</v>
      </c>
      <c r="G253">
        <v>805</v>
      </c>
      <c r="H253" t="s">
        <v>16</v>
      </c>
      <c r="I253" t="s">
        <v>30</v>
      </c>
      <c r="J253" t="s">
        <v>1295</v>
      </c>
      <c r="K253">
        <v>79</v>
      </c>
      <c r="L253" t="s">
        <v>42</v>
      </c>
      <c r="M253" t="s">
        <v>1273</v>
      </c>
      <c r="N253" t="s">
        <v>18</v>
      </c>
      <c r="O253" s="12">
        <v>46021.102777777778</v>
      </c>
      <c r="P253" s="12">
        <v>46021.727777777778</v>
      </c>
      <c r="Q253" s="12">
        <v>46021.751388888886</v>
      </c>
      <c r="R253" s="12">
        <v>46022.418055555558</v>
      </c>
      <c r="S253" s="12">
        <v>46024.168055555558</v>
      </c>
      <c r="U253" t="b">
        <v>1</v>
      </c>
      <c r="V253" s="12">
        <v>46165.186111111114</v>
      </c>
      <c r="W253" t="s">
        <v>467</v>
      </c>
      <c r="X253" t="s">
        <v>2402</v>
      </c>
    </row>
    <row r="254" spans="1:25">
      <c r="A254" t="s">
        <v>2403</v>
      </c>
      <c r="B254" t="s">
        <v>1809</v>
      </c>
      <c r="C254" t="s">
        <v>1936</v>
      </c>
      <c r="D254" t="s">
        <v>2404</v>
      </c>
      <c r="E254" t="s">
        <v>937</v>
      </c>
      <c r="F254" t="s">
        <v>2324</v>
      </c>
      <c r="G254">
        <v>701</v>
      </c>
      <c r="H254" t="s">
        <v>205</v>
      </c>
      <c r="I254" t="s">
        <v>30</v>
      </c>
      <c r="J254" t="s">
        <v>1317</v>
      </c>
      <c r="K254">
        <v>79</v>
      </c>
      <c r="L254" t="s">
        <v>1272</v>
      </c>
      <c r="M254" t="s">
        <v>1273</v>
      </c>
      <c r="N254" t="s">
        <v>36</v>
      </c>
      <c r="O254" s="12">
        <v>45945.897222222222</v>
      </c>
      <c r="P254" s="12">
        <v>45945.980555555558</v>
      </c>
      <c r="Q254" s="12">
        <v>45946.023611111108</v>
      </c>
      <c r="R254" s="12">
        <v>45946.079861111109</v>
      </c>
      <c r="S254" s="12">
        <v>45948.163194444445</v>
      </c>
      <c r="U254" t="b">
        <v>1</v>
      </c>
      <c r="V254" s="12">
        <v>46093.355555555558</v>
      </c>
      <c r="W254" t="s">
        <v>936</v>
      </c>
      <c r="X254" t="s">
        <v>2405</v>
      </c>
      <c r="Y254" t="s">
        <v>2406</v>
      </c>
    </row>
    <row r="255" spans="1:25">
      <c r="A255" t="s">
        <v>2407</v>
      </c>
      <c r="B255" t="s">
        <v>1567</v>
      </c>
      <c r="C255" t="s">
        <v>1314</v>
      </c>
      <c r="D255" t="s">
        <v>2408</v>
      </c>
      <c r="E255" t="s">
        <v>770</v>
      </c>
      <c r="F255" t="s">
        <v>2117</v>
      </c>
      <c r="G255">
        <v>89</v>
      </c>
      <c r="H255" t="s">
        <v>154</v>
      </c>
      <c r="I255" t="s">
        <v>24</v>
      </c>
      <c r="J255" t="s">
        <v>1355</v>
      </c>
      <c r="K255">
        <v>72</v>
      </c>
      <c r="L255" t="s">
        <v>1272</v>
      </c>
      <c r="M255" t="s">
        <v>1273</v>
      </c>
      <c r="N255" t="s">
        <v>25</v>
      </c>
      <c r="O255" s="12">
        <v>45510.475694444445</v>
      </c>
      <c r="P255" s="12">
        <v>45511.600694444445</v>
      </c>
      <c r="Q255" s="12">
        <v>45511.64166666667</v>
      </c>
      <c r="R255" s="12">
        <v>45511.741666666669</v>
      </c>
      <c r="S255" s="12">
        <v>45513.408333333333</v>
      </c>
      <c r="U255" t="b">
        <v>1</v>
      </c>
      <c r="V255" s="12">
        <v>45581.059027777781</v>
      </c>
      <c r="W255" t="s">
        <v>769</v>
      </c>
      <c r="X255" t="s">
        <v>2409</v>
      </c>
    </row>
    <row r="256" spans="1:25">
      <c r="A256" t="s">
        <v>2410</v>
      </c>
      <c r="B256" t="s">
        <v>1916</v>
      </c>
      <c r="C256" t="s">
        <v>1292</v>
      </c>
      <c r="D256" t="s">
        <v>2411</v>
      </c>
      <c r="E256" t="s">
        <v>454</v>
      </c>
      <c r="F256" t="s">
        <v>2412</v>
      </c>
      <c r="G256">
        <v>162</v>
      </c>
      <c r="H256" t="s">
        <v>205</v>
      </c>
      <c r="I256" t="s">
        <v>24</v>
      </c>
      <c r="J256" t="s">
        <v>1413</v>
      </c>
      <c r="K256">
        <v>72</v>
      </c>
      <c r="L256" t="s">
        <v>1272</v>
      </c>
      <c r="M256" t="s">
        <v>1273</v>
      </c>
      <c r="N256" t="s">
        <v>59</v>
      </c>
      <c r="O256" s="12">
        <v>45864.816666666666</v>
      </c>
      <c r="P256" s="12">
        <v>45867.566666666666</v>
      </c>
      <c r="Q256" s="12">
        <v>45867.581250000003</v>
      </c>
      <c r="R256" s="12">
        <v>45867.650694444441</v>
      </c>
      <c r="S256" s="12">
        <v>45869.025694444441</v>
      </c>
      <c r="U256" t="b">
        <v>1</v>
      </c>
      <c r="V256" s="12">
        <v>45947.816666666666</v>
      </c>
      <c r="W256" t="s">
        <v>453</v>
      </c>
      <c r="X256" t="s">
        <v>2413</v>
      </c>
      <c r="Y256" t="s">
        <v>2414</v>
      </c>
    </row>
    <row r="257" spans="1:25">
      <c r="A257" t="s">
        <v>2415</v>
      </c>
      <c r="B257" t="s">
        <v>2136</v>
      </c>
      <c r="C257" t="s">
        <v>1135</v>
      </c>
      <c r="D257" t="s">
        <v>2416</v>
      </c>
      <c r="E257" t="s">
        <v>442</v>
      </c>
      <c r="F257" t="s">
        <v>1501</v>
      </c>
      <c r="G257">
        <v>577</v>
      </c>
      <c r="H257" t="s">
        <v>216</v>
      </c>
      <c r="I257" t="s">
        <v>30</v>
      </c>
      <c r="J257" t="s">
        <v>1281</v>
      </c>
      <c r="K257">
        <v>72</v>
      </c>
      <c r="L257" t="s">
        <v>1272</v>
      </c>
      <c r="M257" t="s">
        <v>1273</v>
      </c>
      <c r="N257" t="s">
        <v>18</v>
      </c>
      <c r="O257" s="12">
        <v>46162.819444444445</v>
      </c>
      <c r="P257" s="12">
        <v>46165.152777777781</v>
      </c>
      <c r="Q257" s="12">
        <v>46165.174305555556</v>
      </c>
      <c r="R257" s="12">
        <v>46165.924305555556</v>
      </c>
      <c r="S257" s="12">
        <v>46167.299305555556</v>
      </c>
      <c r="U257" t="b">
        <v>1</v>
      </c>
      <c r="V257" s="12">
        <v>46269.986111111109</v>
      </c>
      <c r="W257" t="s">
        <v>441</v>
      </c>
      <c r="X257" t="s">
        <v>2417</v>
      </c>
    </row>
    <row r="258" spans="1:25">
      <c r="A258" t="s">
        <v>2418</v>
      </c>
      <c r="B258" t="s">
        <v>1377</v>
      </c>
      <c r="C258" t="s">
        <v>1841</v>
      </c>
      <c r="D258" t="s">
        <v>2419</v>
      </c>
      <c r="E258" t="s">
        <v>907</v>
      </c>
      <c r="F258" t="s">
        <v>1686</v>
      </c>
      <c r="G258">
        <v>2011</v>
      </c>
      <c r="H258" t="s">
        <v>154</v>
      </c>
      <c r="I258" t="s">
        <v>17</v>
      </c>
      <c r="J258" t="s">
        <v>1355</v>
      </c>
      <c r="K258">
        <v>79</v>
      </c>
      <c r="L258" t="s">
        <v>1272</v>
      </c>
      <c r="M258" t="s">
        <v>1273</v>
      </c>
      <c r="N258" t="s">
        <v>82</v>
      </c>
      <c r="O258" s="12">
        <v>45446.584027777775</v>
      </c>
      <c r="P258" s="12">
        <v>45446.750694444447</v>
      </c>
      <c r="Q258" s="12">
        <v>45446.794444444444</v>
      </c>
      <c r="R258" s="12">
        <v>45446.929861111108</v>
      </c>
      <c r="S258" s="12">
        <v>45449.513194444444</v>
      </c>
      <c r="U258" t="b">
        <v>1</v>
      </c>
      <c r="V258" s="12">
        <v>45557.584027777775</v>
      </c>
      <c r="W258" t="s">
        <v>906</v>
      </c>
      <c r="X258" t="s">
        <v>2420</v>
      </c>
    </row>
    <row r="259" spans="1:25">
      <c r="A259" t="s">
        <v>2421</v>
      </c>
      <c r="B259" t="s">
        <v>1377</v>
      </c>
      <c r="C259" t="s">
        <v>1870</v>
      </c>
      <c r="D259" t="s">
        <v>2422</v>
      </c>
      <c r="E259" t="s">
        <v>746</v>
      </c>
      <c r="G259">
        <v>56</v>
      </c>
      <c r="H259" t="s">
        <v>366</v>
      </c>
      <c r="I259" t="s">
        <v>24</v>
      </c>
      <c r="J259" t="s">
        <v>1288</v>
      </c>
      <c r="K259">
        <v>72</v>
      </c>
      <c r="L259" t="s">
        <v>1272</v>
      </c>
      <c r="M259" t="s">
        <v>1273</v>
      </c>
      <c r="N259" t="s">
        <v>91</v>
      </c>
      <c r="O259" s="12">
        <v>46065.303472222222</v>
      </c>
      <c r="P259" s="12">
        <v>46065.928472222222</v>
      </c>
      <c r="Q259" s="12">
        <v>46065.958333333336</v>
      </c>
      <c r="R259" s="12">
        <v>46066.037499999999</v>
      </c>
      <c r="S259" s="12">
        <v>46067.70416666667</v>
      </c>
      <c r="U259" t="b">
        <v>1</v>
      </c>
      <c r="V259" s="12">
        <v>46118.928472222222</v>
      </c>
      <c r="W259" t="s">
        <v>745</v>
      </c>
      <c r="X259" t="s">
        <v>2423</v>
      </c>
      <c r="Y259" t="s">
        <v>2424</v>
      </c>
    </row>
    <row r="260" spans="1:25">
      <c r="A260" t="s">
        <v>2425</v>
      </c>
      <c r="B260" t="s">
        <v>1111</v>
      </c>
      <c r="C260" t="s">
        <v>1462</v>
      </c>
      <c r="D260" t="s">
        <v>2426</v>
      </c>
      <c r="E260" t="s">
        <v>695</v>
      </c>
      <c r="F260" t="s">
        <v>2084</v>
      </c>
      <c r="G260">
        <v>1557</v>
      </c>
      <c r="H260" t="s">
        <v>366</v>
      </c>
      <c r="I260" t="s">
        <v>17</v>
      </c>
      <c r="J260" t="s">
        <v>1413</v>
      </c>
      <c r="K260">
        <v>72</v>
      </c>
      <c r="L260" t="s">
        <v>1272</v>
      </c>
      <c r="M260" t="s">
        <v>1273</v>
      </c>
      <c r="N260" t="s">
        <v>18</v>
      </c>
      <c r="O260" s="12">
        <v>45330.926388888889</v>
      </c>
      <c r="P260" s="12">
        <v>45332.968055555553</v>
      </c>
      <c r="Q260" s="12">
        <v>45332.995138888888</v>
      </c>
      <c r="R260" s="12">
        <v>45333.05</v>
      </c>
      <c r="S260" s="12">
        <v>45335.466666666667</v>
      </c>
      <c r="U260" t="b">
        <v>1</v>
      </c>
      <c r="V260" s="12">
        <v>45377.093055555553</v>
      </c>
      <c r="W260" t="s">
        <v>694</v>
      </c>
      <c r="X260" t="s">
        <v>2427</v>
      </c>
      <c r="Y260" t="s">
        <v>2428</v>
      </c>
    </row>
    <row r="261" spans="1:25">
      <c r="A261" t="s">
        <v>2429</v>
      </c>
      <c r="B261" t="s">
        <v>1481</v>
      </c>
      <c r="C261" t="s">
        <v>1337</v>
      </c>
      <c r="D261" t="s">
        <v>2430</v>
      </c>
      <c r="E261" t="s">
        <v>778</v>
      </c>
      <c r="F261" t="s">
        <v>2412</v>
      </c>
      <c r="G261">
        <v>169</v>
      </c>
      <c r="H261" t="s">
        <v>120</v>
      </c>
      <c r="I261" t="s">
        <v>24</v>
      </c>
      <c r="J261" t="s">
        <v>1295</v>
      </c>
      <c r="K261">
        <v>82</v>
      </c>
      <c r="L261" t="s">
        <v>1272</v>
      </c>
      <c r="M261" t="s">
        <v>1273</v>
      </c>
      <c r="N261" t="s">
        <v>25</v>
      </c>
      <c r="O261" s="12">
        <v>45952.806944444441</v>
      </c>
      <c r="P261" s="12">
        <v>45953.931944444441</v>
      </c>
      <c r="Q261" s="12">
        <v>45953.96875</v>
      </c>
      <c r="R261" s="12">
        <v>45954.052777777775</v>
      </c>
      <c r="S261" s="12">
        <v>45957.011111111111</v>
      </c>
      <c r="U261" t="b">
        <v>1</v>
      </c>
      <c r="V261" s="12">
        <v>46013.556944444441</v>
      </c>
      <c r="W261" t="s">
        <v>777</v>
      </c>
      <c r="X261" t="s">
        <v>2431</v>
      </c>
      <c r="Y261" t="s">
        <v>2432</v>
      </c>
    </row>
    <row r="262" spans="1:25">
      <c r="A262" t="s">
        <v>2433</v>
      </c>
      <c r="B262" t="s">
        <v>1157</v>
      </c>
      <c r="C262" t="s">
        <v>1125</v>
      </c>
      <c r="D262" t="s">
        <v>2434</v>
      </c>
      <c r="E262" t="s">
        <v>913</v>
      </c>
      <c r="F262" t="s">
        <v>1453</v>
      </c>
      <c r="G262">
        <v>542</v>
      </c>
      <c r="H262" t="s">
        <v>236</v>
      </c>
      <c r="I262" t="s">
        <v>30</v>
      </c>
      <c r="J262" t="s">
        <v>1288</v>
      </c>
      <c r="K262">
        <v>72</v>
      </c>
      <c r="L262" t="s">
        <v>42</v>
      </c>
      <c r="M262" t="s">
        <v>1273</v>
      </c>
      <c r="N262" t="s">
        <v>18</v>
      </c>
      <c r="O262" s="12">
        <v>44737.010416666664</v>
      </c>
      <c r="P262" s="12">
        <v>44739.09375</v>
      </c>
      <c r="Q262" s="12">
        <v>44739.147222222222</v>
      </c>
      <c r="R262" s="12">
        <v>44739.197916666664</v>
      </c>
      <c r="S262" s="12">
        <v>44739.78125</v>
      </c>
      <c r="U262" t="b">
        <v>1</v>
      </c>
      <c r="V262" s="12">
        <v>44786.09375</v>
      </c>
      <c r="W262" t="s">
        <v>912</v>
      </c>
      <c r="X262" t="s">
        <v>2435</v>
      </c>
      <c r="Y262" t="s">
        <v>2436</v>
      </c>
    </row>
    <row r="263" spans="1:25">
      <c r="A263" t="s">
        <v>2437</v>
      </c>
      <c r="B263" t="s">
        <v>1111</v>
      </c>
      <c r="C263" t="s">
        <v>1125</v>
      </c>
      <c r="D263" t="s">
        <v>2438</v>
      </c>
      <c r="E263" t="s">
        <v>13</v>
      </c>
      <c r="F263" t="s">
        <v>1487</v>
      </c>
      <c r="G263">
        <v>1958</v>
      </c>
      <c r="H263" t="s">
        <v>16</v>
      </c>
      <c r="I263" t="s">
        <v>17</v>
      </c>
      <c r="J263" t="s">
        <v>1271</v>
      </c>
      <c r="K263">
        <v>72</v>
      </c>
      <c r="L263" t="s">
        <v>1272</v>
      </c>
      <c r="M263" t="s">
        <v>1273</v>
      </c>
      <c r="N263" t="s">
        <v>18</v>
      </c>
      <c r="O263" s="12">
        <v>45305.566666666666</v>
      </c>
      <c r="P263" s="12">
        <v>45308.15</v>
      </c>
      <c r="Q263" s="12">
        <v>45308.199305555558</v>
      </c>
      <c r="R263" s="12">
        <v>45308.245138888888</v>
      </c>
      <c r="S263" s="12">
        <v>45309.578472222223</v>
      </c>
      <c r="U263" t="b">
        <v>1</v>
      </c>
      <c r="V263" s="12">
        <v>45380.275000000001</v>
      </c>
      <c r="W263" t="s">
        <v>12</v>
      </c>
      <c r="X263" t="s">
        <v>2439</v>
      </c>
    </row>
    <row r="264" spans="1:25">
      <c r="A264" t="s">
        <v>2440</v>
      </c>
      <c r="B264" t="s">
        <v>1134</v>
      </c>
      <c r="C264" t="s">
        <v>1222</v>
      </c>
      <c r="D264" t="s">
        <v>2441</v>
      </c>
      <c r="E264" t="s">
        <v>247</v>
      </c>
      <c r="F264" t="s">
        <v>1427</v>
      </c>
      <c r="G264">
        <v>2096</v>
      </c>
      <c r="H264" t="s">
        <v>249</v>
      </c>
      <c r="I264" t="s">
        <v>17</v>
      </c>
      <c r="J264" t="s">
        <v>1288</v>
      </c>
      <c r="K264">
        <v>72</v>
      </c>
      <c r="L264" t="s">
        <v>42</v>
      </c>
      <c r="M264" t="s">
        <v>1273</v>
      </c>
      <c r="N264" t="s">
        <v>36</v>
      </c>
      <c r="O264" s="12">
        <v>45992.811805555553</v>
      </c>
      <c r="P264" s="12">
        <v>45993.020138888889</v>
      </c>
      <c r="Q264" s="12">
        <v>45993.06527777778</v>
      </c>
      <c r="R264" s="12">
        <v>45993.088888888888</v>
      </c>
      <c r="S264" s="12">
        <v>45995.713888888888</v>
      </c>
      <c r="U264" t="b">
        <v>1</v>
      </c>
      <c r="V264" s="12">
        <v>46088.478472222225</v>
      </c>
      <c r="W264" t="s">
        <v>246</v>
      </c>
      <c r="X264" t="s">
        <v>2442</v>
      </c>
      <c r="Y264" t="s">
        <v>2443</v>
      </c>
    </row>
    <row r="265" spans="1:25">
      <c r="A265" t="s">
        <v>2444</v>
      </c>
      <c r="B265" t="s">
        <v>1179</v>
      </c>
      <c r="C265" t="s">
        <v>1894</v>
      </c>
      <c r="D265" t="s">
        <v>2445</v>
      </c>
      <c r="E265" t="s">
        <v>664</v>
      </c>
      <c r="F265" t="s">
        <v>1218</v>
      </c>
      <c r="G265">
        <v>80</v>
      </c>
      <c r="H265" t="s">
        <v>127</v>
      </c>
      <c r="I265" t="s">
        <v>24</v>
      </c>
      <c r="J265" t="s">
        <v>1355</v>
      </c>
      <c r="K265">
        <v>72</v>
      </c>
      <c r="L265" t="s">
        <v>1272</v>
      </c>
      <c r="M265" t="s">
        <v>1273</v>
      </c>
      <c r="N265" t="s">
        <v>25</v>
      </c>
      <c r="O265" s="12">
        <v>45017.4</v>
      </c>
      <c r="P265" s="12">
        <v>45018.10833333333</v>
      </c>
      <c r="Q265" s="12">
        <v>45018.130555555559</v>
      </c>
      <c r="R265" s="12">
        <v>45019.088888888888</v>
      </c>
      <c r="S265" s="12">
        <v>45019.338888888888</v>
      </c>
      <c r="U265" t="b">
        <v>1</v>
      </c>
      <c r="V265" s="12">
        <v>45102.48333333333</v>
      </c>
      <c r="W265" t="s">
        <v>663</v>
      </c>
      <c r="X265" t="s">
        <v>2446</v>
      </c>
      <c r="Y265" t="s">
        <v>2447</v>
      </c>
    </row>
    <row r="266" spans="1:25">
      <c r="A266" t="s">
        <v>2448</v>
      </c>
      <c r="B266" t="s">
        <v>2449</v>
      </c>
      <c r="C266" t="s">
        <v>1884</v>
      </c>
      <c r="D266" t="s">
        <v>2450</v>
      </c>
      <c r="E266" t="s">
        <v>241</v>
      </c>
      <c r="F266" t="s">
        <v>1574</v>
      </c>
      <c r="G266">
        <v>462</v>
      </c>
      <c r="H266" t="s">
        <v>54</v>
      </c>
      <c r="I266" t="s">
        <v>30</v>
      </c>
      <c r="J266" t="s">
        <v>1355</v>
      </c>
      <c r="K266">
        <v>72</v>
      </c>
      <c r="L266" t="s">
        <v>42</v>
      </c>
      <c r="M266" t="s">
        <v>1273</v>
      </c>
      <c r="N266" t="s">
        <v>55</v>
      </c>
      <c r="O266" s="12">
        <v>44855.124305555553</v>
      </c>
      <c r="P266" s="12">
        <v>44856.165972222225</v>
      </c>
      <c r="Q266" s="12">
        <v>44856.179166666669</v>
      </c>
      <c r="R266" s="12">
        <v>44856.222916666666</v>
      </c>
      <c r="S266" s="12">
        <v>44858.88958333333</v>
      </c>
      <c r="U266" t="b">
        <v>1</v>
      </c>
      <c r="V266" s="12">
        <v>44912.165972222225</v>
      </c>
      <c r="W266" t="s">
        <v>240</v>
      </c>
      <c r="X266" t="s">
        <v>2451</v>
      </c>
      <c r="Y266" t="s">
        <v>2452</v>
      </c>
    </row>
    <row r="267" spans="1:25">
      <c r="A267" t="s">
        <v>2453</v>
      </c>
      <c r="B267" t="s">
        <v>1521</v>
      </c>
      <c r="C267" t="s">
        <v>1475</v>
      </c>
      <c r="D267" t="s">
        <v>2454</v>
      </c>
      <c r="E267" t="s">
        <v>740</v>
      </c>
      <c r="F267" t="s">
        <v>1900</v>
      </c>
      <c r="G267">
        <v>2214</v>
      </c>
      <c r="H267" t="s">
        <v>99</v>
      </c>
      <c r="I267" t="s">
        <v>17</v>
      </c>
      <c r="J267" t="s">
        <v>1271</v>
      </c>
      <c r="K267">
        <v>72</v>
      </c>
      <c r="L267" t="s">
        <v>42</v>
      </c>
      <c r="M267" t="s">
        <v>1273</v>
      </c>
      <c r="N267" t="s">
        <v>36</v>
      </c>
      <c r="O267" s="12">
        <v>45028.534722222219</v>
      </c>
      <c r="P267" s="12">
        <v>45028.743055555555</v>
      </c>
      <c r="Q267" s="12">
        <v>45028.799305555556</v>
      </c>
      <c r="R267" s="12">
        <v>45029.84097222222</v>
      </c>
      <c r="S267" s="12">
        <v>45032.257638888892</v>
      </c>
      <c r="U267" t="b">
        <v>1</v>
      </c>
      <c r="V267" s="12">
        <v>45170.159722222219</v>
      </c>
      <c r="W267" t="s">
        <v>739</v>
      </c>
      <c r="X267" t="s">
        <v>2455</v>
      </c>
      <c r="Y267" t="s">
        <v>2456</v>
      </c>
    </row>
    <row r="268" spans="1:25">
      <c r="A268" t="s">
        <v>2457</v>
      </c>
      <c r="B268" t="s">
        <v>1481</v>
      </c>
      <c r="C268" t="s">
        <v>1130</v>
      </c>
      <c r="D268" t="s">
        <v>2458</v>
      </c>
      <c r="E268" t="s">
        <v>767</v>
      </c>
      <c r="F268" t="s">
        <v>2117</v>
      </c>
      <c r="G268">
        <v>131</v>
      </c>
      <c r="H268" t="s">
        <v>16</v>
      </c>
      <c r="I268" t="s">
        <v>24</v>
      </c>
      <c r="J268" t="s">
        <v>1281</v>
      </c>
      <c r="K268">
        <v>77</v>
      </c>
      <c r="L268" t="s">
        <v>42</v>
      </c>
      <c r="M268" t="s">
        <v>1273</v>
      </c>
      <c r="N268" t="s">
        <v>91</v>
      </c>
      <c r="O268" s="12">
        <v>46201.956250000003</v>
      </c>
      <c r="P268" s="12">
        <v>46203.331250000003</v>
      </c>
      <c r="Q268" s="12">
        <v>46203.385416666664</v>
      </c>
      <c r="R268" s="12">
        <v>46203.396527777775</v>
      </c>
      <c r="S268" s="12">
        <v>46206.188194444447</v>
      </c>
      <c r="U268" t="b">
        <v>1</v>
      </c>
      <c r="V268" s="12">
        <v>46277.997916666667</v>
      </c>
      <c r="W268" t="s">
        <v>766</v>
      </c>
      <c r="X268" t="s">
        <v>2459</v>
      </c>
      <c r="Y268" t="s">
        <v>2460</v>
      </c>
    </row>
    <row r="269" spans="1:25">
      <c r="A269" t="s">
        <v>2461</v>
      </c>
      <c r="B269" t="s">
        <v>1157</v>
      </c>
      <c r="C269" t="s">
        <v>1771</v>
      </c>
      <c r="D269" t="s">
        <v>2462</v>
      </c>
      <c r="E269" t="s">
        <v>664</v>
      </c>
      <c r="F269" t="s">
        <v>1511</v>
      </c>
      <c r="G269">
        <v>80</v>
      </c>
      <c r="H269" t="s">
        <v>127</v>
      </c>
      <c r="I269" t="s">
        <v>24</v>
      </c>
      <c r="J269" t="s">
        <v>1271</v>
      </c>
      <c r="K269">
        <v>72</v>
      </c>
      <c r="L269" t="s">
        <v>1272</v>
      </c>
      <c r="M269" t="s">
        <v>1273</v>
      </c>
      <c r="N269" t="s">
        <v>25</v>
      </c>
      <c r="O269" s="12">
        <v>44898.275000000001</v>
      </c>
      <c r="P269" s="12">
        <v>44901.15</v>
      </c>
      <c r="Q269" s="12">
        <v>44901.171527777777</v>
      </c>
      <c r="R269" s="12">
        <v>44901.220138888886</v>
      </c>
      <c r="S269" s="12">
        <v>44903.886805555558</v>
      </c>
      <c r="U269" t="b">
        <v>1</v>
      </c>
      <c r="V269" s="12">
        <v>45022.025000000001</v>
      </c>
      <c r="W269" t="s">
        <v>663</v>
      </c>
      <c r="X269" t="s">
        <v>2463</v>
      </c>
      <c r="Y269" t="s">
        <v>2464</v>
      </c>
    </row>
    <row r="270" spans="1:25">
      <c r="A270" t="s">
        <v>2465</v>
      </c>
      <c r="B270" t="s">
        <v>2071</v>
      </c>
      <c r="C270" t="s">
        <v>1475</v>
      </c>
      <c r="D270" t="s">
        <v>2466</v>
      </c>
      <c r="E270" t="s">
        <v>125</v>
      </c>
      <c r="F270" t="s">
        <v>1646</v>
      </c>
      <c r="G270">
        <v>158</v>
      </c>
      <c r="H270" t="s">
        <v>127</v>
      </c>
      <c r="I270" t="s">
        <v>24</v>
      </c>
      <c r="J270" t="s">
        <v>1317</v>
      </c>
      <c r="K270">
        <v>74</v>
      </c>
      <c r="L270" t="s">
        <v>42</v>
      </c>
      <c r="M270" t="s">
        <v>1273</v>
      </c>
      <c r="N270" t="s">
        <v>25</v>
      </c>
      <c r="O270" s="12">
        <v>45215.706944444442</v>
      </c>
      <c r="P270" s="12">
        <v>45218.581944444442</v>
      </c>
      <c r="Q270" s="12">
        <v>45218.637499999997</v>
      </c>
      <c r="R270" s="12">
        <v>45218.772916666669</v>
      </c>
      <c r="S270" s="12">
        <v>45219.814583333333</v>
      </c>
      <c r="U270" t="b">
        <v>1</v>
      </c>
      <c r="V270" s="12">
        <v>45269.915277777778</v>
      </c>
      <c r="W270" t="s">
        <v>124</v>
      </c>
      <c r="X270" t="s">
        <v>2467</v>
      </c>
      <c r="Y270" t="s">
        <v>2468</v>
      </c>
    </row>
    <row r="271" spans="1:25">
      <c r="A271" t="s">
        <v>2469</v>
      </c>
      <c r="B271" t="s">
        <v>1196</v>
      </c>
      <c r="C271" t="s">
        <v>1848</v>
      </c>
      <c r="D271" t="s">
        <v>2470</v>
      </c>
      <c r="E271" t="s">
        <v>480</v>
      </c>
      <c r="F271" t="s">
        <v>1477</v>
      </c>
      <c r="G271">
        <v>299</v>
      </c>
      <c r="H271" t="s">
        <v>54</v>
      </c>
      <c r="I271" t="s">
        <v>30</v>
      </c>
      <c r="J271" t="s">
        <v>1413</v>
      </c>
      <c r="K271">
        <v>72</v>
      </c>
      <c r="L271" t="s">
        <v>1272</v>
      </c>
      <c r="M271" t="s">
        <v>1273</v>
      </c>
      <c r="N271" t="s">
        <v>55</v>
      </c>
      <c r="O271" s="12">
        <v>45948.995138888888</v>
      </c>
      <c r="P271" s="12">
        <v>45950.411805555559</v>
      </c>
      <c r="Q271" s="12">
        <v>45950.450694444444</v>
      </c>
      <c r="R271" s="12">
        <v>45950.518750000003</v>
      </c>
      <c r="S271" s="12">
        <v>45952.060416666667</v>
      </c>
      <c r="U271" t="b">
        <v>1</v>
      </c>
      <c r="V271" s="12">
        <v>46049.661805555559</v>
      </c>
      <c r="W271" t="s">
        <v>479</v>
      </c>
      <c r="X271" t="s">
        <v>2471</v>
      </c>
      <c r="Y271" t="s">
        <v>2472</v>
      </c>
    </row>
    <row r="272" spans="1:25">
      <c r="A272" t="s">
        <v>2473</v>
      </c>
      <c r="B272" t="s">
        <v>1161</v>
      </c>
      <c r="C272" t="s">
        <v>1191</v>
      </c>
      <c r="D272" t="s">
        <v>2474</v>
      </c>
      <c r="E272" t="s">
        <v>486</v>
      </c>
      <c r="F272" t="s">
        <v>1548</v>
      </c>
      <c r="G272">
        <v>731</v>
      </c>
      <c r="H272" t="s">
        <v>408</v>
      </c>
      <c r="I272" t="s">
        <v>30</v>
      </c>
      <c r="J272" t="s">
        <v>1281</v>
      </c>
      <c r="K272">
        <v>74</v>
      </c>
      <c r="L272" t="s">
        <v>42</v>
      </c>
      <c r="M272" t="s">
        <v>1273</v>
      </c>
      <c r="N272" t="s">
        <v>55</v>
      </c>
      <c r="O272" s="12">
        <v>46134.746527777781</v>
      </c>
      <c r="P272" s="12">
        <v>46137.121527777781</v>
      </c>
      <c r="Q272" s="12">
        <v>46137.131944444445</v>
      </c>
      <c r="R272" s="12">
        <v>46137.224999999999</v>
      </c>
      <c r="S272" s="12">
        <v>46139.6</v>
      </c>
      <c r="U272" t="b">
        <v>1</v>
      </c>
      <c r="V272" s="12">
        <v>46256.204861111109</v>
      </c>
      <c r="W272" t="s">
        <v>485</v>
      </c>
      <c r="X272" t="s">
        <v>2475</v>
      </c>
      <c r="Y272" t="s">
        <v>2476</v>
      </c>
    </row>
    <row r="273" spans="1:25">
      <c r="A273" t="s">
        <v>2477</v>
      </c>
      <c r="B273" t="s">
        <v>2071</v>
      </c>
      <c r="C273" t="s">
        <v>1268</v>
      </c>
      <c r="D273" t="s">
        <v>2478</v>
      </c>
      <c r="E273" t="s">
        <v>257</v>
      </c>
      <c r="F273" t="s">
        <v>2412</v>
      </c>
      <c r="G273">
        <v>154</v>
      </c>
      <c r="H273" t="s">
        <v>120</v>
      </c>
      <c r="I273" t="s">
        <v>24</v>
      </c>
      <c r="J273" t="s">
        <v>1281</v>
      </c>
      <c r="K273">
        <v>77</v>
      </c>
      <c r="L273" t="s">
        <v>1272</v>
      </c>
      <c r="M273" t="s">
        <v>1273</v>
      </c>
      <c r="N273" t="s">
        <v>25</v>
      </c>
      <c r="O273" s="12">
        <v>45224.866666666669</v>
      </c>
      <c r="P273" s="12">
        <v>45227.116666666669</v>
      </c>
      <c r="Q273" s="12">
        <v>45227.149305555555</v>
      </c>
      <c r="R273" s="12">
        <v>45227.225694444445</v>
      </c>
      <c r="S273" s="12">
        <v>45228.100694444445</v>
      </c>
      <c r="U273" t="b">
        <v>1</v>
      </c>
      <c r="V273" s="12">
        <v>45351.95</v>
      </c>
      <c r="W273" t="s">
        <v>256</v>
      </c>
      <c r="X273" t="s">
        <v>2479</v>
      </c>
      <c r="Y273" t="s">
        <v>2480</v>
      </c>
    </row>
    <row r="274" spans="1:25">
      <c r="A274" t="s">
        <v>2481</v>
      </c>
      <c r="B274" t="s">
        <v>1277</v>
      </c>
      <c r="C274" t="s">
        <v>1597</v>
      </c>
      <c r="D274" t="s">
        <v>2482</v>
      </c>
      <c r="E274" t="s">
        <v>32</v>
      </c>
      <c r="G274">
        <v>595</v>
      </c>
      <c r="H274" t="s">
        <v>35</v>
      </c>
      <c r="I274" t="s">
        <v>30</v>
      </c>
      <c r="J274" t="s">
        <v>1413</v>
      </c>
      <c r="K274">
        <v>75</v>
      </c>
      <c r="L274" t="s">
        <v>1272</v>
      </c>
      <c r="M274" t="s">
        <v>1273</v>
      </c>
      <c r="N274" t="s">
        <v>36</v>
      </c>
      <c r="O274" s="12">
        <v>46089.881249999999</v>
      </c>
      <c r="P274" s="12">
        <v>46092.839583333334</v>
      </c>
      <c r="Q274" s="12">
        <v>46092.87777777778</v>
      </c>
      <c r="R274" s="12">
        <v>46093.019444444442</v>
      </c>
      <c r="S274" s="12">
        <v>46095.186111111114</v>
      </c>
      <c r="U274" t="b">
        <v>1</v>
      </c>
      <c r="V274" s="12">
        <v>46161.131249999999</v>
      </c>
      <c r="W274" t="s">
        <v>31</v>
      </c>
      <c r="X274" t="s">
        <v>2483</v>
      </c>
      <c r="Y274" t="s">
        <v>2484</v>
      </c>
    </row>
    <row r="275" spans="1:25">
      <c r="A275" t="s">
        <v>2485</v>
      </c>
      <c r="B275" t="s">
        <v>1190</v>
      </c>
      <c r="C275" t="s">
        <v>1992</v>
      </c>
      <c r="D275" t="s">
        <v>2486</v>
      </c>
      <c r="E275" t="s">
        <v>562</v>
      </c>
      <c r="F275" t="s">
        <v>1763</v>
      </c>
      <c r="G275">
        <v>142</v>
      </c>
      <c r="H275" t="s">
        <v>54</v>
      </c>
      <c r="I275" t="s">
        <v>24</v>
      </c>
      <c r="J275" t="s">
        <v>1317</v>
      </c>
      <c r="K275">
        <v>72</v>
      </c>
      <c r="L275" t="s">
        <v>42</v>
      </c>
      <c r="M275" t="s">
        <v>1273</v>
      </c>
      <c r="N275" t="s">
        <v>69</v>
      </c>
      <c r="O275" s="12">
        <v>46107.631944444445</v>
      </c>
      <c r="P275" s="12">
        <v>46107.840277777781</v>
      </c>
      <c r="Q275" s="12">
        <v>46107.85</v>
      </c>
      <c r="R275" s="12">
        <v>46107.955555555556</v>
      </c>
      <c r="S275" s="12">
        <v>46110.87222222222</v>
      </c>
      <c r="U275" t="b">
        <v>1</v>
      </c>
      <c r="V275" s="12">
        <v>46200.298611111109</v>
      </c>
      <c r="W275" t="s">
        <v>561</v>
      </c>
      <c r="X275" t="s">
        <v>2487</v>
      </c>
      <c r="Y275" t="s">
        <v>2488</v>
      </c>
    </row>
    <row r="276" spans="1:25">
      <c r="A276" t="s">
        <v>2489</v>
      </c>
      <c r="B276" t="s">
        <v>1567</v>
      </c>
      <c r="C276" t="s">
        <v>1894</v>
      </c>
      <c r="D276" t="s">
        <v>2490</v>
      </c>
      <c r="E276" t="s">
        <v>101</v>
      </c>
      <c r="F276" t="s">
        <v>1487</v>
      </c>
      <c r="G276">
        <v>74</v>
      </c>
      <c r="H276" t="s">
        <v>35</v>
      </c>
      <c r="I276" t="s">
        <v>24</v>
      </c>
      <c r="J276" t="s">
        <v>1339</v>
      </c>
      <c r="K276">
        <v>85</v>
      </c>
      <c r="L276" t="s">
        <v>42</v>
      </c>
      <c r="M276" t="s">
        <v>1273</v>
      </c>
      <c r="N276" t="s">
        <v>59</v>
      </c>
      <c r="O276" s="12">
        <v>45823.334722222222</v>
      </c>
      <c r="P276" s="12">
        <v>45825.251388888886</v>
      </c>
      <c r="Q276" s="12">
        <v>45825.269444444442</v>
      </c>
      <c r="R276" s="12">
        <v>45825.340277777781</v>
      </c>
      <c r="S276" s="12">
        <v>45828.090277777781</v>
      </c>
      <c r="U276" t="b">
        <v>1</v>
      </c>
      <c r="V276" s="12">
        <v>45968.876388888886</v>
      </c>
      <c r="W276" t="s">
        <v>100</v>
      </c>
      <c r="X276" t="s">
        <v>2491</v>
      </c>
      <c r="Y276" t="s">
        <v>2492</v>
      </c>
    </row>
    <row r="277" spans="1:25">
      <c r="A277" t="s">
        <v>2493</v>
      </c>
      <c r="B277" t="s">
        <v>1567</v>
      </c>
      <c r="C277" t="s">
        <v>1870</v>
      </c>
      <c r="D277" t="s">
        <v>2494</v>
      </c>
      <c r="E277" t="s">
        <v>775</v>
      </c>
      <c r="F277" t="s">
        <v>2495</v>
      </c>
      <c r="G277">
        <v>283</v>
      </c>
      <c r="H277" t="s">
        <v>366</v>
      </c>
      <c r="I277" t="s">
        <v>30</v>
      </c>
      <c r="J277" t="s">
        <v>1288</v>
      </c>
      <c r="K277">
        <v>72</v>
      </c>
      <c r="L277" t="s">
        <v>1272</v>
      </c>
      <c r="M277" t="s">
        <v>1273</v>
      </c>
      <c r="N277" t="s">
        <v>18</v>
      </c>
      <c r="O277" s="12">
        <v>46210.845138888886</v>
      </c>
      <c r="P277" s="12">
        <v>46212.553472222222</v>
      </c>
      <c r="Q277" s="12">
        <v>46212.57916666667</v>
      </c>
      <c r="R277" s="12">
        <v>46212.716666666667</v>
      </c>
      <c r="S277" s="12">
        <v>46213.591666666667</v>
      </c>
      <c r="U277" t="b">
        <v>1</v>
      </c>
      <c r="V277" s="12">
        <v>46276.220138888886</v>
      </c>
      <c r="W277" t="s">
        <v>774</v>
      </c>
      <c r="X277" t="s">
        <v>2496</v>
      </c>
    </row>
    <row r="278" spans="1:25">
      <c r="A278" t="s">
        <v>2497</v>
      </c>
      <c r="B278" t="s">
        <v>1847</v>
      </c>
      <c r="C278" t="s">
        <v>1197</v>
      </c>
      <c r="D278" t="s">
        <v>2498</v>
      </c>
      <c r="E278" t="s">
        <v>343</v>
      </c>
      <c r="F278" t="s">
        <v>1511</v>
      </c>
      <c r="G278">
        <v>34</v>
      </c>
      <c r="H278" t="s">
        <v>68</v>
      </c>
      <c r="I278" t="s">
        <v>24</v>
      </c>
      <c r="J278" t="s">
        <v>1271</v>
      </c>
      <c r="K278">
        <v>72</v>
      </c>
      <c r="L278" t="s">
        <v>1272</v>
      </c>
      <c r="M278" t="s">
        <v>1273</v>
      </c>
      <c r="N278" t="s">
        <v>69</v>
      </c>
      <c r="O278" s="12">
        <v>45263.522916666669</v>
      </c>
      <c r="P278" s="12">
        <v>45263.689583333333</v>
      </c>
      <c r="Q278" s="12">
        <v>45263.745833333334</v>
      </c>
      <c r="R278" s="12">
        <v>45264.037499999999</v>
      </c>
      <c r="S278" s="12">
        <v>45266.412499999999</v>
      </c>
      <c r="U278" t="b">
        <v>1</v>
      </c>
      <c r="V278" s="12">
        <v>45406.064583333333</v>
      </c>
      <c r="W278" t="s">
        <v>342</v>
      </c>
      <c r="X278" t="s">
        <v>2499</v>
      </c>
    </row>
    <row r="279" spans="1:25">
      <c r="A279" t="s">
        <v>2500</v>
      </c>
      <c r="B279" t="s">
        <v>2449</v>
      </c>
      <c r="C279" t="s">
        <v>1083</v>
      </c>
      <c r="D279" t="s">
        <v>2501</v>
      </c>
      <c r="E279" t="s">
        <v>775</v>
      </c>
      <c r="F279" t="s">
        <v>1477</v>
      </c>
      <c r="G279">
        <v>283</v>
      </c>
      <c r="H279" t="s">
        <v>366</v>
      </c>
      <c r="I279" t="s">
        <v>30</v>
      </c>
      <c r="J279" t="s">
        <v>1295</v>
      </c>
      <c r="K279">
        <v>90</v>
      </c>
      <c r="L279" t="s">
        <v>1272</v>
      </c>
      <c r="M279" t="s">
        <v>1273</v>
      </c>
      <c r="N279" t="s">
        <v>18</v>
      </c>
      <c r="O279" s="12">
        <v>46131.219444444447</v>
      </c>
      <c r="P279" s="12">
        <v>46131.469444444447</v>
      </c>
      <c r="Q279" s="12">
        <v>46131.511111111111</v>
      </c>
      <c r="R279" s="12">
        <v>46131.645138888889</v>
      </c>
      <c r="S279" s="12">
        <v>46134.561805555553</v>
      </c>
      <c r="U279" t="b">
        <v>1</v>
      </c>
      <c r="V279" s="12">
        <v>46274.427777777775</v>
      </c>
      <c r="W279" t="s">
        <v>774</v>
      </c>
      <c r="X279" t="s">
        <v>2502</v>
      </c>
    </row>
    <row r="280" spans="1:25">
      <c r="A280" t="s">
        <v>2503</v>
      </c>
      <c r="B280" t="s">
        <v>1396</v>
      </c>
      <c r="C280" t="s">
        <v>1343</v>
      </c>
      <c r="D280" t="s">
        <v>2504</v>
      </c>
      <c r="E280" t="s">
        <v>260</v>
      </c>
      <c r="F280" t="s">
        <v>1448</v>
      </c>
      <c r="G280">
        <v>641</v>
      </c>
      <c r="H280" t="s">
        <v>81</v>
      </c>
      <c r="I280" t="s">
        <v>30</v>
      </c>
      <c r="J280" t="s">
        <v>1271</v>
      </c>
      <c r="K280">
        <v>72</v>
      </c>
      <c r="L280" t="s">
        <v>1272</v>
      </c>
      <c r="M280" t="s">
        <v>1273</v>
      </c>
      <c r="N280" t="s">
        <v>55</v>
      </c>
      <c r="O280" s="12">
        <v>45728.688194444447</v>
      </c>
      <c r="P280" s="12">
        <v>45731.521527777775</v>
      </c>
      <c r="Q280" s="12">
        <v>45731.561805555553</v>
      </c>
      <c r="R280" s="12">
        <v>45731.606249999997</v>
      </c>
      <c r="S280" s="12">
        <v>45733.314583333333</v>
      </c>
      <c r="U280" t="b">
        <v>1</v>
      </c>
      <c r="V280" s="12">
        <v>45801.271527777775</v>
      </c>
      <c r="W280" t="s">
        <v>259</v>
      </c>
      <c r="X280" t="s">
        <v>2505</v>
      </c>
    </row>
    <row r="281" spans="1:25">
      <c r="A281" t="s">
        <v>2506</v>
      </c>
      <c r="B281" t="s">
        <v>1814</v>
      </c>
      <c r="C281" t="s">
        <v>1432</v>
      </c>
      <c r="D281" t="s">
        <v>2507</v>
      </c>
      <c r="E281" t="s">
        <v>525</v>
      </c>
      <c r="F281" t="s">
        <v>2084</v>
      </c>
      <c r="G281">
        <v>1073</v>
      </c>
      <c r="H281" t="s">
        <v>50</v>
      </c>
      <c r="I281" t="s">
        <v>17</v>
      </c>
      <c r="J281" t="s">
        <v>1413</v>
      </c>
      <c r="K281">
        <v>72</v>
      </c>
      <c r="L281" t="s">
        <v>42</v>
      </c>
      <c r="M281" t="s">
        <v>1273</v>
      </c>
      <c r="N281" t="s">
        <v>36</v>
      </c>
      <c r="O281" s="12">
        <v>45902.796527777777</v>
      </c>
      <c r="P281" s="12">
        <v>45904.296527777777</v>
      </c>
      <c r="Q281" s="12">
        <v>45904.306944444441</v>
      </c>
      <c r="R281" s="12">
        <v>45904.402777777781</v>
      </c>
      <c r="S281" s="12">
        <v>45906.902777777781</v>
      </c>
      <c r="U281" t="b">
        <v>1</v>
      </c>
      <c r="V281" s="12">
        <v>45950.921527777777</v>
      </c>
      <c r="W281" t="s">
        <v>524</v>
      </c>
      <c r="X281" t="s">
        <v>2508</v>
      </c>
      <c r="Y281" t="s">
        <v>2509</v>
      </c>
    </row>
    <row r="282" spans="1:25">
      <c r="A282" t="s">
        <v>2510</v>
      </c>
      <c r="B282" t="s">
        <v>1377</v>
      </c>
      <c r="C282" t="s">
        <v>1191</v>
      </c>
      <c r="D282" t="s">
        <v>2511</v>
      </c>
      <c r="E282" t="s">
        <v>613</v>
      </c>
      <c r="F282" t="s">
        <v>1554</v>
      </c>
      <c r="G282">
        <v>447</v>
      </c>
      <c r="H282" t="s">
        <v>140</v>
      </c>
      <c r="I282" t="s">
        <v>30</v>
      </c>
      <c r="J282" t="s">
        <v>1288</v>
      </c>
      <c r="K282">
        <v>72</v>
      </c>
      <c r="L282" t="s">
        <v>42</v>
      </c>
      <c r="M282" t="s">
        <v>1273</v>
      </c>
      <c r="N282" t="s">
        <v>82</v>
      </c>
      <c r="O282" s="12">
        <v>45998.836111111108</v>
      </c>
      <c r="P282" s="12">
        <v>46000.211111111108</v>
      </c>
      <c r="Q282" s="12">
        <v>46000.22152777778</v>
      </c>
      <c r="R282" s="12">
        <v>46000.315972222219</v>
      </c>
      <c r="S282" s="12">
        <v>46003.149305555555</v>
      </c>
      <c r="U282" t="b">
        <v>1</v>
      </c>
      <c r="V282" s="12">
        <v>46120.37777777778</v>
      </c>
      <c r="W282" t="s">
        <v>612</v>
      </c>
      <c r="X282" t="s">
        <v>2512</v>
      </c>
      <c r="Y282" t="s">
        <v>2513</v>
      </c>
    </row>
    <row r="283" spans="1:25">
      <c r="A283" t="s">
        <v>2514</v>
      </c>
      <c r="B283" t="s">
        <v>1390</v>
      </c>
      <c r="C283" t="s">
        <v>1145</v>
      </c>
      <c r="D283" t="s">
        <v>2515</v>
      </c>
      <c r="E283" t="s">
        <v>402</v>
      </c>
      <c r="F283" t="s">
        <v>1511</v>
      </c>
      <c r="G283">
        <v>3048</v>
      </c>
      <c r="H283" t="s">
        <v>404</v>
      </c>
      <c r="J283" t="s">
        <v>1271</v>
      </c>
      <c r="K283">
        <v>72</v>
      </c>
      <c r="L283" t="s">
        <v>42</v>
      </c>
      <c r="M283" t="s">
        <v>1273</v>
      </c>
      <c r="N283" t="s">
        <v>82</v>
      </c>
      <c r="O283" s="12">
        <v>45699.333333333336</v>
      </c>
      <c r="P283" s="12">
        <v>45700.291666666664</v>
      </c>
      <c r="Q283" s="12">
        <v>45700.307638888888</v>
      </c>
      <c r="R283" s="12">
        <v>45700.388888888891</v>
      </c>
      <c r="S283" s="12">
        <v>45702.222222222219</v>
      </c>
      <c r="U283" t="b">
        <v>1</v>
      </c>
      <c r="V283" s="12">
        <v>45814.625</v>
      </c>
      <c r="W283" t="s">
        <v>401</v>
      </c>
      <c r="X283" t="s">
        <v>2516</v>
      </c>
      <c r="Y283" t="s">
        <v>2517</v>
      </c>
    </row>
    <row r="284" spans="1:25">
      <c r="A284" t="s">
        <v>2518</v>
      </c>
      <c r="B284" t="s">
        <v>1371</v>
      </c>
      <c r="C284" t="s">
        <v>1320</v>
      </c>
      <c r="D284" t="s">
        <v>2519</v>
      </c>
      <c r="E284" t="s">
        <v>892</v>
      </c>
      <c r="F284" t="s">
        <v>1487</v>
      </c>
      <c r="G284">
        <v>761</v>
      </c>
      <c r="H284" t="s">
        <v>81</v>
      </c>
      <c r="I284" t="s">
        <v>30</v>
      </c>
      <c r="J284" t="s">
        <v>1339</v>
      </c>
      <c r="K284">
        <v>85</v>
      </c>
      <c r="L284" t="s">
        <v>1272</v>
      </c>
      <c r="M284" t="s">
        <v>1273</v>
      </c>
      <c r="N284" t="s">
        <v>82</v>
      </c>
      <c r="O284" s="12">
        <v>45864.503472222219</v>
      </c>
      <c r="P284" s="12">
        <v>45865.295138888891</v>
      </c>
      <c r="Q284" s="12">
        <v>45865.302777777775</v>
      </c>
      <c r="R284" s="12">
        <v>45865.448611111111</v>
      </c>
      <c r="S284" s="12">
        <v>45868.031944444447</v>
      </c>
      <c r="U284" t="b">
        <v>1</v>
      </c>
      <c r="V284" s="12">
        <v>46000.920138888891</v>
      </c>
      <c r="W284" t="s">
        <v>891</v>
      </c>
      <c r="X284" t="s">
        <v>2520</v>
      </c>
      <c r="Y284" t="s">
        <v>2521</v>
      </c>
    </row>
    <row r="285" spans="1:25">
      <c r="A285" t="s">
        <v>2522</v>
      </c>
      <c r="B285" t="s">
        <v>2136</v>
      </c>
      <c r="C285" t="s">
        <v>1992</v>
      </c>
      <c r="D285" t="s">
        <v>2523</v>
      </c>
      <c r="E285" t="s">
        <v>571</v>
      </c>
      <c r="F285" t="s">
        <v>1380</v>
      </c>
      <c r="G285">
        <v>112</v>
      </c>
      <c r="H285" t="s">
        <v>16</v>
      </c>
      <c r="I285" t="s">
        <v>24</v>
      </c>
      <c r="J285" t="s">
        <v>1317</v>
      </c>
      <c r="K285">
        <v>77</v>
      </c>
      <c r="L285" t="s">
        <v>1272</v>
      </c>
      <c r="M285" t="s">
        <v>1273</v>
      </c>
      <c r="N285" t="s">
        <v>91</v>
      </c>
      <c r="O285" s="12">
        <v>46088.546527777777</v>
      </c>
      <c r="P285" s="12">
        <v>46090.338194444441</v>
      </c>
      <c r="Q285" s="12">
        <v>46090.387499999997</v>
      </c>
      <c r="R285" s="12">
        <v>46090.448611111111</v>
      </c>
      <c r="S285" s="12">
        <v>46092.115277777775</v>
      </c>
      <c r="U285" t="b">
        <v>1</v>
      </c>
      <c r="V285" s="12">
        <v>46112.129861111112</v>
      </c>
      <c r="W285" t="s">
        <v>570</v>
      </c>
      <c r="X285" t="s">
        <v>2524</v>
      </c>
      <c r="Y285" t="s">
        <v>2525</v>
      </c>
    </row>
    <row r="286" spans="1:25">
      <c r="A286" t="s">
        <v>2526</v>
      </c>
      <c r="B286" t="s">
        <v>1134</v>
      </c>
      <c r="C286" t="s">
        <v>1436</v>
      </c>
      <c r="D286" t="s">
        <v>2527</v>
      </c>
      <c r="E286" t="s">
        <v>1002</v>
      </c>
      <c r="F286" t="s">
        <v>1477</v>
      </c>
      <c r="G286">
        <v>474</v>
      </c>
      <c r="H286" t="s">
        <v>95</v>
      </c>
      <c r="I286" t="s">
        <v>30</v>
      </c>
      <c r="J286" t="s">
        <v>1295</v>
      </c>
      <c r="K286">
        <v>83</v>
      </c>
      <c r="L286" t="s">
        <v>42</v>
      </c>
      <c r="M286" t="s">
        <v>1273</v>
      </c>
      <c r="N286" t="s">
        <v>18</v>
      </c>
      <c r="O286" s="12">
        <v>44729.756249999999</v>
      </c>
      <c r="P286" s="12">
        <v>44730.04791666667</v>
      </c>
      <c r="Q286" s="12">
        <v>44730.106249999997</v>
      </c>
      <c r="R286" s="12">
        <v>44730.231249999997</v>
      </c>
      <c r="S286" s="12">
        <v>44732.064583333333</v>
      </c>
      <c r="U286" t="b">
        <v>1</v>
      </c>
      <c r="V286" s="12">
        <v>44874.756249999999</v>
      </c>
      <c r="W286" t="s">
        <v>1001</v>
      </c>
      <c r="X286" t="s">
        <v>2528</v>
      </c>
      <c r="Y286" t="s">
        <v>2529</v>
      </c>
    </row>
    <row r="287" spans="1:25">
      <c r="A287" t="s">
        <v>2530</v>
      </c>
      <c r="B287" t="s">
        <v>1605</v>
      </c>
      <c r="C287" t="s">
        <v>1180</v>
      </c>
      <c r="D287" t="s">
        <v>2531</v>
      </c>
      <c r="E287" t="s">
        <v>238</v>
      </c>
      <c r="F287" t="s">
        <v>1412</v>
      </c>
      <c r="G287">
        <v>129</v>
      </c>
      <c r="H287" t="s">
        <v>54</v>
      </c>
      <c r="I287" t="s">
        <v>24</v>
      </c>
      <c r="J287" t="s">
        <v>1295</v>
      </c>
      <c r="K287">
        <v>75</v>
      </c>
      <c r="L287" t="s">
        <v>1272</v>
      </c>
      <c r="M287" t="s">
        <v>1273</v>
      </c>
      <c r="N287" t="s">
        <v>69</v>
      </c>
      <c r="O287" s="12">
        <v>45642.26666666667</v>
      </c>
      <c r="P287" s="12">
        <v>45642.6</v>
      </c>
      <c r="Q287" s="12">
        <v>45642.64166666667</v>
      </c>
      <c r="R287" s="12">
        <v>45642.769444444442</v>
      </c>
      <c r="S287" s="12">
        <v>45643.644444444442</v>
      </c>
      <c r="U287" t="b">
        <v>1</v>
      </c>
      <c r="V287" s="12">
        <v>45710.89166666667</v>
      </c>
      <c r="W287" t="s">
        <v>237</v>
      </c>
      <c r="X287" t="s">
        <v>2532</v>
      </c>
    </row>
    <row r="288" spans="1:25">
      <c r="A288" t="s">
        <v>2533</v>
      </c>
      <c r="B288" t="s">
        <v>2534</v>
      </c>
      <c r="C288" t="s">
        <v>1285</v>
      </c>
      <c r="D288" t="s">
        <v>2535</v>
      </c>
      <c r="E288" t="s">
        <v>790</v>
      </c>
      <c r="F288" t="s">
        <v>1420</v>
      </c>
      <c r="G288">
        <v>55</v>
      </c>
      <c r="H288" t="s">
        <v>205</v>
      </c>
      <c r="I288" t="s">
        <v>24</v>
      </c>
      <c r="J288" t="s">
        <v>1288</v>
      </c>
      <c r="K288">
        <v>72</v>
      </c>
      <c r="L288" t="s">
        <v>1272</v>
      </c>
      <c r="M288" t="s">
        <v>1273</v>
      </c>
      <c r="N288" t="s">
        <v>59</v>
      </c>
      <c r="O288" s="12">
        <v>45860.104166666664</v>
      </c>
      <c r="P288" s="12">
        <v>45861.6875</v>
      </c>
      <c r="Q288" s="12">
        <v>45861.702777777777</v>
      </c>
      <c r="R288" s="12">
        <v>45861.791666666664</v>
      </c>
      <c r="S288" s="12">
        <v>45864.083333333336</v>
      </c>
      <c r="U288" t="b">
        <v>1</v>
      </c>
      <c r="V288" s="12">
        <v>46001.729166666664</v>
      </c>
      <c r="W288" t="s">
        <v>789</v>
      </c>
      <c r="X288" t="s">
        <v>2536</v>
      </c>
      <c r="Y288" t="s">
        <v>2537</v>
      </c>
    </row>
    <row r="289" spans="1:25">
      <c r="A289" t="s">
        <v>2538</v>
      </c>
      <c r="B289" t="s">
        <v>1485</v>
      </c>
      <c r="C289" t="s">
        <v>1162</v>
      </c>
      <c r="D289" t="s">
        <v>2539</v>
      </c>
      <c r="E289" t="s">
        <v>825</v>
      </c>
      <c r="F289" t="s">
        <v>1471</v>
      </c>
      <c r="G289">
        <v>2169</v>
      </c>
      <c r="H289" t="s">
        <v>90</v>
      </c>
      <c r="I289" t="s">
        <v>17</v>
      </c>
      <c r="J289" t="s">
        <v>1317</v>
      </c>
      <c r="K289">
        <v>77</v>
      </c>
      <c r="L289" t="s">
        <v>42</v>
      </c>
      <c r="M289" t="s">
        <v>1273</v>
      </c>
      <c r="N289" t="s">
        <v>18</v>
      </c>
      <c r="O289" s="12">
        <v>45659.368750000001</v>
      </c>
      <c r="P289" s="12">
        <v>45659.493750000001</v>
      </c>
      <c r="Q289" s="12">
        <v>45659.535416666666</v>
      </c>
      <c r="R289" s="12">
        <v>45659.676388888889</v>
      </c>
      <c r="S289" s="12">
        <v>45661.801388888889</v>
      </c>
      <c r="U289" t="b">
        <v>1</v>
      </c>
      <c r="V289" s="12">
        <v>45807.910416666666</v>
      </c>
      <c r="W289" t="s">
        <v>824</v>
      </c>
      <c r="X289" t="s">
        <v>2540</v>
      </c>
      <c r="Y289" t="s">
        <v>2541</v>
      </c>
    </row>
    <row r="290" spans="1:25">
      <c r="A290" t="s">
        <v>2542</v>
      </c>
      <c r="B290" t="s">
        <v>1605</v>
      </c>
      <c r="C290" t="s">
        <v>1425</v>
      </c>
      <c r="D290" t="s">
        <v>2543</v>
      </c>
      <c r="E290" t="s">
        <v>371</v>
      </c>
      <c r="F290" t="s">
        <v>2054</v>
      </c>
      <c r="G290">
        <v>2097</v>
      </c>
      <c r="H290" t="s">
        <v>366</v>
      </c>
      <c r="I290" t="s">
        <v>17</v>
      </c>
      <c r="J290" t="s">
        <v>1271</v>
      </c>
      <c r="K290">
        <v>72</v>
      </c>
      <c r="L290" t="s">
        <v>1272</v>
      </c>
      <c r="M290" t="s">
        <v>1273</v>
      </c>
      <c r="N290" t="s">
        <v>18</v>
      </c>
      <c r="O290" s="12">
        <v>45534.67291666667</v>
      </c>
      <c r="P290" s="12">
        <v>45537.464583333334</v>
      </c>
      <c r="Q290" s="12">
        <v>45537.513194444444</v>
      </c>
      <c r="R290" s="12">
        <v>45537.539583333331</v>
      </c>
      <c r="S290" s="12">
        <v>45538.289583333331</v>
      </c>
      <c r="U290" t="b">
        <v>1</v>
      </c>
      <c r="V290" s="12">
        <v>45632.42291666667</v>
      </c>
      <c r="W290" t="s">
        <v>370</v>
      </c>
      <c r="X290" t="s">
        <v>2544</v>
      </c>
      <c r="Y290" t="s">
        <v>2545</v>
      </c>
    </row>
    <row r="291" spans="1:25">
      <c r="A291" t="s">
        <v>2546</v>
      </c>
      <c r="B291" t="s">
        <v>1179</v>
      </c>
      <c r="C291" t="s">
        <v>1884</v>
      </c>
      <c r="D291" t="s">
        <v>2547</v>
      </c>
      <c r="E291" t="s">
        <v>396</v>
      </c>
      <c r="F291" t="s">
        <v>1412</v>
      </c>
      <c r="G291">
        <v>49</v>
      </c>
      <c r="H291" t="s">
        <v>140</v>
      </c>
      <c r="I291" t="s">
        <v>24</v>
      </c>
      <c r="J291" t="s">
        <v>1355</v>
      </c>
      <c r="K291">
        <v>78</v>
      </c>
      <c r="L291" t="s">
        <v>1272</v>
      </c>
      <c r="M291" t="s">
        <v>1273</v>
      </c>
      <c r="N291" t="s">
        <v>25</v>
      </c>
      <c r="O291" s="12">
        <v>46057.138194444444</v>
      </c>
      <c r="P291" s="12">
        <v>46058.013194444444</v>
      </c>
      <c r="Q291" s="12">
        <v>46058.068055555559</v>
      </c>
      <c r="R291" s="12">
        <v>46058.131249999999</v>
      </c>
      <c r="S291" s="12">
        <v>46059.631249999999</v>
      </c>
      <c r="U291" t="b">
        <v>1</v>
      </c>
      <c r="V291" s="12">
        <v>46187.47152777778</v>
      </c>
      <c r="W291" t="s">
        <v>395</v>
      </c>
      <c r="X291" t="s">
        <v>2548</v>
      </c>
      <c r="Y291" t="s">
        <v>2549</v>
      </c>
    </row>
    <row r="292" spans="1:25">
      <c r="A292" t="s">
        <v>2550</v>
      </c>
      <c r="B292" t="s">
        <v>1157</v>
      </c>
      <c r="C292" t="s">
        <v>1591</v>
      </c>
      <c r="D292" t="s">
        <v>2551</v>
      </c>
      <c r="E292" t="s">
        <v>312</v>
      </c>
      <c r="G292">
        <v>238</v>
      </c>
      <c r="H292" t="s">
        <v>35</v>
      </c>
      <c r="I292" t="s">
        <v>30</v>
      </c>
      <c r="J292" t="s">
        <v>1355</v>
      </c>
      <c r="K292">
        <v>72</v>
      </c>
      <c r="L292" t="s">
        <v>1272</v>
      </c>
      <c r="M292" t="s">
        <v>1273</v>
      </c>
      <c r="N292" t="s">
        <v>36</v>
      </c>
      <c r="O292" s="12">
        <v>45557.438888888886</v>
      </c>
      <c r="P292" s="12">
        <v>45559.563888888886</v>
      </c>
      <c r="Q292" s="12">
        <v>45559.613194444442</v>
      </c>
      <c r="R292" s="12">
        <v>45559.712500000001</v>
      </c>
      <c r="S292" s="12">
        <v>45562.629166666666</v>
      </c>
      <c r="U292" t="b">
        <v>1</v>
      </c>
      <c r="V292" s="12">
        <v>45696.563888888886</v>
      </c>
      <c r="W292" t="s">
        <v>311</v>
      </c>
      <c r="X292" t="s">
        <v>2552</v>
      </c>
      <c r="Y292" t="s">
        <v>2553</v>
      </c>
    </row>
    <row r="293" spans="1:25">
      <c r="A293" t="s">
        <v>2554</v>
      </c>
      <c r="B293" t="s">
        <v>1558</v>
      </c>
      <c r="C293" t="s">
        <v>1343</v>
      </c>
      <c r="D293" t="s">
        <v>2555</v>
      </c>
      <c r="E293" t="s">
        <v>689</v>
      </c>
      <c r="F293" t="s">
        <v>1309</v>
      </c>
      <c r="G293">
        <v>476</v>
      </c>
      <c r="H293" t="s">
        <v>140</v>
      </c>
      <c r="I293" t="s">
        <v>30</v>
      </c>
      <c r="J293" t="s">
        <v>1295</v>
      </c>
      <c r="K293">
        <v>97</v>
      </c>
      <c r="L293" t="s">
        <v>42</v>
      </c>
      <c r="M293" t="s">
        <v>1273</v>
      </c>
      <c r="N293" t="s">
        <v>82</v>
      </c>
      <c r="O293" s="12">
        <v>45049.280555555553</v>
      </c>
      <c r="P293" s="12">
        <v>45052.238888888889</v>
      </c>
      <c r="Q293" s="12">
        <v>45052.275694444441</v>
      </c>
      <c r="R293" s="12">
        <v>45052.399305555555</v>
      </c>
      <c r="S293" s="12">
        <v>45054.399305555555</v>
      </c>
      <c r="U293" t="b">
        <v>1</v>
      </c>
      <c r="V293" s="12">
        <v>45086.572222222225</v>
      </c>
      <c r="W293" t="s">
        <v>688</v>
      </c>
      <c r="X293" t="s">
        <v>2556</v>
      </c>
      <c r="Y293" t="s">
        <v>2557</v>
      </c>
    </row>
    <row r="294" spans="1:25">
      <c r="A294" t="s">
        <v>2558</v>
      </c>
      <c r="B294" t="s">
        <v>1847</v>
      </c>
      <c r="C294" t="s">
        <v>1579</v>
      </c>
      <c r="D294" t="s">
        <v>2559</v>
      </c>
      <c r="E294" t="s">
        <v>343</v>
      </c>
      <c r="F294" t="s">
        <v>1496</v>
      </c>
      <c r="G294">
        <v>34</v>
      </c>
      <c r="H294" t="s">
        <v>68</v>
      </c>
      <c r="I294" t="s">
        <v>24</v>
      </c>
      <c r="J294" t="s">
        <v>1295</v>
      </c>
      <c r="K294">
        <v>83</v>
      </c>
      <c r="L294" t="s">
        <v>1272</v>
      </c>
      <c r="M294" t="s">
        <v>1273</v>
      </c>
      <c r="N294" t="s">
        <v>69</v>
      </c>
      <c r="O294" s="12">
        <v>45400.793055555558</v>
      </c>
      <c r="P294" s="12">
        <v>45401.834722222222</v>
      </c>
      <c r="Q294" s="12">
        <v>45401.892361111109</v>
      </c>
      <c r="R294" s="12">
        <v>45402.475694444445</v>
      </c>
      <c r="S294" s="12">
        <v>45403.767361111109</v>
      </c>
      <c r="U294" t="b">
        <v>1</v>
      </c>
      <c r="V294" s="12">
        <v>45509.793055555558</v>
      </c>
      <c r="W294" t="s">
        <v>342</v>
      </c>
      <c r="X294" t="s">
        <v>2560</v>
      </c>
      <c r="Y294" t="s">
        <v>2561</v>
      </c>
    </row>
    <row r="295" spans="1:25">
      <c r="A295" t="s">
        <v>2562</v>
      </c>
      <c r="B295" t="s">
        <v>1889</v>
      </c>
      <c r="C295" t="s">
        <v>1139</v>
      </c>
      <c r="D295" t="s">
        <v>2563</v>
      </c>
      <c r="E295" t="s">
        <v>432</v>
      </c>
      <c r="F295" t="s">
        <v>1843</v>
      </c>
      <c r="G295">
        <v>261</v>
      </c>
      <c r="H295" t="s">
        <v>205</v>
      </c>
      <c r="I295" t="s">
        <v>30</v>
      </c>
      <c r="J295" t="s">
        <v>1281</v>
      </c>
      <c r="K295">
        <v>78</v>
      </c>
      <c r="L295" t="s">
        <v>1272</v>
      </c>
      <c r="M295" t="s">
        <v>1273</v>
      </c>
      <c r="N295" t="s">
        <v>36</v>
      </c>
      <c r="O295" s="12">
        <v>46120.213194444441</v>
      </c>
      <c r="P295" s="12">
        <v>46123.004861111112</v>
      </c>
      <c r="Q295" s="12">
        <v>46123.054861111108</v>
      </c>
      <c r="R295" s="12">
        <v>46123.177777777775</v>
      </c>
      <c r="S295" s="12">
        <v>46124.802777777775</v>
      </c>
      <c r="U295" t="b">
        <v>1</v>
      </c>
      <c r="V295" s="12">
        <v>46219.754861111112</v>
      </c>
      <c r="W295" t="s">
        <v>431</v>
      </c>
      <c r="X295" t="s">
        <v>2564</v>
      </c>
    </row>
    <row r="296" spans="1:25">
      <c r="A296" t="s">
        <v>2565</v>
      </c>
      <c r="B296" t="s">
        <v>1468</v>
      </c>
      <c r="C296" t="s">
        <v>1884</v>
      </c>
      <c r="D296" t="s">
        <v>2566</v>
      </c>
      <c r="E296" t="s">
        <v>810</v>
      </c>
      <c r="F296" t="s">
        <v>1309</v>
      </c>
      <c r="G296">
        <v>377</v>
      </c>
      <c r="H296" t="s">
        <v>81</v>
      </c>
      <c r="I296" t="s">
        <v>30</v>
      </c>
      <c r="J296" t="s">
        <v>1339</v>
      </c>
      <c r="K296">
        <v>76</v>
      </c>
      <c r="L296" t="s">
        <v>1272</v>
      </c>
      <c r="M296" t="s">
        <v>1273</v>
      </c>
      <c r="N296" t="s">
        <v>82</v>
      </c>
      <c r="O296" s="12">
        <v>45981.168055555558</v>
      </c>
      <c r="P296" s="12">
        <v>45982.126388888886</v>
      </c>
      <c r="Q296" s="12">
        <v>45982.143055555556</v>
      </c>
      <c r="R296" s="12">
        <v>45982.193055555559</v>
      </c>
      <c r="S296" s="12">
        <v>45982.984722222223</v>
      </c>
      <c r="U296" t="b">
        <v>1</v>
      </c>
      <c r="V296" s="12">
        <v>46015.834722222222</v>
      </c>
      <c r="W296" t="s">
        <v>809</v>
      </c>
      <c r="X296" t="s">
        <v>2567</v>
      </c>
      <c r="Y296" t="s">
        <v>2568</v>
      </c>
    </row>
    <row r="297" spans="1:25">
      <c r="A297" t="s">
        <v>2569</v>
      </c>
      <c r="B297" t="s">
        <v>1299</v>
      </c>
      <c r="C297" t="s">
        <v>2570</v>
      </c>
      <c r="D297" t="s">
        <v>2571</v>
      </c>
      <c r="E297" t="s">
        <v>802</v>
      </c>
      <c r="F297" t="s">
        <v>1427</v>
      </c>
      <c r="G297">
        <v>2013</v>
      </c>
      <c r="H297" t="s">
        <v>249</v>
      </c>
      <c r="I297" t="s">
        <v>17</v>
      </c>
      <c r="J297" t="s">
        <v>1281</v>
      </c>
      <c r="K297">
        <v>85</v>
      </c>
      <c r="L297" t="s">
        <v>42</v>
      </c>
      <c r="M297" t="s">
        <v>1273</v>
      </c>
      <c r="N297" t="s">
        <v>36</v>
      </c>
      <c r="O297" s="12">
        <v>45067.547222222223</v>
      </c>
      <c r="P297" s="12">
        <v>45070.463888888888</v>
      </c>
      <c r="Q297" s="12">
        <v>45070.477777777778</v>
      </c>
      <c r="R297" s="12">
        <v>45070.604861111111</v>
      </c>
      <c r="S297" s="12">
        <v>45071.438194444447</v>
      </c>
      <c r="U297" t="b">
        <v>1</v>
      </c>
      <c r="V297" s="12">
        <v>45106.588888888888</v>
      </c>
      <c r="W297" t="s">
        <v>801</v>
      </c>
      <c r="X297" t="s">
        <v>2572</v>
      </c>
    </row>
    <row r="298" spans="1:25">
      <c r="A298" t="s">
        <v>2573</v>
      </c>
      <c r="B298" t="s">
        <v>1157</v>
      </c>
      <c r="C298" t="s">
        <v>2033</v>
      </c>
      <c r="D298" t="s">
        <v>2574</v>
      </c>
      <c r="E298" t="s">
        <v>549</v>
      </c>
      <c r="F298" t="s">
        <v>1501</v>
      </c>
      <c r="G298">
        <v>323</v>
      </c>
      <c r="H298" t="s">
        <v>249</v>
      </c>
      <c r="I298" t="s">
        <v>30</v>
      </c>
      <c r="J298" t="s">
        <v>1355</v>
      </c>
      <c r="K298">
        <v>72</v>
      </c>
      <c r="L298" t="s">
        <v>1272</v>
      </c>
      <c r="M298" t="s">
        <v>1273</v>
      </c>
      <c r="N298" t="s">
        <v>36</v>
      </c>
      <c r="O298" s="12">
        <v>46121.706944444442</v>
      </c>
      <c r="P298" s="12">
        <v>46123.498611111114</v>
      </c>
      <c r="Q298" s="12">
        <v>46123.541666666664</v>
      </c>
      <c r="R298" s="12">
        <v>46123.679166666669</v>
      </c>
      <c r="S298" s="12">
        <v>46124.054166666669</v>
      </c>
      <c r="U298" t="b">
        <v>1</v>
      </c>
      <c r="V298" s="12">
        <v>46224.831944444442</v>
      </c>
      <c r="W298" t="s">
        <v>548</v>
      </c>
      <c r="X298" t="s">
        <v>2575</v>
      </c>
      <c r="Y298" t="s">
        <v>2576</v>
      </c>
    </row>
    <row r="299" spans="1:25">
      <c r="A299" t="s">
        <v>2577</v>
      </c>
      <c r="B299" t="s">
        <v>2578</v>
      </c>
      <c r="C299" t="s">
        <v>1358</v>
      </c>
      <c r="D299" t="s">
        <v>2579</v>
      </c>
      <c r="E299" t="s">
        <v>399</v>
      </c>
      <c r="F299" t="s">
        <v>1501</v>
      </c>
      <c r="G299">
        <v>553</v>
      </c>
      <c r="H299" t="s">
        <v>50</v>
      </c>
      <c r="I299" t="s">
        <v>30</v>
      </c>
      <c r="J299" t="s">
        <v>1413</v>
      </c>
      <c r="K299">
        <v>72</v>
      </c>
      <c r="L299" t="s">
        <v>1272</v>
      </c>
      <c r="M299" t="s">
        <v>1273</v>
      </c>
      <c r="N299" t="s">
        <v>36</v>
      </c>
      <c r="O299" s="12">
        <v>44947.804166666669</v>
      </c>
      <c r="P299" s="12">
        <v>44949.887499999997</v>
      </c>
      <c r="Q299" s="12">
        <v>44949.924305555556</v>
      </c>
      <c r="R299" s="12">
        <v>44949.936111111114</v>
      </c>
      <c r="S299" s="12">
        <v>44952.311111111114</v>
      </c>
      <c r="U299" t="b">
        <v>1</v>
      </c>
      <c r="V299" s="12">
        <v>45032.512499999997</v>
      </c>
      <c r="W299" t="s">
        <v>398</v>
      </c>
      <c r="X299" t="s">
        <v>2580</v>
      </c>
      <c r="Y299" t="s">
        <v>2581</v>
      </c>
    </row>
    <row r="300" spans="1:25">
      <c r="A300" t="s">
        <v>2582</v>
      </c>
      <c r="B300" t="s">
        <v>1864</v>
      </c>
      <c r="C300" t="s">
        <v>1152</v>
      </c>
      <c r="D300" t="s">
        <v>2583</v>
      </c>
      <c r="E300" t="s">
        <v>290</v>
      </c>
      <c r="F300" t="s">
        <v>1309</v>
      </c>
      <c r="G300">
        <v>87</v>
      </c>
      <c r="H300" t="s">
        <v>127</v>
      </c>
      <c r="I300" t="s">
        <v>24</v>
      </c>
      <c r="J300" t="s">
        <v>1317</v>
      </c>
      <c r="K300">
        <v>73</v>
      </c>
      <c r="L300" t="s">
        <v>1272</v>
      </c>
      <c r="M300" t="s">
        <v>1273</v>
      </c>
      <c r="N300" t="s">
        <v>25</v>
      </c>
      <c r="O300" s="12">
        <v>46170.779166666667</v>
      </c>
      <c r="P300" s="12">
        <v>46172.070833333331</v>
      </c>
      <c r="Q300" s="12">
        <v>46172.12222222222</v>
      </c>
      <c r="R300" s="12">
        <v>46172.49722222222</v>
      </c>
      <c r="S300" s="12">
        <v>46173.080555555556</v>
      </c>
      <c r="U300" t="b">
        <v>1</v>
      </c>
      <c r="V300" s="12">
        <v>46277.362500000003</v>
      </c>
      <c r="W300" t="s">
        <v>289</v>
      </c>
      <c r="X300" t="s">
        <v>2584</v>
      </c>
    </row>
    <row r="301" spans="1:25">
      <c r="A301" t="s">
        <v>2585</v>
      </c>
      <c r="B301" t="s">
        <v>1147</v>
      </c>
      <c r="C301" t="s">
        <v>1441</v>
      </c>
      <c r="D301" t="s">
        <v>2586</v>
      </c>
      <c r="E301" t="s">
        <v>371</v>
      </c>
      <c r="F301" t="s">
        <v>1427</v>
      </c>
      <c r="G301">
        <v>2097</v>
      </c>
      <c r="H301" t="s">
        <v>366</v>
      </c>
      <c r="I301" t="s">
        <v>17</v>
      </c>
      <c r="J301" t="s">
        <v>1281</v>
      </c>
      <c r="K301">
        <v>79</v>
      </c>
      <c r="L301" t="s">
        <v>1272</v>
      </c>
      <c r="M301" t="s">
        <v>1273</v>
      </c>
      <c r="N301" t="s">
        <v>18</v>
      </c>
      <c r="O301" s="12">
        <v>45710.240972222222</v>
      </c>
      <c r="P301" s="12">
        <v>45711.032638888886</v>
      </c>
      <c r="Q301" s="12">
        <v>45711.079861111109</v>
      </c>
      <c r="R301" s="12">
        <v>45711.182638888888</v>
      </c>
      <c r="S301" s="12">
        <v>45714.182638888888</v>
      </c>
      <c r="U301" t="b">
        <v>1</v>
      </c>
      <c r="V301" s="12">
        <v>45800.865972222222</v>
      </c>
      <c r="W301" t="s">
        <v>370</v>
      </c>
      <c r="X301" t="s">
        <v>2587</v>
      </c>
      <c r="Y301" t="s">
        <v>2588</v>
      </c>
    </row>
    <row r="302" spans="1:25">
      <c r="A302" t="s">
        <v>2589</v>
      </c>
      <c r="B302" t="s">
        <v>1898</v>
      </c>
      <c r="C302" t="s">
        <v>1432</v>
      </c>
      <c r="D302" t="s">
        <v>2590</v>
      </c>
      <c r="E302" t="s">
        <v>2591</v>
      </c>
      <c r="F302" t="s">
        <v>2271</v>
      </c>
      <c r="G302">
        <v>90</v>
      </c>
      <c r="H302" t="s">
        <v>205</v>
      </c>
      <c r="I302" t="s">
        <v>24</v>
      </c>
      <c r="J302" t="s">
        <v>1355</v>
      </c>
      <c r="K302">
        <v>69</v>
      </c>
      <c r="L302" t="s">
        <v>2592</v>
      </c>
      <c r="M302" t="s">
        <v>2593</v>
      </c>
      <c r="N302" t="s">
        <v>59</v>
      </c>
      <c r="O302" s="12">
        <v>45363.15625</v>
      </c>
      <c r="P302" s="12">
        <v>45367.072916666664</v>
      </c>
      <c r="Q302" s="12">
        <v>45363.186111111114</v>
      </c>
      <c r="R302" s="12">
        <v>45363.248611111114</v>
      </c>
      <c r="U302" t="b">
        <v>0</v>
      </c>
    </row>
    <row r="303" spans="1:25">
      <c r="A303" t="s">
        <v>2594</v>
      </c>
      <c r="B303" t="s">
        <v>1320</v>
      </c>
      <c r="C303" t="s">
        <v>1291</v>
      </c>
      <c r="D303" t="s">
        <v>2595</v>
      </c>
      <c r="E303" t="s">
        <v>2596</v>
      </c>
      <c r="F303" t="s">
        <v>1448</v>
      </c>
      <c r="G303">
        <v>164</v>
      </c>
      <c r="H303" t="s">
        <v>560</v>
      </c>
      <c r="I303" t="s">
        <v>24</v>
      </c>
      <c r="J303" t="s">
        <v>1271</v>
      </c>
      <c r="K303">
        <v>65</v>
      </c>
      <c r="L303" t="s">
        <v>2592</v>
      </c>
      <c r="M303" t="s">
        <v>2597</v>
      </c>
      <c r="N303" t="s">
        <v>25</v>
      </c>
      <c r="O303" s="12">
        <v>46029.97152777778</v>
      </c>
      <c r="P303" s="12">
        <v>46030.763194444444</v>
      </c>
      <c r="Q303" s="12">
        <v>46030.195833333331</v>
      </c>
      <c r="R303" s="12">
        <v>46030.313888888886</v>
      </c>
      <c r="U303" t="b">
        <v>0</v>
      </c>
    </row>
    <row r="304" spans="1:25">
      <c r="A304" t="s">
        <v>2598</v>
      </c>
      <c r="B304" t="s">
        <v>1267</v>
      </c>
      <c r="C304" t="s">
        <v>1197</v>
      </c>
      <c r="D304" t="s">
        <v>2599</v>
      </c>
      <c r="E304" t="s">
        <v>2600</v>
      </c>
      <c r="F304" t="s">
        <v>1784</v>
      </c>
      <c r="G304">
        <v>839</v>
      </c>
      <c r="H304" t="s">
        <v>1079</v>
      </c>
      <c r="I304" t="s">
        <v>30</v>
      </c>
      <c r="J304" t="s">
        <v>1295</v>
      </c>
      <c r="K304">
        <v>87</v>
      </c>
      <c r="L304" t="s">
        <v>2601</v>
      </c>
      <c r="M304" t="s">
        <v>2593</v>
      </c>
      <c r="N304" t="s">
        <v>55</v>
      </c>
      <c r="O304" s="12">
        <v>45349.286805555559</v>
      </c>
      <c r="Q304" s="12">
        <v>45349.445833333331</v>
      </c>
      <c r="R304" s="12">
        <v>45349.492361111108</v>
      </c>
      <c r="U304" t="b">
        <v>0</v>
      </c>
    </row>
    <row r="305" spans="1:21">
      <c r="A305" t="s">
        <v>2602</v>
      </c>
      <c r="B305" t="s">
        <v>1138</v>
      </c>
      <c r="C305" t="s">
        <v>1404</v>
      </c>
      <c r="D305" t="s">
        <v>2603</v>
      </c>
      <c r="E305" t="s">
        <v>2604</v>
      </c>
      <c r="F305" t="s">
        <v>1367</v>
      </c>
      <c r="G305">
        <v>134</v>
      </c>
      <c r="H305" t="s">
        <v>23</v>
      </c>
      <c r="I305" t="s">
        <v>24</v>
      </c>
      <c r="J305" t="s">
        <v>1413</v>
      </c>
      <c r="K305">
        <v>68</v>
      </c>
      <c r="L305" t="s">
        <v>2601</v>
      </c>
      <c r="M305" t="s">
        <v>2605</v>
      </c>
      <c r="N305" t="s">
        <v>25</v>
      </c>
      <c r="O305" s="12">
        <v>46136.732638888891</v>
      </c>
      <c r="Q305" s="12">
        <v>46136.761111111111</v>
      </c>
      <c r="R305" s="12">
        <v>46136.79583333333</v>
      </c>
      <c r="U305" t="b">
        <v>0</v>
      </c>
    </row>
    <row r="306" spans="1:21">
      <c r="A306" t="s">
        <v>2606</v>
      </c>
      <c r="B306" t="s">
        <v>2607</v>
      </c>
      <c r="C306" t="s">
        <v>1148</v>
      </c>
      <c r="D306" t="s">
        <v>2608</v>
      </c>
      <c r="E306" t="s">
        <v>2609</v>
      </c>
      <c r="F306" t="s">
        <v>1412</v>
      </c>
      <c r="G306">
        <v>104</v>
      </c>
      <c r="H306" t="s">
        <v>182</v>
      </c>
      <c r="I306" t="s">
        <v>24</v>
      </c>
      <c r="J306" t="s">
        <v>1413</v>
      </c>
      <c r="K306">
        <v>45</v>
      </c>
      <c r="L306" t="s">
        <v>2601</v>
      </c>
      <c r="M306" t="s">
        <v>2605</v>
      </c>
      <c r="N306" t="s">
        <v>59</v>
      </c>
      <c r="O306" s="12">
        <v>45340.587500000001</v>
      </c>
      <c r="Q306" s="12">
        <v>45340.772222222222</v>
      </c>
      <c r="R306" s="12">
        <v>45340.892361111109</v>
      </c>
      <c r="U306" t="b">
        <v>0</v>
      </c>
    </row>
    <row r="307" spans="1:21">
      <c r="A307" t="s">
        <v>2610</v>
      </c>
      <c r="B307" t="s">
        <v>2611</v>
      </c>
      <c r="C307" t="s">
        <v>1436</v>
      </c>
      <c r="D307" t="s">
        <v>2612</v>
      </c>
      <c r="E307" t="s">
        <v>2613</v>
      </c>
      <c r="F307" t="s">
        <v>1182</v>
      </c>
      <c r="G307">
        <v>81</v>
      </c>
      <c r="H307" t="s">
        <v>23</v>
      </c>
      <c r="I307" t="s">
        <v>24</v>
      </c>
      <c r="J307" t="s">
        <v>1271</v>
      </c>
      <c r="K307">
        <v>55</v>
      </c>
      <c r="L307" t="s">
        <v>2592</v>
      </c>
      <c r="M307" t="s">
        <v>2593</v>
      </c>
      <c r="O307" s="12">
        <v>45834.997916666667</v>
      </c>
      <c r="P307" s="12">
        <v>45838.289583333331</v>
      </c>
      <c r="U307" t="b">
        <v>0</v>
      </c>
    </row>
    <row r="308" spans="1:21">
      <c r="A308" t="s">
        <v>2614</v>
      </c>
      <c r="B308" t="s">
        <v>1161</v>
      </c>
      <c r="C308" t="s">
        <v>1139</v>
      </c>
      <c r="D308" t="s">
        <v>2615</v>
      </c>
      <c r="E308" t="s">
        <v>2616</v>
      </c>
      <c r="F308" t="s">
        <v>2617</v>
      </c>
      <c r="G308">
        <v>22</v>
      </c>
      <c r="H308" t="s">
        <v>99</v>
      </c>
      <c r="I308" t="s">
        <v>24</v>
      </c>
      <c r="J308" t="s">
        <v>1317</v>
      </c>
      <c r="K308">
        <v>71</v>
      </c>
      <c r="L308" t="s">
        <v>2601</v>
      </c>
      <c r="M308" t="s">
        <v>2618</v>
      </c>
      <c r="N308" t="s">
        <v>59</v>
      </c>
      <c r="O308" s="12">
        <v>45902.576388888891</v>
      </c>
      <c r="Q308" s="12">
        <v>45902.740972222222</v>
      </c>
      <c r="R308" s="12">
        <v>45902.808333333334</v>
      </c>
      <c r="T308" t="s">
        <v>2619</v>
      </c>
      <c r="U308" t="b">
        <v>0</v>
      </c>
    </row>
    <row r="309" spans="1:21">
      <c r="A309" t="s">
        <v>2620</v>
      </c>
      <c r="B309" t="s">
        <v>1649</v>
      </c>
      <c r="C309" t="s">
        <v>2621</v>
      </c>
      <c r="D309" t="s">
        <v>2622</v>
      </c>
      <c r="E309" t="s">
        <v>2623</v>
      </c>
      <c r="F309" t="s">
        <v>2084</v>
      </c>
      <c r="G309">
        <v>678</v>
      </c>
      <c r="H309" t="s">
        <v>560</v>
      </c>
      <c r="I309" t="s">
        <v>24</v>
      </c>
      <c r="J309" t="s">
        <v>1355</v>
      </c>
      <c r="K309">
        <v>77</v>
      </c>
      <c r="L309" t="s">
        <v>2592</v>
      </c>
      <c r="M309" t="s">
        <v>2593</v>
      </c>
      <c r="N309" t="s">
        <v>82</v>
      </c>
      <c r="O309" s="12">
        <v>45723.044444444444</v>
      </c>
      <c r="P309" s="12">
        <v>45723.419444444444</v>
      </c>
      <c r="Q309" s="12">
        <v>45723.238194444442</v>
      </c>
      <c r="R309" s="12">
        <v>45723.290277777778</v>
      </c>
      <c r="U309" t="b">
        <v>0</v>
      </c>
    </row>
    <row r="310" spans="1:21">
      <c r="A310" t="s">
        <v>2624</v>
      </c>
      <c r="B310" t="s">
        <v>1649</v>
      </c>
      <c r="C310" t="s">
        <v>1222</v>
      </c>
      <c r="D310" t="s">
        <v>2625</v>
      </c>
      <c r="E310" t="s">
        <v>2626</v>
      </c>
      <c r="F310" t="s">
        <v>1843</v>
      </c>
      <c r="G310">
        <v>183</v>
      </c>
      <c r="H310" t="s">
        <v>638</v>
      </c>
      <c r="I310" t="s">
        <v>24</v>
      </c>
      <c r="J310" t="s">
        <v>1355</v>
      </c>
      <c r="K310">
        <v>80</v>
      </c>
      <c r="L310" t="s">
        <v>2592</v>
      </c>
      <c r="M310" t="s">
        <v>2597</v>
      </c>
      <c r="O310" s="12">
        <v>45694.337500000001</v>
      </c>
      <c r="P310" s="12">
        <v>45695.212500000001</v>
      </c>
      <c r="U310" t="b">
        <v>0</v>
      </c>
    </row>
    <row r="311" spans="1:21">
      <c r="A311" t="s">
        <v>2627</v>
      </c>
      <c r="B311" t="s">
        <v>2628</v>
      </c>
      <c r="C311" t="s">
        <v>1142</v>
      </c>
      <c r="D311" t="s">
        <v>2629</v>
      </c>
      <c r="E311" t="s">
        <v>2630</v>
      </c>
      <c r="F311" t="s">
        <v>1511</v>
      </c>
      <c r="G311">
        <v>362</v>
      </c>
      <c r="H311" t="s">
        <v>120</v>
      </c>
      <c r="I311" t="s">
        <v>30</v>
      </c>
      <c r="J311" t="s">
        <v>1271</v>
      </c>
      <c r="K311">
        <v>60</v>
      </c>
      <c r="L311" t="s">
        <v>2601</v>
      </c>
      <c r="M311" t="s">
        <v>2618</v>
      </c>
      <c r="N311" t="s">
        <v>82</v>
      </c>
      <c r="O311" s="12">
        <v>45672.142361111109</v>
      </c>
      <c r="Q311" s="12">
        <v>45672.149305555555</v>
      </c>
      <c r="R311" s="12">
        <v>45672.201388888891</v>
      </c>
      <c r="T311" t="s">
        <v>2631</v>
      </c>
      <c r="U311" t="b">
        <v>0</v>
      </c>
    </row>
    <row r="312" spans="1:21">
      <c r="A312" t="s">
        <v>2632</v>
      </c>
      <c r="B312" t="s">
        <v>1175</v>
      </c>
      <c r="C312" t="s">
        <v>1404</v>
      </c>
      <c r="D312" t="s">
        <v>2633</v>
      </c>
      <c r="E312" t="s">
        <v>2634</v>
      </c>
      <c r="F312" t="s">
        <v>1294</v>
      </c>
      <c r="G312">
        <v>97</v>
      </c>
      <c r="H312" t="s">
        <v>216</v>
      </c>
      <c r="I312" t="s">
        <v>24</v>
      </c>
      <c r="J312" t="s">
        <v>1413</v>
      </c>
      <c r="K312">
        <v>56</v>
      </c>
      <c r="L312" t="s">
        <v>2601</v>
      </c>
      <c r="M312" t="s">
        <v>2605</v>
      </c>
      <c r="N312" t="s">
        <v>91</v>
      </c>
      <c r="O312" s="12">
        <v>45901.984027777777</v>
      </c>
      <c r="Q312" s="12">
        <v>45902.008333333331</v>
      </c>
      <c r="R312" s="12">
        <v>45902.104861111111</v>
      </c>
      <c r="U312" t="b">
        <v>0</v>
      </c>
    </row>
    <row r="313" spans="1:21">
      <c r="A313" t="s">
        <v>2635</v>
      </c>
      <c r="B313" t="s">
        <v>2628</v>
      </c>
      <c r="C313" t="s">
        <v>1119</v>
      </c>
      <c r="D313" t="s">
        <v>2636</v>
      </c>
      <c r="E313" t="s">
        <v>2637</v>
      </c>
      <c r="F313" t="s">
        <v>1784</v>
      </c>
      <c r="G313">
        <v>53</v>
      </c>
      <c r="H313" t="s">
        <v>16</v>
      </c>
      <c r="I313" t="s">
        <v>24</v>
      </c>
      <c r="J313" t="s">
        <v>1317</v>
      </c>
      <c r="K313">
        <v>76</v>
      </c>
      <c r="L313" t="s">
        <v>2592</v>
      </c>
      <c r="M313" t="s">
        <v>2593</v>
      </c>
      <c r="O313" s="12">
        <v>45877.170138888891</v>
      </c>
      <c r="P313" s="12">
        <v>45879.170138888891</v>
      </c>
      <c r="U313" t="b">
        <v>0</v>
      </c>
    </row>
    <row r="314" spans="1:21">
      <c r="A314" t="s">
        <v>2638</v>
      </c>
      <c r="B314" t="s">
        <v>2639</v>
      </c>
      <c r="C314" t="s">
        <v>1462</v>
      </c>
      <c r="D314" t="s">
        <v>2640</v>
      </c>
      <c r="E314" t="s">
        <v>2641</v>
      </c>
      <c r="F314" t="s">
        <v>1182</v>
      </c>
      <c r="G314">
        <v>660</v>
      </c>
      <c r="H314" t="s">
        <v>95</v>
      </c>
      <c r="I314" t="s">
        <v>30</v>
      </c>
      <c r="J314" t="s">
        <v>1339</v>
      </c>
      <c r="K314">
        <v>71</v>
      </c>
      <c r="L314" t="s">
        <v>2642</v>
      </c>
      <c r="M314" t="s">
        <v>2643</v>
      </c>
      <c r="N314" t="s">
        <v>18</v>
      </c>
      <c r="O314" s="12">
        <v>45464.753472222219</v>
      </c>
      <c r="P314" s="12">
        <v>45465.545138888891</v>
      </c>
      <c r="Q314" s="12">
        <v>45464.777777777781</v>
      </c>
      <c r="R314" s="12">
        <v>45464.80972222222</v>
      </c>
      <c r="S314" s="12">
        <v>45468.420138888891</v>
      </c>
      <c r="U314" t="b">
        <v>0</v>
      </c>
    </row>
    <row r="315" spans="1:21">
      <c r="A315" t="s">
        <v>2644</v>
      </c>
      <c r="B315" t="s">
        <v>2645</v>
      </c>
      <c r="C315" t="s">
        <v>1337</v>
      </c>
      <c r="D315" t="s">
        <v>2646</v>
      </c>
      <c r="E315" t="s">
        <v>2647</v>
      </c>
      <c r="F315" t="s">
        <v>1294</v>
      </c>
      <c r="G315">
        <v>171</v>
      </c>
      <c r="H315" t="s">
        <v>81</v>
      </c>
      <c r="I315" t="s">
        <v>24</v>
      </c>
      <c r="J315" t="s">
        <v>1317</v>
      </c>
      <c r="K315">
        <v>56</v>
      </c>
      <c r="L315" t="s">
        <v>2601</v>
      </c>
      <c r="M315" t="s">
        <v>2618</v>
      </c>
      <c r="N315" t="s">
        <v>25</v>
      </c>
      <c r="O315" s="12">
        <v>45681.910416666666</v>
      </c>
      <c r="Q315" s="12">
        <v>45682.098611111112</v>
      </c>
      <c r="R315" s="12">
        <v>45682.123611111114</v>
      </c>
      <c r="T315" t="s">
        <v>2648</v>
      </c>
      <c r="U315" t="b">
        <v>0</v>
      </c>
    </row>
    <row r="316" spans="1:21">
      <c r="A316" t="s">
        <v>2649</v>
      </c>
      <c r="B316" t="s">
        <v>1485</v>
      </c>
      <c r="C316" t="s">
        <v>1139</v>
      </c>
      <c r="D316" t="s">
        <v>2650</v>
      </c>
      <c r="E316" t="s">
        <v>2651</v>
      </c>
      <c r="F316" t="s">
        <v>1843</v>
      </c>
      <c r="G316">
        <v>123</v>
      </c>
      <c r="H316" t="s">
        <v>68</v>
      </c>
      <c r="I316" t="s">
        <v>17</v>
      </c>
      <c r="J316" t="s">
        <v>1281</v>
      </c>
      <c r="K316">
        <v>66</v>
      </c>
      <c r="L316" t="s">
        <v>2601</v>
      </c>
      <c r="M316" t="s">
        <v>2593</v>
      </c>
      <c r="N316" t="s">
        <v>69</v>
      </c>
      <c r="O316" s="12">
        <v>45665.157638888886</v>
      </c>
      <c r="Q316" s="12">
        <v>45665.244444444441</v>
      </c>
      <c r="R316" s="12">
        <v>45666.619444444441</v>
      </c>
      <c r="U316" t="b">
        <v>0</v>
      </c>
    </row>
    <row r="317" spans="1:21">
      <c r="A317" t="s">
        <v>2652</v>
      </c>
      <c r="B317" t="s">
        <v>1185</v>
      </c>
      <c r="C317" t="s">
        <v>1337</v>
      </c>
      <c r="D317" t="s">
        <v>2653</v>
      </c>
      <c r="E317" t="s">
        <v>2654</v>
      </c>
      <c r="F317" t="s">
        <v>1412</v>
      </c>
      <c r="G317">
        <v>135</v>
      </c>
      <c r="H317" t="s">
        <v>440</v>
      </c>
      <c r="I317" t="s">
        <v>24</v>
      </c>
      <c r="J317" t="s">
        <v>1271</v>
      </c>
      <c r="K317">
        <v>43</v>
      </c>
      <c r="L317" t="s">
        <v>2601</v>
      </c>
      <c r="M317" t="s">
        <v>2655</v>
      </c>
      <c r="N317" t="s">
        <v>69</v>
      </c>
      <c r="O317" s="12">
        <v>45813.769444444442</v>
      </c>
      <c r="Q317" s="12">
        <v>45813.979861111111</v>
      </c>
      <c r="U317" t="b">
        <v>0</v>
      </c>
    </row>
    <row r="318" spans="1:21">
      <c r="A318" t="s">
        <v>2656</v>
      </c>
      <c r="B318" t="s">
        <v>2657</v>
      </c>
      <c r="C318" t="s">
        <v>1158</v>
      </c>
      <c r="D318" t="s">
        <v>2658</v>
      </c>
      <c r="E318" t="s">
        <v>2659</v>
      </c>
      <c r="F318" t="s">
        <v>2660</v>
      </c>
      <c r="G318">
        <v>708</v>
      </c>
      <c r="H318" t="s">
        <v>366</v>
      </c>
      <c r="I318" t="s">
        <v>30</v>
      </c>
      <c r="J318" t="s">
        <v>1413</v>
      </c>
      <c r="K318">
        <v>47</v>
      </c>
      <c r="L318" t="s">
        <v>2592</v>
      </c>
      <c r="M318" t="s">
        <v>2605</v>
      </c>
      <c r="N318" t="s">
        <v>18</v>
      </c>
      <c r="O318" s="12">
        <v>46228.392361111109</v>
      </c>
      <c r="P318" s="12">
        <v>46229.767361111109</v>
      </c>
      <c r="Q318" s="12">
        <v>46228.434027777781</v>
      </c>
      <c r="R318" s="12">
        <v>46228.809027777781</v>
      </c>
      <c r="U318" t="b">
        <v>0</v>
      </c>
    </row>
    <row r="319" spans="1:21">
      <c r="A319" t="s">
        <v>2661</v>
      </c>
      <c r="B319" t="s">
        <v>2662</v>
      </c>
      <c r="C319" t="s">
        <v>2100</v>
      </c>
      <c r="D319" t="s">
        <v>2663</v>
      </c>
      <c r="E319" t="s">
        <v>2664</v>
      </c>
      <c r="F319" t="s">
        <v>1517</v>
      </c>
      <c r="G319">
        <v>329</v>
      </c>
      <c r="H319" t="s">
        <v>415</v>
      </c>
      <c r="I319" t="s">
        <v>30</v>
      </c>
      <c r="J319" t="s">
        <v>1317</v>
      </c>
      <c r="K319">
        <v>56</v>
      </c>
      <c r="L319" t="s">
        <v>2592</v>
      </c>
      <c r="M319" t="s">
        <v>2593</v>
      </c>
      <c r="N319" t="s">
        <v>55</v>
      </c>
      <c r="O319" s="12">
        <v>45785.825694444444</v>
      </c>
      <c r="P319" s="12">
        <v>45786.90902777778</v>
      </c>
      <c r="Q319" s="12">
        <v>45785.915277777778</v>
      </c>
      <c r="R319" s="12">
        <v>45785.979861111111</v>
      </c>
      <c r="U319" t="b">
        <v>0</v>
      </c>
    </row>
    <row r="320" spans="1:21">
      <c r="A320" t="s">
        <v>2665</v>
      </c>
      <c r="B320" t="s">
        <v>2666</v>
      </c>
      <c r="C320" t="s">
        <v>1142</v>
      </c>
      <c r="D320" t="s">
        <v>2667</v>
      </c>
      <c r="E320" t="s">
        <v>2668</v>
      </c>
      <c r="F320" t="s">
        <v>1448</v>
      </c>
      <c r="G320">
        <v>77</v>
      </c>
      <c r="H320" t="s">
        <v>205</v>
      </c>
      <c r="I320" t="s">
        <v>24</v>
      </c>
      <c r="J320" t="s">
        <v>1295</v>
      </c>
      <c r="K320">
        <v>91</v>
      </c>
      <c r="L320" t="s">
        <v>2601</v>
      </c>
      <c r="M320" t="s">
        <v>2593</v>
      </c>
      <c r="N320" t="s">
        <v>25</v>
      </c>
      <c r="O320" s="12">
        <v>46244.857638888891</v>
      </c>
      <c r="Q320" s="12">
        <v>46244.9</v>
      </c>
      <c r="R320" s="12">
        <v>46245.10833333333</v>
      </c>
      <c r="U320" t="b">
        <v>0</v>
      </c>
    </row>
    <row r="321" spans="1:21">
      <c r="A321" t="s">
        <v>2669</v>
      </c>
      <c r="B321" t="s">
        <v>2670</v>
      </c>
      <c r="C321" t="s">
        <v>1343</v>
      </c>
      <c r="D321" t="s">
        <v>2671</v>
      </c>
      <c r="E321" t="s">
        <v>2672</v>
      </c>
      <c r="F321" t="s">
        <v>1517</v>
      </c>
      <c r="G321">
        <v>423</v>
      </c>
      <c r="H321" t="s">
        <v>120</v>
      </c>
      <c r="I321" t="s">
        <v>30</v>
      </c>
      <c r="J321" t="s">
        <v>1339</v>
      </c>
      <c r="K321">
        <v>89</v>
      </c>
      <c r="L321" t="s">
        <v>2592</v>
      </c>
      <c r="M321" t="s">
        <v>2618</v>
      </c>
      <c r="N321" t="s">
        <v>82</v>
      </c>
      <c r="O321" s="12">
        <v>45934.696527777778</v>
      </c>
      <c r="P321" s="12">
        <v>45936.238194444442</v>
      </c>
      <c r="Q321" s="12">
        <v>45934.788194444445</v>
      </c>
      <c r="R321" s="12">
        <v>45934.795138888891</v>
      </c>
      <c r="T321" t="s">
        <v>2673</v>
      </c>
      <c r="U321" t="b">
        <v>0</v>
      </c>
    </row>
    <row r="322" spans="1:21">
      <c r="A322" t="s">
        <v>2674</v>
      </c>
      <c r="B322" t="s">
        <v>1161</v>
      </c>
      <c r="C322" t="s">
        <v>1353</v>
      </c>
      <c r="D322" t="s">
        <v>2675</v>
      </c>
      <c r="E322" t="s">
        <v>2676</v>
      </c>
      <c r="F322" t="s">
        <v>2660</v>
      </c>
      <c r="G322">
        <v>563</v>
      </c>
      <c r="H322" t="s">
        <v>205</v>
      </c>
      <c r="I322" t="s">
        <v>30</v>
      </c>
      <c r="J322" t="s">
        <v>1339</v>
      </c>
      <c r="K322">
        <v>95</v>
      </c>
      <c r="L322" t="s">
        <v>2642</v>
      </c>
      <c r="M322" t="s">
        <v>2643</v>
      </c>
      <c r="N322" t="s">
        <v>36</v>
      </c>
      <c r="O322" s="12">
        <v>45647.62222222222</v>
      </c>
      <c r="P322" s="12">
        <v>45651.24722222222</v>
      </c>
      <c r="Q322" s="12">
        <v>45647.65625</v>
      </c>
      <c r="R322" s="12">
        <v>45647.686111111114</v>
      </c>
      <c r="S322" s="12">
        <v>45652.038888888892</v>
      </c>
      <c r="U322" t="b">
        <v>0</v>
      </c>
    </row>
    <row r="323" spans="1:21">
      <c r="A323" t="s">
        <v>2677</v>
      </c>
      <c r="B323" t="s">
        <v>1167</v>
      </c>
      <c r="C323" t="s">
        <v>1158</v>
      </c>
      <c r="D323" t="s">
        <v>2678</v>
      </c>
      <c r="E323" t="s">
        <v>2679</v>
      </c>
      <c r="F323" t="s">
        <v>2680</v>
      </c>
      <c r="G323">
        <v>64</v>
      </c>
      <c r="H323" t="s">
        <v>440</v>
      </c>
      <c r="I323" t="s">
        <v>24</v>
      </c>
      <c r="J323" t="s">
        <v>1288</v>
      </c>
      <c r="K323">
        <v>65</v>
      </c>
      <c r="L323" t="s">
        <v>2592</v>
      </c>
      <c r="M323" t="s">
        <v>2618</v>
      </c>
      <c r="N323" t="s">
        <v>69</v>
      </c>
      <c r="O323" s="12">
        <v>46126.012499999997</v>
      </c>
      <c r="P323" s="12">
        <v>46128.137499999997</v>
      </c>
      <c r="Q323" s="12">
        <v>46126.032638888886</v>
      </c>
      <c r="R323" s="12">
        <v>46126.159722222219</v>
      </c>
      <c r="T323" t="s">
        <v>2631</v>
      </c>
      <c r="U323" t="b">
        <v>0</v>
      </c>
    </row>
    <row r="324" spans="1:21">
      <c r="A324" t="s">
        <v>2681</v>
      </c>
      <c r="B324" t="s">
        <v>2682</v>
      </c>
      <c r="C324" t="s">
        <v>1142</v>
      </c>
      <c r="D324" t="s">
        <v>2683</v>
      </c>
      <c r="E324" t="s">
        <v>2684</v>
      </c>
      <c r="F324" t="s">
        <v>1367</v>
      </c>
      <c r="G324">
        <v>421</v>
      </c>
      <c r="H324" t="s">
        <v>64</v>
      </c>
      <c r="I324" t="s">
        <v>30</v>
      </c>
      <c r="J324" t="s">
        <v>1271</v>
      </c>
      <c r="K324">
        <v>63</v>
      </c>
      <c r="L324" t="s">
        <v>2592</v>
      </c>
      <c r="M324" t="s">
        <v>2618</v>
      </c>
      <c r="O324" s="12">
        <v>45591.613888888889</v>
      </c>
      <c r="P324" s="12">
        <v>45592.447222222225</v>
      </c>
      <c r="T324" t="s">
        <v>2685</v>
      </c>
      <c r="U324" t="b">
        <v>0</v>
      </c>
    </row>
    <row r="325" spans="1:21">
      <c r="A325" t="s">
        <v>2686</v>
      </c>
      <c r="B325" t="s">
        <v>1179</v>
      </c>
      <c r="C325" t="s">
        <v>1186</v>
      </c>
      <c r="D325" t="s">
        <v>2687</v>
      </c>
      <c r="E325" t="s">
        <v>2688</v>
      </c>
      <c r="F325" t="s">
        <v>1511</v>
      </c>
      <c r="G325">
        <v>150</v>
      </c>
      <c r="H325" t="s">
        <v>216</v>
      </c>
      <c r="I325" t="s">
        <v>24</v>
      </c>
      <c r="J325" t="s">
        <v>1295</v>
      </c>
      <c r="K325">
        <v>86</v>
      </c>
      <c r="L325" t="s">
        <v>2601</v>
      </c>
      <c r="M325" t="s">
        <v>2605</v>
      </c>
      <c r="N325" t="s">
        <v>91</v>
      </c>
      <c r="O325" s="12">
        <v>45728.17083333333</v>
      </c>
      <c r="Q325" s="12">
        <v>45728.353472222225</v>
      </c>
      <c r="R325" s="12">
        <v>45728.432638888888</v>
      </c>
      <c r="U325" t="b">
        <v>0</v>
      </c>
    </row>
    <row r="326" spans="1:21">
      <c r="A326" t="s">
        <v>2689</v>
      </c>
      <c r="B326" t="s">
        <v>1267</v>
      </c>
      <c r="C326" t="s">
        <v>1436</v>
      </c>
      <c r="D326" t="s">
        <v>2690</v>
      </c>
      <c r="E326" t="s">
        <v>2691</v>
      </c>
      <c r="F326" t="s">
        <v>2271</v>
      </c>
      <c r="G326">
        <v>630</v>
      </c>
      <c r="H326" t="s">
        <v>68</v>
      </c>
      <c r="I326" t="s">
        <v>30</v>
      </c>
      <c r="J326" t="s">
        <v>1295</v>
      </c>
      <c r="K326">
        <v>91</v>
      </c>
      <c r="L326" t="s">
        <v>2642</v>
      </c>
      <c r="M326" t="s">
        <v>2643</v>
      </c>
      <c r="N326" t="s">
        <v>55</v>
      </c>
      <c r="O326" s="12">
        <v>45406.430555555555</v>
      </c>
      <c r="P326" s="12">
        <v>45409.847222222219</v>
      </c>
      <c r="Q326" s="12">
        <v>45406.576388888891</v>
      </c>
      <c r="R326" s="12">
        <v>45406.631944444445</v>
      </c>
      <c r="S326" s="12">
        <v>45419.638888888891</v>
      </c>
      <c r="U326" t="b">
        <v>0</v>
      </c>
    </row>
    <row r="327" spans="1:21">
      <c r="A327" t="s">
        <v>2692</v>
      </c>
      <c r="B327" t="s">
        <v>2693</v>
      </c>
      <c r="C327" t="s">
        <v>1337</v>
      </c>
      <c r="D327" t="s">
        <v>2694</v>
      </c>
      <c r="E327" t="s">
        <v>2695</v>
      </c>
      <c r="F327" t="s">
        <v>1367</v>
      </c>
      <c r="G327">
        <v>120</v>
      </c>
      <c r="H327" t="s">
        <v>236</v>
      </c>
      <c r="I327" t="s">
        <v>24</v>
      </c>
      <c r="J327" t="s">
        <v>1271</v>
      </c>
      <c r="K327">
        <v>34</v>
      </c>
      <c r="L327" t="s">
        <v>2601</v>
      </c>
      <c r="M327" t="s">
        <v>2593</v>
      </c>
      <c r="N327" t="s">
        <v>91</v>
      </c>
      <c r="O327" s="12">
        <v>45373.510416666664</v>
      </c>
      <c r="Q327" s="12">
        <v>45373.675000000003</v>
      </c>
      <c r="R327" s="12">
        <v>45373.740972222222</v>
      </c>
      <c r="U327" t="b">
        <v>0</v>
      </c>
    </row>
    <row r="328" spans="1:21">
      <c r="A328" t="s">
        <v>2696</v>
      </c>
      <c r="B328" t="s">
        <v>2578</v>
      </c>
      <c r="C328" t="s">
        <v>1158</v>
      </c>
      <c r="D328" t="s">
        <v>2697</v>
      </c>
      <c r="E328" t="s">
        <v>2698</v>
      </c>
      <c r="F328" t="s">
        <v>1420</v>
      </c>
      <c r="G328">
        <v>184</v>
      </c>
      <c r="H328" t="s">
        <v>140</v>
      </c>
      <c r="I328" t="s">
        <v>24</v>
      </c>
      <c r="J328" t="s">
        <v>1339</v>
      </c>
      <c r="K328">
        <v>84</v>
      </c>
      <c r="L328" t="s">
        <v>2642</v>
      </c>
      <c r="M328" t="s">
        <v>2643</v>
      </c>
      <c r="N328" t="s">
        <v>25</v>
      </c>
      <c r="O328" s="12">
        <v>45915.699305555558</v>
      </c>
      <c r="P328" s="12">
        <v>45919.324305555558</v>
      </c>
      <c r="Q328" s="12">
        <v>45915.747916666667</v>
      </c>
      <c r="R328" s="12">
        <v>45915.818055555559</v>
      </c>
      <c r="S328" s="12">
        <v>45921.949305555558</v>
      </c>
      <c r="U328" t="b">
        <v>0</v>
      </c>
    </row>
    <row r="329" spans="1:21">
      <c r="A329" t="s">
        <v>2699</v>
      </c>
      <c r="B329" t="s">
        <v>1175</v>
      </c>
      <c r="C329" t="s">
        <v>1343</v>
      </c>
      <c r="D329" t="s">
        <v>2700</v>
      </c>
      <c r="E329" t="s">
        <v>2701</v>
      </c>
      <c r="F329" t="s">
        <v>1448</v>
      </c>
      <c r="G329">
        <v>988</v>
      </c>
      <c r="H329" t="s">
        <v>16</v>
      </c>
      <c r="I329" t="s">
        <v>30</v>
      </c>
      <c r="J329" t="s">
        <v>1355</v>
      </c>
      <c r="K329">
        <v>68</v>
      </c>
      <c r="L329" t="s">
        <v>2601</v>
      </c>
      <c r="M329" t="s">
        <v>2655</v>
      </c>
      <c r="N329" t="s">
        <v>18</v>
      </c>
      <c r="O329" s="12">
        <v>45740.974305555559</v>
      </c>
      <c r="Q329" s="12">
        <v>45741.029861111114</v>
      </c>
      <c r="U329" t="b">
        <v>0</v>
      </c>
    </row>
    <row r="330" spans="1:21">
      <c r="A330" t="s">
        <v>2702</v>
      </c>
      <c r="B330" t="s">
        <v>2670</v>
      </c>
      <c r="C330" t="s">
        <v>2005</v>
      </c>
      <c r="D330" t="s">
        <v>2703</v>
      </c>
      <c r="E330" t="s">
        <v>2704</v>
      </c>
      <c r="F330" t="s">
        <v>2680</v>
      </c>
      <c r="G330">
        <v>284</v>
      </c>
      <c r="H330" t="s">
        <v>81</v>
      </c>
      <c r="I330" t="s">
        <v>30</v>
      </c>
      <c r="J330" t="s">
        <v>1271</v>
      </c>
      <c r="K330">
        <v>50</v>
      </c>
      <c r="L330" t="s">
        <v>2601</v>
      </c>
      <c r="M330" t="s">
        <v>2605</v>
      </c>
      <c r="N330" t="s">
        <v>82</v>
      </c>
      <c r="O330" s="12">
        <v>45726.350694444445</v>
      </c>
      <c r="Q330" s="12">
        <v>45726.421527777777</v>
      </c>
      <c r="R330" s="12">
        <v>45726.481249999997</v>
      </c>
      <c r="U330" t="b">
        <v>0</v>
      </c>
    </row>
    <row r="331" spans="1:21">
      <c r="A331" t="s">
        <v>2705</v>
      </c>
      <c r="B331" t="s">
        <v>2706</v>
      </c>
      <c r="C331" t="s">
        <v>1475</v>
      </c>
      <c r="D331" t="s">
        <v>2707</v>
      </c>
      <c r="E331" t="s">
        <v>2708</v>
      </c>
      <c r="F331" t="s">
        <v>2709</v>
      </c>
      <c r="G331">
        <v>145</v>
      </c>
      <c r="H331" t="s">
        <v>50</v>
      </c>
      <c r="I331" t="s">
        <v>24</v>
      </c>
      <c r="J331" t="s">
        <v>1355</v>
      </c>
      <c r="K331">
        <v>61</v>
      </c>
      <c r="L331" t="s">
        <v>2592</v>
      </c>
      <c r="M331" t="s">
        <v>2605</v>
      </c>
      <c r="N331" t="s">
        <v>59</v>
      </c>
      <c r="O331" s="12">
        <v>45306.18472222222</v>
      </c>
      <c r="P331" s="12">
        <v>45308.851388888892</v>
      </c>
      <c r="Q331" s="12">
        <v>45306.26458333333</v>
      </c>
      <c r="U331" t="b">
        <v>0</v>
      </c>
    </row>
    <row r="332" spans="1:21">
      <c r="A332" t="s">
        <v>2710</v>
      </c>
      <c r="B332" t="s">
        <v>2711</v>
      </c>
      <c r="C332" t="s">
        <v>1172</v>
      </c>
      <c r="D332" t="s">
        <v>2712</v>
      </c>
      <c r="E332" t="s">
        <v>2713</v>
      </c>
      <c r="F332" t="s">
        <v>2680</v>
      </c>
      <c r="G332">
        <v>183</v>
      </c>
      <c r="H332" t="s">
        <v>90</v>
      </c>
      <c r="I332" t="s">
        <v>24</v>
      </c>
      <c r="J332" t="s">
        <v>1317</v>
      </c>
      <c r="K332">
        <v>60</v>
      </c>
      <c r="L332" t="s">
        <v>2642</v>
      </c>
      <c r="M332" t="s">
        <v>2597</v>
      </c>
      <c r="N332" t="s">
        <v>91</v>
      </c>
      <c r="O332" s="12">
        <v>45661.72152777778</v>
      </c>
      <c r="P332" s="12">
        <v>45665.97152777778</v>
      </c>
      <c r="Q332" s="12">
        <v>45661.831250000003</v>
      </c>
      <c r="R332" s="12">
        <v>45661.936111111114</v>
      </c>
      <c r="S332" s="12">
        <v>45668.013194444444</v>
      </c>
      <c r="U332" t="b">
        <v>0</v>
      </c>
    </row>
    <row r="333" spans="1:21">
      <c r="A333" t="s">
        <v>2714</v>
      </c>
      <c r="B333" t="s">
        <v>1185</v>
      </c>
      <c r="C333" t="s">
        <v>1212</v>
      </c>
      <c r="D333" t="s">
        <v>2715</v>
      </c>
      <c r="E333" t="s">
        <v>2716</v>
      </c>
      <c r="F333" t="s">
        <v>2709</v>
      </c>
      <c r="G333">
        <v>31</v>
      </c>
      <c r="H333" t="s">
        <v>54</v>
      </c>
      <c r="I333" t="s">
        <v>30</v>
      </c>
      <c r="J333" t="s">
        <v>1288</v>
      </c>
      <c r="K333">
        <v>49</v>
      </c>
      <c r="L333" t="s">
        <v>2601</v>
      </c>
      <c r="M333" t="s">
        <v>2655</v>
      </c>
      <c r="N333" t="s">
        <v>69</v>
      </c>
      <c r="O333" s="12">
        <v>45881.196527777778</v>
      </c>
      <c r="Q333" s="12">
        <v>45881.359722222223</v>
      </c>
      <c r="U333" t="b">
        <v>0</v>
      </c>
    </row>
    <row r="334" spans="1:21">
      <c r="A334" t="s">
        <v>2717</v>
      </c>
      <c r="B334" t="s">
        <v>1179</v>
      </c>
      <c r="C334" t="s">
        <v>1125</v>
      </c>
      <c r="D334" t="s">
        <v>2718</v>
      </c>
      <c r="E334" t="s">
        <v>2719</v>
      </c>
      <c r="F334" t="s">
        <v>1420</v>
      </c>
      <c r="G334">
        <v>944</v>
      </c>
      <c r="H334" t="s">
        <v>16</v>
      </c>
      <c r="I334" t="s">
        <v>30</v>
      </c>
      <c r="J334" t="s">
        <v>1413</v>
      </c>
      <c r="K334">
        <v>61</v>
      </c>
      <c r="L334" t="s">
        <v>2592</v>
      </c>
      <c r="M334" t="s">
        <v>2605</v>
      </c>
      <c r="N334" t="s">
        <v>18</v>
      </c>
      <c r="O334" s="12">
        <v>46153.279166666667</v>
      </c>
      <c r="P334" s="12">
        <v>46155.779166666667</v>
      </c>
      <c r="Q334" s="12">
        <v>46153.451388888891</v>
      </c>
      <c r="R334" s="12">
        <v>46153.572916666664</v>
      </c>
      <c r="U334" t="b">
        <v>0</v>
      </c>
    </row>
    <row r="335" spans="1:21">
      <c r="A335" t="s">
        <v>2720</v>
      </c>
      <c r="B335" t="s">
        <v>2607</v>
      </c>
      <c r="C335" t="s">
        <v>1631</v>
      </c>
      <c r="D335" t="s">
        <v>2721</v>
      </c>
      <c r="E335" t="s">
        <v>2722</v>
      </c>
      <c r="F335" t="s">
        <v>1367</v>
      </c>
      <c r="G335">
        <v>189</v>
      </c>
      <c r="H335" t="s">
        <v>16</v>
      </c>
      <c r="I335" t="s">
        <v>24</v>
      </c>
      <c r="J335" t="s">
        <v>1339</v>
      </c>
      <c r="K335">
        <v>87</v>
      </c>
      <c r="L335" t="s">
        <v>2592</v>
      </c>
      <c r="M335" t="s">
        <v>2593</v>
      </c>
      <c r="N335" t="s">
        <v>91</v>
      </c>
      <c r="O335" s="12">
        <v>45792.81527777778</v>
      </c>
      <c r="P335" s="12">
        <v>45794.023611111108</v>
      </c>
      <c r="Q335" s="12">
        <v>45792.972916666666</v>
      </c>
      <c r="R335" s="12">
        <v>45793.021527777775</v>
      </c>
      <c r="U335" t="b">
        <v>0</v>
      </c>
    </row>
    <row r="336" spans="1:21">
      <c r="A336" t="s">
        <v>2723</v>
      </c>
      <c r="B336" t="s">
        <v>1190</v>
      </c>
      <c r="C336" t="s">
        <v>1172</v>
      </c>
      <c r="D336" t="s">
        <v>2724</v>
      </c>
      <c r="E336" t="s">
        <v>2725</v>
      </c>
      <c r="F336" t="s">
        <v>1420</v>
      </c>
      <c r="G336">
        <v>30</v>
      </c>
      <c r="H336" t="s">
        <v>23</v>
      </c>
      <c r="I336" t="s">
        <v>24</v>
      </c>
      <c r="J336" t="s">
        <v>1413</v>
      </c>
      <c r="K336">
        <v>54</v>
      </c>
      <c r="L336" t="s">
        <v>2601</v>
      </c>
      <c r="M336" t="s">
        <v>2593</v>
      </c>
      <c r="N336" t="s">
        <v>25</v>
      </c>
      <c r="O336" s="12">
        <v>46189.59375</v>
      </c>
      <c r="Q336" s="12">
        <v>46189.648611111108</v>
      </c>
      <c r="R336" s="12">
        <v>46189.737500000003</v>
      </c>
      <c r="U336" t="b">
        <v>0</v>
      </c>
    </row>
    <row r="337" spans="1:21">
      <c r="A337" t="s">
        <v>2726</v>
      </c>
      <c r="B337" t="s">
        <v>2662</v>
      </c>
      <c r="C337" t="s">
        <v>1337</v>
      </c>
      <c r="D337" t="s">
        <v>2727</v>
      </c>
      <c r="E337" t="s">
        <v>2728</v>
      </c>
      <c r="F337" t="s">
        <v>1367</v>
      </c>
      <c r="G337">
        <v>63</v>
      </c>
      <c r="H337" t="s">
        <v>23</v>
      </c>
      <c r="I337" t="s">
        <v>24</v>
      </c>
      <c r="J337" t="s">
        <v>1339</v>
      </c>
      <c r="K337">
        <v>75</v>
      </c>
      <c r="L337" t="s">
        <v>2642</v>
      </c>
      <c r="M337" t="s">
        <v>2643</v>
      </c>
      <c r="N337" t="s">
        <v>25</v>
      </c>
      <c r="O337" s="12">
        <v>45630.404861111114</v>
      </c>
      <c r="P337" s="12">
        <v>45632.571527777778</v>
      </c>
      <c r="Q337" s="12">
        <v>45630.598611111112</v>
      </c>
      <c r="R337" s="12">
        <v>45631.181944444441</v>
      </c>
      <c r="S337" s="12">
        <v>45640.363194444442</v>
      </c>
      <c r="U337" t="b">
        <v>0</v>
      </c>
    </row>
    <row r="338" spans="1:21">
      <c r="A338" t="s">
        <v>2729</v>
      </c>
      <c r="B338" t="s">
        <v>1202</v>
      </c>
      <c r="C338" t="s">
        <v>1125</v>
      </c>
      <c r="D338" t="s">
        <v>2730</v>
      </c>
      <c r="E338" t="s">
        <v>2731</v>
      </c>
      <c r="F338" t="s">
        <v>2709</v>
      </c>
      <c r="G338">
        <v>178</v>
      </c>
      <c r="H338" t="s">
        <v>249</v>
      </c>
      <c r="I338" t="s">
        <v>24</v>
      </c>
      <c r="J338" t="s">
        <v>1355</v>
      </c>
      <c r="K338">
        <v>46</v>
      </c>
      <c r="L338" t="s">
        <v>2601</v>
      </c>
      <c r="M338" t="s">
        <v>2655</v>
      </c>
      <c r="N338" t="s">
        <v>25</v>
      </c>
      <c r="O338" s="12">
        <v>45758.617361111108</v>
      </c>
      <c r="Q338" s="12">
        <v>45758.740972222222</v>
      </c>
      <c r="U338" t="b">
        <v>0</v>
      </c>
    </row>
    <row r="339" spans="1:21">
      <c r="A339" t="s">
        <v>2732</v>
      </c>
      <c r="B339" t="s">
        <v>2733</v>
      </c>
      <c r="C339" t="s">
        <v>1145</v>
      </c>
      <c r="D339" t="s">
        <v>2734</v>
      </c>
      <c r="E339" t="s">
        <v>2735</v>
      </c>
      <c r="F339" t="s">
        <v>1843</v>
      </c>
      <c r="G339">
        <v>179</v>
      </c>
      <c r="H339" t="s">
        <v>16</v>
      </c>
      <c r="I339" t="s">
        <v>24</v>
      </c>
      <c r="J339" t="s">
        <v>1339</v>
      </c>
      <c r="K339">
        <v>70</v>
      </c>
      <c r="L339" t="s">
        <v>2601</v>
      </c>
      <c r="M339" t="s">
        <v>2605</v>
      </c>
      <c r="N339" t="s">
        <v>91</v>
      </c>
      <c r="O339" s="12">
        <v>45677.382638888892</v>
      </c>
      <c r="Q339" s="12">
        <v>45677.620138888888</v>
      </c>
      <c r="R339" s="12">
        <v>45677.724305555559</v>
      </c>
      <c r="U339" t="b">
        <v>0</v>
      </c>
    </row>
    <row r="340" spans="1:21">
      <c r="A340" t="s">
        <v>2736</v>
      </c>
      <c r="B340" t="s">
        <v>2639</v>
      </c>
      <c r="C340" t="s">
        <v>1186</v>
      </c>
      <c r="D340" t="s">
        <v>2737</v>
      </c>
      <c r="E340" t="s">
        <v>2738</v>
      </c>
      <c r="F340" t="s">
        <v>2680</v>
      </c>
      <c r="G340">
        <v>810</v>
      </c>
      <c r="H340" t="s">
        <v>140</v>
      </c>
      <c r="I340" t="s">
        <v>30</v>
      </c>
      <c r="J340" t="s">
        <v>1317</v>
      </c>
      <c r="K340">
        <v>70</v>
      </c>
      <c r="L340" t="s">
        <v>2592</v>
      </c>
      <c r="M340" t="s">
        <v>2618</v>
      </c>
      <c r="N340" t="s">
        <v>82</v>
      </c>
      <c r="O340" s="12">
        <v>46063.065972222219</v>
      </c>
      <c r="P340" s="12">
        <v>46063.482638888891</v>
      </c>
      <c r="Q340" s="12">
        <v>46063.081250000003</v>
      </c>
      <c r="R340" s="12">
        <v>46063.231249999997</v>
      </c>
      <c r="T340" t="s">
        <v>2739</v>
      </c>
      <c r="U340" t="b">
        <v>0</v>
      </c>
    </row>
    <row r="341" spans="1:21">
      <c r="A341" t="s">
        <v>2740</v>
      </c>
      <c r="B341" t="s">
        <v>1176</v>
      </c>
      <c r="C341" t="s">
        <v>1320</v>
      </c>
      <c r="D341" t="s">
        <v>2741</v>
      </c>
      <c r="E341" t="s">
        <v>2742</v>
      </c>
      <c r="F341" t="s">
        <v>2084</v>
      </c>
      <c r="G341">
        <v>155</v>
      </c>
      <c r="H341" t="s">
        <v>385</v>
      </c>
      <c r="I341" t="s">
        <v>24</v>
      </c>
      <c r="J341" t="s">
        <v>1355</v>
      </c>
      <c r="K341">
        <v>57</v>
      </c>
      <c r="L341" t="s">
        <v>2601</v>
      </c>
      <c r="M341" t="s">
        <v>2618</v>
      </c>
      <c r="N341" t="s">
        <v>91</v>
      </c>
      <c r="O341" s="12">
        <v>45498.043055555558</v>
      </c>
      <c r="Q341" s="12">
        <v>45498.064583333333</v>
      </c>
      <c r="R341" s="12">
        <v>45498.128472222219</v>
      </c>
      <c r="T341" t="s">
        <v>2648</v>
      </c>
      <c r="U341" t="b">
        <v>0</v>
      </c>
    </row>
    <row r="342" spans="1:21">
      <c r="A342" t="s">
        <v>2743</v>
      </c>
      <c r="B342" t="s">
        <v>2607</v>
      </c>
      <c r="C342" t="s">
        <v>1186</v>
      </c>
      <c r="D342" t="s">
        <v>2744</v>
      </c>
      <c r="E342" t="s">
        <v>2745</v>
      </c>
      <c r="F342" t="s">
        <v>2680</v>
      </c>
      <c r="G342">
        <v>1512</v>
      </c>
      <c r="H342" t="s">
        <v>249</v>
      </c>
      <c r="I342" t="s">
        <v>30</v>
      </c>
      <c r="J342" t="s">
        <v>1413</v>
      </c>
      <c r="K342">
        <v>46</v>
      </c>
      <c r="L342" t="s">
        <v>2601</v>
      </c>
      <c r="M342" t="s">
        <v>2605</v>
      </c>
      <c r="N342" t="s">
        <v>36</v>
      </c>
      <c r="O342" s="12">
        <v>46110.629861111112</v>
      </c>
      <c r="Q342" s="12">
        <v>46110.819444444445</v>
      </c>
      <c r="R342" s="12">
        <v>46110.946527777778</v>
      </c>
      <c r="U342" t="b">
        <v>0</v>
      </c>
    </row>
    <row r="343" spans="1:21">
      <c r="A343" t="s">
        <v>2746</v>
      </c>
      <c r="B343" t="s">
        <v>1202</v>
      </c>
      <c r="C343" t="s">
        <v>2100</v>
      </c>
      <c r="D343" t="s">
        <v>2747</v>
      </c>
      <c r="E343" t="s">
        <v>2748</v>
      </c>
      <c r="F343" t="s">
        <v>1294</v>
      </c>
      <c r="G343">
        <v>171</v>
      </c>
      <c r="H343" t="s">
        <v>154</v>
      </c>
      <c r="I343" t="s">
        <v>24</v>
      </c>
      <c r="J343" t="s">
        <v>1288</v>
      </c>
      <c r="K343">
        <v>58</v>
      </c>
      <c r="L343" t="s">
        <v>2592</v>
      </c>
      <c r="M343" t="s">
        <v>2593</v>
      </c>
      <c r="N343" t="s">
        <v>25</v>
      </c>
      <c r="O343" s="12">
        <v>45911.94027777778</v>
      </c>
      <c r="P343" s="12">
        <v>45914.31527777778</v>
      </c>
      <c r="Q343" s="12">
        <v>45911.990277777775</v>
      </c>
      <c r="R343" s="12">
        <v>45912.040972222225</v>
      </c>
      <c r="U343" t="b">
        <v>0</v>
      </c>
    </row>
    <row r="344" spans="1:21">
      <c r="A344" t="s">
        <v>2749</v>
      </c>
      <c r="B344" t="s">
        <v>2682</v>
      </c>
      <c r="C344" t="s">
        <v>1176</v>
      </c>
      <c r="D344" t="s">
        <v>2750</v>
      </c>
      <c r="E344" t="s">
        <v>2751</v>
      </c>
      <c r="F344" t="s">
        <v>2084</v>
      </c>
      <c r="G344">
        <v>172</v>
      </c>
      <c r="H344" t="s">
        <v>140</v>
      </c>
      <c r="I344" t="s">
        <v>24</v>
      </c>
      <c r="J344" t="s">
        <v>1288</v>
      </c>
      <c r="K344">
        <v>53</v>
      </c>
      <c r="L344" t="s">
        <v>2601</v>
      </c>
      <c r="M344" t="s">
        <v>2618</v>
      </c>
      <c r="N344" t="s">
        <v>25</v>
      </c>
      <c r="O344" s="12">
        <v>45603.443749999999</v>
      </c>
      <c r="Q344" s="12">
        <v>45603.465277777781</v>
      </c>
      <c r="R344" s="12">
        <v>45603.525694444441</v>
      </c>
      <c r="T344" t="s">
        <v>2673</v>
      </c>
      <c r="U344" t="b">
        <v>0</v>
      </c>
    </row>
    <row r="345" spans="1:21">
      <c r="A345" t="s">
        <v>2752</v>
      </c>
      <c r="B345" t="s">
        <v>1898</v>
      </c>
      <c r="C345" t="s">
        <v>1152</v>
      </c>
      <c r="D345" t="s">
        <v>2753</v>
      </c>
      <c r="E345" t="s">
        <v>2754</v>
      </c>
      <c r="F345" t="s">
        <v>2755</v>
      </c>
      <c r="G345">
        <v>26</v>
      </c>
      <c r="H345" t="s">
        <v>249</v>
      </c>
      <c r="I345" t="s">
        <v>24</v>
      </c>
      <c r="J345" t="s">
        <v>1413</v>
      </c>
      <c r="K345">
        <v>61</v>
      </c>
      <c r="L345" t="s">
        <v>2592</v>
      </c>
      <c r="M345" t="s">
        <v>2618</v>
      </c>
      <c r="N345" t="s">
        <v>59</v>
      </c>
      <c r="O345" s="12">
        <v>46092.635416666664</v>
      </c>
      <c r="P345" s="12">
        <v>46097.010416666664</v>
      </c>
      <c r="Q345" s="12">
        <v>46092.738888888889</v>
      </c>
      <c r="R345" s="12">
        <v>46092.855555555558</v>
      </c>
      <c r="T345" t="s">
        <v>2673</v>
      </c>
      <c r="U345" t="b">
        <v>0</v>
      </c>
    </row>
    <row r="346" spans="1:21">
      <c r="A346" t="s">
        <v>2756</v>
      </c>
      <c r="B346" t="s">
        <v>2670</v>
      </c>
      <c r="C346" t="s">
        <v>1898</v>
      </c>
      <c r="D346" t="s">
        <v>2757</v>
      </c>
      <c r="E346" t="s">
        <v>2758</v>
      </c>
      <c r="F346" t="s">
        <v>1294</v>
      </c>
      <c r="G346">
        <v>255</v>
      </c>
      <c r="H346" t="s">
        <v>216</v>
      </c>
      <c r="I346" t="s">
        <v>30</v>
      </c>
      <c r="J346" t="s">
        <v>1355</v>
      </c>
      <c r="K346">
        <v>84</v>
      </c>
      <c r="L346" t="s">
        <v>2601</v>
      </c>
      <c r="M346" t="s">
        <v>2655</v>
      </c>
      <c r="N346" t="s">
        <v>18</v>
      </c>
      <c r="O346" s="12">
        <v>45534.686805555553</v>
      </c>
      <c r="Q346" s="12">
        <v>45534.831944444442</v>
      </c>
      <c r="U346" t="b">
        <v>0</v>
      </c>
    </row>
    <row r="347" spans="1:21">
      <c r="A347" t="s">
        <v>2759</v>
      </c>
      <c r="B347" t="s">
        <v>2760</v>
      </c>
      <c r="C347" t="s">
        <v>2033</v>
      </c>
      <c r="D347" t="s">
        <v>2761</v>
      </c>
      <c r="E347" t="s">
        <v>2762</v>
      </c>
      <c r="F347" t="s">
        <v>1517</v>
      </c>
      <c r="G347">
        <v>12</v>
      </c>
      <c r="H347" t="s">
        <v>249</v>
      </c>
      <c r="J347" t="s">
        <v>1413</v>
      </c>
      <c r="K347">
        <v>73</v>
      </c>
      <c r="L347" t="s">
        <v>2592</v>
      </c>
      <c r="M347" t="s">
        <v>2618</v>
      </c>
      <c r="O347" s="12">
        <v>45577.279861111114</v>
      </c>
      <c r="P347" s="12">
        <v>45581.863194444442</v>
      </c>
      <c r="T347" t="s">
        <v>2763</v>
      </c>
      <c r="U347" t="b">
        <v>0</v>
      </c>
    </row>
    <row r="348" spans="1:21">
      <c r="A348" t="s">
        <v>2764</v>
      </c>
      <c r="B348" t="s">
        <v>1190</v>
      </c>
      <c r="C348" t="s">
        <v>1462</v>
      </c>
      <c r="D348" t="s">
        <v>2765</v>
      </c>
      <c r="E348" t="s">
        <v>2766</v>
      </c>
      <c r="F348" t="s">
        <v>1784</v>
      </c>
      <c r="G348">
        <v>1876</v>
      </c>
      <c r="I348" t="s">
        <v>17</v>
      </c>
      <c r="J348" t="s">
        <v>1339</v>
      </c>
      <c r="K348">
        <v>93</v>
      </c>
      <c r="L348" t="s">
        <v>2592</v>
      </c>
      <c r="M348" t="s">
        <v>2605</v>
      </c>
      <c r="N348" t="s">
        <v>82</v>
      </c>
      <c r="O348" s="12">
        <v>45878.560416666667</v>
      </c>
      <c r="P348" s="12">
        <v>45880.102083333331</v>
      </c>
      <c r="Q348" s="12">
        <v>45878.758333333331</v>
      </c>
      <c r="R348" s="12">
        <v>45878.855555555558</v>
      </c>
      <c r="U348" t="b">
        <v>0</v>
      </c>
    </row>
    <row r="349" spans="1:21">
      <c r="A349" t="s">
        <v>2767</v>
      </c>
      <c r="B349" t="s">
        <v>2682</v>
      </c>
      <c r="C349" t="s">
        <v>1721</v>
      </c>
      <c r="D349" t="s">
        <v>2768</v>
      </c>
      <c r="E349" t="s">
        <v>2769</v>
      </c>
      <c r="F349" t="s">
        <v>2271</v>
      </c>
      <c r="G349">
        <v>915</v>
      </c>
      <c r="H349" t="s">
        <v>161</v>
      </c>
      <c r="I349" t="s">
        <v>30</v>
      </c>
      <c r="J349" t="s">
        <v>1413</v>
      </c>
      <c r="K349">
        <v>56</v>
      </c>
      <c r="L349" t="s">
        <v>2601</v>
      </c>
      <c r="M349" t="s">
        <v>2655</v>
      </c>
      <c r="N349" t="s">
        <v>36</v>
      </c>
      <c r="O349" s="12">
        <v>46037.859027777777</v>
      </c>
      <c r="Q349" s="12">
        <v>46037.895138888889</v>
      </c>
      <c r="U349" t="b">
        <v>0</v>
      </c>
    </row>
    <row r="350" spans="1:21">
      <c r="A350" t="s">
        <v>2770</v>
      </c>
      <c r="B350" t="s">
        <v>2711</v>
      </c>
      <c r="C350" t="s">
        <v>1148</v>
      </c>
      <c r="D350" t="s">
        <v>2771</v>
      </c>
      <c r="E350" t="s">
        <v>2772</v>
      </c>
      <c r="F350" t="s">
        <v>2680</v>
      </c>
      <c r="G350">
        <v>947</v>
      </c>
      <c r="H350" t="s">
        <v>50</v>
      </c>
      <c r="I350" t="s">
        <v>30</v>
      </c>
      <c r="J350" t="s">
        <v>1339</v>
      </c>
      <c r="K350">
        <v>98</v>
      </c>
      <c r="L350" t="s">
        <v>2642</v>
      </c>
      <c r="M350" t="s">
        <v>2643</v>
      </c>
      <c r="N350" t="s">
        <v>36</v>
      </c>
      <c r="O350" s="12">
        <v>45749.285416666666</v>
      </c>
      <c r="P350" s="12">
        <v>45750.82708333333</v>
      </c>
      <c r="Q350" s="12">
        <v>45749.502083333333</v>
      </c>
      <c r="R350" s="12">
        <v>45749.54583333333</v>
      </c>
      <c r="S350" s="12">
        <v>45753.660416666666</v>
      </c>
      <c r="U350" t="b">
        <v>0</v>
      </c>
    </row>
    <row r="351" spans="1:21">
      <c r="A351" t="s">
        <v>2773</v>
      </c>
      <c r="B351" t="s">
        <v>1175</v>
      </c>
      <c r="C351" t="s">
        <v>2100</v>
      </c>
      <c r="D351" t="s">
        <v>2774</v>
      </c>
      <c r="E351" t="s">
        <v>2775</v>
      </c>
      <c r="F351" t="s">
        <v>1511</v>
      </c>
      <c r="G351">
        <v>874</v>
      </c>
      <c r="H351" t="s">
        <v>366</v>
      </c>
      <c r="I351" t="s">
        <v>30</v>
      </c>
      <c r="J351" t="s">
        <v>1271</v>
      </c>
      <c r="K351">
        <v>47</v>
      </c>
      <c r="L351" t="s">
        <v>2601</v>
      </c>
      <c r="M351" t="s">
        <v>2605</v>
      </c>
      <c r="N351" t="s">
        <v>18</v>
      </c>
      <c r="O351" s="12">
        <v>45349.515277777777</v>
      </c>
      <c r="Q351" s="12">
        <v>45349.567361111112</v>
      </c>
      <c r="R351" s="12">
        <v>45349.657638888886</v>
      </c>
      <c r="U351" t="b">
        <v>0</v>
      </c>
    </row>
    <row r="352" spans="1:21">
      <c r="A352" t="s">
        <v>2776</v>
      </c>
      <c r="B352" t="s">
        <v>1207</v>
      </c>
      <c r="C352" t="s">
        <v>1152</v>
      </c>
      <c r="D352" t="s">
        <v>2777</v>
      </c>
      <c r="E352" t="s">
        <v>2778</v>
      </c>
      <c r="F352" t="s">
        <v>1784</v>
      </c>
      <c r="G352">
        <v>119</v>
      </c>
      <c r="H352" t="s">
        <v>95</v>
      </c>
      <c r="I352" t="s">
        <v>17</v>
      </c>
      <c r="J352" t="s">
        <v>1413</v>
      </c>
      <c r="K352">
        <v>78</v>
      </c>
      <c r="L352" t="s">
        <v>2642</v>
      </c>
      <c r="M352" t="s">
        <v>2643</v>
      </c>
      <c r="N352" t="s">
        <v>91</v>
      </c>
      <c r="O352" s="12">
        <v>46114.293749999997</v>
      </c>
      <c r="P352" s="12">
        <v>46118.377083333333</v>
      </c>
      <c r="Q352" s="12">
        <v>46114.431944444441</v>
      </c>
      <c r="R352" s="12">
        <v>46114.575694444444</v>
      </c>
      <c r="S352" s="12">
        <v>46120.418749999997</v>
      </c>
      <c r="U352" t="b">
        <v>0</v>
      </c>
    </row>
    <row r="353" spans="1:21">
      <c r="A353" t="s">
        <v>2779</v>
      </c>
      <c r="B353" t="s">
        <v>2693</v>
      </c>
      <c r="C353" t="s">
        <v>1579</v>
      </c>
      <c r="D353" t="s">
        <v>2780</v>
      </c>
      <c r="E353" t="s">
        <v>2781</v>
      </c>
      <c r="F353" t="s">
        <v>2755</v>
      </c>
      <c r="G353">
        <v>820</v>
      </c>
      <c r="H353" t="s">
        <v>81</v>
      </c>
      <c r="I353" t="s">
        <v>30</v>
      </c>
      <c r="J353" t="s">
        <v>1271</v>
      </c>
      <c r="K353">
        <v>69</v>
      </c>
      <c r="L353" t="s">
        <v>2592</v>
      </c>
      <c r="M353" t="s">
        <v>2593</v>
      </c>
      <c r="N353" t="s">
        <v>82</v>
      </c>
      <c r="O353" s="12">
        <v>45585.773611111108</v>
      </c>
      <c r="P353" s="12">
        <v>45588.606944444444</v>
      </c>
      <c r="Q353" s="12">
        <v>45585.979861111111</v>
      </c>
      <c r="R353" s="12">
        <v>45586.107638888891</v>
      </c>
      <c r="U353" t="b">
        <v>0</v>
      </c>
    </row>
    <row r="354" spans="1:21">
      <c r="A354" t="s">
        <v>2782</v>
      </c>
      <c r="B354" t="s">
        <v>2733</v>
      </c>
      <c r="C354" t="s">
        <v>1148</v>
      </c>
      <c r="D354" t="s">
        <v>2783</v>
      </c>
      <c r="E354" t="s">
        <v>2784</v>
      </c>
      <c r="F354" t="s">
        <v>1182</v>
      </c>
      <c r="G354">
        <v>774</v>
      </c>
      <c r="H354" t="s">
        <v>50</v>
      </c>
      <c r="I354" t="s">
        <v>30</v>
      </c>
      <c r="J354" t="s">
        <v>1271</v>
      </c>
      <c r="K354">
        <v>45</v>
      </c>
      <c r="L354" t="s">
        <v>2601</v>
      </c>
      <c r="M354" t="s">
        <v>2605</v>
      </c>
      <c r="N354" t="s">
        <v>36</v>
      </c>
      <c r="O354" s="12">
        <v>46268.212500000001</v>
      </c>
      <c r="Q354" s="12">
        <v>46268.234722222223</v>
      </c>
      <c r="R354" s="12">
        <v>46268.330555555556</v>
      </c>
      <c r="U354" t="b">
        <v>0</v>
      </c>
    </row>
    <row r="355" spans="1:21">
      <c r="A355" t="s">
        <v>2785</v>
      </c>
      <c r="B355" t="s">
        <v>1649</v>
      </c>
      <c r="C355" t="s">
        <v>1208</v>
      </c>
      <c r="D355" t="s">
        <v>2786</v>
      </c>
      <c r="E355" t="s">
        <v>2787</v>
      </c>
      <c r="F355" t="s">
        <v>2271</v>
      </c>
      <c r="G355">
        <v>737</v>
      </c>
      <c r="H355" t="s">
        <v>68</v>
      </c>
      <c r="I355" t="s">
        <v>30</v>
      </c>
      <c r="J355" t="s">
        <v>1295</v>
      </c>
      <c r="K355">
        <v>92</v>
      </c>
      <c r="L355" t="s">
        <v>2592</v>
      </c>
      <c r="M355" t="s">
        <v>2605</v>
      </c>
      <c r="N355" t="s">
        <v>55</v>
      </c>
      <c r="O355" s="12">
        <v>45631.878472222219</v>
      </c>
      <c r="P355" s="12">
        <v>45634.045138888891</v>
      </c>
      <c r="Q355" s="12">
        <v>45632.092361111114</v>
      </c>
      <c r="R355" s="12">
        <v>45632.232638888891</v>
      </c>
      <c r="U355" t="b">
        <v>0</v>
      </c>
    </row>
    <row r="356" spans="1:21">
      <c r="A356" t="s">
        <v>2788</v>
      </c>
      <c r="B356" t="s">
        <v>2789</v>
      </c>
      <c r="C356" t="s">
        <v>1771</v>
      </c>
      <c r="D356" t="s">
        <v>2790</v>
      </c>
      <c r="E356" t="s">
        <v>2791</v>
      </c>
      <c r="F356" t="s">
        <v>1843</v>
      </c>
      <c r="G356">
        <v>311</v>
      </c>
      <c r="H356" t="s">
        <v>23</v>
      </c>
      <c r="I356" t="s">
        <v>30</v>
      </c>
      <c r="J356" t="s">
        <v>1281</v>
      </c>
      <c r="K356">
        <v>75</v>
      </c>
      <c r="L356" t="s">
        <v>2642</v>
      </c>
      <c r="M356" t="s">
        <v>2643</v>
      </c>
      <c r="N356" t="s">
        <v>82</v>
      </c>
      <c r="O356" s="12">
        <v>45639.15625</v>
      </c>
      <c r="P356" s="12">
        <v>45639.614583333336</v>
      </c>
      <c r="Q356" s="12">
        <v>45639.281944444447</v>
      </c>
      <c r="R356" s="12">
        <v>45640.031944444447</v>
      </c>
      <c r="S356" s="12">
        <v>45645.447916666664</v>
      </c>
      <c r="U356" t="b">
        <v>0</v>
      </c>
    </row>
    <row r="357" spans="1:21">
      <c r="A357" t="s">
        <v>2792</v>
      </c>
      <c r="B357" t="s">
        <v>1176</v>
      </c>
      <c r="C357" t="s">
        <v>1142</v>
      </c>
      <c r="D357" t="s">
        <v>2793</v>
      </c>
      <c r="E357" t="s">
        <v>2794</v>
      </c>
      <c r="F357" t="s">
        <v>2680</v>
      </c>
      <c r="G357">
        <v>111</v>
      </c>
      <c r="H357" t="s">
        <v>1077</v>
      </c>
      <c r="I357" t="s">
        <v>24</v>
      </c>
      <c r="J357" t="s">
        <v>1355</v>
      </c>
      <c r="K357">
        <v>77</v>
      </c>
      <c r="L357" t="s">
        <v>2642</v>
      </c>
      <c r="M357" t="s">
        <v>2597</v>
      </c>
      <c r="N357" t="s">
        <v>69</v>
      </c>
      <c r="O357" s="12">
        <v>45568.994444444441</v>
      </c>
      <c r="P357" s="12">
        <v>45572.786111111112</v>
      </c>
      <c r="Q357" s="12">
        <v>45569.174305555556</v>
      </c>
      <c r="R357" s="12">
        <v>45569.231249999997</v>
      </c>
      <c r="S357" s="12">
        <v>45573.536111111112</v>
      </c>
      <c r="U357" t="b">
        <v>0</v>
      </c>
    </row>
    <row r="358" spans="1:21">
      <c r="A358" t="s">
        <v>2795</v>
      </c>
      <c r="B358" t="s">
        <v>1138</v>
      </c>
      <c r="C358" t="s">
        <v>1490</v>
      </c>
      <c r="D358" t="s">
        <v>2796</v>
      </c>
      <c r="E358" t="s">
        <v>2797</v>
      </c>
      <c r="F358" t="s">
        <v>1843</v>
      </c>
      <c r="G358">
        <v>766</v>
      </c>
      <c r="H358" t="s">
        <v>171</v>
      </c>
      <c r="I358" t="s">
        <v>30</v>
      </c>
      <c r="J358" t="s">
        <v>1355</v>
      </c>
      <c r="K358">
        <v>73</v>
      </c>
      <c r="L358" t="s">
        <v>2592</v>
      </c>
      <c r="M358" t="s">
        <v>2593</v>
      </c>
      <c r="N358" t="s">
        <v>55</v>
      </c>
      <c r="O358" s="12">
        <v>45302.381249999999</v>
      </c>
      <c r="P358" s="12">
        <v>45306.92291666667</v>
      </c>
      <c r="Q358" s="12">
        <v>45302.456944444442</v>
      </c>
      <c r="R358" s="12">
        <v>45302.915277777778</v>
      </c>
      <c r="U358" t="b">
        <v>0</v>
      </c>
    </row>
    <row r="359" spans="1:21">
      <c r="A359" t="s">
        <v>2798</v>
      </c>
      <c r="B359" t="s">
        <v>1138</v>
      </c>
      <c r="C359" t="s">
        <v>1343</v>
      </c>
      <c r="D359" t="s">
        <v>2799</v>
      </c>
      <c r="E359" t="s">
        <v>2800</v>
      </c>
      <c r="F359" t="s">
        <v>1511</v>
      </c>
      <c r="G359">
        <v>97</v>
      </c>
      <c r="H359" t="s">
        <v>226</v>
      </c>
      <c r="I359" t="s">
        <v>24</v>
      </c>
      <c r="J359" t="s">
        <v>1413</v>
      </c>
      <c r="K359">
        <v>42</v>
      </c>
      <c r="L359" t="s">
        <v>2601</v>
      </c>
      <c r="M359" t="s">
        <v>2655</v>
      </c>
      <c r="N359" t="s">
        <v>69</v>
      </c>
      <c r="O359" s="12">
        <v>45620.800694444442</v>
      </c>
      <c r="Q359" s="12">
        <v>45621.031944444447</v>
      </c>
      <c r="U359" t="b">
        <v>0</v>
      </c>
    </row>
    <row r="360" spans="1:21">
      <c r="A360" t="s">
        <v>2801</v>
      </c>
      <c r="B360" t="s">
        <v>1190</v>
      </c>
      <c r="C360" t="s">
        <v>1145</v>
      </c>
      <c r="D360" t="s">
        <v>2802</v>
      </c>
      <c r="E360" t="s">
        <v>2803</v>
      </c>
      <c r="F360" t="s">
        <v>1511</v>
      </c>
      <c r="G360">
        <v>170</v>
      </c>
      <c r="H360" t="s">
        <v>223</v>
      </c>
      <c r="I360" t="s">
        <v>24</v>
      </c>
      <c r="J360" t="s">
        <v>1271</v>
      </c>
      <c r="K360">
        <v>69</v>
      </c>
      <c r="L360" t="s">
        <v>2601</v>
      </c>
      <c r="M360" t="s">
        <v>2655</v>
      </c>
      <c r="N360" t="s">
        <v>91</v>
      </c>
      <c r="O360" s="12">
        <v>45750.198611111111</v>
      </c>
      <c r="Q360" s="12">
        <v>45750.352777777778</v>
      </c>
      <c r="U360" t="b">
        <v>0</v>
      </c>
    </row>
    <row r="361" spans="1:21">
      <c r="A361" t="s">
        <v>2804</v>
      </c>
      <c r="B361" t="s">
        <v>2706</v>
      </c>
      <c r="C361" t="s">
        <v>1541</v>
      </c>
      <c r="D361" t="s">
        <v>2805</v>
      </c>
      <c r="E361" t="s">
        <v>2806</v>
      </c>
      <c r="F361" t="s">
        <v>1511</v>
      </c>
      <c r="G361">
        <v>169</v>
      </c>
      <c r="H361" t="s">
        <v>212</v>
      </c>
      <c r="I361" t="s">
        <v>24</v>
      </c>
      <c r="J361" t="s">
        <v>1413</v>
      </c>
      <c r="K361">
        <v>77</v>
      </c>
      <c r="L361" t="s">
        <v>2601</v>
      </c>
      <c r="M361" t="s">
        <v>2593</v>
      </c>
      <c r="N361" t="s">
        <v>69</v>
      </c>
      <c r="O361" s="12">
        <v>45438.222222222219</v>
      </c>
      <c r="Q361" s="12">
        <v>45438.322916666664</v>
      </c>
      <c r="R361" s="12">
        <v>45438.355555555558</v>
      </c>
      <c r="U361" t="b">
        <v>0</v>
      </c>
    </row>
    <row r="362" spans="1:21">
      <c r="A362" t="s">
        <v>2807</v>
      </c>
      <c r="B362" t="s">
        <v>2578</v>
      </c>
      <c r="C362" t="s">
        <v>1135</v>
      </c>
      <c r="D362" t="s">
        <v>2808</v>
      </c>
      <c r="E362" t="s">
        <v>2809</v>
      </c>
      <c r="F362" t="s">
        <v>1843</v>
      </c>
      <c r="G362">
        <v>173</v>
      </c>
      <c r="H362" t="s">
        <v>50</v>
      </c>
      <c r="I362" t="s">
        <v>24</v>
      </c>
      <c r="J362" t="s">
        <v>1317</v>
      </c>
      <c r="K362">
        <v>52</v>
      </c>
      <c r="L362" t="s">
        <v>2601</v>
      </c>
      <c r="M362" t="s">
        <v>2618</v>
      </c>
      <c r="N362" t="s">
        <v>59</v>
      </c>
      <c r="O362" s="12">
        <v>45972.463194444441</v>
      </c>
      <c r="Q362" s="12">
        <v>45972.574999999997</v>
      </c>
      <c r="R362" s="12">
        <v>45972.726388888892</v>
      </c>
      <c r="T362" t="s">
        <v>2619</v>
      </c>
      <c r="U362" t="b">
        <v>0</v>
      </c>
    </row>
    <row r="363" spans="1:21">
      <c r="A363" t="s">
        <v>2810</v>
      </c>
      <c r="B363" t="s">
        <v>2811</v>
      </c>
      <c r="C363" t="s">
        <v>1898</v>
      </c>
      <c r="D363" t="s">
        <v>2812</v>
      </c>
      <c r="E363" t="s">
        <v>2813</v>
      </c>
      <c r="F363" t="s">
        <v>1309</v>
      </c>
      <c r="G363">
        <v>341</v>
      </c>
      <c r="H363" t="s">
        <v>81</v>
      </c>
      <c r="I363" t="s">
        <v>30</v>
      </c>
      <c r="J363" t="s">
        <v>1288</v>
      </c>
      <c r="K363">
        <v>81</v>
      </c>
      <c r="L363" t="s">
        <v>2642</v>
      </c>
      <c r="M363" t="s">
        <v>2643</v>
      </c>
      <c r="N363" t="s">
        <v>82</v>
      </c>
      <c r="O363" s="12">
        <v>45612.696527777778</v>
      </c>
      <c r="P363" s="12">
        <v>45615.446527777778</v>
      </c>
      <c r="Q363" s="12">
        <v>45612.777083333334</v>
      </c>
      <c r="R363" s="12">
        <v>45612.865277777775</v>
      </c>
      <c r="S363" s="12">
        <v>45616.238194444442</v>
      </c>
      <c r="U363" t="b">
        <v>0</v>
      </c>
    </row>
    <row r="364" spans="1:21">
      <c r="A364" t="s">
        <v>2814</v>
      </c>
      <c r="B364" t="s">
        <v>1202</v>
      </c>
      <c r="C364" t="s">
        <v>2005</v>
      </c>
      <c r="D364" t="s">
        <v>2815</v>
      </c>
      <c r="E364" t="s">
        <v>2816</v>
      </c>
      <c r="F364" t="s">
        <v>2709</v>
      </c>
      <c r="G364">
        <v>1759</v>
      </c>
      <c r="H364" t="s">
        <v>226</v>
      </c>
      <c r="I364" t="s">
        <v>17</v>
      </c>
      <c r="J364" t="s">
        <v>1288</v>
      </c>
      <c r="K364">
        <v>56</v>
      </c>
      <c r="L364" t="s">
        <v>2601</v>
      </c>
      <c r="M364" t="s">
        <v>2593</v>
      </c>
      <c r="N364" t="s">
        <v>55</v>
      </c>
      <c r="O364" s="12">
        <v>45599.509027777778</v>
      </c>
      <c r="Q364" s="12">
        <v>45599.518750000003</v>
      </c>
      <c r="U364" t="b">
        <v>0</v>
      </c>
    </row>
    <row r="365" spans="1:21">
      <c r="A365" t="s">
        <v>2817</v>
      </c>
      <c r="B365" t="s">
        <v>2578</v>
      </c>
      <c r="C365" t="s">
        <v>1432</v>
      </c>
      <c r="D365" t="s">
        <v>2818</v>
      </c>
      <c r="E365" t="s">
        <v>2819</v>
      </c>
      <c r="F365" t="s">
        <v>1511</v>
      </c>
      <c r="G365">
        <v>154</v>
      </c>
      <c r="H365" t="s">
        <v>68</v>
      </c>
      <c r="I365" t="s">
        <v>24</v>
      </c>
      <c r="J365" t="s">
        <v>1288</v>
      </c>
      <c r="K365">
        <v>56</v>
      </c>
      <c r="L365" t="s">
        <v>2601</v>
      </c>
      <c r="M365" t="s">
        <v>2605</v>
      </c>
      <c r="N365" t="s">
        <v>69</v>
      </c>
      <c r="O365" s="12">
        <v>45790.456250000003</v>
      </c>
      <c r="Q365" s="12">
        <v>45790.688888888886</v>
      </c>
      <c r="R365" s="12">
        <v>45790.722916666666</v>
      </c>
      <c r="U365" t="b">
        <v>0</v>
      </c>
    </row>
    <row r="366" spans="1:21">
      <c r="A366" t="s">
        <v>2820</v>
      </c>
      <c r="B366" t="s">
        <v>2789</v>
      </c>
      <c r="C366" t="s">
        <v>1385</v>
      </c>
      <c r="D366" t="s">
        <v>2821</v>
      </c>
      <c r="E366" t="s">
        <v>2822</v>
      </c>
      <c r="F366" t="s">
        <v>1294</v>
      </c>
      <c r="G366">
        <v>519</v>
      </c>
      <c r="H366" t="s">
        <v>23</v>
      </c>
      <c r="I366" t="s">
        <v>30</v>
      </c>
      <c r="J366" t="s">
        <v>1271</v>
      </c>
      <c r="K366">
        <v>69</v>
      </c>
      <c r="L366" t="s">
        <v>2592</v>
      </c>
      <c r="M366" t="s">
        <v>2593</v>
      </c>
      <c r="N366" t="s">
        <v>82</v>
      </c>
      <c r="O366" s="12">
        <v>45940.154166666667</v>
      </c>
      <c r="P366" s="12">
        <v>45943.362500000003</v>
      </c>
      <c r="Q366" s="12">
        <v>45940.227777777778</v>
      </c>
      <c r="R366" s="12">
        <v>45941.561111111114</v>
      </c>
      <c r="U366" t="b">
        <v>0</v>
      </c>
    </row>
    <row r="367" spans="1:21">
      <c r="A367" t="s">
        <v>2823</v>
      </c>
      <c r="B367" t="s">
        <v>1431</v>
      </c>
      <c r="C367" t="s">
        <v>1148</v>
      </c>
      <c r="D367" t="s">
        <v>2824</v>
      </c>
      <c r="E367" t="s">
        <v>2825</v>
      </c>
      <c r="F367" t="s">
        <v>1294</v>
      </c>
      <c r="G367">
        <v>147</v>
      </c>
      <c r="H367" t="s">
        <v>1039</v>
      </c>
      <c r="I367" t="s">
        <v>24</v>
      </c>
      <c r="J367" t="s">
        <v>1317</v>
      </c>
      <c r="K367">
        <v>70</v>
      </c>
      <c r="L367" t="s">
        <v>2601</v>
      </c>
      <c r="M367" t="s">
        <v>2593</v>
      </c>
      <c r="N367" t="s">
        <v>91</v>
      </c>
      <c r="O367" s="12">
        <v>46101.53402777778</v>
      </c>
      <c r="Q367" s="12">
        <v>46101.692361111112</v>
      </c>
      <c r="R367" s="12">
        <v>46101.772222222222</v>
      </c>
      <c r="U367" t="b">
        <v>0</v>
      </c>
    </row>
    <row r="368" spans="1:21">
      <c r="A368" t="s">
        <v>2826</v>
      </c>
      <c r="B368" t="s">
        <v>2827</v>
      </c>
      <c r="C368" t="s">
        <v>1541</v>
      </c>
      <c r="D368" t="s">
        <v>2828</v>
      </c>
      <c r="E368" t="s">
        <v>2829</v>
      </c>
      <c r="F368" t="s">
        <v>1487</v>
      </c>
      <c r="G368">
        <v>139</v>
      </c>
      <c r="H368" t="s">
        <v>16</v>
      </c>
      <c r="I368" t="s">
        <v>24</v>
      </c>
      <c r="J368" t="s">
        <v>1271</v>
      </c>
      <c r="K368">
        <v>72</v>
      </c>
      <c r="L368" t="s">
        <v>2601</v>
      </c>
      <c r="M368" t="s">
        <v>2593</v>
      </c>
      <c r="N368" t="s">
        <v>91</v>
      </c>
      <c r="O368" s="12">
        <v>45767.272222222222</v>
      </c>
      <c r="Q368" s="12">
        <v>45767.340277777781</v>
      </c>
      <c r="R368" s="12">
        <v>45767.715277777781</v>
      </c>
      <c r="U368" t="b">
        <v>0</v>
      </c>
    </row>
    <row r="369" spans="1:21">
      <c r="A369" t="s">
        <v>2830</v>
      </c>
      <c r="B369" t="s">
        <v>2682</v>
      </c>
      <c r="C369" t="s">
        <v>2283</v>
      </c>
      <c r="D369" t="s">
        <v>2831</v>
      </c>
      <c r="E369" t="s">
        <v>2832</v>
      </c>
      <c r="F369" t="s">
        <v>2084</v>
      </c>
      <c r="G369">
        <v>138</v>
      </c>
      <c r="H369" t="s">
        <v>95</v>
      </c>
      <c r="I369" t="s">
        <v>24</v>
      </c>
      <c r="J369" t="s">
        <v>1271</v>
      </c>
      <c r="K369">
        <v>71</v>
      </c>
      <c r="L369" t="s">
        <v>2642</v>
      </c>
      <c r="M369" t="s">
        <v>2643</v>
      </c>
      <c r="N369" t="s">
        <v>91</v>
      </c>
      <c r="O369" s="12">
        <v>45496.523611111108</v>
      </c>
      <c r="P369" s="12">
        <v>45498.06527777778</v>
      </c>
      <c r="Q369" s="12">
        <v>45496.617361111108</v>
      </c>
      <c r="R369" s="12">
        <v>45496.643750000003</v>
      </c>
      <c r="S369" s="12">
        <v>45502.148611111108</v>
      </c>
      <c r="U369" t="b">
        <v>0</v>
      </c>
    </row>
    <row r="370" spans="1:21">
      <c r="A370" t="s">
        <v>2833</v>
      </c>
      <c r="B370" t="s">
        <v>2834</v>
      </c>
      <c r="C370" t="s">
        <v>2059</v>
      </c>
      <c r="D370" t="s">
        <v>2835</v>
      </c>
      <c r="E370" t="s">
        <v>2836</v>
      </c>
      <c r="F370" t="s">
        <v>1294</v>
      </c>
      <c r="G370">
        <v>49</v>
      </c>
      <c r="H370" t="s">
        <v>249</v>
      </c>
      <c r="I370" t="s">
        <v>24</v>
      </c>
      <c r="J370" t="s">
        <v>1317</v>
      </c>
      <c r="K370">
        <v>54</v>
      </c>
      <c r="L370" t="s">
        <v>2592</v>
      </c>
      <c r="M370" t="s">
        <v>2605</v>
      </c>
      <c r="N370" t="s">
        <v>59</v>
      </c>
      <c r="O370" s="12">
        <v>46181.917361111111</v>
      </c>
      <c r="P370" s="12">
        <v>46183.209027777775</v>
      </c>
      <c r="Q370" s="12">
        <v>46182.070833333331</v>
      </c>
      <c r="R370" s="12">
        <v>46182.175694444442</v>
      </c>
      <c r="U370" t="b">
        <v>0</v>
      </c>
    </row>
    <row r="371" spans="1:21">
      <c r="A371" t="s">
        <v>2837</v>
      </c>
      <c r="B371" t="s">
        <v>1267</v>
      </c>
      <c r="C371" t="s">
        <v>1208</v>
      </c>
      <c r="D371" t="s">
        <v>2838</v>
      </c>
      <c r="E371" t="s">
        <v>2839</v>
      </c>
      <c r="F371" t="s">
        <v>1420</v>
      </c>
      <c r="G371">
        <v>25</v>
      </c>
      <c r="H371" t="s">
        <v>366</v>
      </c>
      <c r="I371" t="s">
        <v>24</v>
      </c>
      <c r="J371" t="s">
        <v>1271</v>
      </c>
      <c r="K371">
        <v>47</v>
      </c>
      <c r="L371" t="s">
        <v>2601</v>
      </c>
      <c r="M371" t="s">
        <v>2593</v>
      </c>
      <c r="N371" t="s">
        <v>91</v>
      </c>
      <c r="O371" s="12">
        <v>45890.049305555556</v>
      </c>
      <c r="Q371" s="12">
        <v>45890.091666666667</v>
      </c>
      <c r="R371" s="12">
        <v>45890.126388888886</v>
      </c>
      <c r="U371" t="b">
        <v>0</v>
      </c>
    </row>
    <row r="372" spans="1:21">
      <c r="A372" t="s">
        <v>2840</v>
      </c>
      <c r="B372" t="s">
        <v>2733</v>
      </c>
      <c r="C372" t="s">
        <v>1148</v>
      </c>
      <c r="D372" t="s">
        <v>2841</v>
      </c>
      <c r="E372" t="s">
        <v>2842</v>
      </c>
      <c r="F372" t="s">
        <v>2271</v>
      </c>
      <c r="G372">
        <v>412</v>
      </c>
      <c r="H372" t="s">
        <v>249</v>
      </c>
      <c r="I372" t="s">
        <v>30</v>
      </c>
      <c r="J372" t="s">
        <v>1317</v>
      </c>
      <c r="K372">
        <v>65</v>
      </c>
      <c r="L372" t="s">
        <v>2601</v>
      </c>
      <c r="M372" t="s">
        <v>2593</v>
      </c>
      <c r="N372" t="s">
        <v>36</v>
      </c>
      <c r="O372" s="12">
        <v>46238.943749999999</v>
      </c>
      <c r="Q372" s="12">
        <v>46239.118055555555</v>
      </c>
      <c r="R372" s="12">
        <v>46239.161111111112</v>
      </c>
      <c r="U372" t="b">
        <v>0</v>
      </c>
    </row>
    <row r="373" spans="1:21">
      <c r="A373" t="s">
        <v>2843</v>
      </c>
      <c r="B373" t="s">
        <v>1176</v>
      </c>
      <c r="C373" t="s">
        <v>1135</v>
      </c>
      <c r="D373" t="s">
        <v>2844</v>
      </c>
      <c r="E373" t="s">
        <v>2845</v>
      </c>
      <c r="F373" t="s">
        <v>2660</v>
      </c>
      <c r="G373">
        <v>2081</v>
      </c>
      <c r="H373" t="s">
        <v>50</v>
      </c>
      <c r="I373" t="s">
        <v>17</v>
      </c>
      <c r="J373" t="s">
        <v>1271</v>
      </c>
      <c r="K373">
        <v>50</v>
      </c>
      <c r="L373" t="s">
        <v>2601</v>
      </c>
      <c r="M373" t="s">
        <v>2605</v>
      </c>
      <c r="N373" t="s">
        <v>36</v>
      </c>
      <c r="O373" s="12">
        <v>45942.164583333331</v>
      </c>
      <c r="Q373" s="12">
        <v>45942.180555555555</v>
      </c>
      <c r="R373" s="12">
        <v>45942.298611111109</v>
      </c>
      <c r="U373" t="b">
        <v>0</v>
      </c>
    </row>
    <row r="374" spans="1:21">
      <c r="A374" t="s">
        <v>2846</v>
      </c>
      <c r="B374" t="s">
        <v>2847</v>
      </c>
      <c r="C374" t="s">
        <v>2033</v>
      </c>
      <c r="D374" t="s">
        <v>2848</v>
      </c>
      <c r="E374" t="s">
        <v>2849</v>
      </c>
      <c r="F374" t="s">
        <v>1487</v>
      </c>
      <c r="G374">
        <v>173</v>
      </c>
      <c r="H374" t="s">
        <v>90</v>
      </c>
      <c r="I374" t="s">
        <v>24</v>
      </c>
      <c r="J374" t="s">
        <v>1271</v>
      </c>
      <c r="K374">
        <v>50</v>
      </c>
      <c r="L374" t="s">
        <v>2601</v>
      </c>
      <c r="M374" t="s">
        <v>2605</v>
      </c>
      <c r="N374" t="s">
        <v>91</v>
      </c>
      <c r="O374" s="12">
        <v>46012.809027777781</v>
      </c>
      <c r="Q374" s="12">
        <v>46012.824305555558</v>
      </c>
      <c r="R374" s="12">
        <v>46012.960416666669</v>
      </c>
      <c r="U374" t="b">
        <v>0</v>
      </c>
    </row>
    <row r="375" spans="1:21">
      <c r="A375" t="s">
        <v>2850</v>
      </c>
      <c r="B375" t="s">
        <v>2670</v>
      </c>
      <c r="C375" t="s">
        <v>1162</v>
      </c>
      <c r="D375" t="s">
        <v>2851</v>
      </c>
      <c r="E375" t="s">
        <v>2852</v>
      </c>
      <c r="F375" t="s">
        <v>1471</v>
      </c>
      <c r="G375">
        <v>15</v>
      </c>
      <c r="H375" t="s">
        <v>366</v>
      </c>
      <c r="J375" t="s">
        <v>1413</v>
      </c>
      <c r="K375">
        <v>57</v>
      </c>
      <c r="L375" t="s">
        <v>2601</v>
      </c>
      <c r="M375" t="s">
        <v>2643</v>
      </c>
      <c r="O375" s="12">
        <v>45459.938888888886</v>
      </c>
      <c r="U375" t="b">
        <v>0</v>
      </c>
    </row>
    <row r="376" spans="1:21">
      <c r="A376" t="s">
        <v>2853</v>
      </c>
      <c r="B376" t="s">
        <v>1157</v>
      </c>
      <c r="C376" t="s">
        <v>1130</v>
      </c>
      <c r="D376" t="s">
        <v>2854</v>
      </c>
      <c r="E376" t="s">
        <v>2855</v>
      </c>
      <c r="F376" t="s">
        <v>1511</v>
      </c>
      <c r="G376">
        <v>383</v>
      </c>
      <c r="H376" t="s">
        <v>81</v>
      </c>
      <c r="I376" t="s">
        <v>30</v>
      </c>
      <c r="J376" t="s">
        <v>1281</v>
      </c>
      <c r="K376">
        <v>82</v>
      </c>
      <c r="L376" t="s">
        <v>2601</v>
      </c>
      <c r="M376" t="s">
        <v>2605</v>
      </c>
      <c r="N376" t="s">
        <v>82</v>
      </c>
      <c r="O376" s="12">
        <v>45952.813888888886</v>
      </c>
      <c r="Q376" s="12">
        <v>45952.941666666666</v>
      </c>
      <c r="R376" s="12">
        <v>45953.006944444445</v>
      </c>
      <c r="U376" t="b">
        <v>0</v>
      </c>
    </row>
    <row r="377" spans="1:21">
      <c r="A377" t="s">
        <v>2856</v>
      </c>
      <c r="B377" t="s">
        <v>1431</v>
      </c>
      <c r="C377" t="s">
        <v>1176</v>
      </c>
      <c r="D377" t="s">
        <v>2857</v>
      </c>
      <c r="E377" t="s">
        <v>2858</v>
      </c>
      <c r="F377" t="s">
        <v>2660</v>
      </c>
      <c r="G377">
        <v>5807</v>
      </c>
      <c r="H377" t="s">
        <v>339</v>
      </c>
      <c r="K377">
        <v>63</v>
      </c>
      <c r="L377" t="s">
        <v>2601</v>
      </c>
      <c r="M377" t="s">
        <v>2643</v>
      </c>
      <c r="O377" s="12">
        <v>45635.272222222222</v>
      </c>
      <c r="T377" t="s">
        <v>2648</v>
      </c>
      <c r="U377" t="b">
        <v>0</v>
      </c>
    </row>
    <row r="378" spans="1:21">
      <c r="A378" t="s">
        <v>2859</v>
      </c>
      <c r="B378" t="s">
        <v>2662</v>
      </c>
      <c r="C378" t="s">
        <v>1579</v>
      </c>
      <c r="D378" t="s">
        <v>2860</v>
      </c>
      <c r="E378" t="s">
        <v>2861</v>
      </c>
      <c r="F378" t="s">
        <v>1843</v>
      </c>
      <c r="G378">
        <v>198</v>
      </c>
      <c r="H378" t="s">
        <v>216</v>
      </c>
      <c r="I378" t="s">
        <v>24</v>
      </c>
      <c r="J378" t="s">
        <v>1413</v>
      </c>
      <c r="K378">
        <v>63</v>
      </c>
      <c r="L378" t="s">
        <v>2592</v>
      </c>
      <c r="M378" t="s">
        <v>2605</v>
      </c>
      <c r="N378" t="s">
        <v>91</v>
      </c>
      <c r="O378" s="12">
        <v>46052.65</v>
      </c>
      <c r="P378" s="12">
        <v>46052.816666666666</v>
      </c>
      <c r="Q378" s="12">
        <v>46052.748611111114</v>
      </c>
      <c r="R378" s="12">
        <v>46052.825694444444</v>
      </c>
      <c r="U378" t="b">
        <v>0</v>
      </c>
    </row>
    <row r="379" spans="1:21">
      <c r="A379" t="s">
        <v>2862</v>
      </c>
      <c r="B379" t="s">
        <v>2578</v>
      </c>
      <c r="C379" t="s">
        <v>1142</v>
      </c>
      <c r="D379" t="s">
        <v>2863</v>
      </c>
      <c r="E379" t="s">
        <v>2864</v>
      </c>
      <c r="F379" t="s">
        <v>2660</v>
      </c>
      <c r="G379">
        <v>157</v>
      </c>
      <c r="H379" t="s">
        <v>249</v>
      </c>
      <c r="I379" t="s">
        <v>24</v>
      </c>
      <c r="J379" t="s">
        <v>1281</v>
      </c>
      <c r="K379">
        <v>80</v>
      </c>
      <c r="L379" t="s">
        <v>2592</v>
      </c>
      <c r="M379" t="s">
        <v>2597</v>
      </c>
      <c r="N379" t="s">
        <v>59</v>
      </c>
      <c r="O379" s="12">
        <v>46178.460416666669</v>
      </c>
      <c r="P379" s="12">
        <v>46180.710416666669</v>
      </c>
      <c r="Q379" s="12">
        <v>46178.493750000001</v>
      </c>
      <c r="U379" t="b">
        <v>0</v>
      </c>
    </row>
    <row r="380" spans="1:21">
      <c r="A380" t="s">
        <v>2865</v>
      </c>
      <c r="B380" t="s">
        <v>1167</v>
      </c>
      <c r="C380" t="s">
        <v>1436</v>
      </c>
      <c r="D380" t="s">
        <v>2703</v>
      </c>
      <c r="E380" t="s">
        <v>2866</v>
      </c>
      <c r="F380" t="s">
        <v>1511</v>
      </c>
      <c r="G380">
        <v>82</v>
      </c>
      <c r="H380" t="s">
        <v>385</v>
      </c>
      <c r="I380" t="s">
        <v>24</v>
      </c>
      <c r="J380" t="s">
        <v>1271</v>
      </c>
      <c r="K380">
        <v>43</v>
      </c>
      <c r="L380" t="s">
        <v>2601</v>
      </c>
      <c r="M380" t="s">
        <v>2655</v>
      </c>
      <c r="N380" t="s">
        <v>91</v>
      </c>
      <c r="O380" s="12">
        <v>45555.356249999997</v>
      </c>
      <c r="Q380" s="12">
        <v>45555.554166666669</v>
      </c>
      <c r="U380" t="b">
        <v>0</v>
      </c>
    </row>
    <row r="381" spans="1:21">
      <c r="A381" t="s">
        <v>2867</v>
      </c>
      <c r="B381" t="s">
        <v>2578</v>
      </c>
      <c r="C381" t="s">
        <v>1462</v>
      </c>
      <c r="D381" t="s">
        <v>2868</v>
      </c>
      <c r="E381" t="s">
        <v>2869</v>
      </c>
      <c r="F381" t="s">
        <v>1367</v>
      </c>
      <c r="G381">
        <v>1441</v>
      </c>
      <c r="H381" t="s">
        <v>81</v>
      </c>
      <c r="I381" t="s">
        <v>17</v>
      </c>
      <c r="J381" t="s">
        <v>1288</v>
      </c>
      <c r="K381">
        <v>46</v>
      </c>
      <c r="L381" t="s">
        <v>2601</v>
      </c>
      <c r="M381" t="s">
        <v>2605</v>
      </c>
      <c r="N381" t="s">
        <v>82</v>
      </c>
      <c r="O381" s="12">
        <v>45564.201388888891</v>
      </c>
      <c r="Q381" s="12">
        <v>45564.362500000003</v>
      </c>
      <c r="R381" s="12">
        <v>45564.384722222225</v>
      </c>
      <c r="U381" t="b">
        <v>0</v>
      </c>
    </row>
    <row r="382" spans="1:21">
      <c r="A382" t="s">
        <v>2870</v>
      </c>
      <c r="B382" t="s">
        <v>1138</v>
      </c>
      <c r="C382" t="s">
        <v>1353</v>
      </c>
      <c r="D382" t="s">
        <v>2871</v>
      </c>
      <c r="E382" t="s">
        <v>2872</v>
      </c>
      <c r="F382" t="s">
        <v>1412</v>
      </c>
      <c r="G382">
        <v>119</v>
      </c>
      <c r="H382" t="s">
        <v>41</v>
      </c>
      <c r="I382" t="s">
        <v>24</v>
      </c>
      <c r="J382" t="s">
        <v>1288</v>
      </c>
      <c r="K382">
        <v>50</v>
      </c>
      <c r="L382" t="s">
        <v>2592</v>
      </c>
      <c r="M382" t="s">
        <v>2593</v>
      </c>
      <c r="N382" t="s">
        <v>25</v>
      </c>
      <c r="O382" s="12">
        <v>46224.411111111112</v>
      </c>
      <c r="P382" s="12">
        <v>46225.286111111112</v>
      </c>
      <c r="Q382" s="12">
        <v>46224.509027777778</v>
      </c>
      <c r="R382" s="12">
        <v>46224.599305555559</v>
      </c>
      <c r="U382" t="b">
        <v>0</v>
      </c>
    </row>
    <row r="383" spans="1:21">
      <c r="A383" t="s">
        <v>2873</v>
      </c>
      <c r="B383" t="s">
        <v>2874</v>
      </c>
      <c r="C383" t="s">
        <v>1135</v>
      </c>
      <c r="D383" t="s">
        <v>2875</v>
      </c>
      <c r="E383" t="s">
        <v>2876</v>
      </c>
      <c r="F383" t="s">
        <v>2660</v>
      </c>
      <c r="G383">
        <v>541</v>
      </c>
      <c r="H383" t="s">
        <v>178</v>
      </c>
      <c r="I383" t="s">
        <v>30</v>
      </c>
      <c r="J383" t="s">
        <v>1317</v>
      </c>
      <c r="K383">
        <v>77</v>
      </c>
      <c r="L383" t="s">
        <v>2592</v>
      </c>
      <c r="M383" t="s">
        <v>2593</v>
      </c>
      <c r="N383" t="s">
        <v>36</v>
      </c>
      <c r="O383" s="12">
        <v>45998.642361111109</v>
      </c>
      <c r="P383" s="12">
        <v>46003.309027777781</v>
      </c>
      <c r="Q383" s="12">
        <v>45998.867361111108</v>
      </c>
      <c r="R383" s="12">
        <v>45998.881944444445</v>
      </c>
      <c r="U383" t="b">
        <v>0</v>
      </c>
    </row>
    <row r="384" spans="1:21">
      <c r="A384" t="s">
        <v>2877</v>
      </c>
      <c r="B384" t="s">
        <v>2878</v>
      </c>
      <c r="C384" t="s">
        <v>1307</v>
      </c>
      <c r="D384" t="s">
        <v>2879</v>
      </c>
      <c r="E384" t="s">
        <v>2880</v>
      </c>
      <c r="F384" t="s">
        <v>1487</v>
      </c>
      <c r="G384">
        <v>72</v>
      </c>
      <c r="H384" t="s">
        <v>90</v>
      </c>
      <c r="I384" t="s">
        <v>24</v>
      </c>
      <c r="J384" t="s">
        <v>1288</v>
      </c>
      <c r="K384">
        <v>43</v>
      </c>
      <c r="L384" t="s">
        <v>2601</v>
      </c>
      <c r="M384" t="s">
        <v>2593</v>
      </c>
      <c r="N384" t="s">
        <v>91</v>
      </c>
      <c r="O384" s="12">
        <v>45765.857638888891</v>
      </c>
      <c r="Q384" s="12">
        <v>45765.95</v>
      </c>
      <c r="R384" s="12">
        <v>45766.052083333336</v>
      </c>
      <c r="U384" t="b">
        <v>0</v>
      </c>
    </row>
    <row r="385" spans="1:21">
      <c r="A385" t="s">
        <v>2881</v>
      </c>
      <c r="B385" t="s">
        <v>2882</v>
      </c>
      <c r="C385" t="s">
        <v>1971</v>
      </c>
      <c r="D385" t="s">
        <v>2883</v>
      </c>
      <c r="E385" t="s">
        <v>2884</v>
      </c>
      <c r="F385" t="s">
        <v>1471</v>
      </c>
      <c r="G385">
        <v>981</v>
      </c>
      <c r="H385" t="s">
        <v>54</v>
      </c>
      <c r="I385" t="s">
        <v>30</v>
      </c>
      <c r="J385" t="s">
        <v>1317</v>
      </c>
      <c r="K385">
        <v>80</v>
      </c>
      <c r="L385" t="s">
        <v>2592</v>
      </c>
      <c r="M385" t="s">
        <v>2593</v>
      </c>
      <c r="N385" t="s">
        <v>55</v>
      </c>
      <c r="O385" s="12">
        <v>45512.147222222222</v>
      </c>
      <c r="P385" s="12">
        <v>45514.022222222222</v>
      </c>
      <c r="Q385" s="12">
        <v>45512.23541666667</v>
      </c>
      <c r="R385" s="12">
        <v>45512.376388888886</v>
      </c>
      <c r="U385" t="b">
        <v>0</v>
      </c>
    </row>
    <row r="386" spans="1:21">
      <c r="A386" t="s">
        <v>2885</v>
      </c>
      <c r="B386" t="s">
        <v>1267</v>
      </c>
      <c r="C386" t="s">
        <v>1155</v>
      </c>
      <c r="D386" t="s">
        <v>2886</v>
      </c>
      <c r="E386" t="s">
        <v>2887</v>
      </c>
      <c r="F386" t="s">
        <v>1784</v>
      </c>
      <c r="G386">
        <v>75</v>
      </c>
      <c r="H386" t="s">
        <v>249</v>
      </c>
      <c r="I386" t="s">
        <v>24</v>
      </c>
      <c r="J386" t="s">
        <v>1413</v>
      </c>
      <c r="K386">
        <v>70</v>
      </c>
      <c r="L386" t="s">
        <v>2601</v>
      </c>
      <c r="M386" t="s">
        <v>2655</v>
      </c>
      <c r="N386" t="s">
        <v>59</v>
      </c>
      <c r="O386" s="12">
        <v>46248.817361111112</v>
      </c>
      <c r="Q386" s="12">
        <v>46248.926388888889</v>
      </c>
      <c r="U386" t="b">
        <v>0</v>
      </c>
    </row>
    <row r="387" spans="1:21">
      <c r="A387" t="s">
        <v>2888</v>
      </c>
      <c r="B387" t="s">
        <v>2639</v>
      </c>
      <c r="C387" t="s">
        <v>1197</v>
      </c>
      <c r="D387" t="s">
        <v>2889</v>
      </c>
      <c r="E387" t="s">
        <v>2890</v>
      </c>
      <c r="F387" t="s">
        <v>1511</v>
      </c>
      <c r="G387">
        <v>342</v>
      </c>
      <c r="H387" t="s">
        <v>182</v>
      </c>
      <c r="I387" t="s">
        <v>30</v>
      </c>
      <c r="J387" t="s">
        <v>1413</v>
      </c>
      <c r="K387">
        <v>60</v>
      </c>
      <c r="L387" t="s">
        <v>2601</v>
      </c>
      <c r="M387" t="s">
        <v>2593</v>
      </c>
      <c r="N387" t="s">
        <v>36</v>
      </c>
      <c r="O387" s="12">
        <v>45316.493055555555</v>
      </c>
      <c r="Q387" s="12">
        <v>45316.722222222219</v>
      </c>
      <c r="R387" s="12">
        <v>45316.85833333333</v>
      </c>
      <c r="U387" t="b">
        <v>0</v>
      </c>
    </row>
    <row r="388" spans="1:21">
      <c r="A388" t="s">
        <v>2891</v>
      </c>
      <c r="B388" t="s">
        <v>2706</v>
      </c>
      <c r="C388" t="s">
        <v>1191</v>
      </c>
      <c r="D388" t="s">
        <v>2892</v>
      </c>
      <c r="E388" t="s">
        <v>2893</v>
      </c>
      <c r="F388" t="s">
        <v>2660</v>
      </c>
      <c r="G388">
        <v>80</v>
      </c>
      <c r="H388" t="s">
        <v>64</v>
      </c>
      <c r="I388" t="s">
        <v>24</v>
      </c>
      <c r="J388" t="s">
        <v>2894</v>
      </c>
      <c r="K388">
        <v>38</v>
      </c>
      <c r="L388" t="s">
        <v>2601</v>
      </c>
      <c r="M388" t="s">
        <v>2605</v>
      </c>
      <c r="N388" t="s">
        <v>69</v>
      </c>
      <c r="O388" s="12">
        <v>45811.85833333333</v>
      </c>
      <c r="Q388" s="12">
        <v>45812.0625</v>
      </c>
      <c r="R388" s="12">
        <v>45812.095833333333</v>
      </c>
      <c r="U388" t="b">
        <v>0</v>
      </c>
    </row>
    <row r="389" spans="1:21">
      <c r="A389" t="s">
        <v>2895</v>
      </c>
      <c r="B389" t="s">
        <v>1175</v>
      </c>
      <c r="C389" t="s">
        <v>2100</v>
      </c>
      <c r="D389" t="s">
        <v>2896</v>
      </c>
      <c r="E389" t="s">
        <v>2897</v>
      </c>
      <c r="F389" t="s">
        <v>2709</v>
      </c>
      <c r="G389">
        <v>136</v>
      </c>
      <c r="H389" t="s">
        <v>16</v>
      </c>
      <c r="I389" t="s">
        <v>24</v>
      </c>
      <c r="J389" t="s">
        <v>1413</v>
      </c>
      <c r="K389">
        <v>69</v>
      </c>
      <c r="L389" t="s">
        <v>2601</v>
      </c>
      <c r="M389" t="s">
        <v>2618</v>
      </c>
      <c r="N389" t="s">
        <v>91</v>
      </c>
      <c r="O389" s="12">
        <v>45799.770833333336</v>
      </c>
      <c r="Q389" s="12">
        <v>45800.002083333333</v>
      </c>
      <c r="R389" s="12">
        <v>45800.133333333331</v>
      </c>
      <c r="T389" t="s">
        <v>2619</v>
      </c>
      <c r="U389" t="b">
        <v>0</v>
      </c>
    </row>
    <row r="390" spans="1:21">
      <c r="A390" t="s">
        <v>2898</v>
      </c>
      <c r="B390" t="s">
        <v>2693</v>
      </c>
      <c r="C390" t="s">
        <v>1186</v>
      </c>
      <c r="D390" t="s">
        <v>2899</v>
      </c>
      <c r="E390" t="s">
        <v>2900</v>
      </c>
      <c r="F390" t="s">
        <v>1412</v>
      </c>
      <c r="G390">
        <v>362</v>
      </c>
      <c r="H390" t="s">
        <v>95</v>
      </c>
      <c r="I390" t="s">
        <v>30</v>
      </c>
      <c r="J390" t="s">
        <v>1413</v>
      </c>
      <c r="K390">
        <v>71</v>
      </c>
      <c r="L390" t="s">
        <v>2592</v>
      </c>
      <c r="M390" t="s">
        <v>2597</v>
      </c>
      <c r="N390" t="s">
        <v>18</v>
      </c>
      <c r="O390" s="12">
        <v>45835.447916666664</v>
      </c>
      <c r="P390" s="12">
        <v>45836.322916666664</v>
      </c>
      <c r="Q390" s="12">
        <v>45835.560416666667</v>
      </c>
      <c r="R390" s="12">
        <v>45835.709027777775</v>
      </c>
      <c r="U390" t="b">
        <v>0</v>
      </c>
    </row>
    <row r="391" spans="1:21">
      <c r="A391" t="s">
        <v>2901</v>
      </c>
      <c r="B391" t="s">
        <v>2902</v>
      </c>
      <c r="C391" t="s">
        <v>1168</v>
      </c>
      <c r="D391" t="s">
        <v>2903</v>
      </c>
      <c r="E391" t="s">
        <v>2904</v>
      </c>
      <c r="F391" t="s">
        <v>1309</v>
      </c>
      <c r="G391">
        <v>51</v>
      </c>
      <c r="H391" t="s">
        <v>1079</v>
      </c>
      <c r="I391" t="s">
        <v>24</v>
      </c>
      <c r="K391">
        <v>74</v>
      </c>
      <c r="L391" t="s">
        <v>2592</v>
      </c>
      <c r="M391" t="s">
        <v>2597</v>
      </c>
      <c r="N391" t="s">
        <v>69</v>
      </c>
      <c r="O391" s="12">
        <v>45807.612500000003</v>
      </c>
      <c r="P391" s="12">
        <v>45810.154166666667</v>
      </c>
      <c r="Q391" s="12">
        <v>45807.712500000001</v>
      </c>
      <c r="R391" s="12">
        <v>45807.834027777775</v>
      </c>
      <c r="U391" t="b">
        <v>0</v>
      </c>
    </row>
    <row r="392" spans="1:21">
      <c r="A392" t="s">
        <v>2905</v>
      </c>
      <c r="B392" t="s">
        <v>2906</v>
      </c>
      <c r="C392" t="s">
        <v>1378</v>
      </c>
      <c r="D392" t="s">
        <v>2907</v>
      </c>
      <c r="E392" t="s">
        <v>2908</v>
      </c>
      <c r="F392" t="s">
        <v>1412</v>
      </c>
      <c r="G392">
        <v>108</v>
      </c>
      <c r="H392" t="s">
        <v>560</v>
      </c>
      <c r="I392" t="s">
        <v>24</v>
      </c>
      <c r="J392" t="s">
        <v>1271</v>
      </c>
      <c r="K392">
        <v>61</v>
      </c>
      <c r="L392" t="s">
        <v>2592</v>
      </c>
      <c r="M392" t="s">
        <v>2597</v>
      </c>
      <c r="N392" t="s">
        <v>25</v>
      </c>
      <c r="O392" s="12">
        <v>45455.379166666666</v>
      </c>
      <c r="P392" s="12">
        <v>45456.754166666666</v>
      </c>
      <c r="Q392" s="12">
        <v>45455.465277777781</v>
      </c>
      <c r="R392" s="12">
        <v>45455.579861111109</v>
      </c>
      <c r="U392" t="b">
        <v>0</v>
      </c>
    </row>
    <row r="393" spans="1:21">
      <c r="A393" t="s">
        <v>2909</v>
      </c>
      <c r="B393" t="s">
        <v>1207</v>
      </c>
      <c r="C393" t="s">
        <v>1475</v>
      </c>
      <c r="D393" t="s">
        <v>2910</v>
      </c>
      <c r="E393" t="s">
        <v>2911</v>
      </c>
      <c r="F393" t="s">
        <v>1471</v>
      </c>
      <c r="G393">
        <v>174</v>
      </c>
      <c r="H393" t="s">
        <v>385</v>
      </c>
      <c r="I393" t="s">
        <v>24</v>
      </c>
      <c r="J393" t="s">
        <v>1413</v>
      </c>
      <c r="K393">
        <v>77</v>
      </c>
      <c r="L393" t="s">
        <v>2601</v>
      </c>
      <c r="M393" t="s">
        <v>2605</v>
      </c>
      <c r="N393" t="s">
        <v>91</v>
      </c>
      <c r="O393" s="12">
        <v>45930.307638888888</v>
      </c>
      <c r="Q393" s="12">
        <v>45930.533333333333</v>
      </c>
      <c r="R393" s="12">
        <v>45930.654166666667</v>
      </c>
      <c r="U393" t="b">
        <v>0</v>
      </c>
    </row>
    <row r="394" spans="1:21">
      <c r="A394" t="s">
        <v>2912</v>
      </c>
      <c r="B394" t="s">
        <v>2733</v>
      </c>
      <c r="C394" t="s">
        <v>2059</v>
      </c>
      <c r="D394" t="s">
        <v>2913</v>
      </c>
      <c r="E394" t="s">
        <v>2914</v>
      </c>
      <c r="F394" t="s">
        <v>1448</v>
      </c>
      <c r="G394">
        <v>93</v>
      </c>
      <c r="H394" t="s">
        <v>1039</v>
      </c>
      <c r="I394" t="s">
        <v>24</v>
      </c>
      <c r="J394" t="s">
        <v>1271</v>
      </c>
      <c r="K394">
        <v>72</v>
      </c>
      <c r="L394" t="s">
        <v>2601</v>
      </c>
      <c r="M394" t="s">
        <v>2605</v>
      </c>
      <c r="N394" t="s">
        <v>91</v>
      </c>
      <c r="O394" s="12">
        <v>46283.988888888889</v>
      </c>
      <c r="Q394" s="12">
        <v>46284.018055555556</v>
      </c>
      <c r="R394" s="12">
        <v>46284.082638888889</v>
      </c>
      <c r="U394" t="b">
        <v>0</v>
      </c>
    </row>
    <row r="395" spans="1:21">
      <c r="A395" t="s">
        <v>2915</v>
      </c>
      <c r="B395" t="s">
        <v>2578</v>
      </c>
      <c r="C395" t="s">
        <v>1418</v>
      </c>
      <c r="D395" t="s">
        <v>2916</v>
      </c>
      <c r="E395" t="s">
        <v>2917</v>
      </c>
      <c r="F395" t="s">
        <v>2660</v>
      </c>
      <c r="G395">
        <v>145</v>
      </c>
      <c r="H395" t="s">
        <v>226</v>
      </c>
      <c r="I395" t="s">
        <v>24</v>
      </c>
      <c r="J395" t="s">
        <v>1355</v>
      </c>
      <c r="K395">
        <v>46</v>
      </c>
      <c r="L395" t="s">
        <v>2601</v>
      </c>
      <c r="M395" t="s">
        <v>2593</v>
      </c>
      <c r="N395" t="s">
        <v>69</v>
      </c>
      <c r="O395" s="12">
        <v>46068.129861111112</v>
      </c>
      <c r="Q395" s="12">
        <v>46068.220833333333</v>
      </c>
      <c r="R395" s="12">
        <v>46068.356944444444</v>
      </c>
      <c r="U395" t="b">
        <v>0</v>
      </c>
    </row>
    <row r="396" spans="1:21">
      <c r="A396" t="s">
        <v>2918</v>
      </c>
      <c r="B396" t="s">
        <v>2811</v>
      </c>
      <c r="C396" t="s">
        <v>1971</v>
      </c>
      <c r="D396" t="s">
        <v>2919</v>
      </c>
      <c r="E396" t="s">
        <v>2920</v>
      </c>
      <c r="F396" t="s">
        <v>1511</v>
      </c>
      <c r="G396">
        <v>83</v>
      </c>
      <c r="H396" t="s">
        <v>216</v>
      </c>
      <c r="I396" t="s">
        <v>24</v>
      </c>
      <c r="J396" t="s">
        <v>1271</v>
      </c>
      <c r="K396">
        <v>36</v>
      </c>
      <c r="L396" t="s">
        <v>2592</v>
      </c>
      <c r="M396" t="s">
        <v>2605</v>
      </c>
      <c r="N396" t="s">
        <v>91</v>
      </c>
      <c r="O396" s="12">
        <v>45572.25277777778</v>
      </c>
      <c r="P396" s="12">
        <v>45574.336111111108</v>
      </c>
      <c r="Q396" s="12">
        <v>45572.438888888886</v>
      </c>
      <c r="R396" s="12">
        <v>45572.570833333331</v>
      </c>
      <c r="U396" t="b">
        <v>0</v>
      </c>
    </row>
    <row r="397" spans="1:21">
      <c r="A397" t="s">
        <v>2921</v>
      </c>
      <c r="B397" t="s">
        <v>2882</v>
      </c>
      <c r="C397" t="s">
        <v>1176</v>
      </c>
      <c r="D397" t="s">
        <v>2922</v>
      </c>
      <c r="E397" t="s">
        <v>2923</v>
      </c>
      <c r="F397" t="s">
        <v>1471</v>
      </c>
      <c r="G397">
        <v>822</v>
      </c>
      <c r="H397" t="s">
        <v>154</v>
      </c>
      <c r="I397" t="s">
        <v>30</v>
      </c>
      <c r="J397" t="s">
        <v>1355</v>
      </c>
      <c r="K397">
        <v>77</v>
      </c>
      <c r="L397" t="s">
        <v>2601</v>
      </c>
      <c r="M397" t="s">
        <v>2655</v>
      </c>
      <c r="N397" t="s">
        <v>82</v>
      </c>
      <c r="O397" s="12">
        <v>45523.299305555556</v>
      </c>
      <c r="Q397" s="12">
        <v>45523.417361111111</v>
      </c>
      <c r="U397" t="b">
        <v>0</v>
      </c>
    </row>
    <row r="398" spans="1:21">
      <c r="A398" t="s">
        <v>2924</v>
      </c>
      <c r="B398" t="s">
        <v>1161</v>
      </c>
      <c r="C398" t="s">
        <v>1291</v>
      </c>
      <c r="D398" t="s">
        <v>2925</v>
      </c>
      <c r="E398" t="s">
        <v>2926</v>
      </c>
      <c r="F398" t="s">
        <v>1487</v>
      </c>
      <c r="G398">
        <v>37</v>
      </c>
      <c r="H398" t="s">
        <v>560</v>
      </c>
      <c r="I398" t="s">
        <v>24</v>
      </c>
      <c r="J398" t="s">
        <v>1355</v>
      </c>
      <c r="K398">
        <v>68</v>
      </c>
      <c r="L398" t="s">
        <v>2592</v>
      </c>
      <c r="M398" t="s">
        <v>2593</v>
      </c>
      <c r="N398" t="s">
        <v>25</v>
      </c>
      <c r="O398" s="12">
        <v>45358.696527777778</v>
      </c>
      <c r="P398" s="12">
        <v>45362.488194444442</v>
      </c>
      <c r="Q398" s="12">
        <v>45358.709027777775</v>
      </c>
      <c r="U398" t="b">
        <v>0</v>
      </c>
    </row>
    <row r="399" spans="1:21">
      <c r="A399" t="s">
        <v>2927</v>
      </c>
      <c r="B399" t="s">
        <v>2733</v>
      </c>
      <c r="C399" t="s">
        <v>1222</v>
      </c>
      <c r="D399" t="s">
        <v>2928</v>
      </c>
      <c r="E399" t="s">
        <v>2929</v>
      </c>
      <c r="F399" t="s">
        <v>2617</v>
      </c>
      <c r="G399">
        <v>339</v>
      </c>
      <c r="H399" t="s">
        <v>216</v>
      </c>
      <c r="I399" t="s">
        <v>30</v>
      </c>
      <c r="J399" t="s">
        <v>1339</v>
      </c>
      <c r="K399">
        <v>92</v>
      </c>
      <c r="L399" t="s">
        <v>2592</v>
      </c>
      <c r="M399" t="s">
        <v>2605</v>
      </c>
      <c r="N399" t="s">
        <v>18</v>
      </c>
      <c r="O399" s="12">
        <v>45334.152083333334</v>
      </c>
      <c r="P399" s="12">
        <v>45338.027083333334</v>
      </c>
      <c r="Q399" s="12">
        <v>45334.345833333333</v>
      </c>
      <c r="R399" s="12">
        <v>45334.397916666669</v>
      </c>
      <c r="U399" t="b">
        <v>0</v>
      </c>
    </row>
    <row r="400" spans="1:21">
      <c r="A400" t="s">
        <v>2930</v>
      </c>
      <c r="B400" t="s">
        <v>1175</v>
      </c>
      <c r="C400" t="s">
        <v>1337</v>
      </c>
      <c r="D400" t="s">
        <v>2931</v>
      </c>
      <c r="E400" t="s">
        <v>2932</v>
      </c>
      <c r="F400" t="s">
        <v>1784</v>
      </c>
      <c r="G400">
        <v>11</v>
      </c>
      <c r="H400" t="s">
        <v>50</v>
      </c>
      <c r="J400" t="s">
        <v>1295</v>
      </c>
      <c r="K400">
        <v>78</v>
      </c>
      <c r="L400" t="s">
        <v>2601</v>
      </c>
      <c r="M400" t="s">
        <v>2618</v>
      </c>
      <c r="O400" s="12">
        <v>45656.086111111108</v>
      </c>
      <c r="T400" t="s">
        <v>2933</v>
      </c>
      <c r="U400" t="b">
        <v>0</v>
      </c>
    </row>
    <row r="401" spans="1:21">
      <c r="A401" t="s">
        <v>2934</v>
      </c>
      <c r="B401" t="s">
        <v>1320</v>
      </c>
      <c r="C401" t="s">
        <v>1142</v>
      </c>
      <c r="D401" t="s">
        <v>2935</v>
      </c>
      <c r="E401" t="s">
        <v>2936</v>
      </c>
      <c r="F401" t="s">
        <v>1843</v>
      </c>
      <c r="G401">
        <v>204</v>
      </c>
      <c r="H401" t="s">
        <v>140</v>
      </c>
      <c r="I401" t="s">
        <v>30</v>
      </c>
      <c r="J401" t="s">
        <v>1413</v>
      </c>
      <c r="K401">
        <v>59</v>
      </c>
      <c r="L401" t="s">
        <v>2601</v>
      </c>
      <c r="M401" t="s">
        <v>2593</v>
      </c>
      <c r="N401" t="s">
        <v>82</v>
      </c>
      <c r="O401" s="12">
        <v>45543.620138888888</v>
      </c>
      <c r="Q401" s="12">
        <v>45543.777777777781</v>
      </c>
      <c r="R401" s="12">
        <v>45543.925694444442</v>
      </c>
      <c r="U401" t="b">
        <v>0</v>
      </c>
    </row>
    <row r="402" spans="1:21">
      <c r="A402" t="s">
        <v>2937</v>
      </c>
      <c r="B402" t="s">
        <v>2645</v>
      </c>
      <c r="C402" t="s">
        <v>1469</v>
      </c>
      <c r="D402" t="s">
        <v>2938</v>
      </c>
      <c r="E402" t="s">
        <v>2939</v>
      </c>
      <c r="F402" t="s">
        <v>2617</v>
      </c>
      <c r="G402">
        <v>745</v>
      </c>
      <c r="H402" t="s">
        <v>23</v>
      </c>
      <c r="I402" t="s">
        <v>30</v>
      </c>
      <c r="J402" t="s">
        <v>1355</v>
      </c>
      <c r="K402">
        <v>68</v>
      </c>
      <c r="L402" t="s">
        <v>2592</v>
      </c>
      <c r="M402" t="s">
        <v>2618</v>
      </c>
      <c r="N402" t="s">
        <v>82</v>
      </c>
      <c r="O402" s="12">
        <v>45906.840277777781</v>
      </c>
      <c r="P402" s="12">
        <v>45910.756944444445</v>
      </c>
      <c r="Q402" s="12">
        <v>45906.865277777775</v>
      </c>
      <c r="R402" s="12">
        <v>45906.994444444441</v>
      </c>
      <c r="T402" t="s">
        <v>2631</v>
      </c>
      <c r="U402" t="b">
        <v>0</v>
      </c>
    </row>
    <row r="403" spans="1:21">
      <c r="A403" t="s">
        <v>2940</v>
      </c>
      <c r="B403" t="s">
        <v>2670</v>
      </c>
      <c r="C403" t="s">
        <v>1579</v>
      </c>
      <c r="D403" t="s">
        <v>2941</v>
      </c>
      <c r="E403" t="s">
        <v>2942</v>
      </c>
      <c r="F403" t="s">
        <v>1784</v>
      </c>
      <c r="G403">
        <v>13</v>
      </c>
      <c r="H403" t="s">
        <v>216</v>
      </c>
      <c r="J403" t="s">
        <v>1288</v>
      </c>
      <c r="K403">
        <v>57</v>
      </c>
      <c r="L403" t="s">
        <v>2601</v>
      </c>
      <c r="M403" t="s">
        <v>2593</v>
      </c>
      <c r="O403" s="12">
        <v>45757.529861111114</v>
      </c>
      <c r="U403" t="b">
        <v>0</v>
      </c>
    </row>
    <row r="404" spans="1:21">
      <c r="A404" t="s">
        <v>2943</v>
      </c>
      <c r="B404" t="s">
        <v>2760</v>
      </c>
      <c r="C404" t="s">
        <v>1145</v>
      </c>
      <c r="D404" t="s">
        <v>2944</v>
      </c>
      <c r="E404" t="s">
        <v>2945</v>
      </c>
      <c r="F404" t="s">
        <v>1294</v>
      </c>
      <c r="G404">
        <v>298</v>
      </c>
      <c r="H404" t="s">
        <v>1034</v>
      </c>
      <c r="I404" t="s">
        <v>30</v>
      </c>
      <c r="J404" t="s">
        <v>1288</v>
      </c>
      <c r="K404">
        <v>72</v>
      </c>
      <c r="L404" t="s">
        <v>2601</v>
      </c>
      <c r="M404" t="s">
        <v>2605</v>
      </c>
      <c r="N404" t="s">
        <v>36</v>
      </c>
      <c r="O404" s="12">
        <v>46232.986805555556</v>
      </c>
      <c r="Q404" s="12">
        <v>46233.006944444445</v>
      </c>
      <c r="R404" s="12">
        <v>46233.092361111114</v>
      </c>
      <c r="U404" t="b">
        <v>0</v>
      </c>
    </row>
    <row r="405" spans="1:21">
      <c r="A405" t="s">
        <v>2946</v>
      </c>
      <c r="B405" t="s">
        <v>1584</v>
      </c>
      <c r="C405" t="s">
        <v>1541</v>
      </c>
      <c r="D405" t="s">
        <v>2947</v>
      </c>
      <c r="E405" t="s">
        <v>2948</v>
      </c>
      <c r="F405" t="s">
        <v>1784</v>
      </c>
      <c r="G405">
        <v>665</v>
      </c>
      <c r="H405" t="s">
        <v>23</v>
      </c>
      <c r="I405" t="s">
        <v>30</v>
      </c>
      <c r="J405" t="s">
        <v>1413</v>
      </c>
      <c r="K405">
        <v>63</v>
      </c>
      <c r="L405" t="s">
        <v>2592</v>
      </c>
      <c r="M405" t="s">
        <v>2597</v>
      </c>
      <c r="N405" t="s">
        <v>82</v>
      </c>
      <c r="O405" s="12">
        <v>45987.225694444445</v>
      </c>
      <c r="P405" s="12">
        <v>45990.517361111109</v>
      </c>
      <c r="Q405" s="12">
        <v>45987.465277777781</v>
      </c>
      <c r="R405" s="12">
        <v>45988.381944444445</v>
      </c>
      <c r="U405" t="b">
        <v>0</v>
      </c>
    </row>
    <row r="406" spans="1:21">
      <c r="A406" t="s">
        <v>2949</v>
      </c>
      <c r="B406" t="s">
        <v>1267</v>
      </c>
      <c r="C406" t="s">
        <v>1469</v>
      </c>
      <c r="D406" t="s">
        <v>2950</v>
      </c>
      <c r="E406" t="s">
        <v>2951</v>
      </c>
      <c r="F406" t="s">
        <v>1412</v>
      </c>
      <c r="G406">
        <v>4740</v>
      </c>
      <c r="H406" t="s">
        <v>16</v>
      </c>
      <c r="J406" t="s">
        <v>1413</v>
      </c>
      <c r="K406">
        <v>56</v>
      </c>
      <c r="L406" t="s">
        <v>2601</v>
      </c>
      <c r="M406" t="s">
        <v>2618</v>
      </c>
      <c r="O406" s="12">
        <v>45681.286805555559</v>
      </c>
      <c r="T406" t="s">
        <v>2648</v>
      </c>
      <c r="U406" t="b">
        <v>0</v>
      </c>
    </row>
    <row r="407" spans="1:21">
      <c r="A407" t="s">
        <v>2952</v>
      </c>
      <c r="B407" t="s">
        <v>2760</v>
      </c>
      <c r="C407" t="s">
        <v>1176</v>
      </c>
      <c r="D407" t="s">
        <v>2633</v>
      </c>
      <c r="E407" t="s">
        <v>2953</v>
      </c>
      <c r="F407" t="s">
        <v>2271</v>
      </c>
      <c r="G407">
        <v>944</v>
      </c>
      <c r="H407" t="s">
        <v>178</v>
      </c>
      <c r="I407" t="s">
        <v>30</v>
      </c>
      <c r="J407" t="s">
        <v>1295</v>
      </c>
      <c r="K407">
        <v>87</v>
      </c>
      <c r="L407" t="s">
        <v>2592</v>
      </c>
      <c r="M407" t="s">
        <v>2593</v>
      </c>
      <c r="N407" t="s">
        <v>36</v>
      </c>
      <c r="O407" s="12">
        <v>46138.561111111114</v>
      </c>
      <c r="P407" s="12">
        <v>46141.144444444442</v>
      </c>
      <c r="Q407" s="12">
        <v>46138.710416666669</v>
      </c>
      <c r="R407" s="12">
        <v>46138.853472222225</v>
      </c>
      <c r="U407" t="b">
        <v>0</v>
      </c>
    </row>
    <row r="408" spans="1:21">
      <c r="A408" t="s">
        <v>2954</v>
      </c>
      <c r="B408" t="s">
        <v>2882</v>
      </c>
      <c r="C408" t="s">
        <v>2033</v>
      </c>
      <c r="D408" t="s">
        <v>2955</v>
      </c>
      <c r="E408" t="s">
        <v>2956</v>
      </c>
      <c r="F408" t="s">
        <v>1843</v>
      </c>
      <c r="G408">
        <v>236</v>
      </c>
      <c r="H408" t="s">
        <v>216</v>
      </c>
      <c r="I408" t="s">
        <v>30</v>
      </c>
      <c r="J408" t="s">
        <v>1288</v>
      </c>
      <c r="K408">
        <v>74</v>
      </c>
      <c r="L408" t="s">
        <v>2592</v>
      </c>
      <c r="M408" t="s">
        <v>2605</v>
      </c>
      <c r="N408" t="s">
        <v>18</v>
      </c>
      <c r="O408" s="12">
        <v>45420.134027777778</v>
      </c>
      <c r="P408" s="12">
        <v>45423.717361111114</v>
      </c>
      <c r="Q408" s="12">
        <v>45420.378472222219</v>
      </c>
      <c r="R408" s="12">
        <v>45420.463888888888</v>
      </c>
      <c r="U408" t="b">
        <v>0</v>
      </c>
    </row>
    <row r="409" spans="1:21">
      <c r="A409" t="s">
        <v>2957</v>
      </c>
      <c r="B409" t="s">
        <v>2706</v>
      </c>
      <c r="C409" t="s">
        <v>1148</v>
      </c>
      <c r="D409" t="s">
        <v>2958</v>
      </c>
      <c r="E409" t="s">
        <v>2959</v>
      </c>
      <c r="F409" t="s">
        <v>2755</v>
      </c>
      <c r="G409">
        <v>116</v>
      </c>
      <c r="H409" t="s">
        <v>154</v>
      </c>
      <c r="I409" t="s">
        <v>24</v>
      </c>
      <c r="J409" t="s">
        <v>1413</v>
      </c>
      <c r="K409">
        <v>49</v>
      </c>
      <c r="L409" t="s">
        <v>2601</v>
      </c>
      <c r="M409" t="s">
        <v>2593</v>
      </c>
      <c r="N409" t="s">
        <v>25</v>
      </c>
      <c r="O409" s="12">
        <v>46063.036805555559</v>
      </c>
      <c r="Q409" s="12">
        <v>46063.215277777781</v>
      </c>
      <c r="R409" s="12">
        <v>46063.316666666666</v>
      </c>
      <c r="U409" t="b">
        <v>0</v>
      </c>
    </row>
    <row r="410" spans="1:21">
      <c r="A410" t="s">
        <v>2960</v>
      </c>
      <c r="B410" t="s">
        <v>2902</v>
      </c>
      <c r="C410" t="s">
        <v>1490</v>
      </c>
      <c r="D410" t="s">
        <v>2961</v>
      </c>
      <c r="E410" t="s">
        <v>2962</v>
      </c>
      <c r="F410" t="s">
        <v>2709</v>
      </c>
      <c r="G410">
        <v>959</v>
      </c>
      <c r="H410" t="s">
        <v>81</v>
      </c>
      <c r="I410" t="s">
        <v>30</v>
      </c>
      <c r="J410" t="s">
        <v>1413</v>
      </c>
      <c r="K410">
        <v>52</v>
      </c>
      <c r="L410" t="s">
        <v>2601</v>
      </c>
      <c r="M410" t="s">
        <v>2655</v>
      </c>
      <c r="N410" t="s">
        <v>82</v>
      </c>
      <c r="O410" s="12">
        <v>46089.464583333334</v>
      </c>
      <c r="Q410" s="12">
        <v>46089.629861111112</v>
      </c>
      <c r="U410" t="b">
        <v>0</v>
      </c>
    </row>
    <row r="411" spans="1:21">
      <c r="A411" t="s">
        <v>2963</v>
      </c>
      <c r="B411" t="s">
        <v>1111</v>
      </c>
      <c r="C411" t="s">
        <v>1125</v>
      </c>
      <c r="D411" t="s">
        <v>2964</v>
      </c>
      <c r="E411" t="s">
        <v>2965</v>
      </c>
      <c r="F411" t="s">
        <v>1309</v>
      </c>
      <c r="G411">
        <v>126</v>
      </c>
      <c r="H411" t="s">
        <v>64</v>
      </c>
      <c r="I411" t="s">
        <v>24</v>
      </c>
      <c r="J411" t="s">
        <v>1271</v>
      </c>
      <c r="K411">
        <v>51</v>
      </c>
      <c r="L411" t="s">
        <v>2592</v>
      </c>
      <c r="M411" t="s">
        <v>2593</v>
      </c>
      <c r="O411" s="12">
        <v>45860.206250000003</v>
      </c>
      <c r="P411" s="12">
        <v>45864.331250000003</v>
      </c>
      <c r="U411" t="b">
        <v>0</v>
      </c>
    </row>
    <row r="412" spans="1:21">
      <c r="A412" t="s">
        <v>2966</v>
      </c>
      <c r="B412" t="s">
        <v>2967</v>
      </c>
      <c r="C412" t="s">
        <v>1432</v>
      </c>
      <c r="D412" t="s">
        <v>2968</v>
      </c>
      <c r="E412" t="s">
        <v>2969</v>
      </c>
      <c r="F412" t="s">
        <v>1448</v>
      </c>
      <c r="G412">
        <v>179</v>
      </c>
      <c r="H412" t="s">
        <v>385</v>
      </c>
      <c r="I412" t="s">
        <v>24</v>
      </c>
      <c r="J412" t="s">
        <v>1288</v>
      </c>
      <c r="K412">
        <v>50</v>
      </c>
      <c r="L412" t="s">
        <v>2592</v>
      </c>
      <c r="M412" t="s">
        <v>2597</v>
      </c>
      <c r="N412" t="s">
        <v>91</v>
      </c>
      <c r="O412" s="12">
        <v>45938.382638888892</v>
      </c>
      <c r="P412" s="12">
        <v>45939.674305555556</v>
      </c>
      <c r="Q412" s="12">
        <v>45938.522916666669</v>
      </c>
      <c r="R412" s="12">
        <v>45938.618750000001</v>
      </c>
      <c r="U412" t="b">
        <v>0</v>
      </c>
    </row>
    <row r="413" spans="1:21">
      <c r="A413" t="s">
        <v>2970</v>
      </c>
      <c r="B413" t="s">
        <v>1202</v>
      </c>
      <c r="C413" t="s">
        <v>1186</v>
      </c>
      <c r="D413" t="s">
        <v>2971</v>
      </c>
      <c r="E413" t="s">
        <v>2972</v>
      </c>
      <c r="F413" t="s">
        <v>2271</v>
      </c>
      <c r="G413">
        <v>74</v>
      </c>
      <c r="H413" t="s">
        <v>50</v>
      </c>
      <c r="I413" t="s">
        <v>24</v>
      </c>
      <c r="J413" t="s">
        <v>1355</v>
      </c>
      <c r="K413">
        <v>72</v>
      </c>
      <c r="L413" t="s">
        <v>2592</v>
      </c>
      <c r="M413" t="s">
        <v>2593</v>
      </c>
      <c r="N413" t="s">
        <v>59</v>
      </c>
      <c r="O413" s="12">
        <v>45356.162499999999</v>
      </c>
      <c r="P413" s="12">
        <v>45359.287499999999</v>
      </c>
      <c r="Q413" s="12">
        <v>45356.165972222225</v>
      </c>
      <c r="R413" s="12">
        <v>45356.28402777778</v>
      </c>
      <c r="U413" t="b">
        <v>0</v>
      </c>
    </row>
    <row r="414" spans="1:21">
      <c r="A414" t="s">
        <v>2973</v>
      </c>
      <c r="B414" t="s">
        <v>1111</v>
      </c>
      <c r="C414" t="s">
        <v>1365</v>
      </c>
      <c r="D414" t="s">
        <v>2974</v>
      </c>
      <c r="E414" t="s">
        <v>2975</v>
      </c>
      <c r="F414" t="s">
        <v>1182</v>
      </c>
      <c r="G414">
        <v>691</v>
      </c>
      <c r="I414" t="s">
        <v>30</v>
      </c>
      <c r="J414" t="s">
        <v>1355</v>
      </c>
      <c r="K414">
        <v>50</v>
      </c>
      <c r="L414" t="s">
        <v>2601</v>
      </c>
      <c r="M414" t="s">
        <v>2655</v>
      </c>
      <c r="N414" t="s">
        <v>36</v>
      </c>
      <c r="O414" s="12">
        <v>45325.826388888891</v>
      </c>
      <c r="Q414" s="12">
        <v>45325.84097222222</v>
      </c>
      <c r="U414" t="b">
        <v>0</v>
      </c>
    </row>
    <row r="415" spans="1:21">
      <c r="A415" t="s">
        <v>2976</v>
      </c>
      <c r="B415" t="s">
        <v>1211</v>
      </c>
      <c r="C415" t="s">
        <v>1650</v>
      </c>
      <c r="D415" t="s">
        <v>2977</v>
      </c>
      <c r="E415" t="s">
        <v>2978</v>
      </c>
      <c r="F415" t="s">
        <v>2084</v>
      </c>
      <c r="G415">
        <v>14</v>
      </c>
      <c r="H415" t="s">
        <v>154</v>
      </c>
      <c r="J415" t="s">
        <v>1288</v>
      </c>
      <c r="K415">
        <v>60</v>
      </c>
      <c r="L415" t="s">
        <v>2592</v>
      </c>
      <c r="M415" t="s">
        <v>2593</v>
      </c>
      <c r="O415" s="12">
        <v>45529.710416666669</v>
      </c>
      <c r="P415" s="12">
        <v>45531.668749999997</v>
      </c>
      <c r="U415" t="b">
        <v>0</v>
      </c>
    </row>
    <row r="416" spans="1:21">
      <c r="A416" t="s">
        <v>2979</v>
      </c>
      <c r="B416" t="s">
        <v>1138</v>
      </c>
      <c r="C416" t="s">
        <v>1490</v>
      </c>
      <c r="D416" t="s">
        <v>2980</v>
      </c>
      <c r="E416" t="s">
        <v>2981</v>
      </c>
      <c r="F416" t="s">
        <v>2709</v>
      </c>
      <c r="G416">
        <v>481</v>
      </c>
      <c r="H416" t="s">
        <v>223</v>
      </c>
      <c r="I416" t="s">
        <v>30</v>
      </c>
      <c r="J416" t="s">
        <v>1295</v>
      </c>
      <c r="K416">
        <v>88</v>
      </c>
      <c r="L416" t="s">
        <v>2601</v>
      </c>
      <c r="M416" t="s">
        <v>2655</v>
      </c>
      <c r="N416" t="s">
        <v>18</v>
      </c>
      <c r="O416" s="12">
        <v>46253.022222222222</v>
      </c>
      <c r="Q416" s="12">
        <v>46253.189583333333</v>
      </c>
      <c r="U416" t="b">
        <v>0</v>
      </c>
    </row>
    <row r="417" spans="1:21">
      <c r="A417" t="s">
        <v>2982</v>
      </c>
      <c r="B417" t="s">
        <v>1175</v>
      </c>
      <c r="C417" t="s">
        <v>1278</v>
      </c>
      <c r="D417" t="s">
        <v>2983</v>
      </c>
      <c r="E417" t="s">
        <v>2984</v>
      </c>
      <c r="F417" t="s">
        <v>2271</v>
      </c>
      <c r="G417">
        <v>183</v>
      </c>
      <c r="H417" t="s">
        <v>16</v>
      </c>
      <c r="I417" t="s">
        <v>24</v>
      </c>
      <c r="J417" t="s">
        <v>1413</v>
      </c>
      <c r="K417">
        <v>47</v>
      </c>
      <c r="L417" t="s">
        <v>2601</v>
      </c>
      <c r="M417" t="s">
        <v>2593</v>
      </c>
      <c r="N417" t="s">
        <v>91</v>
      </c>
      <c r="O417" s="12">
        <v>45547.704861111109</v>
      </c>
      <c r="Q417" s="12">
        <v>45547.835416666669</v>
      </c>
      <c r="R417" s="12">
        <v>45548.918749999997</v>
      </c>
      <c r="U417" t="b">
        <v>0</v>
      </c>
    </row>
    <row r="418" spans="1:21">
      <c r="A418" t="s">
        <v>2985</v>
      </c>
      <c r="B418" t="s">
        <v>1267</v>
      </c>
      <c r="C418" t="s">
        <v>1145</v>
      </c>
      <c r="D418" t="s">
        <v>2986</v>
      </c>
      <c r="E418" t="s">
        <v>2987</v>
      </c>
      <c r="F418" t="s">
        <v>1367</v>
      </c>
      <c r="G418">
        <v>901</v>
      </c>
      <c r="H418" t="s">
        <v>192</v>
      </c>
      <c r="I418" t="s">
        <v>30</v>
      </c>
      <c r="J418" t="s">
        <v>1271</v>
      </c>
      <c r="K418">
        <v>71</v>
      </c>
      <c r="L418" t="s">
        <v>2642</v>
      </c>
      <c r="M418" t="s">
        <v>2643</v>
      </c>
      <c r="N418" t="s">
        <v>18</v>
      </c>
      <c r="O418" s="12">
        <v>45958.545138888891</v>
      </c>
      <c r="P418" s="12">
        <v>45960.295138888891</v>
      </c>
      <c r="Q418" s="12">
        <v>45958.75277777778</v>
      </c>
      <c r="R418" s="12">
        <v>45958.865277777775</v>
      </c>
      <c r="S418" s="12">
        <v>45969.128472222219</v>
      </c>
      <c r="U418" t="b">
        <v>0</v>
      </c>
    </row>
    <row r="419" spans="1:21">
      <c r="A419" t="s">
        <v>2988</v>
      </c>
      <c r="B419" t="s">
        <v>1211</v>
      </c>
      <c r="C419" t="s">
        <v>1197</v>
      </c>
      <c r="D419" t="s">
        <v>2989</v>
      </c>
      <c r="E419" t="s">
        <v>2990</v>
      </c>
      <c r="F419" t="s">
        <v>1843</v>
      </c>
      <c r="G419">
        <v>34</v>
      </c>
      <c r="H419" t="s">
        <v>50</v>
      </c>
      <c r="I419" t="s">
        <v>24</v>
      </c>
      <c r="J419" t="s">
        <v>1413</v>
      </c>
      <c r="K419">
        <v>61</v>
      </c>
      <c r="L419" t="s">
        <v>2601</v>
      </c>
      <c r="M419" t="s">
        <v>2618</v>
      </c>
      <c r="N419" t="s">
        <v>59</v>
      </c>
      <c r="O419" s="12">
        <v>45511.222222222219</v>
      </c>
      <c r="Q419" s="12">
        <v>45511.442361111112</v>
      </c>
      <c r="R419" s="12">
        <v>45512.692361111112</v>
      </c>
      <c r="T419" t="s">
        <v>2933</v>
      </c>
      <c r="U419" t="b">
        <v>0</v>
      </c>
    </row>
    <row r="420" spans="1:21">
      <c r="A420" t="s">
        <v>2991</v>
      </c>
      <c r="B420" t="s">
        <v>2628</v>
      </c>
      <c r="C420" t="s">
        <v>1307</v>
      </c>
      <c r="D420" t="s">
        <v>2992</v>
      </c>
      <c r="E420" t="s">
        <v>2993</v>
      </c>
      <c r="F420" t="s">
        <v>1412</v>
      </c>
      <c r="G420">
        <v>916</v>
      </c>
      <c r="H420" t="s">
        <v>216</v>
      </c>
      <c r="I420" t="s">
        <v>30</v>
      </c>
      <c r="J420" t="s">
        <v>1288</v>
      </c>
      <c r="K420">
        <v>41</v>
      </c>
      <c r="L420" t="s">
        <v>2601</v>
      </c>
      <c r="M420" t="s">
        <v>2605</v>
      </c>
      <c r="N420" t="s">
        <v>18</v>
      </c>
      <c r="O420" s="12">
        <v>45345.593055555553</v>
      </c>
      <c r="Q420" s="12">
        <v>45345.65347222222</v>
      </c>
      <c r="R420" s="12">
        <v>45345.763194444444</v>
      </c>
      <c r="U420" t="b">
        <v>0</v>
      </c>
    </row>
    <row r="421" spans="1:21">
      <c r="A421" t="s">
        <v>2994</v>
      </c>
      <c r="B421" t="s">
        <v>1207</v>
      </c>
      <c r="C421" t="s">
        <v>1212</v>
      </c>
      <c r="D421" t="s">
        <v>2995</v>
      </c>
      <c r="E421" t="s">
        <v>2996</v>
      </c>
      <c r="F421" t="s">
        <v>2709</v>
      </c>
      <c r="G421">
        <v>184</v>
      </c>
      <c r="H421" t="s">
        <v>68</v>
      </c>
      <c r="I421" t="s">
        <v>24</v>
      </c>
      <c r="J421" t="s">
        <v>1295</v>
      </c>
      <c r="K421">
        <v>80</v>
      </c>
      <c r="L421" t="s">
        <v>2642</v>
      </c>
      <c r="M421" t="s">
        <v>2643</v>
      </c>
      <c r="N421" t="s">
        <v>69</v>
      </c>
      <c r="O421" s="12">
        <v>45450.468055555553</v>
      </c>
      <c r="P421" s="12">
        <v>45453.259722222225</v>
      </c>
      <c r="Q421" s="12">
        <v>45450.550694444442</v>
      </c>
      <c r="R421" s="12">
        <v>45450.675000000003</v>
      </c>
      <c r="S421" s="12">
        <v>45459.051388888889</v>
      </c>
      <c r="U421" t="b">
        <v>0</v>
      </c>
    </row>
    <row r="422" spans="1:21">
      <c r="A422" t="s">
        <v>2997</v>
      </c>
      <c r="B422" t="s">
        <v>2693</v>
      </c>
      <c r="C422" t="s">
        <v>1186</v>
      </c>
      <c r="D422" t="s">
        <v>2998</v>
      </c>
      <c r="E422" t="s">
        <v>2999</v>
      </c>
      <c r="F422" t="s">
        <v>2660</v>
      </c>
      <c r="G422">
        <v>134</v>
      </c>
      <c r="H422" t="s">
        <v>23</v>
      </c>
      <c r="I422" t="s">
        <v>24</v>
      </c>
      <c r="J422" t="s">
        <v>1288</v>
      </c>
      <c r="K422">
        <v>76</v>
      </c>
      <c r="L422" t="s">
        <v>2592</v>
      </c>
      <c r="M422" t="s">
        <v>2605</v>
      </c>
      <c r="N422" t="s">
        <v>25</v>
      </c>
      <c r="O422" s="12">
        <v>45549.074999999997</v>
      </c>
      <c r="P422" s="12">
        <v>45554.033333333333</v>
      </c>
      <c r="Q422" s="12">
        <v>45549.254166666666</v>
      </c>
      <c r="R422" s="12">
        <v>45549.32708333333</v>
      </c>
      <c r="U422" t="b">
        <v>0</v>
      </c>
    </row>
    <row r="423" spans="1:21">
      <c r="A423" t="s">
        <v>3000</v>
      </c>
      <c r="B423" t="s">
        <v>1138</v>
      </c>
      <c r="C423" t="s">
        <v>1436</v>
      </c>
      <c r="D423" t="s">
        <v>3001</v>
      </c>
      <c r="E423" t="s">
        <v>3002</v>
      </c>
      <c r="F423" t="s">
        <v>1412</v>
      </c>
      <c r="G423">
        <v>110</v>
      </c>
      <c r="H423" t="s">
        <v>41</v>
      </c>
      <c r="I423" t="s">
        <v>24</v>
      </c>
      <c r="J423" t="s">
        <v>1271</v>
      </c>
      <c r="K423">
        <v>49</v>
      </c>
      <c r="L423" t="s">
        <v>2592</v>
      </c>
      <c r="M423" t="s">
        <v>2605</v>
      </c>
      <c r="N423" t="s">
        <v>25</v>
      </c>
      <c r="O423" s="12">
        <v>45899.138888888891</v>
      </c>
      <c r="P423" s="12">
        <v>45902.638888888891</v>
      </c>
      <c r="Q423" s="12">
        <v>45899.247916666667</v>
      </c>
      <c r="R423" s="12">
        <v>45899.363888888889</v>
      </c>
      <c r="U423" t="b">
        <v>0</v>
      </c>
    </row>
    <row r="424" spans="1:21">
      <c r="A424" t="s">
        <v>3003</v>
      </c>
      <c r="B424" t="s">
        <v>1161</v>
      </c>
      <c r="C424" t="s">
        <v>1490</v>
      </c>
      <c r="D424" t="s">
        <v>3004</v>
      </c>
      <c r="E424" t="s">
        <v>3005</v>
      </c>
      <c r="F424" t="s">
        <v>1182</v>
      </c>
      <c r="G424">
        <v>2332</v>
      </c>
      <c r="H424" t="s">
        <v>205</v>
      </c>
      <c r="I424" t="s">
        <v>17</v>
      </c>
      <c r="J424" t="s">
        <v>1288</v>
      </c>
      <c r="K424">
        <v>81</v>
      </c>
      <c r="L424" t="s">
        <v>2601</v>
      </c>
      <c r="M424" t="s">
        <v>2655</v>
      </c>
      <c r="N424" t="s">
        <v>36</v>
      </c>
      <c r="O424" s="12">
        <v>46271.731249999997</v>
      </c>
      <c r="Q424" s="12">
        <v>46271.960416666669</v>
      </c>
      <c r="U424" t="b">
        <v>0</v>
      </c>
    </row>
    <row r="425" spans="1:21">
      <c r="A425" t="s">
        <v>3006</v>
      </c>
      <c r="B425" t="s">
        <v>2967</v>
      </c>
      <c r="C425" t="s">
        <v>1180</v>
      </c>
      <c r="D425" t="s">
        <v>3007</v>
      </c>
      <c r="E425" t="s">
        <v>3008</v>
      </c>
      <c r="F425" t="s">
        <v>2755</v>
      </c>
      <c r="G425">
        <v>656</v>
      </c>
      <c r="H425" t="s">
        <v>226</v>
      </c>
      <c r="I425" t="s">
        <v>30</v>
      </c>
      <c r="J425" t="s">
        <v>1271</v>
      </c>
      <c r="K425">
        <v>48</v>
      </c>
      <c r="L425" t="s">
        <v>2601</v>
      </c>
      <c r="M425" t="s">
        <v>2618</v>
      </c>
      <c r="N425" t="s">
        <v>55</v>
      </c>
      <c r="O425" s="12">
        <v>46118.74722222222</v>
      </c>
      <c r="Q425" s="12">
        <v>46118.962500000001</v>
      </c>
      <c r="R425" s="12">
        <v>46119.033333333333</v>
      </c>
      <c r="T425" t="s">
        <v>2933</v>
      </c>
      <c r="U425" t="b">
        <v>0</v>
      </c>
    </row>
    <row r="426" spans="1:21">
      <c r="A426" t="s">
        <v>3009</v>
      </c>
      <c r="B426" t="s">
        <v>1521</v>
      </c>
      <c r="C426" t="s">
        <v>1898</v>
      </c>
      <c r="D426" t="s">
        <v>3010</v>
      </c>
      <c r="E426" t="s">
        <v>3011</v>
      </c>
      <c r="F426" t="s">
        <v>1412</v>
      </c>
      <c r="G426">
        <v>739</v>
      </c>
      <c r="H426" t="s">
        <v>140</v>
      </c>
      <c r="I426" t="s">
        <v>30</v>
      </c>
      <c r="J426" t="s">
        <v>1271</v>
      </c>
      <c r="K426">
        <v>76</v>
      </c>
      <c r="L426" t="s">
        <v>2601</v>
      </c>
      <c r="M426" t="s">
        <v>2593</v>
      </c>
      <c r="N426" t="s">
        <v>82</v>
      </c>
      <c r="O426" s="12">
        <v>45681.384722222225</v>
      </c>
      <c r="Q426" s="12">
        <v>45681.59375</v>
      </c>
      <c r="R426" s="12">
        <v>45681.69027777778</v>
      </c>
      <c r="U426" t="b">
        <v>0</v>
      </c>
    </row>
    <row r="427" spans="1:21">
      <c r="A427" t="s">
        <v>3012</v>
      </c>
      <c r="B427" t="s">
        <v>2878</v>
      </c>
      <c r="C427" t="s">
        <v>1320</v>
      </c>
      <c r="D427" t="s">
        <v>3013</v>
      </c>
      <c r="E427" t="s">
        <v>3014</v>
      </c>
      <c r="F427" t="s">
        <v>1471</v>
      </c>
      <c r="G427">
        <v>220</v>
      </c>
      <c r="H427" t="s">
        <v>140</v>
      </c>
      <c r="I427" t="s">
        <v>30</v>
      </c>
      <c r="J427" t="s">
        <v>1413</v>
      </c>
      <c r="K427">
        <v>66</v>
      </c>
      <c r="L427" t="s">
        <v>2601</v>
      </c>
      <c r="M427" t="s">
        <v>2605</v>
      </c>
      <c r="N427" t="s">
        <v>82</v>
      </c>
      <c r="O427" s="12">
        <v>46183.257638888892</v>
      </c>
      <c r="Q427" s="12">
        <v>46183.361805555556</v>
      </c>
      <c r="R427" s="12">
        <v>46183.77847222222</v>
      </c>
      <c r="U427" t="b">
        <v>0</v>
      </c>
    </row>
    <row r="428" spans="1:21">
      <c r="A428" t="s">
        <v>3015</v>
      </c>
      <c r="B428" t="s">
        <v>2639</v>
      </c>
      <c r="C428" t="s">
        <v>1597</v>
      </c>
      <c r="D428" t="s">
        <v>3016</v>
      </c>
      <c r="E428" t="s">
        <v>3017</v>
      </c>
      <c r="F428" t="s">
        <v>1294</v>
      </c>
      <c r="G428">
        <v>50</v>
      </c>
      <c r="H428" t="s">
        <v>223</v>
      </c>
      <c r="I428" t="s">
        <v>30</v>
      </c>
      <c r="J428" t="s">
        <v>1295</v>
      </c>
      <c r="K428">
        <v>78</v>
      </c>
      <c r="L428" t="s">
        <v>2592</v>
      </c>
      <c r="M428" t="s">
        <v>2605</v>
      </c>
      <c r="N428" t="s">
        <v>25</v>
      </c>
      <c r="O428" s="12">
        <v>45956.615277777775</v>
      </c>
      <c r="P428" s="12">
        <v>45957.031944444447</v>
      </c>
      <c r="Q428" s="12">
        <v>45956.790277777778</v>
      </c>
      <c r="R428" s="12">
        <v>45956.881944444445</v>
      </c>
      <c r="U428" t="b">
        <v>0</v>
      </c>
    </row>
    <row r="429" spans="1:21">
      <c r="A429" t="s">
        <v>3018</v>
      </c>
      <c r="B429" t="s">
        <v>2611</v>
      </c>
      <c r="C429" t="s">
        <v>1180</v>
      </c>
      <c r="D429" t="s">
        <v>3019</v>
      </c>
      <c r="E429" t="s">
        <v>3020</v>
      </c>
      <c r="F429" t="s">
        <v>1471</v>
      </c>
      <c r="G429">
        <v>820</v>
      </c>
      <c r="H429" t="s">
        <v>68</v>
      </c>
      <c r="I429" t="s">
        <v>30</v>
      </c>
      <c r="J429" t="s">
        <v>1355</v>
      </c>
      <c r="K429">
        <v>77</v>
      </c>
      <c r="L429" t="s">
        <v>2592</v>
      </c>
      <c r="M429" t="s">
        <v>2605</v>
      </c>
      <c r="N429" t="s">
        <v>55</v>
      </c>
      <c r="O429" s="12">
        <v>45353.322916666664</v>
      </c>
      <c r="P429" s="12">
        <v>45353.864583333336</v>
      </c>
      <c r="Q429" s="12">
        <v>45353.54791666667</v>
      </c>
      <c r="R429" s="12">
        <v>45353.756249999999</v>
      </c>
      <c r="U429" t="b">
        <v>0</v>
      </c>
    </row>
    <row r="430" spans="1:21">
      <c r="A430" t="s">
        <v>3021</v>
      </c>
      <c r="B430" t="s">
        <v>2827</v>
      </c>
      <c r="C430" t="s">
        <v>1579</v>
      </c>
      <c r="D430" t="s">
        <v>3022</v>
      </c>
      <c r="E430" t="s">
        <v>3023</v>
      </c>
      <c r="F430" t="s">
        <v>1511</v>
      </c>
      <c r="G430">
        <v>124</v>
      </c>
      <c r="H430" t="s">
        <v>95</v>
      </c>
      <c r="I430" t="s">
        <v>24</v>
      </c>
      <c r="J430" t="s">
        <v>1271</v>
      </c>
      <c r="K430">
        <v>55</v>
      </c>
      <c r="L430" t="s">
        <v>2601</v>
      </c>
      <c r="M430" t="s">
        <v>2605</v>
      </c>
      <c r="N430" t="s">
        <v>91</v>
      </c>
      <c r="O430" s="12">
        <v>45504.10833333333</v>
      </c>
      <c r="Q430" s="12">
        <v>45504.284722222219</v>
      </c>
      <c r="U430" t="b">
        <v>0</v>
      </c>
    </row>
    <row r="431" spans="1:21">
      <c r="A431" t="s">
        <v>3024</v>
      </c>
      <c r="B431" t="s">
        <v>1175</v>
      </c>
      <c r="C431" t="s">
        <v>1162</v>
      </c>
      <c r="D431" t="s">
        <v>3025</v>
      </c>
      <c r="E431" t="s">
        <v>3026</v>
      </c>
      <c r="F431" t="s">
        <v>1511</v>
      </c>
      <c r="G431">
        <v>33</v>
      </c>
      <c r="H431" t="s">
        <v>205</v>
      </c>
      <c r="I431" t="s">
        <v>24</v>
      </c>
      <c r="J431" t="s">
        <v>1288</v>
      </c>
      <c r="K431">
        <v>51</v>
      </c>
      <c r="L431" t="s">
        <v>2601</v>
      </c>
      <c r="M431" t="s">
        <v>2593</v>
      </c>
      <c r="N431" t="s">
        <v>59</v>
      </c>
      <c r="O431" s="12">
        <v>45930.513888888891</v>
      </c>
      <c r="Q431" s="12">
        <v>45930.631944444445</v>
      </c>
      <c r="R431" s="12">
        <v>45930.701388888891</v>
      </c>
      <c r="U431" t="b">
        <v>0</v>
      </c>
    </row>
    <row r="432" spans="1:21">
      <c r="A432" t="s">
        <v>3027</v>
      </c>
      <c r="B432" t="s">
        <v>2967</v>
      </c>
      <c r="C432" t="s">
        <v>1490</v>
      </c>
      <c r="D432" t="s">
        <v>3028</v>
      </c>
      <c r="E432" t="s">
        <v>3029</v>
      </c>
      <c r="F432" t="s">
        <v>1448</v>
      </c>
      <c r="G432">
        <v>73</v>
      </c>
      <c r="H432" t="s">
        <v>366</v>
      </c>
      <c r="I432" t="s">
        <v>24</v>
      </c>
      <c r="J432" t="s">
        <v>1317</v>
      </c>
      <c r="K432">
        <v>71</v>
      </c>
      <c r="L432" t="s">
        <v>2592</v>
      </c>
      <c r="M432" t="s">
        <v>2605</v>
      </c>
      <c r="N432" t="s">
        <v>91</v>
      </c>
      <c r="O432" s="12">
        <v>45836.384722222225</v>
      </c>
      <c r="P432" s="12">
        <v>45838.176388888889</v>
      </c>
      <c r="Q432" s="12">
        <v>45836.502083333333</v>
      </c>
      <c r="R432" s="12">
        <v>45836.62777777778</v>
      </c>
      <c r="U432" t="b">
        <v>0</v>
      </c>
    </row>
    <row r="433" spans="1:21">
      <c r="A433" t="s">
        <v>3030</v>
      </c>
      <c r="B433" t="s">
        <v>2967</v>
      </c>
      <c r="C433" t="s">
        <v>2033</v>
      </c>
      <c r="D433" t="s">
        <v>3031</v>
      </c>
      <c r="E433" t="s">
        <v>3032</v>
      </c>
      <c r="F433" t="s">
        <v>1487</v>
      </c>
      <c r="G433">
        <v>67</v>
      </c>
      <c r="H433" t="s">
        <v>120</v>
      </c>
      <c r="I433" t="s">
        <v>24</v>
      </c>
      <c r="J433" t="s">
        <v>1295</v>
      </c>
      <c r="K433">
        <v>90</v>
      </c>
      <c r="L433" t="s">
        <v>2592</v>
      </c>
      <c r="M433" t="s">
        <v>2593</v>
      </c>
      <c r="N433" t="s">
        <v>25</v>
      </c>
      <c r="O433" s="12">
        <v>45529.07708333333</v>
      </c>
      <c r="P433" s="12">
        <v>45532.118750000001</v>
      </c>
      <c r="Q433" s="12">
        <v>45529.269444444442</v>
      </c>
      <c r="R433" s="12">
        <v>45530.186111111114</v>
      </c>
      <c r="U433" t="b">
        <v>0</v>
      </c>
    </row>
    <row r="434" spans="1:21">
      <c r="A434" t="s">
        <v>3033</v>
      </c>
      <c r="B434" t="s">
        <v>1111</v>
      </c>
      <c r="C434" t="s">
        <v>1404</v>
      </c>
      <c r="D434" t="s">
        <v>3034</v>
      </c>
      <c r="E434" t="s">
        <v>3035</v>
      </c>
      <c r="F434" t="s">
        <v>2617</v>
      </c>
      <c r="G434">
        <v>78</v>
      </c>
      <c r="H434" t="s">
        <v>576</v>
      </c>
      <c r="I434" t="s">
        <v>24</v>
      </c>
      <c r="J434" t="s">
        <v>1295</v>
      </c>
      <c r="K434">
        <v>95</v>
      </c>
      <c r="L434" t="s">
        <v>2601</v>
      </c>
      <c r="M434" t="s">
        <v>2593</v>
      </c>
      <c r="N434" t="s">
        <v>25</v>
      </c>
      <c r="O434" s="12">
        <v>45994.790972222225</v>
      </c>
      <c r="Q434" s="12">
        <v>45994.995138888888</v>
      </c>
      <c r="R434" s="12">
        <v>45995.09097222222</v>
      </c>
      <c r="U434" t="b">
        <v>0</v>
      </c>
    </row>
    <row r="435" spans="1:21">
      <c r="A435" t="s">
        <v>3036</v>
      </c>
      <c r="B435" t="s">
        <v>2706</v>
      </c>
      <c r="C435" t="s">
        <v>1579</v>
      </c>
      <c r="D435" t="s">
        <v>3037</v>
      </c>
      <c r="E435" t="s">
        <v>3038</v>
      </c>
      <c r="F435" t="s">
        <v>1294</v>
      </c>
      <c r="G435">
        <v>88</v>
      </c>
      <c r="H435" t="s">
        <v>23</v>
      </c>
      <c r="I435" t="s">
        <v>24</v>
      </c>
      <c r="J435" t="s">
        <v>1413</v>
      </c>
      <c r="K435">
        <v>53</v>
      </c>
      <c r="L435" t="s">
        <v>2601</v>
      </c>
      <c r="M435" t="s">
        <v>2593</v>
      </c>
      <c r="N435" t="s">
        <v>25</v>
      </c>
      <c r="O435" s="12">
        <v>46136.525694444441</v>
      </c>
      <c r="Q435" s="12">
        <v>46136.624305555553</v>
      </c>
      <c r="U435" t="b">
        <v>0</v>
      </c>
    </row>
    <row r="436" spans="1:21">
      <c r="A436" t="s">
        <v>3039</v>
      </c>
      <c r="B436" t="s">
        <v>2902</v>
      </c>
      <c r="C436" t="s">
        <v>1631</v>
      </c>
      <c r="D436" t="s">
        <v>3040</v>
      </c>
      <c r="E436" t="s">
        <v>3041</v>
      </c>
      <c r="F436" t="s">
        <v>2709</v>
      </c>
      <c r="G436">
        <v>176</v>
      </c>
      <c r="H436" t="s">
        <v>404</v>
      </c>
      <c r="I436" t="s">
        <v>24</v>
      </c>
      <c r="J436" t="s">
        <v>1413</v>
      </c>
      <c r="K436">
        <v>74</v>
      </c>
      <c r="L436" t="s">
        <v>2592</v>
      </c>
      <c r="M436" t="s">
        <v>2593</v>
      </c>
      <c r="N436" t="s">
        <v>25</v>
      </c>
      <c r="O436" s="12">
        <v>45734.288888888892</v>
      </c>
      <c r="P436" s="12">
        <v>45738.205555555556</v>
      </c>
      <c r="Q436" s="12">
        <v>45734.35</v>
      </c>
      <c r="R436" s="12">
        <v>45735.35</v>
      </c>
      <c r="U436" t="b">
        <v>0</v>
      </c>
    </row>
    <row r="437" spans="1:21">
      <c r="A437" t="s">
        <v>3042</v>
      </c>
      <c r="B437" t="s">
        <v>1211</v>
      </c>
      <c r="C437" t="s">
        <v>2283</v>
      </c>
      <c r="D437" t="s">
        <v>3043</v>
      </c>
      <c r="E437" t="s">
        <v>3044</v>
      </c>
      <c r="F437" t="s">
        <v>1182</v>
      </c>
      <c r="G437">
        <v>140</v>
      </c>
      <c r="H437" t="s">
        <v>440</v>
      </c>
      <c r="I437" t="s">
        <v>24</v>
      </c>
      <c r="J437" t="s">
        <v>1271</v>
      </c>
      <c r="K437">
        <v>53</v>
      </c>
      <c r="L437" t="s">
        <v>2601</v>
      </c>
      <c r="M437" t="s">
        <v>2655</v>
      </c>
      <c r="N437" t="s">
        <v>69</v>
      </c>
      <c r="O437" s="12">
        <v>45534.897916666669</v>
      </c>
      <c r="Q437" s="12">
        <v>45534.940972222219</v>
      </c>
      <c r="U437" t="b">
        <v>0</v>
      </c>
    </row>
    <row r="438" spans="1:21">
      <c r="A438" t="s">
        <v>3045</v>
      </c>
      <c r="B438" t="s">
        <v>1521</v>
      </c>
      <c r="C438" t="s">
        <v>2059</v>
      </c>
      <c r="D438" t="s">
        <v>3046</v>
      </c>
      <c r="E438" t="s">
        <v>3047</v>
      </c>
      <c r="F438" t="s">
        <v>2755</v>
      </c>
      <c r="G438">
        <v>987</v>
      </c>
      <c r="H438" t="s">
        <v>23</v>
      </c>
      <c r="I438" t="s">
        <v>30</v>
      </c>
      <c r="J438" t="s">
        <v>1288</v>
      </c>
      <c r="K438">
        <v>74</v>
      </c>
      <c r="L438" t="s">
        <v>2592</v>
      </c>
      <c r="M438" t="s">
        <v>2593</v>
      </c>
      <c r="N438" t="s">
        <v>82</v>
      </c>
      <c r="O438" s="12">
        <v>45651.184027777781</v>
      </c>
      <c r="P438" s="12">
        <v>45655.809027777781</v>
      </c>
      <c r="Q438" s="12">
        <v>45651.189583333333</v>
      </c>
      <c r="R438" s="12">
        <v>45651.202777777777</v>
      </c>
      <c r="U438" t="b">
        <v>0</v>
      </c>
    </row>
    <row r="439" spans="1:21">
      <c r="A439" t="s">
        <v>3048</v>
      </c>
      <c r="B439" t="s">
        <v>1167</v>
      </c>
      <c r="C439" t="s">
        <v>1353</v>
      </c>
      <c r="D439" t="s">
        <v>3049</v>
      </c>
      <c r="E439" t="s">
        <v>3050</v>
      </c>
      <c r="F439" t="s">
        <v>1511</v>
      </c>
      <c r="G439">
        <v>101</v>
      </c>
      <c r="H439" t="s">
        <v>226</v>
      </c>
      <c r="I439" t="s">
        <v>24</v>
      </c>
      <c r="J439" t="s">
        <v>1288</v>
      </c>
      <c r="K439">
        <v>51</v>
      </c>
      <c r="L439" t="s">
        <v>2601</v>
      </c>
      <c r="M439" t="s">
        <v>2593</v>
      </c>
      <c r="N439" t="s">
        <v>69</v>
      </c>
      <c r="O439" s="12">
        <v>45861.726388888892</v>
      </c>
      <c r="Q439" s="12">
        <v>45861.906944444447</v>
      </c>
      <c r="R439" s="12">
        <v>45861.956944444442</v>
      </c>
      <c r="U439" t="b">
        <v>0</v>
      </c>
    </row>
    <row r="440" spans="1:21">
      <c r="A440" t="s">
        <v>3051</v>
      </c>
      <c r="B440" t="s">
        <v>1175</v>
      </c>
      <c r="C440" t="s">
        <v>1208</v>
      </c>
      <c r="D440" t="s">
        <v>3052</v>
      </c>
      <c r="E440" t="s">
        <v>3053</v>
      </c>
      <c r="F440" t="s">
        <v>1471</v>
      </c>
      <c r="G440">
        <v>122</v>
      </c>
      <c r="H440" t="s">
        <v>249</v>
      </c>
      <c r="I440" t="s">
        <v>24</v>
      </c>
      <c r="J440" t="s">
        <v>1339</v>
      </c>
      <c r="K440">
        <v>84</v>
      </c>
      <c r="L440" t="s">
        <v>2642</v>
      </c>
      <c r="M440" t="s">
        <v>2643</v>
      </c>
      <c r="N440" t="s">
        <v>59</v>
      </c>
      <c r="O440" s="12">
        <v>46249.069444444445</v>
      </c>
      <c r="P440" s="12">
        <v>46249.777777777781</v>
      </c>
      <c r="Q440" s="12">
        <v>46249.318749999999</v>
      </c>
      <c r="R440" s="12">
        <v>46249.379861111112</v>
      </c>
      <c r="S440" s="12">
        <v>46253.819444444445</v>
      </c>
      <c r="U440" t="b">
        <v>0</v>
      </c>
    </row>
    <row r="441" spans="1:21">
      <c r="A441" t="s">
        <v>3054</v>
      </c>
      <c r="B441" t="s">
        <v>2628</v>
      </c>
      <c r="C441" t="s">
        <v>1155</v>
      </c>
      <c r="D441" t="s">
        <v>3055</v>
      </c>
      <c r="E441" t="s">
        <v>3056</v>
      </c>
      <c r="F441" t="s">
        <v>1420</v>
      </c>
      <c r="G441">
        <v>159</v>
      </c>
      <c r="H441" t="s">
        <v>285</v>
      </c>
      <c r="I441" t="s">
        <v>24</v>
      </c>
      <c r="J441" t="s">
        <v>1281</v>
      </c>
      <c r="K441">
        <v>67</v>
      </c>
      <c r="L441" t="s">
        <v>2601</v>
      </c>
      <c r="M441" t="s">
        <v>2593</v>
      </c>
      <c r="N441" t="s">
        <v>59</v>
      </c>
      <c r="O441" s="12">
        <v>45757.545138888891</v>
      </c>
      <c r="Q441" s="12">
        <v>45757.558333333334</v>
      </c>
      <c r="R441" s="12">
        <v>45757.61041666667</v>
      </c>
      <c r="U441" t="b">
        <v>0</v>
      </c>
    </row>
    <row r="442" spans="1:21">
      <c r="A442" t="s">
        <v>3057</v>
      </c>
      <c r="B442" t="s">
        <v>1179</v>
      </c>
      <c r="C442" t="s">
        <v>1142</v>
      </c>
      <c r="D442" t="s">
        <v>3058</v>
      </c>
      <c r="E442" t="s">
        <v>3059</v>
      </c>
      <c r="F442" t="s">
        <v>1448</v>
      </c>
      <c r="G442">
        <v>268</v>
      </c>
      <c r="H442" t="s">
        <v>120</v>
      </c>
      <c r="I442" t="s">
        <v>30</v>
      </c>
      <c r="J442" t="s">
        <v>1355</v>
      </c>
      <c r="K442">
        <v>47</v>
      </c>
      <c r="L442" t="s">
        <v>2601</v>
      </c>
      <c r="M442" t="s">
        <v>2605</v>
      </c>
      <c r="O442" s="12">
        <v>45367.716666666667</v>
      </c>
      <c r="U442" t="b">
        <v>0</v>
      </c>
    </row>
    <row r="443" spans="1:21">
      <c r="A443" t="s">
        <v>3060</v>
      </c>
      <c r="B443" t="s">
        <v>1584</v>
      </c>
      <c r="C443" t="s">
        <v>1291</v>
      </c>
      <c r="D443" t="s">
        <v>3061</v>
      </c>
      <c r="E443" t="s">
        <v>3062</v>
      </c>
      <c r="F443" t="s">
        <v>2755</v>
      </c>
      <c r="G443">
        <v>210</v>
      </c>
      <c r="H443" t="s">
        <v>366</v>
      </c>
      <c r="I443" t="s">
        <v>30</v>
      </c>
      <c r="J443" t="s">
        <v>1355</v>
      </c>
      <c r="K443">
        <v>81</v>
      </c>
      <c r="L443" t="s">
        <v>2601</v>
      </c>
      <c r="M443" t="s">
        <v>2655</v>
      </c>
      <c r="N443" t="s">
        <v>18</v>
      </c>
      <c r="O443" s="12">
        <v>45945.056944444441</v>
      </c>
      <c r="Q443" s="12">
        <v>45945.243055555555</v>
      </c>
      <c r="U443" t="b">
        <v>0</v>
      </c>
    </row>
    <row r="444" spans="1:21">
      <c r="A444" t="s">
        <v>3063</v>
      </c>
      <c r="B444" t="s">
        <v>2711</v>
      </c>
      <c r="C444" t="s">
        <v>1436</v>
      </c>
      <c r="D444" t="s">
        <v>3064</v>
      </c>
      <c r="E444" t="s">
        <v>3065</v>
      </c>
      <c r="F444" t="s">
        <v>1784</v>
      </c>
      <c r="G444">
        <v>48</v>
      </c>
      <c r="H444" t="s">
        <v>140</v>
      </c>
      <c r="I444" t="s">
        <v>17</v>
      </c>
      <c r="J444" t="s">
        <v>1413</v>
      </c>
      <c r="K444">
        <v>72</v>
      </c>
      <c r="L444" t="s">
        <v>2592</v>
      </c>
      <c r="M444" t="s">
        <v>2597</v>
      </c>
      <c r="N444" t="s">
        <v>25</v>
      </c>
      <c r="O444" s="12">
        <v>45340.474999999999</v>
      </c>
      <c r="P444" s="12">
        <v>45343.6</v>
      </c>
      <c r="Q444" s="12">
        <v>45340.609722222223</v>
      </c>
      <c r="R444" s="12">
        <v>45341.526388888888</v>
      </c>
      <c r="U444" t="b">
        <v>0</v>
      </c>
    </row>
    <row r="445" spans="1:21">
      <c r="A445" t="s">
        <v>3066</v>
      </c>
      <c r="B445" t="s">
        <v>1267</v>
      </c>
      <c r="C445" t="s">
        <v>1139</v>
      </c>
      <c r="D445" t="s">
        <v>3067</v>
      </c>
      <c r="E445" t="s">
        <v>3068</v>
      </c>
      <c r="F445" t="s">
        <v>1367</v>
      </c>
      <c r="G445">
        <v>66</v>
      </c>
      <c r="H445" t="s">
        <v>385</v>
      </c>
      <c r="I445" t="s">
        <v>24</v>
      </c>
      <c r="J445" t="s">
        <v>1317</v>
      </c>
      <c r="K445">
        <v>51</v>
      </c>
      <c r="L445" t="s">
        <v>2601</v>
      </c>
      <c r="M445" t="s">
        <v>2618</v>
      </c>
      <c r="N445" t="s">
        <v>91</v>
      </c>
      <c r="O445" s="12">
        <v>45815.962500000001</v>
      </c>
      <c r="Q445" s="12">
        <v>45816.190972222219</v>
      </c>
      <c r="R445" s="12">
        <v>45816.234027777777</v>
      </c>
      <c r="T445" t="s">
        <v>2673</v>
      </c>
      <c r="U445" t="b">
        <v>0</v>
      </c>
    </row>
    <row r="446" spans="1:21">
      <c r="A446" t="s">
        <v>3069</v>
      </c>
      <c r="B446" t="s">
        <v>2645</v>
      </c>
      <c r="C446" t="s">
        <v>1436</v>
      </c>
      <c r="D446" t="s">
        <v>3070</v>
      </c>
      <c r="E446" t="s">
        <v>3071</v>
      </c>
      <c r="F446" t="s">
        <v>1448</v>
      </c>
      <c r="G446">
        <v>136</v>
      </c>
      <c r="H446" t="s">
        <v>64</v>
      </c>
      <c r="I446" t="s">
        <v>24</v>
      </c>
      <c r="J446" t="s">
        <v>1288</v>
      </c>
      <c r="K446">
        <v>35</v>
      </c>
      <c r="L446" t="s">
        <v>2601</v>
      </c>
      <c r="M446" t="s">
        <v>2618</v>
      </c>
      <c r="N446" t="s">
        <v>69</v>
      </c>
      <c r="O446" s="12">
        <v>46099.970833333333</v>
      </c>
      <c r="Q446" s="12">
        <v>46099.990277777775</v>
      </c>
      <c r="R446" s="12">
        <v>46100.023611111108</v>
      </c>
      <c r="T446" t="s">
        <v>2619</v>
      </c>
      <c r="U446" t="b">
        <v>0</v>
      </c>
    </row>
    <row r="447" spans="1:21">
      <c r="A447" t="s">
        <v>3072</v>
      </c>
      <c r="B447" t="s">
        <v>2657</v>
      </c>
      <c r="C447" t="s">
        <v>1180</v>
      </c>
      <c r="D447" t="s">
        <v>3073</v>
      </c>
      <c r="E447" t="s">
        <v>3074</v>
      </c>
      <c r="F447" t="s">
        <v>1784</v>
      </c>
      <c r="G447">
        <v>1656</v>
      </c>
      <c r="H447" t="s">
        <v>46</v>
      </c>
      <c r="I447" t="s">
        <v>17</v>
      </c>
      <c r="J447" t="s">
        <v>1295</v>
      </c>
      <c r="K447">
        <v>90</v>
      </c>
      <c r="L447" t="s">
        <v>2642</v>
      </c>
      <c r="M447" t="s">
        <v>2643</v>
      </c>
      <c r="N447" t="s">
        <v>18</v>
      </c>
      <c r="O447" s="12">
        <v>45592.464583333334</v>
      </c>
      <c r="P447" s="12">
        <v>45594.714583333334</v>
      </c>
      <c r="Q447" s="12">
        <v>45592.478472222225</v>
      </c>
      <c r="R447" s="12">
        <v>45592.506944444445</v>
      </c>
      <c r="S447" s="12">
        <v>45604.339583333334</v>
      </c>
      <c r="U447" t="b">
        <v>0</v>
      </c>
    </row>
    <row r="448" spans="1:21">
      <c r="A448" t="s">
        <v>3075</v>
      </c>
      <c r="B448" t="s">
        <v>2902</v>
      </c>
      <c r="C448" t="s">
        <v>1176</v>
      </c>
      <c r="D448" t="s">
        <v>3076</v>
      </c>
      <c r="E448" t="s">
        <v>3077</v>
      </c>
      <c r="F448" t="s">
        <v>2755</v>
      </c>
      <c r="G448">
        <v>172</v>
      </c>
      <c r="H448" t="s">
        <v>1039</v>
      </c>
      <c r="I448" t="s">
        <v>24</v>
      </c>
      <c r="J448" t="s">
        <v>1295</v>
      </c>
      <c r="K448">
        <v>78</v>
      </c>
      <c r="L448" t="s">
        <v>2642</v>
      </c>
      <c r="M448" t="s">
        <v>2643</v>
      </c>
      <c r="N448" t="s">
        <v>91</v>
      </c>
      <c r="O448" s="12">
        <v>45331.913194444445</v>
      </c>
      <c r="P448" s="12">
        <v>45332.829861111109</v>
      </c>
      <c r="Q448" s="12">
        <v>45332.080555555556</v>
      </c>
      <c r="R448" s="12">
        <v>45332.204861111109</v>
      </c>
      <c r="S448" s="12">
        <v>45334.163194444445</v>
      </c>
      <c r="U448" t="b">
        <v>0</v>
      </c>
    </row>
    <row r="449" spans="1:21">
      <c r="A449" t="s">
        <v>3078</v>
      </c>
      <c r="B449" t="s">
        <v>2811</v>
      </c>
      <c r="C449" t="s">
        <v>1971</v>
      </c>
      <c r="D449" t="s">
        <v>3079</v>
      </c>
      <c r="E449" t="s">
        <v>3080</v>
      </c>
      <c r="F449" t="s">
        <v>1843</v>
      </c>
      <c r="G449">
        <v>467</v>
      </c>
      <c r="H449" t="s">
        <v>140</v>
      </c>
      <c r="I449" t="s">
        <v>30</v>
      </c>
      <c r="J449" t="s">
        <v>1413</v>
      </c>
      <c r="K449">
        <v>67</v>
      </c>
      <c r="L449" t="s">
        <v>2642</v>
      </c>
      <c r="M449" t="s">
        <v>2643</v>
      </c>
      <c r="N449" t="s">
        <v>82</v>
      </c>
      <c r="O449" s="12">
        <v>46080.724999999999</v>
      </c>
      <c r="P449" s="12">
        <v>46082.558333333334</v>
      </c>
      <c r="Q449" s="12">
        <v>46080.94027777778</v>
      </c>
      <c r="R449" s="12">
        <v>46081.049305555556</v>
      </c>
      <c r="S449" s="12">
        <v>46091.35</v>
      </c>
      <c r="U449" t="b">
        <v>0</v>
      </c>
    </row>
    <row r="450" spans="1:21">
      <c r="A450" t="s">
        <v>3081</v>
      </c>
      <c r="B450" t="s">
        <v>1221</v>
      </c>
      <c r="C450" t="s">
        <v>1142</v>
      </c>
      <c r="D450" t="s">
        <v>3082</v>
      </c>
      <c r="E450" t="s">
        <v>3083</v>
      </c>
      <c r="F450" t="s">
        <v>1843</v>
      </c>
      <c r="G450">
        <v>39</v>
      </c>
      <c r="H450" t="s">
        <v>339</v>
      </c>
      <c r="I450" t="s">
        <v>24</v>
      </c>
      <c r="J450" t="s">
        <v>1271</v>
      </c>
      <c r="K450">
        <v>36</v>
      </c>
      <c r="L450" t="s">
        <v>2601</v>
      </c>
      <c r="M450" t="s">
        <v>2605</v>
      </c>
      <c r="N450" t="s">
        <v>69</v>
      </c>
      <c r="O450" s="12">
        <v>45618.890277777777</v>
      </c>
      <c r="Q450" s="12">
        <v>45618.9375</v>
      </c>
      <c r="R450" s="12">
        <v>45618.996527777781</v>
      </c>
      <c r="U450" t="b">
        <v>0</v>
      </c>
    </row>
    <row r="451" spans="1:21">
      <c r="A451" t="s">
        <v>3084</v>
      </c>
      <c r="B451" t="s">
        <v>2611</v>
      </c>
      <c r="C451" t="s">
        <v>1721</v>
      </c>
      <c r="D451" t="s">
        <v>3085</v>
      </c>
      <c r="E451" t="s">
        <v>3086</v>
      </c>
      <c r="F451" t="s">
        <v>1511</v>
      </c>
      <c r="G451">
        <v>226</v>
      </c>
      <c r="H451" t="s">
        <v>226</v>
      </c>
      <c r="I451" t="s">
        <v>30</v>
      </c>
      <c r="J451" t="s">
        <v>1339</v>
      </c>
      <c r="K451">
        <v>77</v>
      </c>
      <c r="L451" t="s">
        <v>2592</v>
      </c>
      <c r="M451" t="s">
        <v>2605</v>
      </c>
      <c r="N451" t="s">
        <v>55</v>
      </c>
      <c r="O451" s="12">
        <v>45820.959722222222</v>
      </c>
      <c r="P451" s="12">
        <v>45821.293055555558</v>
      </c>
      <c r="Q451" s="12">
        <v>45821.117361111108</v>
      </c>
      <c r="R451" s="12">
        <v>45821.262499999997</v>
      </c>
      <c r="U451" t="b">
        <v>0</v>
      </c>
    </row>
    <row r="452" spans="1:21">
      <c r="A452" t="s">
        <v>3087</v>
      </c>
      <c r="B452" t="s">
        <v>2834</v>
      </c>
      <c r="C452" t="s">
        <v>1155</v>
      </c>
      <c r="D452" t="s">
        <v>3088</v>
      </c>
      <c r="E452" t="s">
        <v>3089</v>
      </c>
      <c r="F452" t="s">
        <v>2617</v>
      </c>
      <c r="G452">
        <v>56</v>
      </c>
      <c r="H452" t="s">
        <v>205</v>
      </c>
      <c r="I452" t="s">
        <v>17</v>
      </c>
      <c r="J452" t="s">
        <v>1317</v>
      </c>
      <c r="K452">
        <v>67</v>
      </c>
      <c r="L452" t="s">
        <v>2592</v>
      </c>
      <c r="M452" t="s">
        <v>2593</v>
      </c>
      <c r="N452" t="s">
        <v>59</v>
      </c>
      <c r="O452" s="12">
        <v>46247.560416666667</v>
      </c>
      <c r="P452" s="12">
        <v>46249.602083333331</v>
      </c>
      <c r="Q452" s="12">
        <v>46247.716666666667</v>
      </c>
      <c r="R452" s="12">
        <v>46247.851388888892</v>
      </c>
      <c r="U452" t="b">
        <v>0</v>
      </c>
    </row>
    <row r="453" spans="1:21">
      <c r="A453" t="s">
        <v>3090</v>
      </c>
      <c r="B453" t="s">
        <v>2827</v>
      </c>
      <c r="C453" t="s">
        <v>1162</v>
      </c>
      <c r="D453" t="s">
        <v>3091</v>
      </c>
      <c r="E453" t="s">
        <v>3092</v>
      </c>
      <c r="F453" t="s">
        <v>1412</v>
      </c>
      <c r="G453">
        <v>111</v>
      </c>
      <c r="H453" t="s">
        <v>23</v>
      </c>
      <c r="I453" t="s">
        <v>24</v>
      </c>
      <c r="J453" t="s">
        <v>1271</v>
      </c>
      <c r="K453">
        <v>46</v>
      </c>
      <c r="L453" t="s">
        <v>2592</v>
      </c>
      <c r="M453" t="s">
        <v>2597</v>
      </c>
      <c r="N453" t="s">
        <v>25</v>
      </c>
      <c r="O453" s="12">
        <v>45625.611805555556</v>
      </c>
      <c r="P453" s="12">
        <v>45626.945138888892</v>
      </c>
      <c r="Q453" s="12">
        <v>45625.754166666666</v>
      </c>
      <c r="R453" s="12">
        <v>45625.824305555558</v>
      </c>
      <c r="U453" t="b">
        <v>0</v>
      </c>
    </row>
    <row r="454" spans="1:21">
      <c r="A454" t="s">
        <v>3093</v>
      </c>
      <c r="B454" t="s">
        <v>2666</v>
      </c>
      <c r="C454" t="s">
        <v>1597</v>
      </c>
      <c r="D454" t="s">
        <v>3094</v>
      </c>
      <c r="E454" t="s">
        <v>3095</v>
      </c>
      <c r="F454" t="s">
        <v>2709</v>
      </c>
      <c r="G454">
        <v>241</v>
      </c>
      <c r="H454" t="s">
        <v>249</v>
      </c>
      <c r="I454" t="s">
        <v>30</v>
      </c>
      <c r="J454" t="s">
        <v>1317</v>
      </c>
      <c r="K454">
        <v>69</v>
      </c>
      <c r="L454" t="s">
        <v>2592</v>
      </c>
      <c r="M454" t="s">
        <v>2605</v>
      </c>
      <c r="N454" t="s">
        <v>36</v>
      </c>
      <c r="O454" s="12">
        <v>46250.980555555558</v>
      </c>
      <c r="P454" s="12">
        <v>46251.730555555558</v>
      </c>
      <c r="Q454" s="12">
        <v>46251.125694444447</v>
      </c>
      <c r="R454" s="12">
        <v>46251.259722222225</v>
      </c>
      <c r="U454" t="b">
        <v>0</v>
      </c>
    </row>
    <row r="455" spans="1:21">
      <c r="A455" t="s">
        <v>3096</v>
      </c>
      <c r="B455" t="s">
        <v>2639</v>
      </c>
      <c r="C455" t="s">
        <v>1721</v>
      </c>
      <c r="D455" t="s">
        <v>3097</v>
      </c>
      <c r="E455" t="s">
        <v>3098</v>
      </c>
      <c r="F455" t="s">
        <v>1487</v>
      </c>
      <c r="G455">
        <v>354</v>
      </c>
      <c r="H455" t="s">
        <v>249</v>
      </c>
      <c r="I455" t="s">
        <v>30</v>
      </c>
      <c r="J455" t="s">
        <v>1413</v>
      </c>
      <c r="K455">
        <v>76</v>
      </c>
      <c r="L455" t="s">
        <v>2592</v>
      </c>
      <c r="M455" t="s">
        <v>2597</v>
      </c>
      <c r="N455" t="s">
        <v>55</v>
      </c>
      <c r="O455" s="12">
        <v>46161.726388888892</v>
      </c>
      <c r="P455" s="12">
        <v>46165.101388888892</v>
      </c>
      <c r="Q455" s="12">
        <v>46161.936805555553</v>
      </c>
      <c r="R455" s="12">
        <v>46162.012499999997</v>
      </c>
      <c r="U455" t="b">
        <v>0</v>
      </c>
    </row>
    <row r="456" spans="1:21">
      <c r="A456" t="s">
        <v>3099</v>
      </c>
      <c r="B456" t="s">
        <v>1138</v>
      </c>
      <c r="C456" t="s">
        <v>2005</v>
      </c>
      <c r="D456" t="s">
        <v>3100</v>
      </c>
      <c r="E456" t="s">
        <v>3101</v>
      </c>
      <c r="F456" t="s">
        <v>1448</v>
      </c>
      <c r="G456">
        <v>87</v>
      </c>
      <c r="H456" t="s">
        <v>205</v>
      </c>
      <c r="I456" t="s">
        <v>24</v>
      </c>
      <c r="J456" t="s">
        <v>1317</v>
      </c>
      <c r="K456">
        <v>81</v>
      </c>
      <c r="L456" t="s">
        <v>2601</v>
      </c>
      <c r="M456" t="s">
        <v>2605</v>
      </c>
      <c r="N456" t="s">
        <v>59</v>
      </c>
      <c r="O456" s="12">
        <v>46170.154861111114</v>
      </c>
      <c r="Q456" s="12">
        <v>46170.404166666667</v>
      </c>
      <c r="R456" s="12">
        <v>46170.448611111111</v>
      </c>
      <c r="U456" t="b">
        <v>0</v>
      </c>
    </row>
    <row r="457" spans="1:21">
      <c r="A457" t="s">
        <v>3102</v>
      </c>
      <c r="B457" t="s">
        <v>1431</v>
      </c>
      <c r="C457" t="s">
        <v>1541</v>
      </c>
      <c r="D457" t="s">
        <v>3103</v>
      </c>
      <c r="E457" t="s">
        <v>3104</v>
      </c>
      <c r="F457" t="s">
        <v>2709</v>
      </c>
      <c r="G457">
        <v>317</v>
      </c>
      <c r="H457" t="s">
        <v>154</v>
      </c>
      <c r="I457" t="s">
        <v>30</v>
      </c>
      <c r="J457" t="s">
        <v>1271</v>
      </c>
      <c r="K457">
        <v>58</v>
      </c>
      <c r="L457" t="s">
        <v>2601</v>
      </c>
      <c r="M457" t="s">
        <v>2655</v>
      </c>
      <c r="N457" t="s">
        <v>82</v>
      </c>
      <c r="O457" s="12">
        <v>45865.446527777778</v>
      </c>
      <c r="Q457" s="12">
        <v>45865.568055555559</v>
      </c>
      <c r="U457" t="b">
        <v>0</v>
      </c>
    </row>
    <row r="458" spans="1:21">
      <c r="A458" t="s">
        <v>3105</v>
      </c>
      <c r="B458" t="s">
        <v>1190</v>
      </c>
      <c r="C458" t="s">
        <v>1197</v>
      </c>
      <c r="D458" t="s">
        <v>3106</v>
      </c>
      <c r="E458" t="s">
        <v>3107</v>
      </c>
      <c r="F458" t="s">
        <v>1448</v>
      </c>
      <c r="G458">
        <v>326</v>
      </c>
      <c r="H458" t="s">
        <v>140</v>
      </c>
      <c r="I458" t="s">
        <v>30</v>
      </c>
      <c r="J458" t="s">
        <v>1281</v>
      </c>
      <c r="K458">
        <v>70</v>
      </c>
      <c r="L458" t="s">
        <v>2601</v>
      </c>
      <c r="M458" t="s">
        <v>2593</v>
      </c>
      <c r="N458" t="s">
        <v>82</v>
      </c>
      <c r="O458" s="12">
        <v>45330.178472222222</v>
      </c>
      <c r="Q458" s="12">
        <v>45330.307638888888</v>
      </c>
      <c r="R458" s="12">
        <v>45330.40902777778</v>
      </c>
      <c r="U458" t="b">
        <v>0</v>
      </c>
    </row>
    <row r="459" spans="1:21">
      <c r="A459" t="s">
        <v>3108</v>
      </c>
      <c r="B459" t="s">
        <v>2611</v>
      </c>
      <c r="C459" t="s">
        <v>1222</v>
      </c>
      <c r="D459" t="s">
        <v>3109</v>
      </c>
      <c r="E459" t="s">
        <v>3110</v>
      </c>
      <c r="F459" t="s">
        <v>2755</v>
      </c>
      <c r="G459">
        <v>20</v>
      </c>
      <c r="H459" t="s">
        <v>50</v>
      </c>
      <c r="I459" t="s">
        <v>24</v>
      </c>
      <c r="J459" t="s">
        <v>1339</v>
      </c>
      <c r="K459">
        <v>89</v>
      </c>
      <c r="L459" t="s">
        <v>2601</v>
      </c>
      <c r="M459" t="s">
        <v>2655</v>
      </c>
      <c r="N459" t="s">
        <v>59</v>
      </c>
      <c r="O459" s="12">
        <v>46075.557638888888</v>
      </c>
      <c r="Q459" s="12">
        <v>46075.750694444447</v>
      </c>
      <c r="U459" t="b">
        <v>0</v>
      </c>
    </row>
    <row r="460" spans="1:21">
      <c r="A460" t="s">
        <v>3111</v>
      </c>
      <c r="B460" t="s">
        <v>1111</v>
      </c>
      <c r="C460" t="s">
        <v>2621</v>
      </c>
      <c r="D460" t="s">
        <v>3112</v>
      </c>
      <c r="E460" t="s">
        <v>3113</v>
      </c>
      <c r="F460" t="s">
        <v>1309</v>
      </c>
      <c r="G460">
        <v>839</v>
      </c>
      <c r="H460" t="s">
        <v>1042</v>
      </c>
      <c r="I460" t="s">
        <v>30</v>
      </c>
      <c r="J460" t="s">
        <v>1413</v>
      </c>
      <c r="K460">
        <v>76</v>
      </c>
      <c r="L460" t="s">
        <v>2592</v>
      </c>
      <c r="M460" t="s">
        <v>2593</v>
      </c>
      <c r="N460" t="s">
        <v>18</v>
      </c>
      <c r="O460" s="12">
        <v>45497.236805555556</v>
      </c>
      <c r="P460" s="12">
        <v>45497.65347222222</v>
      </c>
      <c r="Q460" s="12">
        <v>45497.331250000003</v>
      </c>
      <c r="R460" s="12">
        <v>45497.364583333336</v>
      </c>
      <c r="U460" t="b">
        <v>0</v>
      </c>
    </row>
    <row r="461" spans="1:21">
      <c r="A461" t="s">
        <v>3114</v>
      </c>
      <c r="B461" t="s">
        <v>2662</v>
      </c>
      <c r="C461" t="s">
        <v>1152</v>
      </c>
      <c r="D461" t="s">
        <v>3115</v>
      </c>
      <c r="E461" t="s">
        <v>3116</v>
      </c>
      <c r="F461" t="s">
        <v>1412</v>
      </c>
      <c r="G461">
        <v>33</v>
      </c>
      <c r="H461" t="s">
        <v>16</v>
      </c>
      <c r="I461" t="s">
        <v>24</v>
      </c>
      <c r="J461" t="s">
        <v>1317</v>
      </c>
      <c r="K461">
        <v>61</v>
      </c>
      <c r="L461" t="s">
        <v>2601</v>
      </c>
      <c r="M461" t="s">
        <v>2605</v>
      </c>
      <c r="N461" t="s">
        <v>91</v>
      </c>
      <c r="O461" s="12">
        <v>45824.909722222219</v>
      </c>
      <c r="Q461" s="12">
        <v>45824.918055555558</v>
      </c>
      <c r="U461" t="b">
        <v>0</v>
      </c>
    </row>
    <row r="462" spans="1:21">
      <c r="A462" t="s">
        <v>3117</v>
      </c>
      <c r="B462" t="s">
        <v>1584</v>
      </c>
      <c r="C462" t="s">
        <v>1162</v>
      </c>
      <c r="D462" t="s">
        <v>3118</v>
      </c>
      <c r="E462" t="s">
        <v>3119</v>
      </c>
      <c r="F462" t="s">
        <v>1471</v>
      </c>
      <c r="G462">
        <v>196</v>
      </c>
      <c r="H462" t="s">
        <v>140</v>
      </c>
      <c r="I462" t="s">
        <v>24</v>
      </c>
      <c r="J462" t="s">
        <v>1271</v>
      </c>
      <c r="K462">
        <v>46</v>
      </c>
      <c r="L462" t="s">
        <v>2601</v>
      </c>
      <c r="M462" t="s">
        <v>2605</v>
      </c>
      <c r="N462" t="s">
        <v>25</v>
      </c>
      <c r="O462" s="12">
        <v>45812.479861111111</v>
      </c>
      <c r="Q462" s="12">
        <v>45812.572222222225</v>
      </c>
      <c r="R462" s="12">
        <v>45812.647916666669</v>
      </c>
      <c r="U462" t="b">
        <v>0</v>
      </c>
    </row>
    <row r="463" spans="1:21">
      <c r="A463" t="s">
        <v>3120</v>
      </c>
      <c r="B463" t="s">
        <v>1190</v>
      </c>
      <c r="C463" t="s">
        <v>1343</v>
      </c>
      <c r="D463" t="s">
        <v>3121</v>
      </c>
      <c r="E463" t="s">
        <v>3122</v>
      </c>
      <c r="F463" t="s">
        <v>1182</v>
      </c>
      <c r="G463">
        <v>265</v>
      </c>
      <c r="H463" t="s">
        <v>23</v>
      </c>
      <c r="I463" t="s">
        <v>30</v>
      </c>
      <c r="J463" t="s">
        <v>1413</v>
      </c>
      <c r="K463">
        <v>56</v>
      </c>
      <c r="L463" t="s">
        <v>2592</v>
      </c>
      <c r="M463" t="s">
        <v>2605</v>
      </c>
      <c r="N463" t="s">
        <v>82</v>
      </c>
      <c r="O463" s="12">
        <v>45942.553472222222</v>
      </c>
      <c r="P463" s="12">
        <v>45944.220138888886</v>
      </c>
      <c r="Q463" s="12">
        <v>45942.559027777781</v>
      </c>
      <c r="R463" s="12">
        <v>45943.184027777781</v>
      </c>
      <c r="U463" t="b">
        <v>0</v>
      </c>
    </row>
    <row r="464" spans="1:21">
      <c r="A464" t="s">
        <v>3123</v>
      </c>
      <c r="B464" t="s">
        <v>1211</v>
      </c>
      <c r="C464" t="s">
        <v>1191</v>
      </c>
      <c r="D464" t="s">
        <v>3124</v>
      </c>
      <c r="E464" t="s">
        <v>3125</v>
      </c>
      <c r="F464" t="s">
        <v>1412</v>
      </c>
      <c r="G464">
        <v>725</v>
      </c>
      <c r="H464" t="s">
        <v>50</v>
      </c>
      <c r="I464" t="s">
        <v>30</v>
      </c>
      <c r="J464" t="s">
        <v>1355</v>
      </c>
      <c r="K464">
        <v>67</v>
      </c>
      <c r="L464" t="s">
        <v>2592</v>
      </c>
      <c r="M464" t="s">
        <v>2593</v>
      </c>
      <c r="N464" t="s">
        <v>36</v>
      </c>
      <c r="O464" s="12">
        <v>45968.972222222219</v>
      </c>
      <c r="P464" s="12">
        <v>45970.180555555555</v>
      </c>
      <c r="Q464" s="12">
        <v>45969.074999999997</v>
      </c>
      <c r="R464" s="12">
        <v>45969.17291666667</v>
      </c>
      <c r="U464" t="b">
        <v>0</v>
      </c>
    </row>
    <row r="465" spans="1:21">
      <c r="A465" t="s">
        <v>3126</v>
      </c>
      <c r="B465" t="s">
        <v>1161</v>
      </c>
      <c r="C465" t="s">
        <v>1155</v>
      </c>
      <c r="D465" t="s">
        <v>3127</v>
      </c>
      <c r="E465" t="s">
        <v>3128</v>
      </c>
      <c r="F465" t="s">
        <v>2271</v>
      </c>
      <c r="G465">
        <v>414</v>
      </c>
      <c r="H465" t="s">
        <v>216</v>
      </c>
      <c r="I465" t="s">
        <v>24</v>
      </c>
      <c r="J465" t="s">
        <v>1271</v>
      </c>
      <c r="K465">
        <v>73</v>
      </c>
      <c r="L465" t="s">
        <v>2592</v>
      </c>
      <c r="M465" t="s">
        <v>2593</v>
      </c>
      <c r="N465" t="s">
        <v>36</v>
      </c>
      <c r="O465" s="12">
        <v>46206.537499999999</v>
      </c>
      <c r="P465" s="12">
        <v>46206.745833333334</v>
      </c>
      <c r="Q465" s="12">
        <v>46206.654166666667</v>
      </c>
      <c r="R465" s="12">
        <v>46207.320833333331</v>
      </c>
      <c r="U465" t="b">
        <v>0</v>
      </c>
    </row>
    <row r="466" spans="1:21">
      <c r="A466" t="s">
        <v>3129</v>
      </c>
      <c r="B466" t="s">
        <v>2607</v>
      </c>
      <c r="C466" t="s">
        <v>1971</v>
      </c>
      <c r="D466" t="s">
        <v>3130</v>
      </c>
      <c r="E466" t="s">
        <v>3131</v>
      </c>
      <c r="F466" t="s">
        <v>1294</v>
      </c>
      <c r="G466">
        <v>137</v>
      </c>
      <c r="H466" t="s">
        <v>81</v>
      </c>
      <c r="I466" t="s">
        <v>24</v>
      </c>
      <c r="J466" t="s">
        <v>1271</v>
      </c>
      <c r="K466">
        <v>45</v>
      </c>
      <c r="L466" t="s">
        <v>2592</v>
      </c>
      <c r="M466" t="s">
        <v>2593</v>
      </c>
      <c r="N466" t="s">
        <v>91</v>
      </c>
      <c r="O466" s="12">
        <v>45816.37777777778</v>
      </c>
      <c r="P466" s="12">
        <v>45818.044444444444</v>
      </c>
      <c r="Q466" s="12">
        <v>45816.466666666667</v>
      </c>
      <c r="R466" s="12">
        <v>45816.553472222222</v>
      </c>
      <c r="U466" t="b">
        <v>0</v>
      </c>
    </row>
    <row r="467" spans="1:21">
      <c r="A467" t="s">
        <v>3132</v>
      </c>
      <c r="B467" t="s">
        <v>2733</v>
      </c>
      <c r="C467" t="s">
        <v>1291</v>
      </c>
      <c r="D467" t="s">
        <v>3133</v>
      </c>
      <c r="E467" t="s">
        <v>3134</v>
      </c>
      <c r="F467" t="s">
        <v>2755</v>
      </c>
      <c r="G467">
        <v>24</v>
      </c>
      <c r="H467" t="s">
        <v>16</v>
      </c>
      <c r="I467" t="s">
        <v>24</v>
      </c>
      <c r="J467" t="s">
        <v>1288</v>
      </c>
      <c r="K467">
        <v>63</v>
      </c>
      <c r="L467" t="s">
        <v>2601</v>
      </c>
      <c r="M467" t="s">
        <v>2618</v>
      </c>
      <c r="N467" t="s">
        <v>91</v>
      </c>
      <c r="O467" s="12">
        <v>46285.447916666664</v>
      </c>
      <c r="Q467" s="12">
        <v>46285.522222222222</v>
      </c>
      <c r="R467" s="12">
        <v>46285.598611111112</v>
      </c>
      <c r="T467" t="s">
        <v>2631</v>
      </c>
      <c r="U467" t="b">
        <v>0</v>
      </c>
    </row>
    <row r="468" spans="1:21">
      <c r="A468" t="s">
        <v>3135</v>
      </c>
      <c r="B468" t="s">
        <v>2906</v>
      </c>
      <c r="C468" t="s">
        <v>1135</v>
      </c>
      <c r="D468" t="s">
        <v>3136</v>
      </c>
      <c r="E468" t="s">
        <v>3137</v>
      </c>
      <c r="F468" t="s">
        <v>2755</v>
      </c>
      <c r="G468">
        <v>61</v>
      </c>
      <c r="H468" t="s">
        <v>295</v>
      </c>
      <c r="I468" t="s">
        <v>24</v>
      </c>
      <c r="J468" t="s">
        <v>1271</v>
      </c>
      <c r="K468">
        <v>61</v>
      </c>
      <c r="L468" t="s">
        <v>2592</v>
      </c>
      <c r="M468" t="s">
        <v>2605</v>
      </c>
      <c r="N468" t="s">
        <v>25</v>
      </c>
      <c r="O468" s="12">
        <v>45860.618055555555</v>
      </c>
      <c r="P468" s="12">
        <v>45864.368055555555</v>
      </c>
      <c r="Q468" s="12">
        <v>45860.659722222219</v>
      </c>
      <c r="U468" t="b">
        <v>0</v>
      </c>
    </row>
    <row r="469" spans="1:21">
      <c r="A469" t="s">
        <v>3138</v>
      </c>
      <c r="B469" t="s">
        <v>2670</v>
      </c>
      <c r="C469" t="s">
        <v>2283</v>
      </c>
      <c r="D469" t="s">
        <v>3139</v>
      </c>
      <c r="E469" t="s">
        <v>3140</v>
      </c>
      <c r="F469" t="s">
        <v>1294</v>
      </c>
      <c r="G469">
        <v>512</v>
      </c>
      <c r="H469" t="s">
        <v>35</v>
      </c>
      <c r="I469" t="s">
        <v>30</v>
      </c>
      <c r="J469" t="s">
        <v>1355</v>
      </c>
      <c r="K469">
        <v>57</v>
      </c>
      <c r="L469" t="s">
        <v>2601</v>
      </c>
      <c r="M469" t="s">
        <v>2605</v>
      </c>
      <c r="N469" t="s">
        <v>36</v>
      </c>
      <c r="O469" s="12">
        <v>45984.865972222222</v>
      </c>
      <c r="Q469" s="12">
        <v>45984.880555555559</v>
      </c>
      <c r="R469" s="12">
        <v>45984.986111111109</v>
      </c>
      <c r="U469" t="b">
        <v>0</v>
      </c>
    </row>
    <row r="470" spans="1:21">
      <c r="A470" t="s">
        <v>3141</v>
      </c>
      <c r="B470" t="s">
        <v>1485</v>
      </c>
      <c r="C470" t="s">
        <v>1353</v>
      </c>
      <c r="D470" t="s">
        <v>3142</v>
      </c>
      <c r="E470" t="s">
        <v>3143</v>
      </c>
      <c r="F470" t="s">
        <v>1511</v>
      </c>
      <c r="G470">
        <v>150</v>
      </c>
      <c r="H470" t="s">
        <v>212</v>
      </c>
      <c r="I470" t="s">
        <v>24</v>
      </c>
      <c r="J470" t="s">
        <v>1317</v>
      </c>
      <c r="K470">
        <v>56</v>
      </c>
      <c r="L470" t="s">
        <v>2601</v>
      </c>
      <c r="M470" t="s">
        <v>2618</v>
      </c>
      <c r="N470" t="s">
        <v>69</v>
      </c>
      <c r="O470" s="12">
        <v>46033.474305555559</v>
      </c>
      <c r="Q470" s="12">
        <v>46033.522222222222</v>
      </c>
      <c r="R470" s="12">
        <v>46034.688888888886</v>
      </c>
      <c r="T470" t="s">
        <v>2685</v>
      </c>
      <c r="U470" t="b">
        <v>0</v>
      </c>
    </row>
    <row r="471" spans="1:21">
      <c r="A471" t="s">
        <v>3144</v>
      </c>
      <c r="B471" t="s">
        <v>2882</v>
      </c>
      <c r="C471" t="s">
        <v>1203</v>
      </c>
      <c r="D471" t="s">
        <v>3145</v>
      </c>
      <c r="E471" t="s">
        <v>3146</v>
      </c>
      <c r="F471" t="s">
        <v>1843</v>
      </c>
      <c r="G471">
        <v>109</v>
      </c>
      <c r="H471" t="s">
        <v>576</v>
      </c>
      <c r="I471" t="s">
        <v>24</v>
      </c>
      <c r="J471" t="s">
        <v>1271</v>
      </c>
      <c r="K471">
        <v>65</v>
      </c>
      <c r="L471" t="s">
        <v>2642</v>
      </c>
      <c r="M471" t="s">
        <v>2643</v>
      </c>
      <c r="N471" t="s">
        <v>25</v>
      </c>
      <c r="O471" s="12">
        <v>46081.75</v>
      </c>
      <c r="P471" s="12">
        <v>46083</v>
      </c>
      <c r="Q471" s="12">
        <v>46081.827777777777</v>
      </c>
      <c r="R471" s="12">
        <v>46081.902777777781</v>
      </c>
      <c r="S471" s="12">
        <v>46087.875</v>
      </c>
      <c r="U471" t="b">
        <v>0</v>
      </c>
    </row>
    <row r="472" spans="1:21">
      <c r="A472" t="s">
        <v>3147</v>
      </c>
      <c r="B472" t="s">
        <v>1431</v>
      </c>
      <c r="C472" t="s">
        <v>1135</v>
      </c>
      <c r="D472" t="s">
        <v>3148</v>
      </c>
      <c r="E472" t="s">
        <v>3149</v>
      </c>
      <c r="F472" t="s">
        <v>1843</v>
      </c>
      <c r="G472">
        <v>50</v>
      </c>
      <c r="H472" t="s">
        <v>50</v>
      </c>
      <c r="I472" t="s">
        <v>24</v>
      </c>
      <c r="J472" t="s">
        <v>1288</v>
      </c>
      <c r="K472">
        <v>36</v>
      </c>
      <c r="L472" t="s">
        <v>2601</v>
      </c>
      <c r="M472" t="s">
        <v>2655</v>
      </c>
      <c r="N472" t="s">
        <v>59</v>
      </c>
      <c r="O472" s="12">
        <v>45792.68472222222</v>
      </c>
      <c r="Q472" s="12">
        <v>45792.748611111114</v>
      </c>
      <c r="U472" t="b">
        <v>0</v>
      </c>
    </row>
    <row r="473" spans="1:21">
      <c r="A473" t="s">
        <v>3150</v>
      </c>
      <c r="B473" t="s">
        <v>2711</v>
      </c>
      <c r="C473" t="s">
        <v>1365</v>
      </c>
      <c r="D473" t="s">
        <v>3151</v>
      </c>
      <c r="E473" t="s">
        <v>3152</v>
      </c>
      <c r="F473" t="s">
        <v>2755</v>
      </c>
      <c r="G473">
        <v>1714</v>
      </c>
      <c r="H473" t="s">
        <v>68</v>
      </c>
      <c r="I473" t="s">
        <v>17</v>
      </c>
      <c r="J473" t="s">
        <v>1295</v>
      </c>
      <c r="K473">
        <v>92</v>
      </c>
      <c r="L473" t="s">
        <v>2592</v>
      </c>
      <c r="M473" t="s">
        <v>2597</v>
      </c>
      <c r="N473" t="s">
        <v>55</v>
      </c>
      <c r="O473" s="12">
        <v>45567.831944444442</v>
      </c>
      <c r="P473" s="12">
        <v>45569.373611111114</v>
      </c>
      <c r="Q473" s="12">
        <v>45567.843055555553</v>
      </c>
      <c r="R473" s="12">
        <v>45568.176388888889</v>
      </c>
      <c r="U473" t="b">
        <v>0</v>
      </c>
    </row>
    <row r="474" spans="1:21">
      <c r="A474" t="s">
        <v>3153</v>
      </c>
      <c r="B474" t="s">
        <v>2666</v>
      </c>
      <c r="C474" t="s">
        <v>1418</v>
      </c>
      <c r="D474" t="s">
        <v>3154</v>
      </c>
      <c r="E474" t="s">
        <v>3155</v>
      </c>
      <c r="F474" t="s">
        <v>1294</v>
      </c>
      <c r="G474">
        <v>14</v>
      </c>
      <c r="H474" t="s">
        <v>50</v>
      </c>
      <c r="J474" t="s">
        <v>1271</v>
      </c>
      <c r="K474">
        <v>70</v>
      </c>
      <c r="L474" t="s">
        <v>2601</v>
      </c>
      <c r="M474" t="s">
        <v>2618</v>
      </c>
      <c r="O474" s="12">
        <v>46111.915277777778</v>
      </c>
      <c r="T474" t="s">
        <v>2933</v>
      </c>
      <c r="U474" t="b">
        <v>0</v>
      </c>
    </row>
    <row r="475" spans="1:21">
      <c r="A475" t="s">
        <v>3156</v>
      </c>
      <c r="B475" t="s">
        <v>1167</v>
      </c>
      <c r="C475" t="s">
        <v>1278</v>
      </c>
      <c r="D475" t="s">
        <v>3157</v>
      </c>
      <c r="E475" t="s">
        <v>3158</v>
      </c>
      <c r="F475" t="s">
        <v>1412</v>
      </c>
      <c r="G475">
        <v>651</v>
      </c>
      <c r="H475" t="s">
        <v>560</v>
      </c>
      <c r="I475" t="s">
        <v>30</v>
      </c>
      <c r="J475" t="s">
        <v>1339</v>
      </c>
      <c r="K475">
        <v>83</v>
      </c>
      <c r="L475" t="s">
        <v>2601</v>
      </c>
      <c r="M475" t="s">
        <v>2655</v>
      </c>
      <c r="N475" t="s">
        <v>82</v>
      </c>
      <c r="O475" s="12">
        <v>46120.677083333336</v>
      </c>
      <c r="Q475" s="12">
        <v>46120.832638888889</v>
      </c>
      <c r="U475" t="b">
        <v>0</v>
      </c>
    </row>
    <row r="476" spans="1:21">
      <c r="A476" t="s">
        <v>3159</v>
      </c>
      <c r="B476" t="s">
        <v>2811</v>
      </c>
      <c r="C476" t="s">
        <v>1162</v>
      </c>
      <c r="D476" t="s">
        <v>3160</v>
      </c>
      <c r="E476" t="s">
        <v>3161</v>
      </c>
      <c r="F476" t="s">
        <v>1471</v>
      </c>
      <c r="G476">
        <v>24</v>
      </c>
      <c r="H476" t="s">
        <v>226</v>
      </c>
      <c r="I476" t="s">
        <v>24</v>
      </c>
      <c r="J476" t="s">
        <v>1413</v>
      </c>
      <c r="K476">
        <v>67</v>
      </c>
      <c r="L476" t="s">
        <v>2601</v>
      </c>
      <c r="M476" t="s">
        <v>2605</v>
      </c>
      <c r="N476" t="s">
        <v>69</v>
      </c>
      <c r="O476" s="12">
        <v>45437.385416666664</v>
      </c>
      <c r="Q476" s="12">
        <v>45437.55972222222</v>
      </c>
      <c r="R476" s="12">
        <v>45437.662499999999</v>
      </c>
      <c r="U476" t="b">
        <v>0</v>
      </c>
    </row>
    <row r="477" spans="1:21">
      <c r="A477" t="s">
        <v>3162</v>
      </c>
      <c r="B477" t="s">
        <v>2578</v>
      </c>
      <c r="C477" t="s">
        <v>1353</v>
      </c>
      <c r="D477" t="s">
        <v>3163</v>
      </c>
      <c r="E477" t="s">
        <v>3164</v>
      </c>
      <c r="F477" t="s">
        <v>1294</v>
      </c>
      <c r="G477">
        <v>58</v>
      </c>
      <c r="H477" t="s">
        <v>64</v>
      </c>
      <c r="I477" t="s">
        <v>24</v>
      </c>
      <c r="J477" t="s">
        <v>1413</v>
      </c>
      <c r="K477">
        <v>62</v>
      </c>
      <c r="L477" t="s">
        <v>2592</v>
      </c>
      <c r="M477" t="s">
        <v>2593</v>
      </c>
      <c r="N477" t="s">
        <v>69</v>
      </c>
      <c r="O477" s="12">
        <v>45914.447222222225</v>
      </c>
      <c r="P477" s="12">
        <v>45918.780555555553</v>
      </c>
      <c r="Q477" s="12">
        <v>45914.46875</v>
      </c>
      <c r="R477" s="12">
        <v>45914.584027777775</v>
      </c>
      <c r="U477" t="b">
        <v>0</v>
      </c>
    </row>
    <row r="478" spans="1:21">
      <c r="A478" t="s">
        <v>3165</v>
      </c>
      <c r="B478" t="s">
        <v>2733</v>
      </c>
      <c r="C478" t="s">
        <v>2033</v>
      </c>
      <c r="D478" t="s">
        <v>3166</v>
      </c>
      <c r="E478" t="s">
        <v>3167</v>
      </c>
      <c r="F478" t="s">
        <v>1412</v>
      </c>
      <c r="G478">
        <v>47</v>
      </c>
      <c r="H478" t="s">
        <v>295</v>
      </c>
      <c r="I478" t="s">
        <v>24</v>
      </c>
      <c r="J478" t="s">
        <v>1295</v>
      </c>
      <c r="K478">
        <v>86</v>
      </c>
      <c r="L478" t="s">
        <v>2642</v>
      </c>
      <c r="M478" t="s">
        <v>2643</v>
      </c>
      <c r="N478" t="s">
        <v>25</v>
      </c>
      <c r="O478" s="12">
        <v>46243.010416666664</v>
      </c>
      <c r="P478" s="12">
        <v>46243.552083333336</v>
      </c>
      <c r="Q478" s="12">
        <v>46243.15625</v>
      </c>
      <c r="R478" s="12">
        <v>46243.697916666664</v>
      </c>
      <c r="S478" s="12">
        <v>46250.34375</v>
      </c>
      <c r="U478" t="b">
        <v>0</v>
      </c>
    </row>
    <row r="479" spans="1:21">
      <c r="A479" t="s">
        <v>3168</v>
      </c>
      <c r="B479" t="s">
        <v>3169</v>
      </c>
      <c r="C479" t="s">
        <v>1385</v>
      </c>
      <c r="D479" t="s">
        <v>3170</v>
      </c>
      <c r="E479" t="s">
        <v>3171</v>
      </c>
      <c r="F479" t="s">
        <v>1412</v>
      </c>
      <c r="G479">
        <v>140</v>
      </c>
      <c r="H479" t="s">
        <v>50</v>
      </c>
      <c r="I479" t="s">
        <v>24</v>
      </c>
      <c r="J479" t="s">
        <v>1288</v>
      </c>
      <c r="K479">
        <v>44</v>
      </c>
      <c r="L479" t="s">
        <v>2601</v>
      </c>
      <c r="M479" t="s">
        <v>2655</v>
      </c>
      <c r="N479" t="s">
        <v>59</v>
      </c>
      <c r="O479" s="12">
        <v>45799.621527777781</v>
      </c>
      <c r="Q479" s="12">
        <v>45799.665972222225</v>
      </c>
      <c r="U479" t="b">
        <v>0</v>
      </c>
    </row>
    <row r="480" spans="1:21">
      <c r="A480" t="s">
        <v>3172</v>
      </c>
      <c r="B480" t="s">
        <v>2666</v>
      </c>
      <c r="C480" t="s">
        <v>2283</v>
      </c>
      <c r="D480" t="s">
        <v>3173</v>
      </c>
      <c r="E480" t="s">
        <v>3174</v>
      </c>
      <c r="F480" t="s">
        <v>2660</v>
      </c>
      <c r="G480">
        <v>91</v>
      </c>
      <c r="H480" t="s">
        <v>23</v>
      </c>
      <c r="I480" t="s">
        <v>24</v>
      </c>
      <c r="J480" t="s">
        <v>1413</v>
      </c>
      <c r="K480">
        <v>77</v>
      </c>
      <c r="L480" t="s">
        <v>2642</v>
      </c>
      <c r="M480" t="s">
        <v>2643</v>
      </c>
      <c r="N480" t="s">
        <v>25</v>
      </c>
      <c r="O480" s="12">
        <v>45685.555555555555</v>
      </c>
      <c r="P480" s="12">
        <v>45690.013888888891</v>
      </c>
      <c r="Q480" s="12">
        <v>45685.79791666667</v>
      </c>
      <c r="R480" s="12">
        <v>45685.938888888886</v>
      </c>
      <c r="S480" s="12">
        <v>45694.972222222219</v>
      </c>
      <c r="U480" t="b">
        <v>0</v>
      </c>
    </row>
    <row r="481" spans="1:21">
      <c r="A481" t="s">
        <v>3175</v>
      </c>
      <c r="B481" t="s">
        <v>2874</v>
      </c>
      <c r="C481" t="s">
        <v>1898</v>
      </c>
      <c r="D481" t="s">
        <v>3176</v>
      </c>
      <c r="E481" t="s">
        <v>3177</v>
      </c>
      <c r="F481" t="s">
        <v>2084</v>
      </c>
      <c r="G481">
        <v>299</v>
      </c>
      <c r="H481" t="s">
        <v>140</v>
      </c>
      <c r="I481" t="s">
        <v>30</v>
      </c>
      <c r="J481" t="s">
        <v>1339</v>
      </c>
      <c r="K481">
        <v>71</v>
      </c>
      <c r="L481" t="s">
        <v>2601</v>
      </c>
      <c r="M481" t="s">
        <v>2618</v>
      </c>
      <c r="N481" t="s">
        <v>82</v>
      </c>
      <c r="O481" s="12">
        <v>46233.5</v>
      </c>
      <c r="Q481" s="12">
        <v>46233.619444444441</v>
      </c>
      <c r="R481" s="12">
        <v>46233.706250000003</v>
      </c>
      <c r="T481" t="s">
        <v>2933</v>
      </c>
      <c r="U481" t="b">
        <v>0</v>
      </c>
    </row>
    <row r="482" spans="1:21">
      <c r="A482" t="s">
        <v>3178</v>
      </c>
      <c r="B482" t="s">
        <v>1176</v>
      </c>
      <c r="C482" t="s">
        <v>1462</v>
      </c>
      <c r="D482" t="s">
        <v>3179</v>
      </c>
      <c r="E482" t="s">
        <v>3180</v>
      </c>
      <c r="F482" t="s">
        <v>2617</v>
      </c>
      <c r="G482">
        <v>89</v>
      </c>
      <c r="H482" t="s">
        <v>23</v>
      </c>
      <c r="I482" t="s">
        <v>24</v>
      </c>
      <c r="J482" t="s">
        <v>1281</v>
      </c>
      <c r="K482">
        <v>69</v>
      </c>
      <c r="L482" t="s">
        <v>2592</v>
      </c>
      <c r="M482" t="s">
        <v>2618</v>
      </c>
      <c r="N482" t="s">
        <v>25</v>
      </c>
      <c r="O482" s="12">
        <v>46041.116666666669</v>
      </c>
      <c r="P482" s="12">
        <v>46043.7</v>
      </c>
      <c r="Q482" s="12">
        <v>46041.131944444445</v>
      </c>
      <c r="R482" s="12">
        <v>46042.131944444445</v>
      </c>
      <c r="T482" t="s">
        <v>2685</v>
      </c>
      <c r="U482" t="b">
        <v>0</v>
      </c>
    </row>
    <row r="483" spans="1:21">
      <c r="A483" t="s">
        <v>3181</v>
      </c>
      <c r="B483" t="s">
        <v>1190</v>
      </c>
      <c r="C483" t="s">
        <v>1385</v>
      </c>
      <c r="D483" t="s">
        <v>3182</v>
      </c>
      <c r="E483" t="s">
        <v>3183</v>
      </c>
      <c r="F483" t="s">
        <v>2271</v>
      </c>
      <c r="G483">
        <v>25</v>
      </c>
      <c r="H483" t="s">
        <v>408</v>
      </c>
      <c r="I483" t="s">
        <v>24</v>
      </c>
      <c r="J483" t="s">
        <v>1355</v>
      </c>
      <c r="K483">
        <v>58</v>
      </c>
      <c r="L483" t="s">
        <v>2592</v>
      </c>
      <c r="M483" t="s">
        <v>2593</v>
      </c>
      <c r="N483" t="s">
        <v>69</v>
      </c>
      <c r="O483" s="12">
        <v>46273.431944444441</v>
      </c>
      <c r="P483" s="12">
        <v>46277.806944444441</v>
      </c>
      <c r="Q483" s="12">
        <v>46273.646527777775</v>
      </c>
      <c r="R483" s="12">
        <v>46274.146527777775</v>
      </c>
      <c r="U483" t="b">
        <v>0</v>
      </c>
    </row>
    <row r="484" spans="1:21">
      <c r="A484" t="s">
        <v>3184</v>
      </c>
      <c r="B484" t="s">
        <v>2628</v>
      </c>
      <c r="C484" t="s">
        <v>1172</v>
      </c>
      <c r="D484" t="s">
        <v>3185</v>
      </c>
      <c r="E484" t="s">
        <v>3186</v>
      </c>
      <c r="F484" t="s">
        <v>1182</v>
      </c>
      <c r="G484">
        <v>688</v>
      </c>
      <c r="H484" t="s">
        <v>182</v>
      </c>
      <c r="I484" t="s">
        <v>30</v>
      </c>
      <c r="J484" t="s">
        <v>1355</v>
      </c>
      <c r="K484">
        <v>53</v>
      </c>
      <c r="L484" t="s">
        <v>2601</v>
      </c>
      <c r="M484" t="s">
        <v>2605</v>
      </c>
      <c r="N484" t="s">
        <v>36</v>
      </c>
      <c r="O484" s="12">
        <v>45912.17291666667</v>
      </c>
      <c r="Q484" s="12">
        <v>45912.212500000001</v>
      </c>
      <c r="R484" s="12">
        <v>45912.238888888889</v>
      </c>
      <c r="U484" t="b">
        <v>0</v>
      </c>
    </row>
    <row r="485" spans="1:21">
      <c r="A485" t="s">
        <v>3187</v>
      </c>
      <c r="B485" t="s">
        <v>1584</v>
      </c>
      <c r="C485" t="s">
        <v>1475</v>
      </c>
      <c r="D485" t="s">
        <v>3188</v>
      </c>
      <c r="E485" t="s">
        <v>3189</v>
      </c>
      <c r="F485" t="s">
        <v>1309</v>
      </c>
      <c r="G485">
        <v>12</v>
      </c>
      <c r="H485" t="s">
        <v>205</v>
      </c>
      <c r="J485" t="s">
        <v>1413</v>
      </c>
      <c r="K485">
        <v>72</v>
      </c>
      <c r="L485" t="s">
        <v>2601</v>
      </c>
      <c r="M485" t="s">
        <v>2618</v>
      </c>
      <c r="O485" s="12">
        <v>45421.547222222223</v>
      </c>
      <c r="T485" t="s">
        <v>2933</v>
      </c>
      <c r="U485" t="b">
        <v>0</v>
      </c>
    </row>
    <row r="486" spans="1:21">
      <c r="A486" t="s">
        <v>3190</v>
      </c>
      <c r="B486" t="s">
        <v>2645</v>
      </c>
      <c r="C486" t="s">
        <v>1660</v>
      </c>
      <c r="D486" t="s">
        <v>3191</v>
      </c>
      <c r="E486" t="s">
        <v>3192</v>
      </c>
      <c r="F486" t="s">
        <v>1511</v>
      </c>
      <c r="G486">
        <v>185</v>
      </c>
      <c r="H486" t="s">
        <v>41</v>
      </c>
      <c r="I486" t="s">
        <v>24</v>
      </c>
      <c r="J486" t="s">
        <v>1413</v>
      </c>
      <c r="K486">
        <v>73</v>
      </c>
      <c r="L486" t="s">
        <v>2601</v>
      </c>
      <c r="M486" t="s">
        <v>2605</v>
      </c>
      <c r="N486" t="s">
        <v>25</v>
      </c>
      <c r="O486" s="12">
        <v>46097.956250000003</v>
      </c>
      <c r="Q486" s="12">
        <v>46098.090277777781</v>
      </c>
      <c r="R486" s="12">
        <v>46098.217361111114</v>
      </c>
      <c r="U486" t="b">
        <v>0</v>
      </c>
    </row>
    <row r="487" spans="1:21">
      <c r="A487" t="s">
        <v>3193</v>
      </c>
      <c r="B487" t="s">
        <v>2847</v>
      </c>
      <c r="C487" t="s">
        <v>1278</v>
      </c>
      <c r="D487" t="s">
        <v>3194</v>
      </c>
      <c r="E487" t="s">
        <v>3195</v>
      </c>
      <c r="F487" t="s">
        <v>2084</v>
      </c>
      <c r="G487">
        <v>130</v>
      </c>
      <c r="H487" t="s">
        <v>415</v>
      </c>
      <c r="I487" t="s">
        <v>24</v>
      </c>
      <c r="J487" t="s">
        <v>1339</v>
      </c>
      <c r="K487">
        <v>68</v>
      </c>
      <c r="L487" t="s">
        <v>2642</v>
      </c>
      <c r="M487" t="s">
        <v>2597</v>
      </c>
      <c r="N487" t="s">
        <v>69</v>
      </c>
      <c r="O487" s="12">
        <v>45748.601388888892</v>
      </c>
      <c r="P487" s="12">
        <v>45749.93472222222</v>
      </c>
      <c r="Q487" s="12">
        <v>45748.646527777775</v>
      </c>
      <c r="R487" s="12">
        <v>45748.774305555555</v>
      </c>
      <c r="S487" s="12">
        <v>45757.851388888892</v>
      </c>
      <c r="U487" t="b">
        <v>0</v>
      </c>
    </row>
    <row r="488" spans="1:21">
      <c r="A488" t="s">
        <v>3196</v>
      </c>
      <c r="B488" t="s">
        <v>1138</v>
      </c>
      <c r="C488" t="s">
        <v>1469</v>
      </c>
      <c r="D488" t="s">
        <v>3197</v>
      </c>
      <c r="E488" t="s">
        <v>3198</v>
      </c>
      <c r="F488" t="s">
        <v>2660</v>
      </c>
      <c r="G488">
        <v>612</v>
      </c>
      <c r="H488" t="s">
        <v>23</v>
      </c>
      <c r="I488" t="s">
        <v>30</v>
      </c>
      <c r="J488" t="s">
        <v>1413</v>
      </c>
      <c r="K488">
        <v>53</v>
      </c>
      <c r="L488" t="s">
        <v>2592</v>
      </c>
      <c r="M488" t="s">
        <v>2597</v>
      </c>
      <c r="N488" t="s">
        <v>82</v>
      </c>
      <c r="O488" s="12">
        <v>45883.607638888891</v>
      </c>
      <c r="P488" s="12">
        <v>45888.315972222219</v>
      </c>
      <c r="Q488" s="12">
        <v>45883.636111111111</v>
      </c>
      <c r="R488" s="12">
        <v>45883.696527777778</v>
      </c>
      <c r="U488" t="b">
        <v>0</v>
      </c>
    </row>
    <row r="489" spans="1:21">
      <c r="A489" t="s">
        <v>3199</v>
      </c>
      <c r="B489" t="s">
        <v>1649</v>
      </c>
      <c r="C489" t="s">
        <v>1655</v>
      </c>
      <c r="D489" t="s">
        <v>3200</v>
      </c>
      <c r="E489" t="s">
        <v>3201</v>
      </c>
      <c r="F489" t="s">
        <v>1487</v>
      </c>
      <c r="G489">
        <v>195</v>
      </c>
      <c r="H489" t="s">
        <v>638</v>
      </c>
      <c r="I489" t="s">
        <v>24</v>
      </c>
      <c r="J489" t="s">
        <v>1281</v>
      </c>
      <c r="K489">
        <v>63</v>
      </c>
      <c r="L489" t="s">
        <v>2601</v>
      </c>
      <c r="M489" t="s">
        <v>2655</v>
      </c>
      <c r="N489" t="s">
        <v>69</v>
      </c>
      <c r="O489" s="12">
        <v>46012.423611111109</v>
      </c>
      <c r="Q489" s="12">
        <v>46012.499305555553</v>
      </c>
      <c r="U489" t="b">
        <v>0</v>
      </c>
    </row>
    <row r="490" spans="1:21">
      <c r="A490" t="s">
        <v>3202</v>
      </c>
      <c r="B490" t="s">
        <v>1190</v>
      </c>
      <c r="C490" t="s">
        <v>1597</v>
      </c>
      <c r="D490" t="s">
        <v>3203</v>
      </c>
      <c r="E490" t="s">
        <v>3204</v>
      </c>
      <c r="F490" t="s">
        <v>2617</v>
      </c>
      <c r="G490">
        <v>273</v>
      </c>
      <c r="H490" t="s">
        <v>140</v>
      </c>
      <c r="I490" t="s">
        <v>30</v>
      </c>
      <c r="J490" t="s">
        <v>1295</v>
      </c>
      <c r="K490">
        <v>74</v>
      </c>
      <c r="L490" t="s">
        <v>2642</v>
      </c>
      <c r="M490" t="s">
        <v>2643</v>
      </c>
      <c r="N490" t="s">
        <v>82</v>
      </c>
      <c r="O490" s="12">
        <v>45545.433333333334</v>
      </c>
      <c r="P490" s="12">
        <v>45545.724999999999</v>
      </c>
      <c r="Q490" s="12">
        <v>45545.579861111109</v>
      </c>
      <c r="R490" s="12">
        <v>45545.694444444445</v>
      </c>
      <c r="S490" s="12">
        <v>45547.14166666667</v>
      </c>
      <c r="U490" t="b">
        <v>0</v>
      </c>
    </row>
    <row r="491" spans="1:21">
      <c r="A491" t="s">
        <v>3205</v>
      </c>
      <c r="B491" t="s">
        <v>2662</v>
      </c>
      <c r="C491" t="s">
        <v>1631</v>
      </c>
      <c r="D491" t="s">
        <v>3206</v>
      </c>
      <c r="E491" t="s">
        <v>3207</v>
      </c>
      <c r="F491" t="s">
        <v>2271</v>
      </c>
      <c r="G491">
        <v>480</v>
      </c>
      <c r="H491" t="s">
        <v>64</v>
      </c>
      <c r="I491" t="s">
        <v>30</v>
      </c>
      <c r="J491" t="s">
        <v>1355</v>
      </c>
      <c r="K491">
        <v>55</v>
      </c>
      <c r="L491" t="s">
        <v>2601</v>
      </c>
      <c r="M491" t="s">
        <v>2593</v>
      </c>
      <c r="N491" t="s">
        <v>55</v>
      </c>
      <c r="O491" s="12">
        <v>45643.036111111112</v>
      </c>
      <c r="Q491" s="12">
        <v>45643.19027777778</v>
      </c>
      <c r="R491" s="12">
        <v>45643.227083333331</v>
      </c>
      <c r="U491" t="b">
        <v>0</v>
      </c>
    </row>
    <row r="492" spans="1:21">
      <c r="A492" t="s">
        <v>3208</v>
      </c>
      <c r="B492" t="s">
        <v>1111</v>
      </c>
      <c r="C492" t="s">
        <v>1145</v>
      </c>
      <c r="D492" t="s">
        <v>3209</v>
      </c>
      <c r="E492" t="s">
        <v>3210</v>
      </c>
      <c r="F492" t="s">
        <v>1471</v>
      </c>
      <c r="G492">
        <v>286</v>
      </c>
      <c r="H492" t="s">
        <v>81</v>
      </c>
      <c r="I492" t="s">
        <v>30</v>
      </c>
      <c r="J492" t="s">
        <v>1413</v>
      </c>
      <c r="K492">
        <v>76</v>
      </c>
      <c r="L492" t="s">
        <v>2601</v>
      </c>
      <c r="M492" t="s">
        <v>2605</v>
      </c>
      <c r="N492" t="s">
        <v>82</v>
      </c>
      <c r="O492" s="12">
        <v>46207.042361111111</v>
      </c>
      <c r="Q492" s="12">
        <v>46207.09097222222</v>
      </c>
      <c r="R492" s="12">
        <v>46207.143750000003</v>
      </c>
      <c r="U492" t="b">
        <v>0</v>
      </c>
    </row>
    <row r="493" spans="1:21">
      <c r="A493" t="s">
        <v>3211</v>
      </c>
      <c r="B493" t="s">
        <v>2645</v>
      </c>
      <c r="C493" t="s">
        <v>1541</v>
      </c>
      <c r="D493" t="s">
        <v>3212</v>
      </c>
      <c r="E493" t="s">
        <v>3213</v>
      </c>
      <c r="F493" t="s">
        <v>2660</v>
      </c>
      <c r="G493">
        <v>645</v>
      </c>
      <c r="H493" t="s">
        <v>366</v>
      </c>
      <c r="I493" t="s">
        <v>30</v>
      </c>
      <c r="J493" t="s">
        <v>1339</v>
      </c>
      <c r="K493">
        <v>92</v>
      </c>
      <c r="L493" t="s">
        <v>2642</v>
      </c>
      <c r="M493" t="s">
        <v>2643</v>
      </c>
      <c r="N493" t="s">
        <v>18</v>
      </c>
      <c r="O493" s="12">
        <v>45955.415277777778</v>
      </c>
      <c r="P493" s="12">
        <v>45958.498611111114</v>
      </c>
      <c r="Q493" s="12">
        <v>45955.621527777781</v>
      </c>
      <c r="R493" s="12">
        <v>45955.758333333331</v>
      </c>
      <c r="S493" s="12">
        <v>45963.373611111114</v>
      </c>
      <c r="U493" t="b">
        <v>0</v>
      </c>
    </row>
    <row r="494" spans="1:21">
      <c r="A494" t="s">
        <v>3214</v>
      </c>
      <c r="B494" t="s">
        <v>2789</v>
      </c>
      <c r="C494" t="s">
        <v>1971</v>
      </c>
      <c r="D494" t="s">
        <v>3215</v>
      </c>
      <c r="E494" t="s">
        <v>3216</v>
      </c>
      <c r="F494" t="s">
        <v>1487</v>
      </c>
      <c r="G494">
        <v>96</v>
      </c>
      <c r="H494" t="s">
        <v>81</v>
      </c>
      <c r="I494" t="s">
        <v>24</v>
      </c>
      <c r="J494" t="s">
        <v>1295</v>
      </c>
      <c r="K494">
        <v>96</v>
      </c>
      <c r="L494" t="s">
        <v>2642</v>
      </c>
      <c r="M494" t="s">
        <v>2643</v>
      </c>
      <c r="N494" t="s">
        <v>25</v>
      </c>
      <c r="O494" s="12">
        <v>45986.970138888886</v>
      </c>
      <c r="P494" s="12">
        <v>45987.386805555558</v>
      </c>
      <c r="Q494" s="12">
        <v>45987.131944444445</v>
      </c>
      <c r="R494" s="12">
        <v>45988.131944444445</v>
      </c>
      <c r="S494" s="12">
        <v>45988.386805555558</v>
      </c>
      <c r="U494" t="b">
        <v>0</v>
      </c>
    </row>
    <row r="495" spans="1:21">
      <c r="A495" t="s">
        <v>3217</v>
      </c>
      <c r="B495" t="s">
        <v>1111</v>
      </c>
      <c r="C495" t="s">
        <v>1971</v>
      </c>
      <c r="D495" t="s">
        <v>3218</v>
      </c>
      <c r="E495" t="s">
        <v>3219</v>
      </c>
      <c r="F495" t="s">
        <v>1367</v>
      </c>
      <c r="G495">
        <v>13</v>
      </c>
      <c r="H495" t="s">
        <v>154</v>
      </c>
      <c r="J495" t="s">
        <v>1413</v>
      </c>
      <c r="K495">
        <v>64</v>
      </c>
      <c r="L495" t="s">
        <v>2592</v>
      </c>
      <c r="M495" t="s">
        <v>2593</v>
      </c>
      <c r="O495" s="12">
        <v>45361.798611111109</v>
      </c>
      <c r="P495" s="12">
        <v>45364.048611111109</v>
      </c>
      <c r="U495" t="b">
        <v>0</v>
      </c>
    </row>
    <row r="496" spans="1:21">
      <c r="A496" t="s">
        <v>3220</v>
      </c>
      <c r="B496" t="s">
        <v>1202</v>
      </c>
      <c r="C496" t="s">
        <v>1660</v>
      </c>
      <c r="D496" t="s">
        <v>3221</v>
      </c>
      <c r="E496" t="s">
        <v>3222</v>
      </c>
      <c r="F496" t="s">
        <v>1294</v>
      </c>
      <c r="G496">
        <v>1748</v>
      </c>
      <c r="H496" t="s">
        <v>95</v>
      </c>
      <c r="I496" t="s">
        <v>17</v>
      </c>
      <c r="J496" t="s">
        <v>1413</v>
      </c>
      <c r="K496">
        <v>70</v>
      </c>
      <c r="L496" t="s">
        <v>2642</v>
      </c>
      <c r="M496" t="s">
        <v>2643</v>
      </c>
      <c r="N496" t="s">
        <v>18</v>
      </c>
      <c r="O496" s="12">
        <v>45582.902777777781</v>
      </c>
      <c r="P496" s="12">
        <v>45586.236111111109</v>
      </c>
      <c r="Q496" s="12">
        <v>45583.111111111109</v>
      </c>
      <c r="R496" s="12">
        <v>45583.195833333331</v>
      </c>
      <c r="S496" s="12">
        <v>45590.486111111109</v>
      </c>
      <c r="U496" t="b">
        <v>0</v>
      </c>
    </row>
    <row r="497" spans="1:21">
      <c r="A497" t="s">
        <v>3223</v>
      </c>
      <c r="B497" t="s">
        <v>2666</v>
      </c>
      <c r="C497" t="s">
        <v>1162</v>
      </c>
      <c r="D497" t="s">
        <v>3224</v>
      </c>
      <c r="E497" t="s">
        <v>3225</v>
      </c>
      <c r="F497" t="s">
        <v>2709</v>
      </c>
      <c r="G497">
        <v>137</v>
      </c>
      <c r="H497" t="s">
        <v>41</v>
      </c>
      <c r="I497" t="s">
        <v>24</v>
      </c>
      <c r="J497" t="s">
        <v>1413</v>
      </c>
      <c r="K497">
        <v>76</v>
      </c>
      <c r="L497" t="s">
        <v>2601</v>
      </c>
      <c r="M497" t="s">
        <v>2655</v>
      </c>
      <c r="N497" t="s">
        <v>25</v>
      </c>
      <c r="O497" s="12">
        <v>45449.21597222222</v>
      </c>
      <c r="Q497" s="12">
        <v>45449.253472222219</v>
      </c>
      <c r="U497" t="b">
        <v>0</v>
      </c>
    </row>
    <row r="498" spans="1:21">
      <c r="A498" t="s">
        <v>3226</v>
      </c>
      <c r="B498" t="s">
        <v>1138</v>
      </c>
      <c r="C498" t="s">
        <v>1172</v>
      </c>
      <c r="D498" t="s">
        <v>3227</v>
      </c>
      <c r="E498" t="s">
        <v>3228</v>
      </c>
      <c r="F498" t="s">
        <v>1784</v>
      </c>
      <c r="G498">
        <v>955</v>
      </c>
      <c r="H498" t="s">
        <v>216</v>
      </c>
      <c r="I498" t="s">
        <v>30</v>
      </c>
      <c r="J498" t="s">
        <v>1288</v>
      </c>
      <c r="K498">
        <v>40</v>
      </c>
      <c r="L498" t="s">
        <v>2601</v>
      </c>
      <c r="M498" t="s">
        <v>2655</v>
      </c>
      <c r="N498" t="s">
        <v>18</v>
      </c>
      <c r="O498" s="12">
        <v>45386.423611111109</v>
      </c>
      <c r="Q498" s="12">
        <v>45386.588888888888</v>
      </c>
      <c r="U498" t="b">
        <v>0</v>
      </c>
    </row>
    <row r="499" spans="1:21">
      <c r="A499" t="s">
        <v>3229</v>
      </c>
      <c r="B499" t="s">
        <v>2645</v>
      </c>
      <c r="C499" t="s">
        <v>1307</v>
      </c>
      <c r="D499" t="s">
        <v>3230</v>
      </c>
      <c r="E499" t="s">
        <v>3231</v>
      </c>
      <c r="F499" t="s">
        <v>1309</v>
      </c>
      <c r="G499">
        <v>86</v>
      </c>
      <c r="H499" t="s">
        <v>216</v>
      </c>
      <c r="I499" t="s">
        <v>24</v>
      </c>
      <c r="J499" t="s">
        <v>1271</v>
      </c>
      <c r="K499">
        <v>54</v>
      </c>
      <c r="L499" t="s">
        <v>2601</v>
      </c>
      <c r="M499" t="s">
        <v>2655</v>
      </c>
      <c r="N499" t="s">
        <v>91</v>
      </c>
      <c r="O499" s="12">
        <v>45361.770138888889</v>
      </c>
      <c r="Q499" s="12">
        <v>45361.831250000003</v>
      </c>
      <c r="U499" t="b">
        <v>0</v>
      </c>
    </row>
    <row r="500" spans="1:21">
      <c r="A500" t="s">
        <v>3232</v>
      </c>
      <c r="B500" t="s">
        <v>2760</v>
      </c>
      <c r="C500" t="s">
        <v>1631</v>
      </c>
      <c r="D500" t="s">
        <v>3233</v>
      </c>
      <c r="E500" t="s">
        <v>3234</v>
      </c>
      <c r="F500" t="s">
        <v>1412</v>
      </c>
      <c r="G500">
        <v>158</v>
      </c>
      <c r="H500" t="s">
        <v>154</v>
      </c>
      <c r="I500" t="s">
        <v>24</v>
      </c>
      <c r="J500" t="s">
        <v>1288</v>
      </c>
      <c r="K500">
        <v>54</v>
      </c>
      <c r="L500" t="s">
        <v>2601</v>
      </c>
      <c r="M500" t="s">
        <v>2655</v>
      </c>
      <c r="N500" t="s">
        <v>25</v>
      </c>
      <c r="O500" s="12">
        <v>45655.823611111111</v>
      </c>
      <c r="Q500" s="12">
        <v>45655.99722222222</v>
      </c>
      <c r="U500" t="b">
        <v>0</v>
      </c>
    </row>
    <row r="501" spans="1:21">
      <c r="A501" t="s">
        <v>3235</v>
      </c>
      <c r="B501" t="s">
        <v>2662</v>
      </c>
      <c r="C501" t="s">
        <v>1631</v>
      </c>
      <c r="D501" t="s">
        <v>3236</v>
      </c>
      <c r="E501" t="s">
        <v>3237</v>
      </c>
      <c r="F501" t="s">
        <v>2755</v>
      </c>
      <c r="G501">
        <v>85</v>
      </c>
      <c r="I501" t="s">
        <v>24</v>
      </c>
      <c r="J501" t="s">
        <v>1271</v>
      </c>
      <c r="K501">
        <v>38</v>
      </c>
      <c r="L501" t="s">
        <v>2601</v>
      </c>
      <c r="M501" t="s">
        <v>2618</v>
      </c>
      <c r="N501" t="s">
        <v>69</v>
      </c>
      <c r="O501" s="12">
        <v>45731.336111111108</v>
      </c>
      <c r="Q501" s="12">
        <v>45731.478472222225</v>
      </c>
      <c r="R501" s="12">
        <v>45731.604861111111</v>
      </c>
      <c r="T501" t="s">
        <v>2648</v>
      </c>
      <c r="U501" t="b">
        <v>0</v>
      </c>
    </row>
    <row r="502" spans="1:21">
      <c r="A502" t="s">
        <v>3238</v>
      </c>
      <c r="B502" t="s">
        <v>1431</v>
      </c>
      <c r="C502" t="s">
        <v>1168</v>
      </c>
      <c r="D502" t="s">
        <v>3239</v>
      </c>
      <c r="E502" t="s">
        <v>3240</v>
      </c>
      <c r="F502" t="s">
        <v>1182</v>
      </c>
      <c r="G502">
        <v>132</v>
      </c>
      <c r="H502" t="s">
        <v>236</v>
      </c>
      <c r="I502" t="s">
        <v>24</v>
      </c>
      <c r="J502" t="s">
        <v>1271</v>
      </c>
      <c r="K502">
        <v>71</v>
      </c>
      <c r="L502" t="s">
        <v>2601</v>
      </c>
      <c r="M502" t="s">
        <v>2593</v>
      </c>
      <c r="N502" t="s">
        <v>91</v>
      </c>
      <c r="O502" s="12">
        <v>45335.740972222222</v>
      </c>
      <c r="Q502" s="12">
        <v>45335.806944444441</v>
      </c>
      <c r="R502" s="12">
        <v>45335.925694444442</v>
      </c>
      <c r="U502" t="b">
        <v>0</v>
      </c>
    </row>
    <row r="503" spans="1:21">
      <c r="A503" t="s">
        <v>3241</v>
      </c>
      <c r="B503" t="s">
        <v>2827</v>
      </c>
      <c r="C503" t="s">
        <v>1343</v>
      </c>
      <c r="D503" t="s">
        <v>3242</v>
      </c>
      <c r="E503" t="s">
        <v>3243</v>
      </c>
      <c r="F503" t="s">
        <v>1517</v>
      </c>
      <c r="G503">
        <v>149</v>
      </c>
      <c r="H503" t="s">
        <v>638</v>
      </c>
      <c r="I503" t="s">
        <v>24</v>
      </c>
      <c r="J503" t="s">
        <v>1281</v>
      </c>
      <c r="K503">
        <v>64</v>
      </c>
      <c r="L503" t="s">
        <v>2592</v>
      </c>
      <c r="M503" t="s">
        <v>2605</v>
      </c>
      <c r="N503" t="s">
        <v>69</v>
      </c>
      <c r="O503" s="12">
        <v>46010.493055555555</v>
      </c>
      <c r="P503" s="12">
        <v>46014.451388888891</v>
      </c>
      <c r="Q503" s="12">
        <v>46010.644444444442</v>
      </c>
      <c r="R503" s="12">
        <v>46011.227777777778</v>
      </c>
      <c r="U503" t="b">
        <v>0</v>
      </c>
    </row>
    <row r="504" spans="1:21">
      <c r="A504" t="s">
        <v>3244</v>
      </c>
      <c r="B504" t="s">
        <v>1185</v>
      </c>
      <c r="C504" t="s">
        <v>1125</v>
      </c>
      <c r="D504" t="s">
        <v>3245</v>
      </c>
      <c r="E504" t="s">
        <v>3246</v>
      </c>
      <c r="F504" t="s">
        <v>1412</v>
      </c>
      <c r="G504">
        <v>8</v>
      </c>
      <c r="H504" t="s">
        <v>41</v>
      </c>
      <c r="J504" t="s">
        <v>1355</v>
      </c>
      <c r="K504">
        <v>77</v>
      </c>
      <c r="L504" t="s">
        <v>2601</v>
      </c>
      <c r="M504" t="s">
        <v>2618</v>
      </c>
      <c r="O504" s="12">
        <v>46184.226388888892</v>
      </c>
      <c r="T504" t="s">
        <v>2933</v>
      </c>
      <c r="U504" t="b">
        <v>0</v>
      </c>
    </row>
    <row r="505" spans="1:21">
      <c r="A505" t="s">
        <v>3247</v>
      </c>
      <c r="B505" t="s">
        <v>2906</v>
      </c>
      <c r="C505" t="s">
        <v>1142</v>
      </c>
      <c r="D505" t="s">
        <v>3248</v>
      </c>
      <c r="E505" t="s">
        <v>3249</v>
      </c>
      <c r="F505" t="s">
        <v>2755</v>
      </c>
      <c r="G505">
        <v>565</v>
      </c>
      <c r="H505" t="s">
        <v>95</v>
      </c>
      <c r="I505" t="s">
        <v>30</v>
      </c>
      <c r="J505" t="s">
        <v>1339</v>
      </c>
      <c r="K505">
        <v>89</v>
      </c>
      <c r="L505" t="s">
        <v>2592</v>
      </c>
      <c r="M505" t="s">
        <v>2597</v>
      </c>
      <c r="N505" t="s">
        <v>18</v>
      </c>
      <c r="O505" s="12">
        <v>45685.07708333333</v>
      </c>
      <c r="P505" s="12">
        <v>45687.910416666666</v>
      </c>
      <c r="Q505" s="12">
        <v>45685.239583333336</v>
      </c>
      <c r="R505" s="12">
        <v>45685.290972222225</v>
      </c>
      <c r="U505" t="b">
        <v>0</v>
      </c>
    </row>
    <row r="506" spans="1:21">
      <c r="A506" t="s">
        <v>3250</v>
      </c>
      <c r="B506" t="s">
        <v>2834</v>
      </c>
      <c r="C506" t="s">
        <v>1135</v>
      </c>
      <c r="D506" t="s">
        <v>3251</v>
      </c>
      <c r="E506" t="s">
        <v>3252</v>
      </c>
      <c r="F506" t="s">
        <v>1294</v>
      </c>
      <c r="G506">
        <v>869</v>
      </c>
      <c r="H506" t="s">
        <v>249</v>
      </c>
      <c r="I506" t="s">
        <v>30</v>
      </c>
      <c r="J506" t="s">
        <v>1271</v>
      </c>
      <c r="K506">
        <v>51</v>
      </c>
      <c r="L506" t="s">
        <v>2592</v>
      </c>
      <c r="M506" t="s">
        <v>2597</v>
      </c>
      <c r="N506" t="s">
        <v>36</v>
      </c>
      <c r="O506" s="12">
        <v>46155.8</v>
      </c>
      <c r="P506" s="12">
        <v>46156.633333333331</v>
      </c>
      <c r="Q506" s="12">
        <v>46156.004861111112</v>
      </c>
      <c r="R506" s="12">
        <v>46156.0625</v>
      </c>
      <c r="U506" t="b">
        <v>0</v>
      </c>
    </row>
    <row r="507" spans="1:21">
      <c r="A507" t="s">
        <v>3253</v>
      </c>
      <c r="B507" t="s">
        <v>1898</v>
      </c>
      <c r="C507" t="s">
        <v>1212</v>
      </c>
      <c r="D507" t="s">
        <v>3254</v>
      </c>
      <c r="E507" t="s">
        <v>3255</v>
      </c>
      <c r="F507" t="s">
        <v>1487</v>
      </c>
      <c r="G507">
        <v>150</v>
      </c>
      <c r="H507" t="s">
        <v>154</v>
      </c>
      <c r="I507" t="s">
        <v>24</v>
      </c>
      <c r="J507" t="s">
        <v>1288</v>
      </c>
      <c r="K507">
        <v>53</v>
      </c>
      <c r="L507" t="s">
        <v>2601</v>
      </c>
      <c r="M507" t="s">
        <v>2605</v>
      </c>
      <c r="N507" t="s">
        <v>25</v>
      </c>
      <c r="O507" s="12">
        <v>45569.05972222222</v>
      </c>
      <c r="Q507" s="12">
        <v>45569.279861111114</v>
      </c>
      <c r="R507" s="12">
        <v>45569.420138888891</v>
      </c>
      <c r="U507" t="b">
        <v>0</v>
      </c>
    </row>
    <row r="508" spans="1:21">
      <c r="A508" t="s">
        <v>3256</v>
      </c>
      <c r="B508" t="s">
        <v>2902</v>
      </c>
      <c r="C508" t="s">
        <v>1212</v>
      </c>
      <c r="D508" t="s">
        <v>3257</v>
      </c>
      <c r="E508" t="s">
        <v>3258</v>
      </c>
      <c r="F508" t="s">
        <v>2084</v>
      </c>
      <c r="G508">
        <v>150</v>
      </c>
      <c r="H508" t="s">
        <v>68</v>
      </c>
      <c r="I508" t="s">
        <v>24</v>
      </c>
      <c r="J508" t="s">
        <v>1413</v>
      </c>
      <c r="K508">
        <v>53</v>
      </c>
      <c r="L508" t="s">
        <v>2601</v>
      </c>
      <c r="M508" t="s">
        <v>2643</v>
      </c>
      <c r="N508" t="s">
        <v>25</v>
      </c>
      <c r="O508" s="12">
        <v>45753.869444444441</v>
      </c>
      <c r="Q508" s="12">
        <v>45754.011805555558</v>
      </c>
      <c r="R508" s="12">
        <v>45754.054861111108</v>
      </c>
      <c r="U508" t="b">
        <v>0</v>
      </c>
    </row>
    <row r="509" spans="1:21">
      <c r="A509" t="s">
        <v>3259</v>
      </c>
      <c r="B509" t="s">
        <v>2834</v>
      </c>
      <c r="C509" t="s">
        <v>1365</v>
      </c>
      <c r="D509" t="s">
        <v>3260</v>
      </c>
      <c r="E509" t="s">
        <v>3261</v>
      </c>
      <c r="F509" t="s">
        <v>1294</v>
      </c>
      <c r="G509">
        <v>388</v>
      </c>
      <c r="H509" t="s">
        <v>81</v>
      </c>
      <c r="I509" t="s">
        <v>30</v>
      </c>
      <c r="J509" t="s">
        <v>1281</v>
      </c>
      <c r="K509">
        <v>71</v>
      </c>
      <c r="L509" t="s">
        <v>2601</v>
      </c>
      <c r="M509" t="s">
        <v>2618</v>
      </c>
      <c r="N509" t="s">
        <v>82</v>
      </c>
      <c r="O509" s="12">
        <v>46157.344444444447</v>
      </c>
      <c r="Q509" s="12">
        <v>46157.421527777777</v>
      </c>
      <c r="R509" s="12">
        <v>46157.463888888888</v>
      </c>
      <c r="T509" t="s">
        <v>2933</v>
      </c>
      <c r="U509" t="b">
        <v>0</v>
      </c>
    </row>
    <row r="510" spans="1:21">
      <c r="A510" t="s">
        <v>3262</v>
      </c>
      <c r="B510" t="s">
        <v>1649</v>
      </c>
      <c r="C510" t="s">
        <v>1148</v>
      </c>
      <c r="D510" t="s">
        <v>3263</v>
      </c>
      <c r="E510" t="s">
        <v>3264</v>
      </c>
      <c r="F510" t="s">
        <v>1367</v>
      </c>
      <c r="G510">
        <v>117</v>
      </c>
      <c r="H510" t="s">
        <v>16</v>
      </c>
      <c r="I510" t="s">
        <v>24</v>
      </c>
      <c r="J510" t="s">
        <v>1288</v>
      </c>
      <c r="K510">
        <v>43</v>
      </c>
      <c r="L510" t="s">
        <v>2592</v>
      </c>
      <c r="M510" t="s">
        <v>2593</v>
      </c>
      <c r="N510" t="s">
        <v>91</v>
      </c>
      <c r="O510" s="12">
        <v>45347.734722222223</v>
      </c>
      <c r="P510" s="12">
        <v>45348.193055555559</v>
      </c>
      <c r="Q510" s="12">
        <v>45347.76666666667</v>
      </c>
      <c r="R510" s="12">
        <v>45347.915277777778</v>
      </c>
      <c r="U510" t="b">
        <v>0</v>
      </c>
    </row>
    <row r="511" spans="1:21">
      <c r="A511" t="s">
        <v>3265</v>
      </c>
      <c r="B511" t="s">
        <v>2834</v>
      </c>
      <c r="C511" t="s">
        <v>1404</v>
      </c>
      <c r="D511" t="s">
        <v>3266</v>
      </c>
      <c r="E511" t="s">
        <v>3267</v>
      </c>
      <c r="F511" t="s">
        <v>1367</v>
      </c>
      <c r="G511">
        <v>311</v>
      </c>
      <c r="H511" t="s">
        <v>171</v>
      </c>
      <c r="I511" t="s">
        <v>30</v>
      </c>
      <c r="J511" t="s">
        <v>1288</v>
      </c>
      <c r="K511">
        <v>53</v>
      </c>
      <c r="L511" t="s">
        <v>2601</v>
      </c>
      <c r="M511" t="s">
        <v>2605</v>
      </c>
      <c r="N511" t="s">
        <v>18</v>
      </c>
      <c r="O511" s="12">
        <v>45619.8125</v>
      </c>
      <c r="Q511" s="12">
        <v>45619.9375</v>
      </c>
      <c r="R511" s="12">
        <v>45619.973611111112</v>
      </c>
      <c r="U511" t="b">
        <v>0</v>
      </c>
    </row>
    <row r="512" spans="1:21">
      <c r="A512" t="s">
        <v>3268</v>
      </c>
      <c r="B512" t="s">
        <v>1111</v>
      </c>
      <c r="C512" t="s">
        <v>1142</v>
      </c>
      <c r="D512" t="s">
        <v>3269</v>
      </c>
      <c r="E512" t="s">
        <v>3270</v>
      </c>
      <c r="F512" t="s">
        <v>1420</v>
      </c>
      <c r="G512">
        <v>134</v>
      </c>
      <c r="H512" t="s">
        <v>212</v>
      </c>
      <c r="I512" t="s">
        <v>24</v>
      </c>
      <c r="J512" t="s">
        <v>1281</v>
      </c>
      <c r="K512">
        <v>82</v>
      </c>
      <c r="L512" t="s">
        <v>2592</v>
      </c>
      <c r="M512" t="s">
        <v>2605</v>
      </c>
      <c r="N512" t="s">
        <v>69</v>
      </c>
      <c r="O512" s="12">
        <v>46125.717361111114</v>
      </c>
      <c r="P512" s="12">
        <v>46126.884027777778</v>
      </c>
      <c r="Q512" s="12">
        <v>46125.89166666667</v>
      </c>
      <c r="R512" s="12">
        <v>46125.904861111114</v>
      </c>
      <c r="U512" t="b">
        <v>0</v>
      </c>
    </row>
    <row r="513" spans="1:21">
      <c r="A513" t="s">
        <v>3271</v>
      </c>
      <c r="B513" t="s">
        <v>2733</v>
      </c>
      <c r="C513" t="s">
        <v>1597</v>
      </c>
      <c r="D513" t="s">
        <v>3272</v>
      </c>
      <c r="E513" t="s">
        <v>3273</v>
      </c>
      <c r="F513" t="s">
        <v>1309</v>
      </c>
      <c r="G513">
        <v>752</v>
      </c>
      <c r="H513" t="s">
        <v>140</v>
      </c>
      <c r="I513" t="s">
        <v>30</v>
      </c>
      <c r="J513" t="s">
        <v>1413</v>
      </c>
      <c r="K513">
        <v>71</v>
      </c>
      <c r="L513" t="s">
        <v>2592</v>
      </c>
      <c r="M513" t="s">
        <v>2593</v>
      </c>
      <c r="N513" t="s">
        <v>82</v>
      </c>
      <c r="O513" s="12">
        <v>46031.536805555559</v>
      </c>
      <c r="P513" s="12">
        <v>46034.120138888888</v>
      </c>
      <c r="Q513" s="12">
        <v>46031.762499999997</v>
      </c>
      <c r="R513" s="12">
        <v>46031.875694444447</v>
      </c>
      <c r="U513" t="b">
        <v>0</v>
      </c>
    </row>
    <row r="514" spans="1:21">
      <c r="A514" t="s">
        <v>3274</v>
      </c>
      <c r="B514" t="s">
        <v>1431</v>
      </c>
      <c r="C514" t="s">
        <v>1291</v>
      </c>
      <c r="D514" t="s">
        <v>3275</v>
      </c>
      <c r="E514" t="s">
        <v>3276</v>
      </c>
      <c r="F514" t="s">
        <v>2660</v>
      </c>
      <c r="G514">
        <v>94</v>
      </c>
      <c r="H514" t="s">
        <v>1034</v>
      </c>
      <c r="I514" t="s">
        <v>24</v>
      </c>
      <c r="J514" t="s">
        <v>1413</v>
      </c>
      <c r="K514">
        <v>56</v>
      </c>
      <c r="L514" t="s">
        <v>2601</v>
      </c>
      <c r="M514" t="s">
        <v>2593</v>
      </c>
      <c r="N514" t="s">
        <v>59</v>
      </c>
      <c r="O514" s="12">
        <v>45511.666666666664</v>
      </c>
      <c r="Q514" s="12">
        <v>45511.843055555553</v>
      </c>
      <c r="R514" s="12">
        <v>45512.218055555553</v>
      </c>
      <c r="U514" t="b">
        <v>0</v>
      </c>
    </row>
    <row r="515" spans="1:21">
      <c r="A515" t="s">
        <v>3277</v>
      </c>
      <c r="B515" t="s">
        <v>2733</v>
      </c>
      <c r="C515" t="s">
        <v>1203</v>
      </c>
      <c r="D515" t="s">
        <v>3278</v>
      </c>
      <c r="E515" t="s">
        <v>3279</v>
      </c>
      <c r="F515" t="s">
        <v>2084</v>
      </c>
      <c r="G515">
        <v>793</v>
      </c>
      <c r="H515" t="s">
        <v>50</v>
      </c>
      <c r="I515" t="s">
        <v>30</v>
      </c>
      <c r="J515" t="s">
        <v>1413</v>
      </c>
      <c r="K515">
        <v>44</v>
      </c>
      <c r="L515" t="s">
        <v>2601</v>
      </c>
      <c r="M515" t="s">
        <v>2618</v>
      </c>
      <c r="N515" t="s">
        <v>36</v>
      </c>
      <c r="O515" s="12">
        <v>45305.636111111111</v>
      </c>
      <c r="Q515" s="12">
        <v>45305.686805555553</v>
      </c>
      <c r="R515" s="12">
        <v>45305.70416666667</v>
      </c>
      <c r="T515" t="s">
        <v>2739</v>
      </c>
      <c r="U515" t="b">
        <v>0</v>
      </c>
    </row>
    <row r="516" spans="1:21">
      <c r="A516" t="s">
        <v>3280</v>
      </c>
      <c r="B516" t="s">
        <v>1485</v>
      </c>
      <c r="C516" t="s">
        <v>1436</v>
      </c>
      <c r="D516" t="s">
        <v>3281</v>
      </c>
      <c r="E516" t="s">
        <v>3282</v>
      </c>
      <c r="F516" t="s">
        <v>1511</v>
      </c>
      <c r="G516">
        <v>981</v>
      </c>
      <c r="H516" t="s">
        <v>404</v>
      </c>
      <c r="I516" t="s">
        <v>30</v>
      </c>
      <c r="J516" t="s">
        <v>1288</v>
      </c>
      <c r="K516">
        <v>61</v>
      </c>
      <c r="L516" t="s">
        <v>2601</v>
      </c>
      <c r="M516" t="s">
        <v>2593</v>
      </c>
      <c r="N516" t="s">
        <v>82</v>
      </c>
      <c r="O516" s="12">
        <v>45361.765972222223</v>
      </c>
      <c r="Q516" s="12">
        <v>45361.828472222223</v>
      </c>
      <c r="R516" s="12">
        <v>45361.936111111114</v>
      </c>
      <c r="U516" t="b">
        <v>0</v>
      </c>
    </row>
    <row r="517" spans="1:21">
      <c r="A517" t="s">
        <v>3283</v>
      </c>
      <c r="B517" t="s">
        <v>2628</v>
      </c>
      <c r="C517" t="s">
        <v>1125</v>
      </c>
      <c r="D517" t="s">
        <v>3284</v>
      </c>
      <c r="E517" t="s">
        <v>3285</v>
      </c>
      <c r="F517" t="s">
        <v>1784</v>
      </c>
      <c r="G517">
        <v>499</v>
      </c>
      <c r="H517" t="s">
        <v>212</v>
      </c>
      <c r="I517" t="s">
        <v>30</v>
      </c>
      <c r="J517" t="s">
        <v>1288</v>
      </c>
      <c r="K517">
        <v>47</v>
      </c>
      <c r="L517" t="s">
        <v>2601</v>
      </c>
      <c r="M517" t="s">
        <v>2655</v>
      </c>
      <c r="O517" s="12">
        <v>46021.084027777775</v>
      </c>
      <c r="U517" t="b">
        <v>0</v>
      </c>
    </row>
    <row r="518" spans="1:21">
      <c r="A518" t="s">
        <v>3286</v>
      </c>
      <c r="B518" t="s">
        <v>2607</v>
      </c>
      <c r="C518" t="s">
        <v>1541</v>
      </c>
      <c r="D518" t="s">
        <v>3287</v>
      </c>
      <c r="E518" t="s">
        <v>3288</v>
      </c>
      <c r="F518" t="s">
        <v>1294</v>
      </c>
      <c r="G518">
        <v>126</v>
      </c>
      <c r="H518" t="s">
        <v>54</v>
      </c>
      <c r="I518" t="s">
        <v>24</v>
      </c>
      <c r="J518" t="s">
        <v>1317</v>
      </c>
      <c r="K518">
        <v>75</v>
      </c>
      <c r="L518" t="s">
        <v>2601</v>
      </c>
      <c r="M518" t="s">
        <v>2593</v>
      </c>
      <c r="N518" t="s">
        <v>69</v>
      </c>
      <c r="O518" s="12">
        <v>45601.225694444445</v>
      </c>
      <c r="Q518" s="12">
        <v>45601.288888888892</v>
      </c>
      <c r="R518" s="12">
        <v>45601.385416666664</v>
      </c>
      <c r="U518" t="b">
        <v>0</v>
      </c>
    </row>
    <row r="519" spans="1:21">
      <c r="A519" t="s">
        <v>3289</v>
      </c>
      <c r="B519" t="s">
        <v>1211</v>
      </c>
      <c r="C519" t="s">
        <v>1155</v>
      </c>
      <c r="D519" t="s">
        <v>3290</v>
      </c>
      <c r="E519" t="s">
        <v>3291</v>
      </c>
      <c r="F519" t="s">
        <v>1517</v>
      </c>
      <c r="G519">
        <v>183</v>
      </c>
      <c r="H519" t="s">
        <v>41</v>
      </c>
      <c r="I519" t="s">
        <v>24</v>
      </c>
      <c r="J519" t="s">
        <v>3292</v>
      </c>
      <c r="K519">
        <v>80</v>
      </c>
      <c r="L519" t="s">
        <v>2642</v>
      </c>
      <c r="M519" t="s">
        <v>2643</v>
      </c>
      <c r="N519" t="s">
        <v>25</v>
      </c>
      <c r="O519" s="12">
        <v>45781.611805555556</v>
      </c>
      <c r="P519" s="12">
        <v>45785.695138888892</v>
      </c>
      <c r="Q519" s="12">
        <v>45781.859722222223</v>
      </c>
      <c r="R519" s="12">
        <v>45781.982638888891</v>
      </c>
      <c r="S519" s="12">
        <v>45793.236805555556</v>
      </c>
      <c r="U519" t="b">
        <v>0</v>
      </c>
    </row>
    <row r="520" spans="1:21">
      <c r="A520" t="s">
        <v>3293</v>
      </c>
      <c r="B520" t="s">
        <v>1584</v>
      </c>
      <c r="C520" t="s">
        <v>1771</v>
      </c>
      <c r="D520" t="s">
        <v>3294</v>
      </c>
      <c r="E520" t="s">
        <v>3295</v>
      </c>
      <c r="F520" t="s">
        <v>1182</v>
      </c>
      <c r="G520">
        <v>1699</v>
      </c>
      <c r="H520" t="s">
        <v>90</v>
      </c>
      <c r="I520" t="s">
        <v>17</v>
      </c>
      <c r="J520" t="s">
        <v>1339</v>
      </c>
      <c r="K520">
        <v>86</v>
      </c>
      <c r="L520" t="s">
        <v>2642</v>
      </c>
      <c r="M520" t="s">
        <v>2643</v>
      </c>
      <c r="N520" t="s">
        <v>18</v>
      </c>
      <c r="O520" s="12">
        <v>45377.544444444444</v>
      </c>
      <c r="P520" s="12">
        <v>45378.169444444444</v>
      </c>
      <c r="Q520" s="12">
        <v>45377.631249999999</v>
      </c>
      <c r="R520" s="12">
        <v>45377.736111111109</v>
      </c>
      <c r="S520" s="12">
        <v>45379.669444444444</v>
      </c>
      <c r="U520" t="b">
        <v>0</v>
      </c>
    </row>
    <row r="521" spans="1:21">
      <c r="A521" t="s">
        <v>3296</v>
      </c>
      <c r="B521" t="s">
        <v>1267</v>
      </c>
      <c r="C521" t="s">
        <v>1307</v>
      </c>
      <c r="D521" t="s">
        <v>3297</v>
      </c>
      <c r="E521" t="s">
        <v>3298</v>
      </c>
      <c r="F521" t="s">
        <v>1420</v>
      </c>
      <c r="G521">
        <v>134</v>
      </c>
      <c r="H521" t="s">
        <v>249</v>
      </c>
      <c r="I521" t="s">
        <v>24</v>
      </c>
      <c r="J521" t="s">
        <v>1317</v>
      </c>
      <c r="K521">
        <v>58</v>
      </c>
      <c r="L521" t="s">
        <v>2592</v>
      </c>
      <c r="M521" t="s">
        <v>2605</v>
      </c>
      <c r="N521" t="s">
        <v>59</v>
      </c>
      <c r="O521" s="12">
        <v>45963.643750000003</v>
      </c>
      <c r="P521" s="12">
        <v>45966.935416666667</v>
      </c>
      <c r="Q521" s="12">
        <v>45963.655555555553</v>
      </c>
      <c r="U521" t="b">
        <v>0</v>
      </c>
    </row>
    <row r="522" spans="1:21">
      <c r="A522" t="s">
        <v>3299</v>
      </c>
      <c r="B522" t="s">
        <v>1202</v>
      </c>
      <c r="C522" t="s">
        <v>1462</v>
      </c>
      <c r="D522" t="s">
        <v>3300</v>
      </c>
      <c r="E522" t="s">
        <v>3301</v>
      </c>
      <c r="F522" t="s">
        <v>2617</v>
      </c>
      <c r="G522">
        <v>359</v>
      </c>
      <c r="H522" t="s">
        <v>140</v>
      </c>
      <c r="I522" t="s">
        <v>30</v>
      </c>
      <c r="J522" t="s">
        <v>1413</v>
      </c>
      <c r="K522">
        <v>53</v>
      </c>
      <c r="L522" t="s">
        <v>2601</v>
      </c>
      <c r="M522" t="s">
        <v>2618</v>
      </c>
      <c r="N522" t="s">
        <v>82</v>
      </c>
      <c r="O522" s="12">
        <v>45695.37777777778</v>
      </c>
      <c r="Q522" s="12">
        <v>45695.546527777777</v>
      </c>
      <c r="R522" s="12">
        <v>45696.504861111112</v>
      </c>
      <c r="T522" t="s">
        <v>2631</v>
      </c>
      <c r="U522" t="b">
        <v>0</v>
      </c>
    </row>
    <row r="523" spans="1:21">
      <c r="A523" t="s">
        <v>3302</v>
      </c>
      <c r="B523" t="s">
        <v>2670</v>
      </c>
      <c r="C523" t="s">
        <v>1176</v>
      </c>
      <c r="D523" t="s">
        <v>3303</v>
      </c>
      <c r="E523" t="s">
        <v>3304</v>
      </c>
      <c r="F523" t="s">
        <v>1309</v>
      </c>
      <c r="G523">
        <v>634</v>
      </c>
      <c r="H523" t="s">
        <v>54</v>
      </c>
      <c r="I523" t="s">
        <v>24</v>
      </c>
      <c r="J523" t="s">
        <v>1271</v>
      </c>
      <c r="K523">
        <v>70</v>
      </c>
      <c r="L523" t="s">
        <v>2592</v>
      </c>
      <c r="M523" t="s">
        <v>2593</v>
      </c>
      <c r="N523" t="s">
        <v>55</v>
      </c>
      <c r="O523" s="12">
        <v>45586.102083333331</v>
      </c>
      <c r="P523" s="12">
        <v>45588.727083333331</v>
      </c>
      <c r="Q523" s="12">
        <v>45586.194444444445</v>
      </c>
      <c r="R523" s="12">
        <v>45587.361111111109</v>
      </c>
      <c r="U523" t="b">
        <v>0</v>
      </c>
    </row>
    <row r="524" spans="1:21">
      <c r="A524" t="s">
        <v>3305</v>
      </c>
      <c r="B524" t="s">
        <v>2906</v>
      </c>
      <c r="C524" t="s">
        <v>1155</v>
      </c>
      <c r="D524" t="s">
        <v>3306</v>
      </c>
      <c r="E524" t="s">
        <v>3307</v>
      </c>
      <c r="F524" t="s">
        <v>1843</v>
      </c>
      <c r="G524">
        <v>507</v>
      </c>
      <c r="H524" t="s">
        <v>366</v>
      </c>
      <c r="I524" t="s">
        <v>30</v>
      </c>
      <c r="J524" t="s">
        <v>1281</v>
      </c>
      <c r="K524">
        <v>69</v>
      </c>
      <c r="L524" t="s">
        <v>2601</v>
      </c>
      <c r="M524" t="s">
        <v>2605</v>
      </c>
      <c r="N524" t="s">
        <v>18</v>
      </c>
      <c r="O524" s="12">
        <v>45705.795138888891</v>
      </c>
      <c r="Q524" s="12">
        <v>45705.878472222219</v>
      </c>
      <c r="R524" s="12">
        <v>45706.018750000003</v>
      </c>
      <c r="U524" t="b">
        <v>0</v>
      </c>
    </row>
    <row r="525" spans="1:21">
      <c r="A525" t="s">
        <v>3308</v>
      </c>
      <c r="B525" t="s">
        <v>2662</v>
      </c>
      <c r="C525" t="s">
        <v>1197</v>
      </c>
      <c r="D525" t="s">
        <v>3309</v>
      </c>
      <c r="E525" t="s">
        <v>3310</v>
      </c>
      <c r="F525" t="s">
        <v>1487</v>
      </c>
      <c r="G525">
        <v>369</v>
      </c>
      <c r="H525" t="s">
        <v>212</v>
      </c>
      <c r="I525" t="s">
        <v>30</v>
      </c>
      <c r="K525">
        <v>71</v>
      </c>
      <c r="L525" t="s">
        <v>2592</v>
      </c>
      <c r="M525" t="s">
        <v>2593</v>
      </c>
      <c r="N525" t="s">
        <v>55</v>
      </c>
      <c r="O525" s="12">
        <v>45565.156944444447</v>
      </c>
      <c r="P525" s="12">
        <v>45569.615277777775</v>
      </c>
      <c r="Q525" s="12">
        <v>45565.322222222225</v>
      </c>
      <c r="R525" s="12">
        <v>45565.362500000003</v>
      </c>
      <c r="U525" t="b">
        <v>0</v>
      </c>
    </row>
    <row r="526" spans="1:21">
      <c r="A526" t="s">
        <v>3311</v>
      </c>
      <c r="B526" t="s">
        <v>1584</v>
      </c>
      <c r="C526" t="s">
        <v>1436</v>
      </c>
      <c r="D526" t="s">
        <v>3312</v>
      </c>
      <c r="E526" t="s">
        <v>3313</v>
      </c>
      <c r="F526" t="s">
        <v>1843</v>
      </c>
      <c r="G526">
        <v>238</v>
      </c>
      <c r="H526" t="s">
        <v>90</v>
      </c>
      <c r="I526" t="s">
        <v>30</v>
      </c>
      <c r="J526" t="s">
        <v>1288</v>
      </c>
      <c r="K526">
        <v>60</v>
      </c>
      <c r="L526" t="s">
        <v>2601</v>
      </c>
      <c r="M526" t="s">
        <v>2655</v>
      </c>
      <c r="N526" t="s">
        <v>18</v>
      </c>
      <c r="O526" s="12">
        <v>46192.338194444441</v>
      </c>
      <c r="Q526" s="12">
        <v>46192.569444444445</v>
      </c>
      <c r="U526" t="b">
        <v>0</v>
      </c>
    </row>
    <row r="527" spans="1:21">
      <c r="A527" t="s">
        <v>3314</v>
      </c>
      <c r="B527" t="s">
        <v>2834</v>
      </c>
      <c r="C527" t="s">
        <v>1130</v>
      </c>
      <c r="D527" t="s">
        <v>3315</v>
      </c>
      <c r="E527" t="s">
        <v>3316</v>
      </c>
      <c r="F527" t="s">
        <v>1517</v>
      </c>
      <c r="G527">
        <v>91</v>
      </c>
      <c r="H527" t="s">
        <v>23</v>
      </c>
      <c r="I527" t="s">
        <v>24</v>
      </c>
      <c r="J527" t="s">
        <v>1271</v>
      </c>
      <c r="K527">
        <v>66</v>
      </c>
      <c r="L527" t="s">
        <v>2592</v>
      </c>
      <c r="M527" t="s">
        <v>2618</v>
      </c>
      <c r="N527" t="s">
        <v>25</v>
      </c>
      <c r="O527" s="12">
        <v>45933.515972222223</v>
      </c>
      <c r="P527" s="12">
        <v>45936.057638888888</v>
      </c>
      <c r="Q527" s="12">
        <v>45933.698611111111</v>
      </c>
      <c r="R527" s="12">
        <v>45934.615277777775</v>
      </c>
      <c r="T527" t="s">
        <v>2763</v>
      </c>
      <c r="U527" t="b">
        <v>0</v>
      </c>
    </row>
    <row r="528" spans="1:21">
      <c r="A528" t="s">
        <v>3317</v>
      </c>
      <c r="B528" t="s">
        <v>2662</v>
      </c>
      <c r="C528" t="s">
        <v>2033</v>
      </c>
      <c r="D528" t="s">
        <v>3318</v>
      </c>
      <c r="E528" t="s">
        <v>3319</v>
      </c>
      <c r="F528" t="s">
        <v>2271</v>
      </c>
      <c r="G528">
        <v>436</v>
      </c>
      <c r="H528" t="s">
        <v>216</v>
      </c>
      <c r="I528" t="s">
        <v>30</v>
      </c>
      <c r="J528" t="s">
        <v>1413</v>
      </c>
      <c r="K528">
        <v>48</v>
      </c>
      <c r="L528" t="s">
        <v>2592</v>
      </c>
      <c r="M528" t="s">
        <v>2618</v>
      </c>
      <c r="N528" t="s">
        <v>18</v>
      </c>
      <c r="O528" s="12">
        <v>45932.61041666667</v>
      </c>
      <c r="P528" s="12">
        <v>45933.36041666667</v>
      </c>
      <c r="Q528" s="12">
        <v>45932.645138888889</v>
      </c>
      <c r="R528" s="12">
        <v>45933.728472222225</v>
      </c>
      <c r="T528" t="s">
        <v>2933</v>
      </c>
      <c r="U528" t="b">
        <v>0</v>
      </c>
    </row>
    <row r="529" spans="1:21">
      <c r="A529" t="s">
        <v>3320</v>
      </c>
      <c r="B529" t="s">
        <v>1431</v>
      </c>
      <c r="C529" t="s">
        <v>1462</v>
      </c>
      <c r="D529" t="s">
        <v>3321</v>
      </c>
      <c r="E529" t="s">
        <v>3322</v>
      </c>
      <c r="F529" t="s">
        <v>1420</v>
      </c>
      <c r="G529">
        <v>7</v>
      </c>
      <c r="H529" t="s">
        <v>212</v>
      </c>
      <c r="J529" t="s">
        <v>1355</v>
      </c>
      <c r="K529">
        <v>50</v>
      </c>
      <c r="L529" t="s">
        <v>2601</v>
      </c>
      <c r="M529" t="s">
        <v>2618</v>
      </c>
      <c r="O529" s="12">
        <v>46251.421527777777</v>
      </c>
      <c r="T529" t="s">
        <v>2933</v>
      </c>
      <c r="U529" t="b">
        <v>0</v>
      </c>
    </row>
    <row r="530" spans="1:21">
      <c r="A530" t="s">
        <v>3323</v>
      </c>
      <c r="B530" t="s">
        <v>2578</v>
      </c>
      <c r="C530" t="s">
        <v>1186</v>
      </c>
      <c r="D530" t="s">
        <v>3324</v>
      </c>
      <c r="E530" t="s">
        <v>3325</v>
      </c>
      <c r="F530" t="s">
        <v>1367</v>
      </c>
      <c r="G530">
        <v>23</v>
      </c>
      <c r="H530" t="s">
        <v>339</v>
      </c>
      <c r="I530" t="s">
        <v>24</v>
      </c>
      <c r="J530" t="s">
        <v>1355</v>
      </c>
      <c r="K530">
        <v>50</v>
      </c>
      <c r="L530" t="s">
        <v>2601</v>
      </c>
      <c r="M530" t="s">
        <v>2655</v>
      </c>
      <c r="N530" t="s">
        <v>59</v>
      </c>
      <c r="O530" s="12">
        <v>45402.185416666667</v>
      </c>
      <c r="Q530" s="12">
        <v>45402.20208333333</v>
      </c>
      <c r="U530" t="b">
        <v>0</v>
      </c>
    </row>
    <row r="531" spans="1:21">
      <c r="A531" t="s">
        <v>3326</v>
      </c>
      <c r="B531" t="s">
        <v>2878</v>
      </c>
      <c r="C531" t="s">
        <v>1291</v>
      </c>
      <c r="D531" t="s">
        <v>3327</v>
      </c>
      <c r="E531" t="s">
        <v>3328</v>
      </c>
      <c r="F531" t="s">
        <v>1294</v>
      </c>
      <c r="G531">
        <v>326</v>
      </c>
      <c r="H531" t="s">
        <v>120</v>
      </c>
      <c r="I531" t="s">
        <v>30</v>
      </c>
      <c r="J531" t="s">
        <v>1288</v>
      </c>
      <c r="K531">
        <v>51</v>
      </c>
      <c r="L531" t="s">
        <v>2592</v>
      </c>
      <c r="M531" t="s">
        <v>2593</v>
      </c>
      <c r="N531" t="s">
        <v>82</v>
      </c>
      <c r="O531" s="12">
        <v>45345.574999999997</v>
      </c>
      <c r="P531" s="12">
        <v>45347.741666666669</v>
      </c>
      <c r="Q531" s="12">
        <v>45345.599305555559</v>
      </c>
      <c r="R531" s="12">
        <v>45345.651388888888</v>
      </c>
      <c r="U531" t="b">
        <v>0</v>
      </c>
    </row>
    <row r="532" spans="1:21">
      <c r="A532" t="s">
        <v>3329</v>
      </c>
      <c r="B532" t="s">
        <v>2662</v>
      </c>
      <c r="C532" t="s">
        <v>2621</v>
      </c>
      <c r="D532" t="s">
        <v>3330</v>
      </c>
      <c r="E532" t="s">
        <v>3331</v>
      </c>
      <c r="F532" t="s">
        <v>1843</v>
      </c>
      <c r="G532">
        <v>611</v>
      </c>
      <c r="H532" t="s">
        <v>50</v>
      </c>
      <c r="I532" t="s">
        <v>30</v>
      </c>
      <c r="J532" t="s">
        <v>1413</v>
      </c>
      <c r="K532">
        <v>68</v>
      </c>
      <c r="L532" t="s">
        <v>2642</v>
      </c>
      <c r="M532" t="s">
        <v>2643</v>
      </c>
      <c r="N532" t="s">
        <v>36</v>
      </c>
      <c r="O532" s="12">
        <v>45603.353472222225</v>
      </c>
      <c r="P532" s="12">
        <v>45604.436805555553</v>
      </c>
      <c r="Q532" s="12">
        <v>45603.380555555559</v>
      </c>
      <c r="R532" s="12">
        <v>45603.413888888892</v>
      </c>
      <c r="S532" s="12">
        <v>45605.103472222225</v>
      </c>
      <c r="U532" t="b">
        <v>0</v>
      </c>
    </row>
    <row r="533" spans="1:21">
      <c r="A533" t="s">
        <v>3332</v>
      </c>
      <c r="B533" t="s">
        <v>2967</v>
      </c>
      <c r="C533" t="s">
        <v>1721</v>
      </c>
      <c r="D533" t="s">
        <v>3058</v>
      </c>
      <c r="E533" t="s">
        <v>3333</v>
      </c>
      <c r="F533" t="s">
        <v>2084</v>
      </c>
      <c r="G533">
        <v>1569</v>
      </c>
      <c r="H533" t="s">
        <v>212</v>
      </c>
      <c r="I533" t="s">
        <v>17</v>
      </c>
      <c r="J533" t="s">
        <v>1355</v>
      </c>
      <c r="K533">
        <v>78</v>
      </c>
      <c r="L533" t="s">
        <v>2592</v>
      </c>
      <c r="M533" t="s">
        <v>2593</v>
      </c>
      <c r="N533" t="s">
        <v>55</v>
      </c>
      <c r="O533" s="12">
        <v>45348.4375</v>
      </c>
      <c r="P533" s="12">
        <v>45349.229166666664</v>
      </c>
      <c r="Q533" s="12">
        <v>45348.663888888892</v>
      </c>
      <c r="R533" s="12">
        <v>45348.734722222223</v>
      </c>
      <c r="U533" t="b">
        <v>0</v>
      </c>
    </row>
    <row r="534" spans="1:21">
      <c r="A534" t="s">
        <v>3334</v>
      </c>
      <c r="B534" t="s">
        <v>1161</v>
      </c>
      <c r="C534" t="s">
        <v>1490</v>
      </c>
      <c r="D534" t="s">
        <v>3335</v>
      </c>
      <c r="E534" t="s">
        <v>3336</v>
      </c>
      <c r="F534" t="s">
        <v>1471</v>
      </c>
      <c r="G534">
        <v>148</v>
      </c>
      <c r="H534" t="s">
        <v>81</v>
      </c>
      <c r="I534" t="s">
        <v>24</v>
      </c>
      <c r="J534" t="s">
        <v>1355</v>
      </c>
      <c r="K534">
        <v>60</v>
      </c>
      <c r="L534" t="s">
        <v>2592</v>
      </c>
      <c r="M534" t="s">
        <v>2597</v>
      </c>
      <c r="N534" t="s">
        <v>25</v>
      </c>
      <c r="O534" s="12">
        <v>45803.257638888892</v>
      </c>
      <c r="P534" s="12">
        <v>45808.09097222222</v>
      </c>
      <c r="Q534" s="12">
        <v>45803.414583333331</v>
      </c>
      <c r="R534" s="12">
        <v>45803.510416666664</v>
      </c>
      <c r="U534" t="b">
        <v>0</v>
      </c>
    </row>
    <row r="535" spans="1:21">
      <c r="A535" t="s">
        <v>3337</v>
      </c>
      <c r="B535" t="s">
        <v>2827</v>
      </c>
      <c r="C535" t="s">
        <v>2621</v>
      </c>
      <c r="D535" t="s">
        <v>3338</v>
      </c>
      <c r="E535" t="s">
        <v>3339</v>
      </c>
      <c r="F535" t="s">
        <v>1420</v>
      </c>
      <c r="G535">
        <v>49</v>
      </c>
      <c r="H535" t="s">
        <v>192</v>
      </c>
      <c r="I535" t="s">
        <v>24</v>
      </c>
      <c r="J535" t="s">
        <v>1317</v>
      </c>
      <c r="K535">
        <v>71</v>
      </c>
      <c r="L535" t="s">
        <v>2642</v>
      </c>
      <c r="M535" t="s">
        <v>2643</v>
      </c>
      <c r="N535" t="s">
        <v>91</v>
      </c>
      <c r="O535" s="12">
        <v>45317.674305555556</v>
      </c>
      <c r="P535" s="12">
        <v>45321.007638888892</v>
      </c>
      <c r="Q535" s="12">
        <v>45317.880555555559</v>
      </c>
      <c r="R535" s="12">
        <v>45318.130555555559</v>
      </c>
      <c r="S535" s="12">
        <v>45328.84097222222</v>
      </c>
      <c r="U535" t="b">
        <v>0</v>
      </c>
    </row>
    <row r="536" spans="1:21">
      <c r="A536" t="s">
        <v>3340</v>
      </c>
      <c r="B536" t="s">
        <v>1320</v>
      </c>
      <c r="C536" t="s">
        <v>1541</v>
      </c>
      <c r="D536" t="s">
        <v>3341</v>
      </c>
      <c r="E536" t="s">
        <v>3342</v>
      </c>
      <c r="F536" t="s">
        <v>1471</v>
      </c>
      <c r="G536">
        <v>151</v>
      </c>
      <c r="H536" t="s">
        <v>178</v>
      </c>
      <c r="I536" t="s">
        <v>24</v>
      </c>
      <c r="J536" t="s">
        <v>1295</v>
      </c>
      <c r="K536">
        <v>86</v>
      </c>
      <c r="L536" t="s">
        <v>2592</v>
      </c>
      <c r="M536" t="s">
        <v>2593</v>
      </c>
      <c r="N536" t="s">
        <v>59</v>
      </c>
      <c r="O536" s="12">
        <v>45892.62222222222</v>
      </c>
      <c r="P536" s="12">
        <v>45892.913888888892</v>
      </c>
      <c r="Q536" s="12">
        <v>45892.762499999997</v>
      </c>
      <c r="R536" s="12">
        <v>45892.847222222219</v>
      </c>
      <c r="U536" t="b">
        <v>0</v>
      </c>
    </row>
    <row r="537" spans="1:21">
      <c r="A537" t="s">
        <v>3343</v>
      </c>
      <c r="B537" t="s">
        <v>1176</v>
      </c>
      <c r="C537" t="s">
        <v>1125</v>
      </c>
      <c r="D537" t="s">
        <v>3344</v>
      </c>
      <c r="E537" t="s">
        <v>3345</v>
      </c>
      <c r="F537" t="s">
        <v>1294</v>
      </c>
      <c r="G537">
        <v>845</v>
      </c>
      <c r="H537" t="s">
        <v>68</v>
      </c>
      <c r="I537" t="s">
        <v>30</v>
      </c>
      <c r="J537" t="s">
        <v>1413</v>
      </c>
      <c r="K537">
        <v>68</v>
      </c>
      <c r="L537" t="s">
        <v>2592</v>
      </c>
      <c r="M537" t="s">
        <v>2605</v>
      </c>
      <c r="N537" t="s">
        <v>55</v>
      </c>
      <c r="O537" s="12">
        <v>45937.634027777778</v>
      </c>
      <c r="P537" s="12">
        <v>45940.759027777778</v>
      </c>
      <c r="Q537" s="12">
        <v>45937.85833333333</v>
      </c>
      <c r="R537" s="12">
        <v>45937.961111111108</v>
      </c>
      <c r="U537" t="b">
        <v>0</v>
      </c>
    </row>
    <row r="538" spans="1:21">
      <c r="A538" t="s">
        <v>3346</v>
      </c>
      <c r="B538" t="s">
        <v>2733</v>
      </c>
      <c r="C538" t="s">
        <v>1436</v>
      </c>
      <c r="D538" t="s">
        <v>3347</v>
      </c>
      <c r="E538" t="s">
        <v>3348</v>
      </c>
      <c r="F538" t="s">
        <v>1517</v>
      </c>
      <c r="G538">
        <v>17</v>
      </c>
      <c r="H538" t="s">
        <v>23</v>
      </c>
      <c r="J538" t="s">
        <v>1295</v>
      </c>
      <c r="K538">
        <v>72</v>
      </c>
      <c r="L538" t="s">
        <v>2601</v>
      </c>
      <c r="M538" t="s">
        <v>2618</v>
      </c>
      <c r="O538" s="12">
        <v>45689.847916666666</v>
      </c>
      <c r="T538" t="s">
        <v>2933</v>
      </c>
      <c r="U538" t="b">
        <v>0</v>
      </c>
    </row>
    <row r="539" spans="1:21">
      <c r="A539" t="s">
        <v>3349</v>
      </c>
      <c r="B539" t="s">
        <v>2657</v>
      </c>
      <c r="C539" t="s">
        <v>1418</v>
      </c>
      <c r="D539" t="s">
        <v>3350</v>
      </c>
      <c r="E539" t="s">
        <v>3351</v>
      </c>
      <c r="F539" t="s">
        <v>1843</v>
      </c>
      <c r="G539">
        <v>174</v>
      </c>
      <c r="H539" t="s">
        <v>50</v>
      </c>
      <c r="I539" t="s">
        <v>24</v>
      </c>
      <c r="J539" t="s">
        <v>1317</v>
      </c>
      <c r="K539">
        <v>50</v>
      </c>
      <c r="L539" t="s">
        <v>2601</v>
      </c>
      <c r="M539" t="s">
        <v>2605</v>
      </c>
      <c r="N539" t="s">
        <v>59</v>
      </c>
      <c r="O539" s="12">
        <v>46190.045138888891</v>
      </c>
      <c r="Q539" s="12">
        <v>46190.254166666666</v>
      </c>
      <c r="R539" s="12">
        <v>46190.300694444442</v>
      </c>
      <c r="U539" t="b">
        <v>0</v>
      </c>
    </row>
    <row r="540" spans="1:21">
      <c r="A540" t="s">
        <v>3352</v>
      </c>
      <c r="B540" t="s">
        <v>2834</v>
      </c>
      <c r="C540" t="s">
        <v>1278</v>
      </c>
      <c r="D540" t="s">
        <v>3353</v>
      </c>
      <c r="E540" t="s">
        <v>3354</v>
      </c>
      <c r="F540" t="s">
        <v>1843</v>
      </c>
      <c r="G540">
        <v>996</v>
      </c>
      <c r="H540" t="s">
        <v>408</v>
      </c>
      <c r="I540" t="s">
        <v>30</v>
      </c>
      <c r="J540" t="s">
        <v>1281</v>
      </c>
      <c r="K540">
        <v>75</v>
      </c>
      <c r="L540" t="s">
        <v>2592</v>
      </c>
      <c r="M540" t="s">
        <v>2597</v>
      </c>
      <c r="N540" t="s">
        <v>55</v>
      </c>
      <c r="O540" s="12">
        <v>45491.356249999997</v>
      </c>
      <c r="P540" s="12">
        <v>45493.106249999997</v>
      </c>
      <c r="Q540" s="12">
        <v>45491.395138888889</v>
      </c>
      <c r="R540" s="12">
        <v>45491.459722222222</v>
      </c>
      <c r="U540" t="b">
        <v>0</v>
      </c>
    </row>
    <row r="541" spans="1:21">
      <c r="A541" t="s">
        <v>3355</v>
      </c>
      <c r="B541" t="s">
        <v>2967</v>
      </c>
      <c r="C541" t="s">
        <v>1197</v>
      </c>
      <c r="D541" t="s">
        <v>3356</v>
      </c>
      <c r="E541" t="s">
        <v>3357</v>
      </c>
      <c r="F541" t="s">
        <v>2084</v>
      </c>
      <c r="G541">
        <v>623</v>
      </c>
      <c r="H541" t="s">
        <v>226</v>
      </c>
      <c r="I541" t="s">
        <v>30</v>
      </c>
      <c r="J541" t="s">
        <v>1339</v>
      </c>
      <c r="K541">
        <v>70</v>
      </c>
      <c r="L541" t="s">
        <v>2601</v>
      </c>
      <c r="M541" t="s">
        <v>2655</v>
      </c>
      <c r="N541" t="s">
        <v>55</v>
      </c>
      <c r="O541" s="12">
        <v>46078.51666666667</v>
      </c>
      <c r="Q541" s="12">
        <v>46078.684027777781</v>
      </c>
      <c r="U541" t="b">
        <v>0</v>
      </c>
    </row>
    <row r="542" spans="1:21">
      <c r="A542" t="s">
        <v>3358</v>
      </c>
      <c r="B542" t="s">
        <v>2670</v>
      </c>
      <c r="C542" t="s">
        <v>1343</v>
      </c>
      <c r="D542" t="s">
        <v>3359</v>
      </c>
      <c r="E542" t="s">
        <v>3360</v>
      </c>
      <c r="F542" t="s">
        <v>1412</v>
      </c>
      <c r="G542">
        <v>68</v>
      </c>
      <c r="H542" t="s">
        <v>64</v>
      </c>
      <c r="I542" t="s">
        <v>24</v>
      </c>
      <c r="J542" t="s">
        <v>1271</v>
      </c>
      <c r="K542">
        <v>59</v>
      </c>
      <c r="L542" t="s">
        <v>2592</v>
      </c>
      <c r="M542" t="s">
        <v>2597</v>
      </c>
      <c r="N542" t="s">
        <v>69</v>
      </c>
      <c r="O542" s="12">
        <v>45829.76666666667</v>
      </c>
      <c r="P542" s="12">
        <v>45832.474999999999</v>
      </c>
      <c r="Q542" s="12">
        <v>45829.791666666664</v>
      </c>
      <c r="R542" s="12">
        <v>45829.851388888892</v>
      </c>
      <c r="U542" t="b">
        <v>0</v>
      </c>
    </row>
    <row r="543" spans="1:21">
      <c r="A543" t="s">
        <v>3361</v>
      </c>
      <c r="B543" t="s">
        <v>1175</v>
      </c>
      <c r="C543" t="s">
        <v>1142</v>
      </c>
      <c r="D543" t="s">
        <v>3362</v>
      </c>
      <c r="E543" t="s">
        <v>3363</v>
      </c>
      <c r="F543" t="s">
        <v>1471</v>
      </c>
      <c r="G543">
        <v>22</v>
      </c>
      <c r="H543" t="s">
        <v>249</v>
      </c>
      <c r="I543" t="s">
        <v>24</v>
      </c>
      <c r="J543" t="s">
        <v>1295</v>
      </c>
      <c r="K543">
        <v>93</v>
      </c>
      <c r="L543" t="s">
        <v>2592</v>
      </c>
      <c r="M543" t="s">
        <v>2597</v>
      </c>
      <c r="N543" t="s">
        <v>59</v>
      </c>
      <c r="O543" s="12">
        <v>45888.990277777775</v>
      </c>
      <c r="P543" s="12">
        <v>45893.198611111111</v>
      </c>
      <c r="Q543" s="12">
        <v>45889.060416666667</v>
      </c>
      <c r="R543" s="12">
        <v>45889.120138888888</v>
      </c>
      <c r="U543" t="b">
        <v>0</v>
      </c>
    </row>
    <row r="544" spans="1:21">
      <c r="A544" t="s">
        <v>3364</v>
      </c>
      <c r="B544" t="s">
        <v>2789</v>
      </c>
      <c r="C544" t="s">
        <v>1343</v>
      </c>
      <c r="D544" t="s">
        <v>3365</v>
      </c>
      <c r="E544" t="s">
        <v>3366</v>
      </c>
      <c r="F544" t="s">
        <v>1448</v>
      </c>
      <c r="G544">
        <v>171</v>
      </c>
      <c r="H544" t="s">
        <v>366</v>
      </c>
      <c r="I544" t="s">
        <v>24</v>
      </c>
      <c r="J544" t="s">
        <v>1355</v>
      </c>
      <c r="K544">
        <v>52</v>
      </c>
      <c r="L544" t="s">
        <v>2601</v>
      </c>
      <c r="M544" t="s">
        <v>2605</v>
      </c>
      <c r="N544" t="s">
        <v>69</v>
      </c>
      <c r="O544" s="12">
        <v>46089.675000000003</v>
      </c>
      <c r="Q544" s="12">
        <v>46089.762499999997</v>
      </c>
      <c r="R544" s="12">
        <v>46091.220833333333</v>
      </c>
      <c r="U544" t="b">
        <v>0</v>
      </c>
    </row>
    <row r="545" spans="1:21">
      <c r="A545" t="s">
        <v>3367</v>
      </c>
      <c r="B545" t="s">
        <v>2789</v>
      </c>
      <c r="C545" t="s">
        <v>1337</v>
      </c>
      <c r="D545" t="s">
        <v>3368</v>
      </c>
      <c r="E545" t="s">
        <v>3369</v>
      </c>
      <c r="F545" t="s">
        <v>1471</v>
      </c>
      <c r="G545">
        <v>190</v>
      </c>
      <c r="H545" t="s">
        <v>236</v>
      </c>
      <c r="I545" t="s">
        <v>24</v>
      </c>
      <c r="J545" t="s">
        <v>1355</v>
      </c>
      <c r="K545">
        <v>53</v>
      </c>
      <c r="L545" t="s">
        <v>2601</v>
      </c>
      <c r="M545" t="s">
        <v>2655</v>
      </c>
      <c r="N545" t="s">
        <v>91</v>
      </c>
      <c r="O545" s="12">
        <v>46067.147222222222</v>
      </c>
      <c r="Q545" s="12">
        <v>46067.23541666667</v>
      </c>
      <c r="U545" t="b">
        <v>0</v>
      </c>
    </row>
    <row r="546" spans="1:21">
      <c r="A546" t="s">
        <v>3370</v>
      </c>
      <c r="B546" t="s">
        <v>2611</v>
      </c>
      <c r="C546" t="s">
        <v>1343</v>
      </c>
      <c r="D546" t="s">
        <v>3371</v>
      </c>
      <c r="E546" t="s">
        <v>3372</v>
      </c>
      <c r="F546" t="s">
        <v>2617</v>
      </c>
      <c r="G546">
        <v>137</v>
      </c>
      <c r="H546" t="s">
        <v>1034</v>
      </c>
      <c r="I546" t="s">
        <v>24</v>
      </c>
      <c r="J546" t="s">
        <v>3373</v>
      </c>
      <c r="K546">
        <v>50</v>
      </c>
      <c r="L546" t="s">
        <v>2601</v>
      </c>
      <c r="M546" t="s">
        <v>2618</v>
      </c>
      <c r="N546" t="s">
        <v>59</v>
      </c>
      <c r="O546" s="12">
        <v>45997.491666666669</v>
      </c>
      <c r="Q546" s="12">
        <v>45997.53402777778</v>
      </c>
      <c r="R546" s="12">
        <v>45999.03402777778</v>
      </c>
      <c r="T546" t="s">
        <v>2933</v>
      </c>
      <c r="U546" t="b">
        <v>0</v>
      </c>
    </row>
    <row r="547" spans="1:21">
      <c r="A547" t="s">
        <v>3374</v>
      </c>
      <c r="B547" t="s">
        <v>1111</v>
      </c>
      <c r="C547" t="s">
        <v>1152</v>
      </c>
      <c r="D547" t="s">
        <v>3375</v>
      </c>
      <c r="E547" t="s">
        <v>3376</v>
      </c>
      <c r="F547" t="s">
        <v>2660</v>
      </c>
      <c r="G547">
        <v>77</v>
      </c>
      <c r="H547" t="s">
        <v>226</v>
      </c>
      <c r="I547" t="s">
        <v>17</v>
      </c>
      <c r="J547" t="s">
        <v>1355</v>
      </c>
      <c r="K547">
        <v>55</v>
      </c>
      <c r="L547" t="s">
        <v>2601</v>
      </c>
      <c r="M547" t="s">
        <v>2593</v>
      </c>
      <c r="N547" t="s">
        <v>69</v>
      </c>
      <c r="O547" s="12">
        <v>45327.357638888891</v>
      </c>
      <c r="Q547" s="12">
        <v>45327.506944444445</v>
      </c>
      <c r="R547" s="12">
        <v>45327.618750000001</v>
      </c>
      <c r="U547" t="b">
        <v>0</v>
      </c>
    </row>
    <row r="548" spans="1:21">
      <c r="A548" t="s">
        <v>3377</v>
      </c>
      <c r="B548" t="s">
        <v>1202</v>
      </c>
      <c r="C548" t="s">
        <v>1203</v>
      </c>
      <c r="D548" t="s">
        <v>3378</v>
      </c>
      <c r="E548" t="s">
        <v>3379</v>
      </c>
      <c r="F548" t="s">
        <v>1448</v>
      </c>
      <c r="G548">
        <v>82</v>
      </c>
      <c r="H548" t="s">
        <v>50</v>
      </c>
      <c r="I548" t="s">
        <v>24</v>
      </c>
      <c r="J548" t="s">
        <v>1413</v>
      </c>
      <c r="K548">
        <v>56</v>
      </c>
      <c r="L548" t="s">
        <v>2601</v>
      </c>
      <c r="M548" t="s">
        <v>2605</v>
      </c>
      <c r="N548" t="s">
        <v>59</v>
      </c>
      <c r="O548" s="12">
        <v>45947.730555555558</v>
      </c>
      <c r="Q548" s="12">
        <v>45947.86041666667</v>
      </c>
      <c r="R548" s="12">
        <v>45947.870138888888</v>
      </c>
      <c r="U548" t="b">
        <v>0</v>
      </c>
    </row>
    <row r="549" spans="1:21">
      <c r="A549" t="s">
        <v>3380</v>
      </c>
      <c r="B549" t="s">
        <v>1202</v>
      </c>
      <c r="C549" t="s">
        <v>1125</v>
      </c>
      <c r="D549" t="s">
        <v>3381</v>
      </c>
      <c r="E549" t="s">
        <v>3382</v>
      </c>
      <c r="F549" t="s">
        <v>1517</v>
      </c>
      <c r="G549">
        <v>152</v>
      </c>
      <c r="H549" t="s">
        <v>404</v>
      </c>
      <c r="I549" t="s">
        <v>24</v>
      </c>
      <c r="J549" t="s">
        <v>1317</v>
      </c>
      <c r="K549">
        <v>64</v>
      </c>
      <c r="L549" t="s">
        <v>2601</v>
      </c>
      <c r="M549" t="s">
        <v>2605</v>
      </c>
      <c r="N549" t="s">
        <v>25</v>
      </c>
      <c r="O549" s="12">
        <v>45818.65347222222</v>
      </c>
      <c r="Q549" s="12">
        <v>45818.74722222222</v>
      </c>
      <c r="R549" s="12">
        <v>45820.038888888892</v>
      </c>
      <c r="U549" t="b">
        <v>0</v>
      </c>
    </row>
    <row r="550" spans="1:21">
      <c r="A550" t="s">
        <v>3383</v>
      </c>
      <c r="B550" t="s">
        <v>2657</v>
      </c>
      <c r="C550" t="s">
        <v>1462</v>
      </c>
      <c r="D550" t="s">
        <v>3384</v>
      </c>
      <c r="E550" t="s">
        <v>3385</v>
      </c>
      <c r="F550" t="s">
        <v>1784</v>
      </c>
      <c r="G550">
        <v>1583</v>
      </c>
      <c r="H550" t="s">
        <v>216</v>
      </c>
      <c r="I550" t="s">
        <v>17</v>
      </c>
      <c r="J550" t="s">
        <v>1413</v>
      </c>
      <c r="K550">
        <v>57</v>
      </c>
      <c r="L550" t="s">
        <v>2601</v>
      </c>
      <c r="M550" t="s">
        <v>2593</v>
      </c>
      <c r="N550" t="s">
        <v>18</v>
      </c>
      <c r="O550" s="12">
        <v>45840.822222222225</v>
      </c>
      <c r="Q550" s="12">
        <v>45840.861111111109</v>
      </c>
      <c r="R550" s="12">
        <v>45840.872916666667</v>
      </c>
      <c r="U550" t="b">
        <v>0</v>
      </c>
    </row>
    <row r="551" spans="1:21">
      <c r="A551" t="s">
        <v>3386</v>
      </c>
      <c r="B551" t="s">
        <v>2645</v>
      </c>
      <c r="C551" t="s">
        <v>1378</v>
      </c>
      <c r="D551" t="s">
        <v>3387</v>
      </c>
      <c r="E551" t="s">
        <v>3388</v>
      </c>
      <c r="F551" t="s">
        <v>2271</v>
      </c>
      <c r="G551">
        <v>134</v>
      </c>
      <c r="H551" t="s">
        <v>560</v>
      </c>
      <c r="I551" t="s">
        <v>24</v>
      </c>
      <c r="J551" t="s">
        <v>1317</v>
      </c>
      <c r="K551">
        <v>63</v>
      </c>
      <c r="L551" t="s">
        <v>2592</v>
      </c>
      <c r="M551" t="s">
        <v>2593</v>
      </c>
      <c r="N551" t="s">
        <v>25</v>
      </c>
      <c r="O551" s="12">
        <v>45671.005555555559</v>
      </c>
      <c r="P551" s="12">
        <v>45674.005555555559</v>
      </c>
      <c r="Q551" s="12">
        <v>45671.061805555553</v>
      </c>
      <c r="R551" s="12">
        <v>45671.270138888889</v>
      </c>
      <c r="U551" t="b">
        <v>0</v>
      </c>
    </row>
    <row r="552" spans="1:21">
      <c r="A552" t="s">
        <v>3389</v>
      </c>
      <c r="B552" t="s">
        <v>2578</v>
      </c>
      <c r="C552" t="s">
        <v>1343</v>
      </c>
      <c r="D552" t="s">
        <v>3390</v>
      </c>
      <c r="E552" t="s">
        <v>3391</v>
      </c>
      <c r="F552" t="s">
        <v>2755</v>
      </c>
      <c r="G552">
        <v>950</v>
      </c>
      <c r="H552" t="s">
        <v>81</v>
      </c>
      <c r="I552" t="s">
        <v>30</v>
      </c>
      <c r="J552" t="s">
        <v>1413</v>
      </c>
      <c r="K552">
        <v>53</v>
      </c>
      <c r="L552" t="s">
        <v>2601</v>
      </c>
      <c r="M552" t="s">
        <v>2618</v>
      </c>
      <c r="N552" t="s">
        <v>82</v>
      </c>
      <c r="O552" s="12">
        <v>45590.840277777781</v>
      </c>
      <c r="Q552" s="12">
        <v>45590.95208333333</v>
      </c>
      <c r="R552" s="12">
        <v>45591.072916666664</v>
      </c>
      <c r="T552" t="s">
        <v>2933</v>
      </c>
      <c r="U552" t="b">
        <v>0</v>
      </c>
    </row>
    <row r="553" spans="1:21">
      <c r="A553" t="s">
        <v>3392</v>
      </c>
      <c r="B553" t="s">
        <v>2827</v>
      </c>
      <c r="C553" t="s">
        <v>1125</v>
      </c>
      <c r="D553" t="s">
        <v>3393</v>
      </c>
      <c r="E553" t="s">
        <v>3394</v>
      </c>
      <c r="F553" t="s">
        <v>2271</v>
      </c>
      <c r="G553">
        <v>197</v>
      </c>
      <c r="H553" t="s">
        <v>1034</v>
      </c>
      <c r="I553" t="s">
        <v>24</v>
      </c>
      <c r="J553" t="s">
        <v>1339</v>
      </c>
      <c r="K553">
        <v>80</v>
      </c>
      <c r="L553" t="s">
        <v>2642</v>
      </c>
      <c r="M553" t="s">
        <v>2643</v>
      </c>
      <c r="N553" t="s">
        <v>59</v>
      </c>
      <c r="O553" s="12">
        <v>45999.472916666666</v>
      </c>
      <c r="P553" s="12">
        <v>46002.681250000001</v>
      </c>
      <c r="Q553" s="12">
        <v>45999.615277777775</v>
      </c>
      <c r="S553" s="12">
        <v>46004.806250000001</v>
      </c>
      <c r="U553" t="b">
        <v>0</v>
      </c>
    </row>
    <row r="554" spans="1:21">
      <c r="A554" t="s">
        <v>3395</v>
      </c>
      <c r="B554" t="s">
        <v>2874</v>
      </c>
      <c r="C554" t="s">
        <v>1721</v>
      </c>
      <c r="D554" t="s">
        <v>3396</v>
      </c>
      <c r="E554" t="s">
        <v>3397</v>
      </c>
      <c r="F554" t="s">
        <v>2617</v>
      </c>
      <c r="G554">
        <v>53</v>
      </c>
      <c r="H554" t="s">
        <v>50</v>
      </c>
      <c r="I554" t="s">
        <v>24</v>
      </c>
      <c r="J554" t="s">
        <v>1413</v>
      </c>
      <c r="K554">
        <v>65</v>
      </c>
      <c r="L554" t="s">
        <v>2592</v>
      </c>
      <c r="M554" t="s">
        <v>2593</v>
      </c>
      <c r="N554" t="s">
        <v>59</v>
      </c>
      <c r="O554" s="12">
        <v>46135.576388888891</v>
      </c>
      <c r="P554" s="12">
        <v>46135.868055555555</v>
      </c>
      <c r="Q554" s="12">
        <v>46135.730555555558</v>
      </c>
      <c r="R554" s="12">
        <v>46135.748611111114</v>
      </c>
      <c r="U554" t="b">
        <v>0</v>
      </c>
    </row>
    <row r="555" spans="1:21">
      <c r="A555" t="s">
        <v>3398</v>
      </c>
      <c r="B555" t="s">
        <v>2578</v>
      </c>
      <c r="C555" t="s">
        <v>1180</v>
      </c>
      <c r="D555" t="s">
        <v>3399</v>
      </c>
      <c r="E555" t="s">
        <v>3400</v>
      </c>
      <c r="F555" t="s">
        <v>2660</v>
      </c>
      <c r="G555">
        <v>189</v>
      </c>
      <c r="H555" t="s">
        <v>154</v>
      </c>
      <c r="I555" t="s">
        <v>24</v>
      </c>
      <c r="J555" t="s">
        <v>1271</v>
      </c>
      <c r="K555">
        <v>55</v>
      </c>
      <c r="L555" t="s">
        <v>2601</v>
      </c>
      <c r="M555" t="s">
        <v>2655</v>
      </c>
      <c r="N555" t="s">
        <v>25</v>
      </c>
      <c r="O555" s="12">
        <v>46038.004166666666</v>
      </c>
      <c r="Q555" s="12">
        <v>46038.033333333333</v>
      </c>
      <c r="U555" t="b">
        <v>0</v>
      </c>
    </row>
    <row r="556" spans="1:21">
      <c r="A556" t="s">
        <v>3401</v>
      </c>
      <c r="B556" t="s">
        <v>1898</v>
      </c>
      <c r="C556" t="s">
        <v>1142</v>
      </c>
      <c r="D556" t="s">
        <v>3402</v>
      </c>
      <c r="E556" t="s">
        <v>3403</v>
      </c>
      <c r="F556" t="s">
        <v>2680</v>
      </c>
      <c r="G556">
        <v>2440</v>
      </c>
      <c r="H556" t="s">
        <v>171</v>
      </c>
      <c r="I556" t="s">
        <v>17</v>
      </c>
      <c r="J556" t="s">
        <v>1288</v>
      </c>
      <c r="K556">
        <v>47</v>
      </c>
      <c r="L556" t="s">
        <v>2601</v>
      </c>
      <c r="M556" t="s">
        <v>2593</v>
      </c>
      <c r="N556" t="s">
        <v>18</v>
      </c>
      <c r="O556" s="12">
        <v>45380.095833333333</v>
      </c>
      <c r="Q556" s="12">
        <v>45380.22152777778</v>
      </c>
      <c r="R556" s="12">
        <v>45380.30972222222</v>
      </c>
      <c r="U556" t="b">
        <v>0</v>
      </c>
    </row>
    <row r="557" spans="1:21">
      <c r="A557" t="s">
        <v>3404</v>
      </c>
      <c r="B557" t="s">
        <v>1202</v>
      </c>
      <c r="C557" t="s">
        <v>1148</v>
      </c>
      <c r="D557" t="s">
        <v>3405</v>
      </c>
      <c r="E557" t="s">
        <v>3406</v>
      </c>
      <c r="F557" t="s">
        <v>1784</v>
      </c>
      <c r="G557">
        <v>107</v>
      </c>
      <c r="H557" t="s">
        <v>81</v>
      </c>
      <c r="I557" t="s">
        <v>24</v>
      </c>
      <c r="J557" t="s">
        <v>1271</v>
      </c>
      <c r="K557">
        <v>43</v>
      </c>
      <c r="L557" t="s">
        <v>2601</v>
      </c>
      <c r="M557" t="s">
        <v>2618</v>
      </c>
      <c r="N557" t="s">
        <v>25</v>
      </c>
      <c r="O557" s="12">
        <v>45479.209027777775</v>
      </c>
      <c r="Q557" s="12">
        <v>45479.3</v>
      </c>
      <c r="R557" s="12">
        <v>45480.716666666667</v>
      </c>
      <c r="T557" t="s">
        <v>2933</v>
      </c>
      <c r="U557" t="b">
        <v>0</v>
      </c>
    </row>
    <row r="558" spans="1:21">
      <c r="A558" t="s">
        <v>3407</v>
      </c>
      <c r="B558" t="s">
        <v>2682</v>
      </c>
      <c r="C558" t="s">
        <v>1139</v>
      </c>
      <c r="D558" t="s">
        <v>3408</v>
      </c>
      <c r="E558" t="s">
        <v>3409</v>
      </c>
      <c r="F558" t="s">
        <v>1487</v>
      </c>
      <c r="G558">
        <v>597</v>
      </c>
      <c r="H558" t="s">
        <v>178</v>
      </c>
      <c r="I558" t="s">
        <v>30</v>
      </c>
      <c r="J558" t="s">
        <v>1288</v>
      </c>
      <c r="K558">
        <v>40</v>
      </c>
      <c r="L558" t="s">
        <v>2601</v>
      </c>
      <c r="M558" t="s">
        <v>2618</v>
      </c>
      <c r="N558" t="s">
        <v>36</v>
      </c>
      <c r="O558" s="12">
        <v>45538.754166666666</v>
      </c>
      <c r="Q558" s="12">
        <v>45538.813194444447</v>
      </c>
      <c r="R558" s="12">
        <v>45538.85</v>
      </c>
      <c r="T558" t="s">
        <v>2631</v>
      </c>
      <c r="U558" t="b">
        <v>0</v>
      </c>
    </row>
    <row r="559" spans="1:21">
      <c r="A559" t="s">
        <v>3410</v>
      </c>
      <c r="B559" t="s">
        <v>1584</v>
      </c>
      <c r="C559" t="s">
        <v>2283</v>
      </c>
      <c r="D559" t="s">
        <v>3411</v>
      </c>
      <c r="E559" t="s">
        <v>3412</v>
      </c>
      <c r="F559" t="s">
        <v>1294</v>
      </c>
      <c r="G559">
        <v>5</v>
      </c>
      <c r="H559" t="s">
        <v>140</v>
      </c>
      <c r="J559" t="s">
        <v>1317</v>
      </c>
      <c r="K559">
        <v>63</v>
      </c>
      <c r="L559" t="s">
        <v>2601</v>
      </c>
      <c r="M559" t="s">
        <v>2618</v>
      </c>
      <c r="O559" s="12">
        <v>46138.231944444444</v>
      </c>
      <c r="T559" t="s">
        <v>2933</v>
      </c>
      <c r="U559" t="b">
        <v>0</v>
      </c>
    </row>
    <row r="560" spans="1:21">
      <c r="A560" t="s">
        <v>3413</v>
      </c>
      <c r="B560" t="s">
        <v>1111</v>
      </c>
      <c r="C560" t="s">
        <v>2283</v>
      </c>
      <c r="D560" t="s">
        <v>3414</v>
      </c>
      <c r="E560" t="s">
        <v>3415</v>
      </c>
      <c r="F560" t="s">
        <v>1517</v>
      </c>
      <c r="G560">
        <v>914</v>
      </c>
      <c r="H560" t="s">
        <v>23</v>
      </c>
      <c r="I560" t="s">
        <v>30</v>
      </c>
      <c r="J560" t="s">
        <v>1271</v>
      </c>
      <c r="K560">
        <v>63</v>
      </c>
      <c r="L560" t="s">
        <v>2601</v>
      </c>
      <c r="M560" t="s">
        <v>2618</v>
      </c>
      <c r="N560" t="s">
        <v>82</v>
      </c>
      <c r="O560" s="12">
        <v>45984.868055555555</v>
      </c>
      <c r="Q560" s="12">
        <v>45985.099305555559</v>
      </c>
      <c r="R560" s="12">
        <v>45985.17291666667</v>
      </c>
      <c r="T560" t="s">
        <v>2673</v>
      </c>
      <c r="U560" t="b">
        <v>0</v>
      </c>
    </row>
    <row r="561" spans="1:21">
      <c r="A561" t="s">
        <v>3416</v>
      </c>
      <c r="B561" t="s">
        <v>2666</v>
      </c>
      <c r="C561" t="s">
        <v>1197</v>
      </c>
      <c r="D561" t="s">
        <v>3417</v>
      </c>
      <c r="E561" t="s">
        <v>3418</v>
      </c>
      <c r="F561" t="s">
        <v>1517</v>
      </c>
      <c r="G561">
        <v>2028</v>
      </c>
      <c r="H561" t="s">
        <v>76</v>
      </c>
      <c r="I561" t="s">
        <v>17</v>
      </c>
      <c r="J561" t="s">
        <v>1317</v>
      </c>
      <c r="K561">
        <v>64</v>
      </c>
      <c r="L561" t="s">
        <v>2592</v>
      </c>
      <c r="M561" t="s">
        <v>2597</v>
      </c>
      <c r="N561" t="s">
        <v>36</v>
      </c>
      <c r="O561" s="12">
        <v>45986.527777777781</v>
      </c>
      <c r="P561" s="12">
        <v>45988.444444444445</v>
      </c>
      <c r="Q561" s="12">
        <v>45986.682638888888</v>
      </c>
      <c r="R561" s="12">
        <v>45986.73541666667</v>
      </c>
      <c r="U561" t="b">
        <v>0</v>
      </c>
    </row>
    <row r="562" spans="1:21">
      <c r="A562" t="s">
        <v>3419</v>
      </c>
      <c r="B562" t="s">
        <v>1485</v>
      </c>
      <c r="C562" t="s">
        <v>1631</v>
      </c>
      <c r="D562" t="s">
        <v>3420</v>
      </c>
      <c r="E562" t="s">
        <v>3421</v>
      </c>
      <c r="F562" t="s">
        <v>2617</v>
      </c>
      <c r="G562">
        <v>80</v>
      </c>
      <c r="H562" t="s">
        <v>23</v>
      </c>
      <c r="I562" t="s">
        <v>24</v>
      </c>
      <c r="J562" t="s">
        <v>1355</v>
      </c>
      <c r="K562">
        <v>49</v>
      </c>
      <c r="L562" t="s">
        <v>2601</v>
      </c>
      <c r="M562" t="s">
        <v>2618</v>
      </c>
      <c r="N562" t="s">
        <v>25</v>
      </c>
      <c r="O562" s="12">
        <v>45753.805555555555</v>
      </c>
      <c r="Q562" s="12">
        <v>45753.820138888892</v>
      </c>
      <c r="R562" s="12">
        <v>45753.923611111109</v>
      </c>
      <c r="T562" t="s">
        <v>2763</v>
      </c>
      <c r="U562" t="b">
        <v>0</v>
      </c>
    </row>
    <row r="563" spans="1:21">
      <c r="A563" t="s">
        <v>3422</v>
      </c>
      <c r="B563" t="s">
        <v>2789</v>
      </c>
      <c r="C563" t="s">
        <v>1343</v>
      </c>
      <c r="D563" t="s">
        <v>3423</v>
      </c>
      <c r="E563" t="s">
        <v>3424</v>
      </c>
      <c r="F563" t="s">
        <v>2660</v>
      </c>
      <c r="G563">
        <v>141</v>
      </c>
      <c r="H563" t="s">
        <v>339</v>
      </c>
      <c r="I563" t="s">
        <v>24</v>
      </c>
      <c r="J563" t="s">
        <v>1413</v>
      </c>
      <c r="K563">
        <v>50</v>
      </c>
      <c r="L563" t="s">
        <v>2601</v>
      </c>
      <c r="M563" t="s">
        <v>2593</v>
      </c>
      <c r="N563" t="s">
        <v>69</v>
      </c>
      <c r="O563" s="12">
        <v>45497.734027777777</v>
      </c>
      <c r="Q563" s="12">
        <v>45497.863888888889</v>
      </c>
      <c r="R563" s="12">
        <v>45497.963888888888</v>
      </c>
      <c r="U563" t="b">
        <v>0</v>
      </c>
    </row>
    <row r="564" spans="1:21">
      <c r="A564" t="s">
        <v>3425</v>
      </c>
      <c r="B564" t="s">
        <v>2645</v>
      </c>
      <c r="C564" t="s">
        <v>1971</v>
      </c>
      <c r="D564" t="s">
        <v>3426</v>
      </c>
      <c r="E564" t="s">
        <v>3427</v>
      </c>
      <c r="F564" t="s">
        <v>2709</v>
      </c>
      <c r="G564">
        <v>486</v>
      </c>
      <c r="H564" t="s">
        <v>216</v>
      </c>
      <c r="I564" t="s">
        <v>17</v>
      </c>
      <c r="J564" t="s">
        <v>1271</v>
      </c>
      <c r="K564">
        <v>56</v>
      </c>
      <c r="L564" t="s">
        <v>2601</v>
      </c>
      <c r="M564" t="s">
        <v>2605</v>
      </c>
      <c r="N564" t="s">
        <v>18</v>
      </c>
      <c r="O564" s="12">
        <v>45827.025694444441</v>
      </c>
      <c r="Q564" s="12">
        <v>45827.088194444441</v>
      </c>
      <c r="R564" s="12">
        <v>45827.179861111108</v>
      </c>
      <c r="U564" t="b">
        <v>0</v>
      </c>
    </row>
    <row r="565" spans="1:21">
      <c r="A565" t="s">
        <v>3428</v>
      </c>
      <c r="B565" t="s">
        <v>1176</v>
      </c>
      <c r="C565" t="s">
        <v>1145</v>
      </c>
      <c r="D565" t="s">
        <v>3429</v>
      </c>
      <c r="E565" t="s">
        <v>3430</v>
      </c>
      <c r="F565" t="s">
        <v>2755</v>
      </c>
      <c r="G565">
        <v>1819</v>
      </c>
      <c r="H565" t="s">
        <v>16</v>
      </c>
      <c r="I565" t="s">
        <v>30</v>
      </c>
      <c r="J565" t="s">
        <v>1355</v>
      </c>
      <c r="K565">
        <v>59</v>
      </c>
      <c r="L565" t="s">
        <v>2592</v>
      </c>
      <c r="M565" t="s">
        <v>2618</v>
      </c>
      <c r="N565" t="s">
        <v>18</v>
      </c>
      <c r="O565" s="12">
        <v>45482.874305555553</v>
      </c>
      <c r="P565" s="12">
        <v>45486.374305555553</v>
      </c>
      <c r="Q565" s="12">
        <v>45482.95208333333</v>
      </c>
      <c r="R565" s="12">
        <v>45483.066666666666</v>
      </c>
      <c r="T565" t="s">
        <v>2739</v>
      </c>
      <c r="U565" t="b">
        <v>0</v>
      </c>
    </row>
    <row r="566" spans="1:21">
      <c r="A566" t="s">
        <v>3431</v>
      </c>
      <c r="B566" t="s">
        <v>2578</v>
      </c>
      <c r="C566" t="s">
        <v>1631</v>
      </c>
      <c r="D566" t="s">
        <v>3432</v>
      </c>
      <c r="E566" t="s">
        <v>3433</v>
      </c>
      <c r="F566" t="s">
        <v>2680</v>
      </c>
      <c r="G566">
        <v>61</v>
      </c>
      <c r="H566" t="s">
        <v>1034</v>
      </c>
      <c r="I566" t="s">
        <v>24</v>
      </c>
      <c r="J566" t="s">
        <v>1288</v>
      </c>
      <c r="K566">
        <v>35</v>
      </c>
      <c r="L566" t="s">
        <v>2601</v>
      </c>
      <c r="M566" t="s">
        <v>2655</v>
      </c>
      <c r="N566" t="s">
        <v>59</v>
      </c>
      <c r="O566" s="12">
        <v>45702.57708333333</v>
      </c>
      <c r="Q566" s="12">
        <v>45702.807638888888</v>
      </c>
      <c r="U566" t="b">
        <v>0</v>
      </c>
    </row>
    <row r="567" spans="1:21">
      <c r="A567" t="s">
        <v>3434</v>
      </c>
      <c r="B567" t="s">
        <v>1267</v>
      </c>
      <c r="C567" t="s">
        <v>1125</v>
      </c>
      <c r="D567" t="s">
        <v>3435</v>
      </c>
      <c r="E567" t="s">
        <v>3436</v>
      </c>
      <c r="F567" t="s">
        <v>2271</v>
      </c>
      <c r="G567">
        <v>404</v>
      </c>
      <c r="H567" t="s">
        <v>140</v>
      </c>
      <c r="I567" t="s">
        <v>30</v>
      </c>
      <c r="J567" t="s">
        <v>1271</v>
      </c>
      <c r="K567">
        <v>43</v>
      </c>
      <c r="L567" t="s">
        <v>2592</v>
      </c>
      <c r="M567" t="s">
        <v>2593</v>
      </c>
      <c r="N567" t="s">
        <v>82</v>
      </c>
      <c r="O567" s="12">
        <v>46115.275000000001</v>
      </c>
      <c r="P567" s="12">
        <v>46117.48333333333</v>
      </c>
      <c r="Q567" s="12">
        <v>46115.354861111111</v>
      </c>
      <c r="R567" s="12">
        <v>46115.688194444447</v>
      </c>
      <c r="U567" t="b">
        <v>0</v>
      </c>
    </row>
    <row r="568" spans="1:21">
      <c r="A568" t="s">
        <v>3437</v>
      </c>
      <c r="B568" t="s">
        <v>2834</v>
      </c>
      <c r="C568" t="s">
        <v>1180</v>
      </c>
      <c r="D568" t="s">
        <v>3438</v>
      </c>
      <c r="E568" t="s">
        <v>3439</v>
      </c>
      <c r="F568" t="s">
        <v>1448</v>
      </c>
      <c r="G568">
        <v>597</v>
      </c>
      <c r="H568" t="s">
        <v>120</v>
      </c>
      <c r="I568" t="s">
        <v>30</v>
      </c>
      <c r="J568" t="s">
        <v>1413</v>
      </c>
      <c r="K568">
        <v>73</v>
      </c>
      <c r="L568" t="s">
        <v>2601</v>
      </c>
      <c r="M568" t="s">
        <v>2605</v>
      </c>
      <c r="N568" t="s">
        <v>82</v>
      </c>
      <c r="O568" s="12">
        <v>45501.146527777775</v>
      </c>
      <c r="Q568" s="12">
        <v>45501.384722222225</v>
      </c>
      <c r="R568" s="12">
        <v>45501.413194444445</v>
      </c>
      <c r="U568" t="b">
        <v>0</v>
      </c>
    </row>
    <row r="569" spans="1:21">
      <c r="A569" t="s">
        <v>3440</v>
      </c>
      <c r="B569" t="s">
        <v>1221</v>
      </c>
      <c r="C569" t="s">
        <v>1418</v>
      </c>
      <c r="D569" t="s">
        <v>3441</v>
      </c>
      <c r="E569" t="s">
        <v>3442</v>
      </c>
      <c r="F569" t="s">
        <v>1784</v>
      </c>
      <c r="G569">
        <v>189</v>
      </c>
      <c r="H569" t="s">
        <v>366</v>
      </c>
      <c r="I569" t="s">
        <v>24</v>
      </c>
      <c r="J569" t="s">
        <v>1317</v>
      </c>
      <c r="K569">
        <v>79</v>
      </c>
      <c r="L569" t="s">
        <v>2642</v>
      </c>
      <c r="M569" t="s">
        <v>2597</v>
      </c>
      <c r="N569" t="s">
        <v>91</v>
      </c>
      <c r="O569" s="12">
        <v>45751.798611111109</v>
      </c>
      <c r="P569" s="12">
        <v>45754.006944444445</v>
      </c>
      <c r="Q569" s="12">
        <v>45751.929861111108</v>
      </c>
      <c r="S569" s="12">
        <v>45760.340277777781</v>
      </c>
      <c r="U569" t="b">
        <v>0</v>
      </c>
    </row>
    <row r="570" spans="1:21">
      <c r="A570" t="s">
        <v>3443</v>
      </c>
      <c r="B570" t="s">
        <v>1320</v>
      </c>
      <c r="C570" t="s">
        <v>1152</v>
      </c>
      <c r="D570" t="s">
        <v>3444</v>
      </c>
      <c r="E570" t="s">
        <v>3445</v>
      </c>
      <c r="F570" t="s">
        <v>2755</v>
      </c>
      <c r="G570">
        <v>106</v>
      </c>
      <c r="H570" t="s">
        <v>366</v>
      </c>
      <c r="I570" t="s">
        <v>24</v>
      </c>
      <c r="J570" t="s">
        <v>1281</v>
      </c>
      <c r="K570">
        <v>79</v>
      </c>
      <c r="L570" t="s">
        <v>2642</v>
      </c>
      <c r="M570" t="s">
        <v>2643</v>
      </c>
      <c r="N570" t="s">
        <v>91</v>
      </c>
      <c r="O570" s="12">
        <v>45781.230555555558</v>
      </c>
      <c r="P570" s="12">
        <v>45785.813888888886</v>
      </c>
      <c r="Q570" s="12">
        <v>45781.416666666664</v>
      </c>
      <c r="R570" s="12">
        <v>45781.527083333334</v>
      </c>
      <c r="S570" s="12">
        <v>45795.022222222222</v>
      </c>
      <c r="U570" t="b">
        <v>0</v>
      </c>
    </row>
    <row r="571" spans="1:21">
      <c r="A571" t="s">
        <v>3446</v>
      </c>
      <c r="B571" t="s">
        <v>3169</v>
      </c>
      <c r="C571" t="s">
        <v>1180</v>
      </c>
      <c r="D571" t="s">
        <v>3447</v>
      </c>
      <c r="E571" t="s">
        <v>3448</v>
      </c>
      <c r="F571" t="s">
        <v>2680</v>
      </c>
      <c r="G571">
        <v>35</v>
      </c>
      <c r="H571" t="s">
        <v>50</v>
      </c>
      <c r="I571" t="s">
        <v>24</v>
      </c>
      <c r="J571" t="s">
        <v>1317</v>
      </c>
      <c r="K571">
        <v>59</v>
      </c>
      <c r="L571" t="s">
        <v>2592</v>
      </c>
      <c r="M571" t="s">
        <v>2593</v>
      </c>
      <c r="N571" t="s">
        <v>59</v>
      </c>
      <c r="O571" s="12">
        <v>45861.173611111109</v>
      </c>
      <c r="P571" s="12">
        <v>45863.673611111109</v>
      </c>
      <c r="Q571" s="12">
        <v>45861.412499999999</v>
      </c>
      <c r="R571" s="12">
        <v>45862.495833333334</v>
      </c>
      <c r="U571" t="b">
        <v>0</v>
      </c>
    </row>
    <row r="572" spans="1:21">
      <c r="A572" t="s">
        <v>3449</v>
      </c>
      <c r="B572" t="s">
        <v>1431</v>
      </c>
      <c r="C572" t="s">
        <v>1191</v>
      </c>
      <c r="D572" t="s">
        <v>3450</v>
      </c>
      <c r="E572" t="s">
        <v>3451</v>
      </c>
      <c r="F572" t="s">
        <v>1511</v>
      </c>
      <c r="G572">
        <v>153</v>
      </c>
      <c r="H572" t="s">
        <v>81</v>
      </c>
      <c r="I572" t="s">
        <v>24</v>
      </c>
      <c r="J572" t="s">
        <v>1295</v>
      </c>
      <c r="K572">
        <v>79</v>
      </c>
      <c r="L572" t="s">
        <v>2642</v>
      </c>
      <c r="M572" t="s">
        <v>2597</v>
      </c>
      <c r="N572" t="s">
        <v>25</v>
      </c>
      <c r="O572" s="12">
        <v>46255.015972222223</v>
      </c>
      <c r="P572" s="12">
        <v>46258.390972222223</v>
      </c>
      <c r="Q572" s="12">
        <v>46255.23541666667</v>
      </c>
      <c r="R572" s="12">
        <v>46255.281944444447</v>
      </c>
      <c r="S572" s="12">
        <v>46261.807638888888</v>
      </c>
      <c r="U572" t="b">
        <v>0</v>
      </c>
    </row>
    <row r="573" spans="1:21">
      <c r="A573" t="s">
        <v>3452</v>
      </c>
      <c r="B573" t="s">
        <v>2662</v>
      </c>
      <c r="C573" t="s">
        <v>1898</v>
      </c>
      <c r="D573" t="s">
        <v>3453</v>
      </c>
      <c r="E573" t="s">
        <v>3454</v>
      </c>
      <c r="F573" t="s">
        <v>2271</v>
      </c>
      <c r="G573">
        <v>142</v>
      </c>
      <c r="H573" t="s">
        <v>140</v>
      </c>
      <c r="I573" t="s">
        <v>24</v>
      </c>
      <c r="J573" t="s">
        <v>1271</v>
      </c>
      <c r="K573">
        <v>51</v>
      </c>
      <c r="L573" t="s">
        <v>2601</v>
      </c>
      <c r="M573" t="s">
        <v>2605</v>
      </c>
      <c r="N573" t="s">
        <v>25</v>
      </c>
      <c r="O573" s="12">
        <v>45622.031944444447</v>
      </c>
      <c r="Q573" s="12">
        <v>45622.117361111108</v>
      </c>
      <c r="R573" s="12">
        <v>45622.183333333334</v>
      </c>
      <c r="U573" t="b">
        <v>0</v>
      </c>
    </row>
    <row r="574" spans="1:21">
      <c r="A574" t="s">
        <v>3455</v>
      </c>
      <c r="B574" t="s">
        <v>2662</v>
      </c>
      <c r="C574" t="s">
        <v>1191</v>
      </c>
      <c r="D574" t="s">
        <v>3456</v>
      </c>
      <c r="E574" t="s">
        <v>3457</v>
      </c>
      <c r="F574" t="s">
        <v>2084</v>
      </c>
      <c r="G574">
        <v>853</v>
      </c>
      <c r="H574" t="s">
        <v>440</v>
      </c>
      <c r="I574" t="s">
        <v>30</v>
      </c>
      <c r="J574" t="s">
        <v>1271</v>
      </c>
      <c r="K574">
        <v>67</v>
      </c>
      <c r="L574" t="s">
        <v>2601</v>
      </c>
      <c r="M574" t="s">
        <v>2655</v>
      </c>
      <c r="N574" t="s">
        <v>55</v>
      </c>
      <c r="O574" s="12">
        <v>45797.907638888886</v>
      </c>
      <c r="Q574" s="12">
        <v>45798.045138888891</v>
      </c>
      <c r="U574" t="b">
        <v>0</v>
      </c>
    </row>
    <row r="575" spans="1:21">
      <c r="A575" t="s">
        <v>3458</v>
      </c>
      <c r="B575" t="s">
        <v>2607</v>
      </c>
      <c r="C575" t="s">
        <v>1148</v>
      </c>
      <c r="D575" t="s">
        <v>3459</v>
      </c>
      <c r="E575" t="s">
        <v>3460</v>
      </c>
      <c r="F575" t="s">
        <v>1517</v>
      </c>
      <c r="G575">
        <v>118</v>
      </c>
      <c r="H575" t="s">
        <v>16</v>
      </c>
      <c r="I575" t="s">
        <v>24</v>
      </c>
      <c r="J575" t="s">
        <v>2894</v>
      </c>
      <c r="K575">
        <v>64</v>
      </c>
      <c r="L575" t="s">
        <v>2592</v>
      </c>
      <c r="M575" t="s">
        <v>2593</v>
      </c>
      <c r="N575" t="s">
        <v>91</v>
      </c>
      <c r="O575" s="12">
        <v>46139.075694444444</v>
      </c>
      <c r="P575" s="12">
        <v>46140.78402777778</v>
      </c>
      <c r="Q575" s="12">
        <v>46139.259722222225</v>
      </c>
      <c r="R575" s="12">
        <v>46139.367361111108</v>
      </c>
      <c r="U575" t="b">
        <v>0</v>
      </c>
    </row>
    <row r="576" spans="1:21">
      <c r="A576" t="s">
        <v>3461</v>
      </c>
      <c r="B576" t="s">
        <v>3169</v>
      </c>
      <c r="C576" t="s">
        <v>1650</v>
      </c>
      <c r="D576" t="s">
        <v>3462</v>
      </c>
      <c r="E576" t="s">
        <v>3463</v>
      </c>
      <c r="F576" t="s">
        <v>1412</v>
      </c>
      <c r="G576">
        <v>18</v>
      </c>
      <c r="H576" t="s">
        <v>638</v>
      </c>
      <c r="J576" t="s">
        <v>1288</v>
      </c>
      <c r="K576">
        <v>35</v>
      </c>
      <c r="L576" t="s">
        <v>2592</v>
      </c>
      <c r="M576" t="s">
        <v>2593</v>
      </c>
      <c r="O576" s="12">
        <v>45626.229166666664</v>
      </c>
      <c r="P576" s="12">
        <v>45628.395833333336</v>
      </c>
      <c r="U576" t="b">
        <v>0</v>
      </c>
    </row>
    <row r="577" spans="1:21">
      <c r="A577" t="s">
        <v>3464</v>
      </c>
      <c r="B577" t="s">
        <v>1111</v>
      </c>
      <c r="C577" t="s">
        <v>1490</v>
      </c>
      <c r="D577" t="s">
        <v>3465</v>
      </c>
      <c r="E577" t="s">
        <v>3466</v>
      </c>
      <c r="F577" t="s">
        <v>1784</v>
      </c>
      <c r="G577">
        <v>193</v>
      </c>
      <c r="H577" t="s">
        <v>638</v>
      </c>
      <c r="I577" t="s">
        <v>24</v>
      </c>
      <c r="J577" t="s">
        <v>1413</v>
      </c>
      <c r="K577">
        <v>69</v>
      </c>
      <c r="L577" t="s">
        <v>2592</v>
      </c>
      <c r="M577" t="s">
        <v>2593</v>
      </c>
      <c r="N577" t="s">
        <v>69</v>
      </c>
      <c r="O577" s="12">
        <v>46002.220138888886</v>
      </c>
      <c r="P577" s="12">
        <v>46004.261805555558</v>
      </c>
      <c r="Q577" s="12">
        <v>46002.322916666664</v>
      </c>
      <c r="R577" s="12">
        <v>46003.822916666664</v>
      </c>
      <c r="U577" t="b">
        <v>0</v>
      </c>
    </row>
    <row r="578" spans="1:21">
      <c r="A578" t="s">
        <v>3467</v>
      </c>
      <c r="B578" t="s">
        <v>2874</v>
      </c>
      <c r="C578" t="s">
        <v>1337</v>
      </c>
      <c r="D578" t="s">
        <v>3468</v>
      </c>
      <c r="E578" t="s">
        <v>3469</v>
      </c>
      <c r="F578" t="s">
        <v>1471</v>
      </c>
      <c r="G578">
        <v>974</v>
      </c>
      <c r="H578" t="s">
        <v>366</v>
      </c>
      <c r="I578" t="s">
        <v>30</v>
      </c>
      <c r="J578" t="s">
        <v>1413</v>
      </c>
      <c r="K578">
        <v>70</v>
      </c>
      <c r="L578" t="s">
        <v>2592</v>
      </c>
      <c r="M578" t="s">
        <v>2597</v>
      </c>
      <c r="N578" t="s">
        <v>18</v>
      </c>
      <c r="O578" s="12">
        <v>46176.647916666669</v>
      </c>
      <c r="P578" s="12">
        <v>46177.772916666669</v>
      </c>
      <c r="Q578" s="12">
        <v>46176.850694444445</v>
      </c>
      <c r="R578" s="12">
        <v>46177.003472222219</v>
      </c>
      <c r="U578" t="b">
        <v>0</v>
      </c>
    </row>
    <row r="579" spans="1:21">
      <c r="A579" t="s">
        <v>3470</v>
      </c>
      <c r="B579" t="s">
        <v>1167</v>
      </c>
      <c r="C579" t="s">
        <v>1579</v>
      </c>
      <c r="D579" t="s">
        <v>3471</v>
      </c>
      <c r="E579" t="s">
        <v>3472</v>
      </c>
      <c r="F579" t="s">
        <v>2271</v>
      </c>
      <c r="G579">
        <v>993</v>
      </c>
      <c r="H579" t="s">
        <v>68</v>
      </c>
      <c r="I579" t="s">
        <v>30</v>
      </c>
      <c r="J579" t="s">
        <v>1271</v>
      </c>
      <c r="K579">
        <v>50</v>
      </c>
      <c r="L579" t="s">
        <v>2601</v>
      </c>
      <c r="M579" t="s">
        <v>2655</v>
      </c>
      <c r="N579" t="s">
        <v>55</v>
      </c>
      <c r="O579" s="12">
        <v>46096.012499999997</v>
      </c>
      <c r="Q579" s="12">
        <v>46096.196527777778</v>
      </c>
      <c r="U579" t="b">
        <v>0</v>
      </c>
    </row>
    <row r="580" spans="1:21">
      <c r="A580" t="s">
        <v>3473</v>
      </c>
      <c r="B580" t="s">
        <v>2639</v>
      </c>
      <c r="C580" t="s">
        <v>1655</v>
      </c>
      <c r="D580" t="s">
        <v>3474</v>
      </c>
      <c r="E580" t="s">
        <v>3475</v>
      </c>
      <c r="F580" t="s">
        <v>2680</v>
      </c>
      <c r="G580">
        <v>2032</v>
      </c>
      <c r="H580" t="s">
        <v>95</v>
      </c>
      <c r="I580" t="s">
        <v>17</v>
      </c>
      <c r="J580" t="s">
        <v>1295</v>
      </c>
      <c r="K580">
        <v>81</v>
      </c>
      <c r="L580" t="s">
        <v>2642</v>
      </c>
      <c r="M580" t="s">
        <v>2643</v>
      </c>
      <c r="N580" t="s">
        <v>18</v>
      </c>
      <c r="O580" s="12">
        <v>45451.024305555555</v>
      </c>
      <c r="P580" s="12">
        <v>45451.940972222219</v>
      </c>
      <c r="Q580" s="12">
        <v>45451.103472222225</v>
      </c>
      <c r="R580" s="12">
        <v>45451.254861111112</v>
      </c>
      <c r="S580" s="12">
        <v>45454.565972222219</v>
      </c>
      <c r="U580" t="b">
        <v>0</v>
      </c>
    </row>
    <row r="581" spans="1:21">
      <c r="A581" t="s">
        <v>3476</v>
      </c>
      <c r="B581" t="s">
        <v>2847</v>
      </c>
      <c r="C581" t="s">
        <v>1148</v>
      </c>
      <c r="D581" t="s">
        <v>3477</v>
      </c>
      <c r="E581" t="s">
        <v>3478</v>
      </c>
      <c r="F581" t="s">
        <v>2271</v>
      </c>
      <c r="G581">
        <v>33</v>
      </c>
      <c r="H581" t="s">
        <v>226</v>
      </c>
      <c r="I581" t="s">
        <v>24</v>
      </c>
      <c r="J581" t="s">
        <v>3292</v>
      </c>
      <c r="K581">
        <v>55</v>
      </c>
      <c r="L581" t="s">
        <v>2601</v>
      </c>
      <c r="M581" t="s">
        <v>2655</v>
      </c>
      <c r="N581" t="s">
        <v>69</v>
      </c>
      <c r="O581" s="12">
        <v>45559.791666666664</v>
      </c>
      <c r="Q581" s="12">
        <v>45559.989583333336</v>
      </c>
      <c r="U581" t="b">
        <v>0</v>
      </c>
    </row>
    <row r="582" spans="1:21">
      <c r="A582" t="s">
        <v>3479</v>
      </c>
      <c r="B582" t="s">
        <v>1221</v>
      </c>
      <c r="C582" t="s">
        <v>1337</v>
      </c>
      <c r="D582" t="s">
        <v>3480</v>
      </c>
      <c r="E582" t="s">
        <v>3481</v>
      </c>
      <c r="F582" t="s">
        <v>2660</v>
      </c>
      <c r="G582">
        <v>63</v>
      </c>
      <c r="H582" t="s">
        <v>16</v>
      </c>
      <c r="I582" t="s">
        <v>24</v>
      </c>
      <c r="J582" t="s">
        <v>1288</v>
      </c>
      <c r="K582">
        <v>43</v>
      </c>
      <c r="L582" t="s">
        <v>2592</v>
      </c>
      <c r="M582" t="s">
        <v>2597</v>
      </c>
      <c r="N582" t="s">
        <v>91</v>
      </c>
      <c r="O582" s="12">
        <v>45499.727777777778</v>
      </c>
      <c r="P582" s="12">
        <v>45502.519444444442</v>
      </c>
      <c r="Q582" s="12">
        <v>45499.769444444442</v>
      </c>
      <c r="R582" s="12">
        <v>45499.786111111112</v>
      </c>
      <c r="U582" t="b">
        <v>0</v>
      </c>
    </row>
    <row r="583" spans="1:21">
      <c r="A583" t="s">
        <v>3482</v>
      </c>
      <c r="B583" t="s">
        <v>1898</v>
      </c>
      <c r="C583" t="s">
        <v>2621</v>
      </c>
      <c r="D583" t="s">
        <v>3483</v>
      </c>
      <c r="E583" t="s">
        <v>3484</v>
      </c>
      <c r="F583" t="s">
        <v>1517</v>
      </c>
      <c r="G583">
        <v>148</v>
      </c>
      <c r="H583" t="s">
        <v>140</v>
      </c>
      <c r="I583" t="s">
        <v>24</v>
      </c>
      <c r="J583" t="s">
        <v>1413</v>
      </c>
      <c r="K583">
        <v>71</v>
      </c>
      <c r="L583" t="s">
        <v>2592</v>
      </c>
      <c r="M583" t="s">
        <v>2597</v>
      </c>
      <c r="N583" t="s">
        <v>25</v>
      </c>
      <c r="O583" s="12">
        <v>46264.579861111109</v>
      </c>
      <c r="P583" s="12">
        <v>46265.288194444445</v>
      </c>
      <c r="Q583" s="12">
        <v>46264.59652777778</v>
      </c>
      <c r="R583" s="12">
        <v>46264.97152777778</v>
      </c>
      <c r="U583" t="b">
        <v>0</v>
      </c>
    </row>
    <row r="584" spans="1:21">
      <c r="A584" t="s">
        <v>3485</v>
      </c>
      <c r="B584" t="s">
        <v>2834</v>
      </c>
      <c r="C584" t="s">
        <v>1655</v>
      </c>
      <c r="D584" t="s">
        <v>3303</v>
      </c>
      <c r="E584" t="s">
        <v>3486</v>
      </c>
      <c r="F584" t="s">
        <v>1367</v>
      </c>
      <c r="G584">
        <v>69</v>
      </c>
      <c r="H584" t="s">
        <v>216</v>
      </c>
      <c r="I584" t="s">
        <v>24</v>
      </c>
      <c r="J584" t="s">
        <v>1295</v>
      </c>
      <c r="K584">
        <v>91</v>
      </c>
      <c r="L584" t="s">
        <v>2642</v>
      </c>
      <c r="M584" t="s">
        <v>2643</v>
      </c>
      <c r="N584" t="s">
        <v>91</v>
      </c>
      <c r="O584" s="12">
        <v>45499.477083333331</v>
      </c>
      <c r="P584" s="12">
        <v>45502.602083333331</v>
      </c>
      <c r="Q584" s="12">
        <v>45499.481944444444</v>
      </c>
      <c r="R584" s="12">
        <v>45499.604861111111</v>
      </c>
      <c r="S584" s="12">
        <v>45505.560416666667</v>
      </c>
      <c r="U584" t="b">
        <v>0</v>
      </c>
    </row>
    <row r="585" spans="1:21">
      <c r="A585" t="s">
        <v>3487</v>
      </c>
      <c r="B585" t="s">
        <v>1138</v>
      </c>
      <c r="C585" t="s">
        <v>1222</v>
      </c>
      <c r="D585" t="s">
        <v>3488</v>
      </c>
      <c r="E585" t="s">
        <v>3489</v>
      </c>
      <c r="F585" t="s">
        <v>1511</v>
      </c>
      <c r="G585">
        <v>178</v>
      </c>
      <c r="H585" t="s">
        <v>54</v>
      </c>
      <c r="I585" t="s">
        <v>24</v>
      </c>
      <c r="J585" t="s">
        <v>1317</v>
      </c>
      <c r="K585">
        <v>72</v>
      </c>
      <c r="L585" t="s">
        <v>2592</v>
      </c>
      <c r="M585" t="s">
        <v>2597</v>
      </c>
      <c r="N585" t="s">
        <v>69</v>
      </c>
      <c r="O585" s="12">
        <v>46015.990972222222</v>
      </c>
      <c r="P585" s="12">
        <v>46020.782638888886</v>
      </c>
      <c r="Q585" s="12">
        <v>46016.115972222222</v>
      </c>
      <c r="R585" s="12">
        <v>46016.258333333331</v>
      </c>
      <c r="U585" t="b">
        <v>0</v>
      </c>
    </row>
    <row r="586" spans="1:21">
      <c r="A586" t="s">
        <v>3490</v>
      </c>
      <c r="B586" t="s">
        <v>1179</v>
      </c>
      <c r="C586" t="s">
        <v>1152</v>
      </c>
      <c r="D586" t="s">
        <v>3491</v>
      </c>
      <c r="E586" t="s">
        <v>3492</v>
      </c>
      <c r="F586" t="s">
        <v>2271</v>
      </c>
      <c r="G586">
        <v>160</v>
      </c>
      <c r="H586" t="s">
        <v>81</v>
      </c>
      <c r="I586" t="s">
        <v>24</v>
      </c>
      <c r="J586" t="s">
        <v>1288</v>
      </c>
      <c r="K586">
        <v>41</v>
      </c>
      <c r="L586" t="s">
        <v>2601</v>
      </c>
      <c r="M586" t="s">
        <v>2605</v>
      </c>
      <c r="N586" t="s">
        <v>25</v>
      </c>
      <c r="O586" s="12">
        <v>45950.155555555553</v>
      </c>
      <c r="Q586" s="12">
        <v>45950.320138888892</v>
      </c>
      <c r="R586" s="12">
        <v>45950.347916666666</v>
      </c>
      <c r="U586" t="b">
        <v>0</v>
      </c>
    </row>
    <row r="587" spans="1:21">
      <c r="A587" t="s">
        <v>3493</v>
      </c>
      <c r="B587" t="s">
        <v>1190</v>
      </c>
      <c r="C587" t="s">
        <v>2621</v>
      </c>
      <c r="D587" t="s">
        <v>3494</v>
      </c>
      <c r="E587" t="s">
        <v>3495</v>
      </c>
      <c r="F587" t="s">
        <v>1420</v>
      </c>
      <c r="G587">
        <v>115</v>
      </c>
      <c r="H587" t="s">
        <v>154</v>
      </c>
      <c r="I587" t="s">
        <v>24</v>
      </c>
      <c r="J587" t="s">
        <v>1339</v>
      </c>
      <c r="K587">
        <v>81</v>
      </c>
      <c r="L587" t="s">
        <v>2642</v>
      </c>
      <c r="M587" t="s">
        <v>2643</v>
      </c>
      <c r="N587" t="s">
        <v>25</v>
      </c>
      <c r="O587" s="12">
        <v>45903.706250000003</v>
      </c>
      <c r="P587" s="12">
        <v>45905.456250000003</v>
      </c>
      <c r="Q587" s="12">
        <v>45903.933333333334</v>
      </c>
      <c r="R587" s="12">
        <v>45904.974999999999</v>
      </c>
      <c r="S587" s="12">
        <v>45906.706250000003</v>
      </c>
      <c r="U587" t="b">
        <v>0</v>
      </c>
    </row>
    <row r="588" spans="1:21">
      <c r="A588" t="s">
        <v>3496</v>
      </c>
      <c r="B588" t="s">
        <v>2628</v>
      </c>
      <c r="C588" t="s">
        <v>1378</v>
      </c>
      <c r="D588" t="s">
        <v>3497</v>
      </c>
      <c r="E588" t="s">
        <v>3498</v>
      </c>
      <c r="F588" t="s">
        <v>1412</v>
      </c>
      <c r="G588">
        <v>76</v>
      </c>
      <c r="H588" t="s">
        <v>1079</v>
      </c>
      <c r="I588" t="s">
        <v>24</v>
      </c>
      <c r="J588" t="s">
        <v>1295</v>
      </c>
      <c r="K588">
        <v>75</v>
      </c>
      <c r="L588" t="s">
        <v>2601</v>
      </c>
      <c r="M588" t="s">
        <v>2605</v>
      </c>
      <c r="N588" t="s">
        <v>69</v>
      </c>
      <c r="O588" s="12">
        <v>46016.730555555558</v>
      </c>
      <c r="Q588" s="12">
        <v>46016.737500000003</v>
      </c>
      <c r="R588" s="12">
        <v>46018.070833333331</v>
      </c>
      <c r="U588" t="b">
        <v>0</v>
      </c>
    </row>
    <row r="589" spans="1:21">
      <c r="A589" t="s">
        <v>3499</v>
      </c>
      <c r="B589" t="s">
        <v>1190</v>
      </c>
      <c r="C589" t="s">
        <v>2059</v>
      </c>
      <c r="D589" t="s">
        <v>3500</v>
      </c>
      <c r="E589" t="s">
        <v>3501</v>
      </c>
      <c r="F589" t="s">
        <v>1471</v>
      </c>
      <c r="G589">
        <v>74</v>
      </c>
      <c r="H589" t="s">
        <v>154</v>
      </c>
      <c r="I589" t="s">
        <v>24</v>
      </c>
      <c r="J589" t="s">
        <v>1295</v>
      </c>
      <c r="K589">
        <v>95</v>
      </c>
      <c r="L589" t="s">
        <v>2642</v>
      </c>
      <c r="M589" t="s">
        <v>2643</v>
      </c>
      <c r="N589" t="s">
        <v>91</v>
      </c>
      <c r="O589" s="12">
        <v>45866.39166666667</v>
      </c>
      <c r="P589" s="12">
        <v>45868.308333333334</v>
      </c>
      <c r="Q589" s="12">
        <v>45866.568749999999</v>
      </c>
      <c r="R589" s="12">
        <v>45866.612500000003</v>
      </c>
      <c r="S589" s="12">
        <v>45870.974999999999</v>
      </c>
      <c r="U589" t="b">
        <v>0</v>
      </c>
    </row>
    <row r="590" spans="1:21">
      <c r="A590" t="s">
        <v>3502</v>
      </c>
      <c r="B590" t="s">
        <v>2874</v>
      </c>
      <c r="C590" t="s">
        <v>1660</v>
      </c>
      <c r="D590" t="s">
        <v>3503</v>
      </c>
      <c r="E590" t="s">
        <v>3504</v>
      </c>
      <c r="F590" t="s">
        <v>2617</v>
      </c>
      <c r="G590">
        <v>2362</v>
      </c>
      <c r="H590" t="s">
        <v>1077</v>
      </c>
      <c r="I590" t="s">
        <v>17</v>
      </c>
      <c r="J590" t="s">
        <v>1295</v>
      </c>
      <c r="K590">
        <v>80</v>
      </c>
      <c r="L590" t="s">
        <v>2601</v>
      </c>
      <c r="M590" t="s">
        <v>2618</v>
      </c>
      <c r="N590" t="s">
        <v>55</v>
      </c>
      <c r="O590" s="12">
        <v>46131.074305555558</v>
      </c>
      <c r="Q590" s="12">
        <v>46131.199305555558</v>
      </c>
      <c r="R590" s="12">
        <v>46131.234722222223</v>
      </c>
      <c r="T590" t="s">
        <v>2933</v>
      </c>
      <c r="U590" t="b">
        <v>0</v>
      </c>
    </row>
    <row r="591" spans="1:21">
      <c r="A591" t="s">
        <v>3505</v>
      </c>
      <c r="B591" t="s">
        <v>1157</v>
      </c>
      <c r="C591" t="s">
        <v>1162</v>
      </c>
      <c r="D591" t="s">
        <v>3506</v>
      </c>
      <c r="E591" t="s">
        <v>3507</v>
      </c>
      <c r="F591" t="s">
        <v>1487</v>
      </c>
      <c r="G591">
        <v>176</v>
      </c>
      <c r="H591" t="s">
        <v>120</v>
      </c>
      <c r="I591" t="s">
        <v>24</v>
      </c>
      <c r="J591" t="s">
        <v>1295</v>
      </c>
      <c r="K591">
        <v>82</v>
      </c>
      <c r="L591" t="s">
        <v>2642</v>
      </c>
      <c r="M591" t="s">
        <v>2643</v>
      </c>
      <c r="N591" t="s">
        <v>25</v>
      </c>
      <c r="O591" s="12">
        <v>46269.833333333336</v>
      </c>
      <c r="P591" s="12">
        <v>46272.5</v>
      </c>
      <c r="Q591" s="12">
        <v>46269.98541666667</v>
      </c>
      <c r="R591" s="12">
        <v>46270.121527777781</v>
      </c>
      <c r="S591" s="12">
        <v>46279.125</v>
      </c>
      <c r="U591" t="b">
        <v>0</v>
      </c>
    </row>
    <row r="592" spans="1:21">
      <c r="A592" t="s">
        <v>3508</v>
      </c>
      <c r="B592" t="s">
        <v>2902</v>
      </c>
      <c r="C592" t="s">
        <v>1579</v>
      </c>
      <c r="D592" t="s">
        <v>3509</v>
      </c>
      <c r="E592" t="s">
        <v>3510</v>
      </c>
      <c r="F592" t="s">
        <v>1182</v>
      </c>
      <c r="G592">
        <v>999</v>
      </c>
      <c r="H592" t="s">
        <v>68</v>
      </c>
      <c r="I592" t="s">
        <v>30</v>
      </c>
      <c r="J592" t="s">
        <v>1288</v>
      </c>
      <c r="K592">
        <v>69</v>
      </c>
      <c r="L592" t="s">
        <v>2592</v>
      </c>
      <c r="M592" t="s">
        <v>2593</v>
      </c>
      <c r="N592" t="s">
        <v>55</v>
      </c>
      <c r="O592" s="12">
        <v>45968.818055555559</v>
      </c>
      <c r="P592" s="12">
        <v>45969.484722222223</v>
      </c>
      <c r="Q592" s="12">
        <v>45968.884722222225</v>
      </c>
      <c r="R592" s="12">
        <v>45968.912499999999</v>
      </c>
      <c r="U592" t="b">
        <v>0</v>
      </c>
    </row>
    <row r="593" spans="1:21">
      <c r="A593" t="s">
        <v>3511</v>
      </c>
      <c r="B593" t="s">
        <v>2902</v>
      </c>
      <c r="C593" t="s">
        <v>2005</v>
      </c>
      <c r="D593" t="s">
        <v>3512</v>
      </c>
      <c r="E593" t="s">
        <v>3513</v>
      </c>
      <c r="F593" t="s">
        <v>1517</v>
      </c>
      <c r="G593">
        <v>174</v>
      </c>
      <c r="H593" t="s">
        <v>154</v>
      </c>
      <c r="I593" t="s">
        <v>24</v>
      </c>
      <c r="J593" t="s">
        <v>1281</v>
      </c>
      <c r="K593">
        <v>87</v>
      </c>
      <c r="L593" t="s">
        <v>2592</v>
      </c>
      <c r="M593" t="s">
        <v>2605</v>
      </c>
      <c r="N593" t="s">
        <v>25</v>
      </c>
      <c r="O593" s="12">
        <v>45759.890972222223</v>
      </c>
      <c r="P593" s="12">
        <v>45763.682638888888</v>
      </c>
      <c r="Q593" s="12">
        <v>45759.933333333334</v>
      </c>
      <c r="R593" s="12">
        <v>45760.076388888891</v>
      </c>
      <c r="U593" t="b">
        <v>0</v>
      </c>
    </row>
    <row r="594" spans="1:21">
      <c r="A594" t="s">
        <v>3514</v>
      </c>
      <c r="B594" t="s">
        <v>1431</v>
      </c>
      <c r="C594" t="s">
        <v>1186</v>
      </c>
      <c r="D594" t="s">
        <v>3515</v>
      </c>
      <c r="E594" t="s">
        <v>3516</v>
      </c>
      <c r="F594" t="s">
        <v>1448</v>
      </c>
      <c r="G594">
        <v>815</v>
      </c>
      <c r="H594" t="s">
        <v>154</v>
      </c>
      <c r="I594" t="s">
        <v>30</v>
      </c>
      <c r="J594" t="s">
        <v>1317</v>
      </c>
      <c r="K594">
        <v>75</v>
      </c>
      <c r="L594" t="s">
        <v>2592</v>
      </c>
      <c r="M594" t="s">
        <v>2593</v>
      </c>
      <c r="N594" t="s">
        <v>82</v>
      </c>
      <c r="O594" s="12">
        <v>45404.098611111112</v>
      </c>
      <c r="P594" s="12">
        <v>45405.681944444441</v>
      </c>
      <c r="Q594" s="12">
        <v>45404.215277777781</v>
      </c>
      <c r="R594" s="12">
        <v>45404.231249999997</v>
      </c>
      <c r="U594" t="b">
        <v>0</v>
      </c>
    </row>
    <row r="595" spans="1:21">
      <c r="A595" t="s">
        <v>3517</v>
      </c>
      <c r="B595" t="s">
        <v>1267</v>
      </c>
      <c r="C595" t="s">
        <v>1142</v>
      </c>
      <c r="D595" t="s">
        <v>3518</v>
      </c>
      <c r="E595" t="s">
        <v>3519</v>
      </c>
      <c r="F595" t="s">
        <v>1412</v>
      </c>
      <c r="G595">
        <v>637</v>
      </c>
      <c r="H595" t="s">
        <v>81</v>
      </c>
      <c r="I595" t="s">
        <v>30</v>
      </c>
      <c r="J595" t="s">
        <v>1271</v>
      </c>
      <c r="K595">
        <v>63</v>
      </c>
      <c r="L595" t="s">
        <v>2642</v>
      </c>
      <c r="M595" t="s">
        <v>2643</v>
      </c>
      <c r="N595" t="s">
        <v>82</v>
      </c>
      <c r="O595" s="12">
        <v>46069.015277777777</v>
      </c>
      <c r="P595" s="12">
        <v>46072.223611111112</v>
      </c>
      <c r="Q595" s="12">
        <v>46069.145833333336</v>
      </c>
      <c r="R595" s="12">
        <v>46069.18472222222</v>
      </c>
      <c r="S595" s="12">
        <v>46074.140277777777</v>
      </c>
      <c r="U595" t="b">
        <v>0</v>
      </c>
    </row>
    <row r="596" spans="1:21">
      <c r="A596" t="s">
        <v>3520</v>
      </c>
      <c r="B596" t="s">
        <v>1185</v>
      </c>
      <c r="C596" t="s">
        <v>1168</v>
      </c>
      <c r="D596" t="s">
        <v>3521</v>
      </c>
      <c r="E596" t="s">
        <v>3522</v>
      </c>
      <c r="F596" t="s">
        <v>1420</v>
      </c>
      <c r="G596">
        <v>662</v>
      </c>
      <c r="H596" t="s">
        <v>50</v>
      </c>
      <c r="I596" t="s">
        <v>30</v>
      </c>
      <c r="J596" t="s">
        <v>1413</v>
      </c>
      <c r="K596">
        <v>81</v>
      </c>
      <c r="L596" t="s">
        <v>2601</v>
      </c>
      <c r="M596" t="s">
        <v>2605</v>
      </c>
      <c r="N596" t="s">
        <v>36</v>
      </c>
      <c r="O596" s="12">
        <v>45813.407638888886</v>
      </c>
      <c r="Q596" s="12">
        <v>45813.577777777777</v>
      </c>
      <c r="R596" s="12">
        <v>45813.722222222219</v>
      </c>
      <c r="U596" t="b">
        <v>0</v>
      </c>
    </row>
    <row r="597" spans="1:21">
      <c r="A597" t="s">
        <v>3523</v>
      </c>
      <c r="B597" t="s">
        <v>1584</v>
      </c>
      <c r="C597" t="s">
        <v>1172</v>
      </c>
      <c r="D597" t="s">
        <v>3524</v>
      </c>
      <c r="E597" t="s">
        <v>3525</v>
      </c>
      <c r="F597" t="s">
        <v>1511</v>
      </c>
      <c r="G597">
        <v>150</v>
      </c>
      <c r="H597" t="s">
        <v>50</v>
      </c>
      <c r="I597" t="s">
        <v>24</v>
      </c>
      <c r="J597" t="s">
        <v>1271</v>
      </c>
      <c r="K597">
        <v>38</v>
      </c>
      <c r="L597" t="s">
        <v>2601</v>
      </c>
      <c r="M597" t="s">
        <v>2655</v>
      </c>
      <c r="N597" t="s">
        <v>59</v>
      </c>
      <c r="O597" s="12">
        <v>45561.476388888892</v>
      </c>
      <c r="Q597" s="12">
        <v>45561.62777777778</v>
      </c>
      <c r="U597" t="b">
        <v>0</v>
      </c>
    </row>
    <row r="598" spans="1:21">
      <c r="A598" t="s">
        <v>3526</v>
      </c>
      <c r="B598" t="s">
        <v>2711</v>
      </c>
      <c r="C598" t="s">
        <v>1579</v>
      </c>
      <c r="D598" t="s">
        <v>3527</v>
      </c>
      <c r="E598" t="s">
        <v>3528</v>
      </c>
      <c r="F598" t="s">
        <v>2755</v>
      </c>
      <c r="G598">
        <v>113</v>
      </c>
      <c r="H598" t="s">
        <v>23</v>
      </c>
      <c r="I598" t="s">
        <v>24</v>
      </c>
      <c r="J598" t="s">
        <v>1355</v>
      </c>
      <c r="K598">
        <v>48</v>
      </c>
      <c r="L598" t="s">
        <v>2601</v>
      </c>
      <c r="M598" t="s">
        <v>2593</v>
      </c>
      <c r="N598" t="s">
        <v>25</v>
      </c>
      <c r="O598" s="12">
        <v>45599.898611111108</v>
      </c>
      <c r="Q598" s="12">
        <v>45599.956944444442</v>
      </c>
      <c r="R598" s="12">
        <v>45600.873611111114</v>
      </c>
      <c r="U598" t="b">
        <v>0</v>
      </c>
    </row>
    <row r="599" spans="1:21">
      <c r="A599" t="s">
        <v>3529</v>
      </c>
      <c r="B599" t="s">
        <v>2882</v>
      </c>
      <c r="C599" t="s">
        <v>1579</v>
      </c>
      <c r="D599" t="s">
        <v>3530</v>
      </c>
      <c r="E599" t="s">
        <v>3531</v>
      </c>
      <c r="F599" t="s">
        <v>1294</v>
      </c>
      <c r="G599">
        <v>180</v>
      </c>
      <c r="H599" t="s">
        <v>16</v>
      </c>
      <c r="I599" t="s">
        <v>24</v>
      </c>
      <c r="J599" t="s">
        <v>1413</v>
      </c>
      <c r="K599">
        <v>72</v>
      </c>
      <c r="L599" t="s">
        <v>2601</v>
      </c>
      <c r="M599" t="s">
        <v>2605</v>
      </c>
      <c r="N599" t="s">
        <v>91</v>
      </c>
      <c r="O599" s="12">
        <v>46130.945138888892</v>
      </c>
      <c r="Q599" s="12">
        <v>46130.960416666669</v>
      </c>
      <c r="R599" s="12">
        <v>46131.01458333333</v>
      </c>
      <c r="U599" t="b">
        <v>0</v>
      </c>
    </row>
    <row r="600" spans="1:21">
      <c r="A600" t="s">
        <v>3532</v>
      </c>
      <c r="B600" t="s">
        <v>2670</v>
      </c>
      <c r="C600" t="s">
        <v>1186</v>
      </c>
      <c r="D600" t="s">
        <v>3533</v>
      </c>
      <c r="E600" t="s">
        <v>3534</v>
      </c>
      <c r="F600" t="s">
        <v>1487</v>
      </c>
      <c r="G600">
        <v>27</v>
      </c>
      <c r="H600" t="s">
        <v>41</v>
      </c>
      <c r="I600" t="s">
        <v>24</v>
      </c>
      <c r="J600" t="s">
        <v>1271</v>
      </c>
      <c r="K600">
        <v>50</v>
      </c>
      <c r="L600" t="s">
        <v>2601</v>
      </c>
      <c r="M600" t="s">
        <v>2655</v>
      </c>
      <c r="N600" t="s">
        <v>25</v>
      </c>
      <c r="O600" s="12">
        <v>45305.388888888891</v>
      </c>
      <c r="Q600" s="12">
        <v>45305.493750000001</v>
      </c>
      <c r="U600" t="b">
        <v>0</v>
      </c>
    </row>
    <row r="601" spans="1:21">
      <c r="A601" t="s">
        <v>3535</v>
      </c>
      <c r="B601" t="s">
        <v>1211</v>
      </c>
      <c r="C601" t="s">
        <v>1385</v>
      </c>
      <c r="D601" t="s">
        <v>3536</v>
      </c>
      <c r="E601" t="s">
        <v>3537</v>
      </c>
      <c r="F601" t="s">
        <v>2084</v>
      </c>
      <c r="G601">
        <v>56</v>
      </c>
      <c r="H601" t="s">
        <v>95</v>
      </c>
      <c r="I601" t="s">
        <v>24</v>
      </c>
      <c r="J601" t="s">
        <v>1413</v>
      </c>
      <c r="K601">
        <v>62</v>
      </c>
      <c r="L601" t="s">
        <v>2601</v>
      </c>
      <c r="M601" t="s">
        <v>2655</v>
      </c>
      <c r="N601" t="s">
        <v>91</v>
      </c>
      <c r="O601" s="12">
        <v>46086.832638888889</v>
      </c>
      <c r="Q601" s="12">
        <v>46087.070833333331</v>
      </c>
      <c r="U601" t="b">
        <v>0</v>
      </c>
    </row>
    <row r="602" spans="1:21">
      <c r="A602" t="s">
        <v>3538</v>
      </c>
      <c r="B602" t="s">
        <v>2645</v>
      </c>
      <c r="C602" t="s">
        <v>1579</v>
      </c>
      <c r="D602" t="s">
        <v>3539</v>
      </c>
      <c r="E602" t="s">
        <v>3540</v>
      </c>
      <c r="F602" t="s">
        <v>1471</v>
      </c>
      <c r="G602">
        <v>951</v>
      </c>
      <c r="H602" t="s">
        <v>35</v>
      </c>
      <c r="I602" t="s">
        <v>30</v>
      </c>
      <c r="J602" t="s">
        <v>1413</v>
      </c>
      <c r="K602">
        <v>54</v>
      </c>
      <c r="L602" t="s">
        <v>2592</v>
      </c>
      <c r="M602" t="s">
        <v>2597</v>
      </c>
      <c r="N602" t="s">
        <v>36</v>
      </c>
      <c r="O602" s="12">
        <v>45298.293749999997</v>
      </c>
      <c r="P602" s="12">
        <v>45300.502083333333</v>
      </c>
      <c r="Q602" s="12">
        <v>45298.406944444447</v>
      </c>
      <c r="R602" s="12">
        <v>45298.455555555556</v>
      </c>
      <c r="U602" t="b">
        <v>0</v>
      </c>
    </row>
    <row r="603" spans="1:21">
      <c r="A603" t="s">
        <v>3541</v>
      </c>
      <c r="B603" t="s">
        <v>1157</v>
      </c>
      <c r="C603" t="s">
        <v>1130</v>
      </c>
      <c r="D603" t="s">
        <v>3542</v>
      </c>
      <c r="E603" t="s">
        <v>3543</v>
      </c>
      <c r="F603" t="s">
        <v>1182</v>
      </c>
      <c r="G603">
        <v>124</v>
      </c>
      <c r="H603" t="s">
        <v>1093</v>
      </c>
      <c r="I603" t="s">
        <v>24</v>
      </c>
      <c r="J603" t="s">
        <v>1271</v>
      </c>
      <c r="K603">
        <v>52</v>
      </c>
      <c r="L603" t="s">
        <v>2601</v>
      </c>
      <c r="M603" t="s">
        <v>2605</v>
      </c>
      <c r="N603" t="s">
        <v>59</v>
      </c>
      <c r="O603" s="12">
        <v>45590.743055555555</v>
      </c>
      <c r="Q603" s="12">
        <v>45590.991666666669</v>
      </c>
      <c r="R603" s="12">
        <v>45592.2</v>
      </c>
      <c r="U603" t="b">
        <v>0</v>
      </c>
    </row>
    <row r="604" spans="1:21">
      <c r="A604" t="s">
        <v>3544</v>
      </c>
      <c r="B604" t="s">
        <v>1211</v>
      </c>
      <c r="C604" t="s">
        <v>1130</v>
      </c>
      <c r="D604" t="s">
        <v>3545</v>
      </c>
      <c r="E604" t="s">
        <v>3546</v>
      </c>
      <c r="F604" t="s">
        <v>2680</v>
      </c>
      <c r="G604">
        <v>96</v>
      </c>
      <c r="H604" t="s">
        <v>140</v>
      </c>
      <c r="I604" t="s">
        <v>24</v>
      </c>
      <c r="J604" t="s">
        <v>1413</v>
      </c>
      <c r="K604">
        <v>65</v>
      </c>
      <c r="L604" t="s">
        <v>2601</v>
      </c>
      <c r="M604" t="s">
        <v>2605</v>
      </c>
      <c r="N604" t="s">
        <v>25</v>
      </c>
      <c r="O604" s="12">
        <v>45340.008333333331</v>
      </c>
      <c r="Q604" s="12">
        <v>45340.197916666664</v>
      </c>
      <c r="R604" s="12">
        <v>45340.255555555559</v>
      </c>
      <c r="U604" t="b">
        <v>0</v>
      </c>
    </row>
    <row r="605" spans="1:21">
      <c r="A605" t="s">
        <v>3547</v>
      </c>
      <c r="B605" t="s">
        <v>2811</v>
      </c>
      <c r="C605" t="s">
        <v>1125</v>
      </c>
      <c r="D605" t="s">
        <v>3548</v>
      </c>
      <c r="E605" t="s">
        <v>3549</v>
      </c>
      <c r="F605" t="s">
        <v>1471</v>
      </c>
      <c r="G605">
        <v>1207</v>
      </c>
      <c r="H605" t="s">
        <v>81</v>
      </c>
      <c r="I605" t="s">
        <v>17</v>
      </c>
      <c r="J605" t="s">
        <v>1271</v>
      </c>
      <c r="K605">
        <v>68</v>
      </c>
      <c r="L605" t="s">
        <v>2601</v>
      </c>
      <c r="M605" t="s">
        <v>2618</v>
      </c>
      <c r="N605" t="s">
        <v>82</v>
      </c>
      <c r="O605" s="12">
        <v>46019.095833333333</v>
      </c>
      <c r="Q605" s="12">
        <v>46019.265972222223</v>
      </c>
      <c r="R605" s="12">
        <v>46019.394444444442</v>
      </c>
      <c r="T605" t="s">
        <v>2739</v>
      </c>
      <c r="U605" t="b">
        <v>0</v>
      </c>
    </row>
    <row r="606" spans="1:21">
      <c r="A606" t="s">
        <v>3550</v>
      </c>
      <c r="B606" t="s">
        <v>3169</v>
      </c>
      <c r="C606" t="s">
        <v>1436</v>
      </c>
      <c r="D606" t="s">
        <v>3551</v>
      </c>
      <c r="E606" t="s">
        <v>3552</v>
      </c>
      <c r="F606" t="s">
        <v>2755</v>
      </c>
      <c r="G606">
        <v>159</v>
      </c>
      <c r="H606" t="s">
        <v>68</v>
      </c>
      <c r="I606" t="s">
        <v>24</v>
      </c>
      <c r="J606" t="s">
        <v>1288</v>
      </c>
      <c r="K606">
        <v>59</v>
      </c>
      <c r="L606" t="s">
        <v>2642</v>
      </c>
      <c r="M606" t="s">
        <v>2597</v>
      </c>
      <c r="N606" t="s">
        <v>69</v>
      </c>
      <c r="O606" s="12">
        <v>45692.885416666664</v>
      </c>
      <c r="P606" s="12">
        <v>45697.84375</v>
      </c>
      <c r="Q606" s="12">
        <v>45692.97152777778</v>
      </c>
      <c r="R606" s="12">
        <v>45693.101388888892</v>
      </c>
      <c r="S606" s="12">
        <v>45706.802083333336</v>
      </c>
      <c r="U606" t="b">
        <v>0</v>
      </c>
    </row>
    <row r="607" spans="1:21">
      <c r="A607" t="s">
        <v>3553</v>
      </c>
      <c r="B607" t="s">
        <v>2711</v>
      </c>
      <c r="C607" t="s">
        <v>2033</v>
      </c>
      <c r="D607" t="s">
        <v>3554</v>
      </c>
      <c r="E607" t="s">
        <v>3555</v>
      </c>
      <c r="F607" t="s">
        <v>1471</v>
      </c>
      <c r="G607">
        <v>2100</v>
      </c>
      <c r="H607" t="s">
        <v>95</v>
      </c>
      <c r="I607" t="s">
        <v>17</v>
      </c>
      <c r="J607" t="s">
        <v>1355</v>
      </c>
      <c r="K607">
        <v>53</v>
      </c>
      <c r="L607" t="s">
        <v>2601</v>
      </c>
      <c r="M607" t="s">
        <v>2655</v>
      </c>
      <c r="N607" t="s">
        <v>18</v>
      </c>
      <c r="O607" s="12">
        <v>45433.385416666664</v>
      </c>
      <c r="Q607" s="12">
        <v>45433.59097222222</v>
      </c>
      <c r="U607" t="b">
        <v>0</v>
      </c>
    </row>
    <row r="608" spans="1:21">
      <c r="A608" t="s">
        <v>3556</v>
      </c>
      <c r="B608" t="s">
        <v>2878</v>
      </c>
      <c r="C608" t="s">
        <v>1158</v>
      </c>
      <c r="D608" t="s">
        <v>3557</v>
      </c>
      <c r="E608" t="s">
        <v>3558</v>
      </c>
      <c r="F608" t="s">
        <v>2084</v>
      </c>
      <c r="G608">
        <v>257</v>
      </c>
      <c r="H608" t="s">
        <v>404</v>
      </c>
      <c r="I608" t="s">
        <v>30</v>
      </c>
      <c r="J608" t="s">
        <v>1271</v>
      </c>
      <c r="K608">
        <v>68</v>
      </c>
      <c r="L608" t="s">
        <v>2642</v>
      </c>
      <c r="M608" t="s">
        <v>2643</v>
      </c>
      <c r="N608" t="s">
        <v>82</v>
      </c>
      <c r="O608" s="12">
        <v>45595.345138888886</v>
      </c>
      <c r="P608" s="12">
        <v>45598.095138888886</v>
      </c>
      <c r="Q608" s="12">
        <v>45595.413888888892</v>
      </c>
      <c r="R608" s="12">
        <v>45595.526388888888</v>
      </c>
      <c r="S608" s="12">
        <v>45599.303472222222</v>
      </c>
      <c r="U608" t="b">
        <v>0</v>
      </c>
    </row>
    <row r="609" spans="1:21">
      <c r="A609" t="s">
        <v>3559</v>
      </c>
      <c r="B609" t="s">
        <v>1207</v>
      </c>
      <c r="C609" t="s">
        <v>1378</v>
      </c>
      <c r="D609" t="s">
        <v>3560</v>
      </c>
      <c r="E609" t="s">
        <v>3561</v>
      </c>
      <c r="F609" t="s">
        <v>2680</v>
      </c>
      <c r="G609">
        <v>142</v>
      </c>
      <c r="H609" t="s">
        <v>23</v>
      </c>
      <c r="I609" t="s">
        <v>24</v>
      </c>
      <c r="J609" t="s">
        <v>1355</v>
      </c>
      <c r="K609">
        <v>56</v>
      </c>
      <c r="L609" t="s">
        <v>2601</v>
      </c>
      <c r="M609" t="s">
        <v>2593</v>
      </c>
      <c r="N609" t="s">
        <v>25</v>
      </c>
      <c r="O609" s="12">
        <v>45587.184027777781</v>
      </c>
      <c r="Q609" s="12">
        <v>45587.245138888888</v>
      </c>
      <c r="R609" s="12">
        <v>45587.290277777778</v>
      </c>
      <c r="U609" t="b">
        <v>0</v>
      </c>
    </row>
    <row r="610" spans="1:21">
      <c r="A610" t="s">
        <v>3562</v>
      </c>
      <c r="B610" t="s">
        <v>2578</v>
      </c>
      <c r="C610" t="s">
        <v>1404</v>
      </c>
      <c r="D610" t="s">
        <v>3563</v>
      </c>
      <c r="E610" t="s">
        <v>3564</v>
      </c>
      <c r="F610" t="s">
        <v>2680</v>
      </c>
      <c r="G610">
        <v>48</v>
      </c>
      <c r="H610" t="s">
        <v>635</v>
      </c>
      <c r="I610" t="s">
        <v>24</v>
      </c>
      <c r="J610" t="s">
        <v>1339</v>
      </c>
      <c r="K610">
        <v>68</v>
      </c>
      <c r="L610" t="s">
        <v>2601</v>
      </c>
      <c r="M610" t="s">
        <v>2605</v>
      </c>
      <c r="N610" t="s">
        <v>59</v>
      </c>
      <c r="O610" s="12">
        <v>45480.318055555559</v>
      </c>
      <c r="Q610" s="12">
        <v>45480.388888888891</v>
      </c>
      <c r="R610" s="12">
        <v>45480.486111111109</v>
      </c>
      <c r="U610" t="b">
        <v>0</v>
      </c>
    </row>
    <row r="611" spans="1:21">
      <c r="A611" t="s">
        <v>3565</v>
      </c>
      <c r="B611" t="s">
        <v>1167</v>
      </c>
      <c r="C611" t="s">
        <v>1404</v>
      </c>
      <c r="D611" t="s">
        <v>3566</v>
      </c>
      <c r="E611" t="s">
        <v>3567</v>
      </c>
      <c r="F611" t="s">
        <v>2617</v>
      </c>
      <c r="G611">
        <v>100</v>
      </c>
      <c r="H611" t="s">
        <v>178</v>
      </c>
      <c r="I611" t="s">
        <v>24</v>
      </c>
      <c r="J611" t="s">
        <v>1355</v>
      </c>
      <c r="K611">
        <v>59</v>
      </c>
      <c r="L611" t="s">
        <v>2592</v>
      </c>
      <c r="M611" t="s">
        <v>2597</v>
      </c>
      <c r="N611" t="s">
        <v>59</v>
      </c>
      <c r="O611" s="12">
        <v>45904.322916666664</v>
      </c>
      <c r="P611" s="12">
        <v>45909.15625</v>
      </c>
      <c r="Q611" s="12">
        <v>45904.491666666669</v>
      </c>
      <c r="R611" s="12">
        <v>45904.60833333333</v>
      </c>
      <c r="U611" t="b">
        <v>0</v>
      </c>
    </row>
    <row r="612" spans="1:21">
      <c r="A612" t="s">
        <v>3568</v>
      </c>
      <c r="B612" t="s">
        <v>2874</v>
      </c>
      <c r="C612" t="s">
        <v>1660</v>
      </c>
      <c r="D612" t="s">
        <v>3569</v>
      </c>
      <c r="E612" t="s">
        <v>3570</v>
      </c>
      <c r="F612" t="s">
        <v>1420</v>
      </c>
      <c r="G612">
        <v>90</v>
      </c>
      <c r="H612" t="s">
        <v>1039</v>
      </c>
      <c r="I612" t="s">
        <v>24</v>
      </c>
      <c r="J612" t="s">
        <v>1413</v>
      </c>
      <c r="K612">
        <v>67</v>
      </c>
      <c r="L612" t="s">
        <v>2592</v>
      </c>
      <c r="M612" t="s">
        <v>2618</v>
      </c>
      <c r="N612" t="s">
        <v>91</v>
      </c>
      <c r="O612" s="12">
        <v>45573.943749999999</v>
      </c>
      <c r="P612" s="12">
        <v>45574.652083333334</v>
      </c>
      <c r="Q612" s="12">
        <v>45574.034722222219</v>
      </c>
      <c r="R612" s="12">
        <v>45574.04583333333</v>
      </c>
      <c r="T612" t="s">
        <v>2763</v>
      </c>
      <c r="U612" t="b">
        <v>0</v>
      </c>
    </row>
    <row r="613" spans="1:21">
      <c r="A613" t="s">
        <v>3571</v>
      </c>
      <c r="B613" t="s">
        <v>2645</v>
      </c>
      <c r="C613" t="s">
        <v>1343</v>
      </c>
      <c r="D613" t="s">
        <v>3572</v>
      </c>
      <c r="E613" t="s">
        <v>3573</v>
      </c>
      <c r="F613" t="s">
        <v>2680</v>
      </c>
      <c r="G613">
        <v>186</v>
      </c>
      <c r="H613" t="s">
        <v>560</v>
      </c>
      <c r="I613" t="s">
        <v>24</v>
      </c>
      <c r="J613" t="s">
        <v>1271</v>
      </c>
      <c r="K613">
        <v>42</v>
      </c>
      <c r="L613" t="s">
        <v>2592</v>
      </c>
      <c r="M613" t="s">
        <v>2593</v>
      </c>
      <c r="N613" t="s">
        <v>25</v>
      </c>
      <c r="O613" s="12">
        <v>45913.990972222222</v>
      </c>
      <c r="P613" s="12">
        <v>45914.574305555558</v>
      </c>
      <c r="Q613" s="12">
        <v>45914.072916666664</v>
      </c>
      <c r="R613" s="12">
        <v>45914.147916666669</v>
      </c>
      <c r="U613" t="b">
        <v>0</v>
      </c>
    </row>
    <row r="614" spans="1:21">
      <c r="A614" t="s">
        <v>3574</v>
      </c>
      <c r="B614" t="s">
        <v>1167</v>
      </c>
      <c r="C614" t="s">
        <v>1278</v>
      </c>
      <c r="D614" t="s">
        <v>3575</v>
      </c>
      <c r="E614" t="s">
        <v>3576</v>
      </c>
      <c r="F614" t="s">
        <v>2617</v>
      </c>
      <c r="G614">
        <v>68</v>
      </c>
      <c r="H614" t="s">
        <v>68</v>
      </c>
      <c r="I614" t="s">
        <v>24</v>
      </c>
      <c r="J614" t="s">
        <v>1339</v>
      </c>
      <c r="K614">
        <v>77</v>
      </c>
      <c r="L614" t="s">
        <v>2592</v>
      </c>
      <c r="M614" t="s">
        <v>2593</v>
      </c>
      <c r="N614" t="s">
        <v>69</v>
      </c>
      <c r="O614" s="12">
        <v>46142.84375</v>
      </c>
      <c r="P614" s="12">
        <v>46146.510416666664</v>
      </c>
      <c r="Q614" s="12">
        <v>46142.893750000003</v>
      </c>
      <c r="R614" s="12">
        <v>46142.947222222225</v>
      </c>
      <c r="U614" t="b">
        <v>0</v>
      </c>
    </row>
    <row r="615" spans="1:21">
      <c r="A615" t="s">
        <v>3577</v>
      </c>
      <c r="B615" t="s">
        <v>2902</v>
      </c>
      <c r="C615" t="s">
        <v>1186</v>
      </c>
      <c r="D615" t="s">
        <v>3578</v>
      </c>
      <c r="E615" t="s">
        <v>3579</v>
      </c>
      <c r="F615" t="s">
        <v>1471</v>
      </c>
      <c r="G615">
        <v>48</v>
      </c>
      <c r="H615" t="s">
        <v>50</v>
      </c>
      <c r="I615" t="s">
        <v>24</v>
      </c>
      <c r="J615" t="s">
        <v>1295</v>
      </c>
      <c r="K615">
        <v>77</v>
      </c>
      <c r="L615" t="s">
        <v>2592</v>
      </c>
      <c r="M615" t="s">
        <v>2618</v>
      </c>
      <c r="N615" t="s">
        <v>59</v>
      </c>
      <c r="O615" s="12">
        <v>45469.521527777775</v>
      </c>
      <c r="P615" s="12">
        <v>45470.604861111111</v>
      </c>
      <c r="Q615" s="12">
        <v>45469.566666666666</v>
      </c>
      <c r="R615" s="12">
        <v>45469.717361111114</v>
      </c>
      <c r="T615" t="s">
        <v>2739</v>
      </c>
      <c r="U615" t="b">
        <v>0</v>
      </c>
    </row>
    <row r="616" spans="1:21">
      <c r="A616" t="s">
        <v>3580</v>
      </c>
      <c r="B616" t="s">
        <v>2682</v>
      </c>
      <c r="C616" t="s">
        <v>1158</v>
      </c>
      <c r="D616" t="s">
        <v>3581</v>
      </c>
      <c r="E616" t="s">
        <v>3582</v>
      </c>
      <c r="F616" t="s">
        <v>1843</v>
      </c>
      <c r="G616">
        <v>931</v>
      </c>
      <c r="H616" t="s">
        <v>16</v>
      </c>
      <c r="I616" t="s">
        <v>30</v>
      </c>
      <c r="J616" t="s">
        <v>1355</v>
      </c>
      <c r="K616">
        <v>52</v>
      </c>
      <c r="L616" t="s">
        <v>2601</v>
      </c>
      <c r="M616" t="s">
        <v>2593</v>
      </c>
      <c r="N616" t="s">
        <v>18</v>
      </c>
      <c r="O616" s="12">
        <v>46218.691666666666</v>
      </c>
      <c r="Q616" s="12">
        <v>46218.877083333333</v>
      </c>
      <c r="U616" t="b">
        <v>0</v>
      </c>
    </row>
    <row r="617" spans="1:21">
      <c r="A617" t="s">
        <v>3583</v>
      </c>
      <c r="B617" t="s">
        <v>2811</v>
      </c>
      <c r="C617" t="s">
        <v>1378</v>
      </c>
      <c r="D617" t="s">
        <v>3584</v>
      </c>
      <c r="E617" t="s">
        <v>3585</v>
      </c>
      <c r="F617" t="s">
        <v>2755</v>
      </c>
      <c r="G617">
        <v>105</v>
      </c>
      <c r="H617" t="s">
        <v>23</v>
      </c>
      <c r="I617" t="s">
        <v>24</v>
      </c>
      <c r="J617" t="s">
        <v>1413</v>
      </c>
      <c r="K617">
        <v>53</v>
      </c>
      <c r="L617" t="s">
        <v>2601</v>
      </c>
      <c r="M617" t="s">
        <v>2593</v>
      </c>
      <c r="N617" t="s">
        <v>25</v>
      </c>
      <c r="O617" s="12">
        <v>45354.784722222219</v>
      </c>
      <c r="Q617" s="12">
        <v>45354.808333333334</v>
      </c>
      <c r="R617" s="12">
        <v>45355.6</v>
      </c>
      <c r="U617" t="b">
        <v>0</v>
      </c>
    </row>
    <row r="618" spans="1:21">
      <c r="A618" t="s">
        <v>3586</v>
      </c>
      <c r="B618" t="s">
        <v>2902</v>
      </c>
      <c r="C618" t="s">
        <v>1191</v>
      </c>
      <c r="D618" t="s">
        <v>3587</v>
      </c>
      <c r="E618" t="s">
        <v>3588</v>
      </c>
      <c r="F618" t="s">
        <v>1487</v>
      </c>
      <c r="G618">
        <v>109</v>
      </c>
      <c r="H618" t="s">
        <v>171</v>
      </c>
      <c r="I618" t="s">
        <v>24</v>
      </c>
      <c r="J618" t="s">
        <v>1413</v>
      </c>
      <c r="K618">
        <v>59</v>
      </c>
      <c r="L618" t="s">
        <v>2642</v>
      </c>
      <c r="M618" t="s">
        <v>2597</v>
      </c>
      <c r="N618" t="s">
        <v>91</v>
      </c>
      <c r="O618" s="12">
        <v>45625.734722222223</v>
      </c>
      <c r="P618" s="12">
        <v>45629.568055555559</v>
      </c>
      <c r="Q618" s="12">
        <v>45625.763194444444</v>
      </c>
      <c r="R618" s="12">
        <v>45625.886805555558</v>
      </c>
      <c r="S618" s="12">
        <v>45631.818055555559</v>
      </c>
      <c r="U618" t="b">
        <v>0</v>
      </c>
    </row>
    <row r="619" spans="1:21">
      <c r="A619" t="s">
        <v>3589</v>
      </c>
      <c r="B619" t="s">
        <v>2834</v>
      </c>
      <c r="C619" t="s">
        <v>1365</v>
      </c>
      <c r="D619" t="s">
        <v>3590</v>
      </c>
      <c r="E619" t="s">
        <v>3591</v>
      </c>
      <c r="F619" t="s">
        <v>2755</v>
      </c>
      <c r="G619">
        <v>163</v>
      </c>
      <c r="H619" t="s">
        <v>68</v>
      </c>
      <c r="I619" t="s">
        <v>30</v>
      </c>
      <c r="J619" t="s">
        <v>1281</v>
      </c>
      <c r="K619">
        <v>65</v>
      </c>
      <c r="L619" t="s">
        <v>2642</v>
      </c>
      <c r="M619" t="s">
        <v>2643</v>
      </c>
      <c r="N619" t="s">
        <v>69</v>
      </c>
      <c r="O619" s="12">
        <v>46064.650694444441</v>
      </c>
      <c r="P619" s="12">
        <v>46068.817361111112</v>
      </c>
      <c r="Q619" s="12">
        <v>46064.809027777781</v>
      </c>
      <c r="R619" s="12">
        <v>46064.868055555555</v>
      </c>
      <c r="S619" s="12">
        <v>46075.192361111112</v>
      </c>
      <c r="U619" t="b">
        <v>0</v>
      </c>
    </row>
    <row r="620" spans="1:21">
      <c r="A620" t="s">
        <v>3592</v>
      </c>
      <c r="B620" t="s">
        <v>1584</v>
      </c>
      <c r="C620" t="s">
        <v>1212</v>
      </c>
      <c r="D620" t="s">
        <v>3593</v>
      </c>
      <c r="E620" t="s">
        <v>3594</v>
      </c>
      <c r="F620" t="s">
        <v>1420</v>
      </c>
      <c r="G620">
        <v>706</v>
      </c>
      <c r="H620" t="s">
        <v>81</v>
      </c>
      <c r="I620" t="s">
        <v>30</v>
      </c>
      <c r="J620" t="s">
        <v>1288</v>
      </c>
      <c r="K620">
        <v>43</v>
      </c>
      <c r="L620" t="s">
        <v>2601</v>
      </c>
      <c r="M620" t="s">
        <v>2593</v>
      </c>
      <c r="N620" t="s">
        <v>82</v>
      </c>
      <c r="O620" s="12">
        <v>45304.222222222219</v>
      </c>
      <c r="Q620" s="12">
        <v>45304.262499999997</v>
      </c>
      <c r="R620" s="12">
        <v>45304.38958333333</v>
      </c>
      <c r="U620" t="b">
        <v>0</v>
      </c>
    </row>
    <row r="621" spans="1:21">
      <c r="A621" t="s">
        <v>3595</v>
      </c>
      <c r="B621" t="s">
        <v>2706</v>
      </c>
      <c r="C621" t="s">
        <v>1142</v>
      </c>
      <c r="D621" t="s">
        <v>3596</v>
      </c>
      <c r="E621" t="s">
        <v>3597</v>
      </c>
      <c r="F621" t="s">
        <v>1511</v>
      </c>
      <c r="G621">
        <v>342</v>
      </c>
      <c r="H621" t="s">
        <v>1079</v>
      </c>
      <c r="I621" t="s">
        <v>30</v>
      </c>
      <c r="J621" t="s">
        <v>1288</v>
      </c>
      <c r="K621">
        <v>48</v>
      </c>
      <c r="L621" t="s">
        <v>2601</v>
      </c>
      <c r="M621" t="s">
        <v>2605</v>
      </c>
      <c r="N621" t="s">
        <v>55</v>
      </c>
      <c r="O621" s="12">
        <v>45898.993055555555</v>
      </c>
      <c r="Q621" s="12">
        <v>45899.086111111108</v>
      </c>
      <c r="R621" s="12">
        <v>45899.198611111111</v>
      </c>
      <c r="U621" t="b">
        <v>0</v>
      </c>
    </row>
    <row r="622" spans="1:21">
      <c r="A622" t="s">
        <v>3598</v>
      </c>
      <c r="B622" t="s">
        <v>2882</v>
      </c>
      <c r="C622" t="s">
        <v>1208</v>
      </c>
      <c r="D622" t="s">
        <v>3599</v>
      </c>
      <c r="E622" t="s">
        <v>3600</v>
      </c>
      <c r="F622" t="s">
        <v>1511</v>
      </c>
      <c r="G622">
        <v>191</v>
      </c>
      <c r="H622" t="s">
        <v>212</v>
      </c>
      <c r="I622" t="s">
        <v>24</v>
      </c>
      <c r="J622" t="s">
        <v>1295</v>
      </c>
      <c r="K622">
        <v>93</v>
      </c>
      <c r="L622" t="s">
        <v>2642</v>
      </c>
      <c r="M622" t="s">
        <v>2643</v>
      </c>
      <c r="N622" t="s">
        <v>69</v>
      </c>
      <c r="O622" s="12">
        <v>46107.201388888891</v>
      </c>
      <c r="P622" s="12">
        <v>46109.951388888891</v>
      </c>
      <c r="Q622" s="12">
        <v>46107.38958333333</v>
      </c>
      <c r="R622" s="12">
        <v>46107.452777777777</v>
      </c>
      <c r="S622" s="12">
        <v>46110.284722222219</v>
      </c>
      <c r="U622" t="b">
        <v>0</v>
      </c>
    </row>
    <row r="623" spans="1:21">
      <c r="A623" t="s">
        <v>3601</v>
      </c>
      <c r="B623" t="s">
        <v>2706</v>
      </c>
      <c r="C623" t="s">
        <v>2100</v>
      </c>
      <c r="D623" t="s">
        <v>3602</v>
      </c>
      <c r="E623" t="s">
        <v>3603</v>
      </c>
      <c r="F623" t="s">
        <v>2660</v>
      </c>
      <c r="G623">
        <v>93</v>
      </c>
      <c r="H623" t="s">
        <v>223</v>
      </c>
      <c r="I623" t="s">
        <v>24</v>
      </c>
      <c r="J623" t="s">
        <v>1281</v>
      </c>
      <c r="K623">
        <v>72</v>
      </c>
      <c r="L623" t="s">
        <v>2601</v>
      </c>
      <c r="M623" t="s">
        <v>2593</v>
      </c>
      <c r="N623" t="s">
        <v>91</v>
      </c>
      <c r="O623" s="12">
        <v>46111.211111111108</v>
      </c>
      <c r="Q623" s="12">
        <v>46111.366666666669</v>
      </c>
      <c r="R623" s="12">
        <v>46111.413888888892</v>
      </c>
      <c r="U623" t="b">
        <v>0</v>
      </c>
    </row>
    <row r="624" spans="1:21">
      <c r="A624" t="s">
        <v>3604</v>
      </c>
      <c r="B624" t="s">
        <v>2682</v>
      </c>
      <c r="C624" t="s">
        <v>1158</v>
      </c>
      <c r="D624" t="s">
        <v>3605</v>
      </c>
      <c r="E624" t="s">
        <v>3606</v>
      </c>
      <c r="F624" t="s">
        <v>2660</v>
      </c>
      <c r="G624">
        <v>987</v>
      </c>
      <c r="H624" t="s">
        <v>205</v>
      </c>
      <c r="I624" t="s">
        <v>30</v>
      </c>
      <c r="J624" t="s">
        <v>1413</v>
      </c>
      <c r="K624">
        <v>72</v>
      </c>
      <c r="L624" t="s">
        <v>2601</v>
      </c>
      <c r="M624" t="s">
        <v>2593</v>
      </c>
      <c r="N624" t="s">
        <v>36</v>
      </c>
      <c r="O624" s="12">
        <v>45542.92083333333</v>
      </c>
      <c r="Q624" s="12">
        <v>45543.140277777777</v>
      </c>
      <c r="R624" s="12">
        <v>45543.15</v>
      </c>
      <c r="U624" t="b">
        <v>0</v>
      </c>
    </row>
    <row r="625" spans="1:21">
      <c r="A625" t="s">
        <v>3607</v>
      </c>
      <c r="B625" t="s">
        <v>2878</v>
      </c>
      <c r="C625" t="s">
        <v>1655</v>
      </c>
      <c r="D625" t="s">
        <v>3608</v>
      </c>
      <c r="E625" t="s">
        <v>3609</v>
      </c>
      <c r="F625" t="s">
        <v>1309</v>
      </c>
      <c r="G625">
        <v>64</v>
      </c>
      <c r="H625" t="s">
        <v>50</v>
      </c>
      <c r="I625" t="s">
        <v>24</v>
      </c>
      <c r="J625" t="s">
        <v>1288</v>
      </c>
      <c r="K625">
        <v>52</v>
      </c>
      <c r="L625" t="s">
        <v>2592</v>
      </c>
      <c r="M625" t="s">
        <v>2593</v>
      </c>
      <c r="N625" t="s">
        <v>69</v>
      </c>
      <c r="O625" s="12">
        <v>46263.369444444441</v>
      </c>
      <c r="P625" s="12">
        <v>46264.786111111112</v>
      </c>
      <c r="Q625" s="12">
        <v>46263.40625</v>
      </c>
      <c r="R625" s="12">
        <v>46263.497916666667</v>
      </c>
      <c r="U625" t="b">
        <v>0</v>
      </c>
    </row>
    <row r="626" spans="1:21">
      <c r="A626" t="s">
        <v>3610</v>
      </c>
      <c r="B626" t="s">
        <v>2645</v>
      </c>
      <c r="C626" t="s">
        <v>2059</v>
      </c>
      <c r="D626" t="s">
        <v>3611</v>
      </c>
      <c r="E626" t="s">
        <v>3612</v>
      </c>
      <c r="F626" t="s">
        <v>1843</v>
      </c>
      <c r="G626">
        <v>545</v>
      </c>
      <c r="H626" t="s">
        <v>408</v>
      </c>
      <c r="I626" t="s">
        <v>30</v>
      </c>
      <c r="J626" t="s">
        <v>1288</v>
      </c>
      <c r="K626">
        <v>54</v>
      </c>
      <c r="L626" t="s">
        <v>2601</v>
      </c>
      <c r="M626" t="s">
        <v>2655</v>
      </c>
      <c r="N626" t="s">
        <v>55</v>
      </c>
      <c r="O626" s="12">
        <v>46166.470833333333</v>
      </c>
      <c r="Q626" s="12">
        <v>46166.508333333331</v>
      </c>
      <c r="U626" t="b">
        <v>0</v>
      </c>
    </row>
    <row r="627" spans="1:21">
      <c r="A627" t="s">
        <v>3613</v>
      </c>
      <c r="B627" t="s">
        <v>3169</v>
      </c>
      <c r="C627" t="s">
        <v>1462</v>
      </c>
      <c r="D627" t="s">
        <v>3614</v>
      </c>
      <c r="E627" t="s">
        <v>3615</v>
      </c>
      <c r="F627" t="s">
        <v>2680</v>
      </c>
      <c r="G627">
        <v>209</v>
      </c>
      <c r="H627" t="s">
        <v>16</v>
      </c>
      <c r="I627" t="s">
        <v>30</v>
      </c>
      <c r="J627" t="s">
        <v>1271</v>
      </c>
      <c r="K627">
        <v>48</v>
      </c>
      <c r="L627" t="s">
        <v>2601</v>
      </c>
      <c r="M627" t="s">
        <v>2618</v>
      </c>
      <c r="N627" t="s">
        <v>18</v>
      </c>
      <c r="O627" s="12">
        <v>45988.04791666667</v>
      </c>
      <c r="Q627" s="12">
        <v>45988.095833333333</v>
      </c>
      <c r="R627" s="12">
        <v>45988.179861111108</v>
      </c>
      <c r="T627" t="s">
        <v>2631</v>
      </c>
      <c r="U627" t="b">
        <v>0</v>
      </c>
    </row>
    <row r="628" spans="1:21">
      <c r="A628" t="s">
        <v>3616</v>
      </c>
      <c r="B628" t="s">
        <v>3169</v>
      </c>
      <c r="C628" t="s">
        <v>1162</v>
      </c>
      <c r="D628" t="s">
        <v>3617</v>
      </c>
      <c r="E628" t="s">
        <v>3618</v>
      </c>
      <c r="F628" t="s">
        <v>1420</v>
      </c>
      <c r="G628">
        <v>22</v>
      </c>
      <c r="H628" t="s">
        <v>178</v>
      </c>
      <c r="I628" t="s">
        <v>24</v>
      </c>
      <c r="J628" t="s">
        <v>1288</v>
      </c>
      <c r="K628">
        <v>43</v>
      </c>
      <c r="L628" t="s">
        <v>2592</v>
      </c>
      <c r="M628" t="s">
        <v>2605</v>
      </c>
      <c r="N628" t="s">
        <v>59</v>
      </c>
      <c r="O628" s="12">
        <v>46267.145833333336</v>
      </c>
      <c r="P628" s="12">
        <v>46268.0625</v>
      </c>
      <c r="Q628" s="12">
        <v>46267.285416666666</v>
      </c>
      <c r="R628" s="12">
        <v>46267.342361111114</v>
      </c>
      <c r="U628" t="b">
        <v>0</v>
      </c>
    </row>
    <row r="629" spans="1:21">
      <c r="A629" t="s">
        <v>3619</v>
      </c>
      <c r="B629" t="s">
        <v>2666</v>
      </c>
      <c r="C629" t="s">
        <v>1721</v>
      </c>
      <c r="D629" t="s">
        <v>3620</v>
      </c>
      <c r="E629" t="s">
        <v>3621</v>
      </c>
      <c r="F629" t="s">
        <v>2084</v>
      </c>
      <c r="G629">
        <v>100</v>
      </c>
      <c r="H629" t="s">
        <v>205</v>
      </c>
      <c r="I629" t="s">
        <v>30</v>
      </c>
      <c r="J629" t="s">
        <v>1413</v>
      </c>
      <c r="K629">
        <v>55</v>
      </c>
      <c r="L629" t="s">
        <v>2601</v>
      </c>
      <c r="M629" t="s">
        <v>2605</v>
      </c>
      <c r="N629" t="s">
        <v>59</v>
      </c>
      <c r="O629" s="12">
        <v>45380.55972222222</v>
      </c>
      <c r="Q629" s="12">
        <v>45380.570833333331</v>
      </c>
      <c r="R629" s="12">
        <v>45380.72152777778</v>
      </c>
      <c r="U629" t="b">
        <v>0</v>
      </c>
    </row>
    <row r="630" spans="1:21">
      <c r="A630" t="s">
        <v>3622</v>
      </c>
      <c r="B630" t="s">
        <v>1111</v>
      </c>
      <c r="C630" t="s">
        <v>1158</v>
      </c>
      <c r="D630" t="s">
        <v>3623</v>
      </c>
      <c r="E630" t="s">
        <v>3624</v>
      </c>
      <c r="F630" t="s">
        <v>1294</v>
      </c>
      <c r="G630">
        <v>20</v>
      </c>
      <c r="H630" t="s">
        <v>41</v>
      </c>
      <c r="I630" t="s">
        <v>24</v>
      </c>
      <c r="J630" t="s">
        <v>1295</v>
      </c>
      <c r="K630">
        <v>91</v>
      </c>
      <c r="L630" t="s">
        <v>2642</v>
      </c>
      <c r="M630" t="s">
        <v>2643</v>
      </c>
      <c r="N630" t="s">
        <v>25</v>
      </c>
      <c r="O630" s="12">
        <v>45858.260416666664</v>
      </c>
      <c r="P630" s="12">
        <v>45860.177083333336</v>
      </c>
      <c r="Q630" s="12">
        <v>45858.494444444441</v>
      </c>
      <c r="R630" s="12">
        <v>45859.411111111112</v>
      </c>
      <c r="S630" s="12">
        <v>45867.84375</v>
      </c>
      <c r="U630" t="b">
        <v>0</v>
      </c>
    </row>
    <row r="631" spans="1:21">
      <c r="A631" t="s">
        <v>3625</v>
      </c>
      <c r="B631" t="s">
        <v>2693</v>
      </c>
      <c r="C631" t="s">
        <v>1378</v>
      </c>
      <c r="D631" t="s">
        <v>3626</v>
      </c>
      <c r="E631" t="s">
        <v>3627</v>
      </c>
      <c r="F631" t="s">
        <v>1784</v>
      </c>
      <c r="G631">
        <v>83</v>
      </c>
      <c r="H631" t="s">
        <v>366</v>
      </c>
      <c r="I631" t="s">
        <v>24</v>
      </c>
      <c r="J631" t="s">
        <v>1413</v>
      </c>
      <c r="K631">
        <v>64</v>
      </c>
      <c r="L631" t="s">
        <v>2592</v>
      </c>
      <c r="M631" t="s">
        <v>2593</v>
      </c>
      <c r="N631" t="s">
        <v>91</v>
      </c>
      <c r="O631" s="12">
        <v>45895.536111111112</v>
      </c>
      <c r="P631" s="12">
        <v>45897.161111111112</v>
      </c>
      <c r="Q631" s="12">
        <v>45895.587500000001</v>
      </c>
      <c r="R631" s="12">
        <v>45895.594444444447</v>
      </c>
      <c r="U631" t="b">
        <v>0</v>
      </c>
    </row>
    <row r="632" spans="1:21">
      <c r="A632" t="s">
        <v>3628</v>
      </c>
      <c r="B632" t="s">
        <v>2682</v>
      </c>
      <c r="C632" t="s">
        <v>1650</v>
      </c>
      <c r="D632" t="s">
        <v>3629</v>
      </c>
      <c r="E632" t="s">
        <v>3630</v>
      </c>
      <c r="F632" t="s">
        <v>1784</v>
      </c>
      <c r="G632">
        <v>1218</v>
      </c>
      <c r="H632" t="s">
        <v>16</v>
      </c>
      <c r="I632" t="s">
        <v>17</v>
      </c>
      <c r="J632" t="s">
        <v>1317</v>
      </c>
      <c r="K632">
        <v>55</v>
      </c>
      <c r="L632" t="s">
        <v>2601</v>
      </c>
      <c r="M632" t="s">
        <v>2605</v>
      </c>
      <c r="N632" t="s">
        <v>18</v>
      </c>
      <c r="O632" s="12">
        <v>45327.818055555559</v>
      </c>
      <c r="Q632" s="12">
        <v>45327.840277777781</v>
      </c>
      <c r="R632" s="12">
        <v>45327.988888888889</v>
      </c>
      <c r="U632" t="b">
        <v>0</v>
      </c>
    </row>
    <row r="633" spans="1:21">
      <c r="A633" t="s">
        <v>3631</v>
      </c>
      <c r="B633" t="s">
        <v>2733</v>
      </c>
      <c r="C633" t="s">
        <v>1655</v>
      </c>
      <c r="D633" t="s">
        <v>3632</v>
      </c>
      <c r="E633" t="s">
        <v>3633</v>
      </c>
      <c r="F633" t="s">
        <v>1294</v>
      </c>
      <c r="G633">
        <v>761</v>
      </c>
      <c r="H633" t="s">
        <v>140</v>
      </c>
      <c r="I633" t="s">
        <v>30</v>
      </c>
      <c r="J633" t="s">
        <v>1271</v>
      </c>
      <c r="K633">
        <v>43</v>
      </c>
      <c r="L633" t="s">
        <v>2601</v>
      </c>
      <c r="M633" t="s">
        <v>2605</v>
      </c>
      <c r="N633" t="s">
        <v>82</v>
      </c>
      <c r="O633" s="12">
        <v>45472.834027777775</v>
      </c>
      <c r="Q633" s="12">
        <v>45472.900694444441</v>
      </c>
      <c r="R633" s="12">
        <v>45473.006249999999</v>
      </c>
      <c r="U633" t="b">
        <v>0</v>
      </c>
    </row>
    <row r="634" spans="1:21">
      <c r="A634" t="s">
        <v>3634</v>
      </c>
      <c r="B634" t="s">
        <v>1179</v>
      </c>
      <c r="C634" t="s">
        <v>1158</v>
      </c>
      <c r="D634" t="s">
        <v>3635</v>
      </c>
      <c r="E634" t="s">
        <v>3636</v>
      </c>
      <c r="F634" t="s">
        <v>1448</v>
      </c>
      <c r="G634">
        <v>1545</v>
      </c>
      <c r="H634" t="s">
        <v>16</v>
      </c>
      <c r="I634" t="s">
        <v>17</v>
      </c>
      <c r="J634" t="s">
        <v>1271</v>
      </c>
      <c r="K634">
        <v>37</v>
      </c>
      <c r="L634" t="s">
        <v>2601</v>
      </c>
      <c r="M634" t="s">
        <v>2618</v>
      </c>
      <c r="N634" t="s">
        <v>18</v>
      </c>
      <c r="O634" s="12">
        <v>46097.179166666669</v>
      </c>
      <c r="Q634" s="12">
        <v>46097.239583333336</v>
      </c>
      <c r="R634" s="12">
        <v>46097.268750000003</v>
      </c>
      <c r="T634" t="s">
        <v>2673</v>
      </c>
      <c r="U634" t="b">
        <v>0</v>
      </c>
    </row>
    <row r="635" spans="1:21">
      <c r="A635" t="s">
        <v>3637</v>
      </c>
      <c r="B635" t="s">
        <v>2906</v>
      </c>
      <c r="C635" t="s">
        <v>1197</v>
      </c>
      <c r="D635" t="s">
        <v>3638</v>
      </c>
      <c r="E635" t="s">
        <v>3639</v>
      </c>
      <c r="F635" t="s">
        <v>1471</v>
      </c>
      <c r="G635">
        <v>169</v>
      </c>
      <c r="H635" t="s">
        <v>161</v>
      </c>
      <c r="I635" t="s">
        <v>24</v>
      </c>
      <c r="J635" t="s">
        <v>1355</v>
      </c>
      <c r="K635">
        <v>52</v>
      </c>
      <c r="L635" t="s">
        <v>2601</v>
      </c>
      <c r="M635" t="s">
        <v>2605</v>
      </c>
      <c r="N635" t="s">
        <v>59</v>
      </c>
      <c r="O635" s="12">
        <v>45983.92291666667</v>
      </c>
      <c r="Q635" s="12">
        <v>45984.086111111108</v>
      </c>
      <c r="R635" s="12">
        <v>45984.213888888888</v>
      </c>
      <c r="U635" t="b">
        <v>0</v>
      </c>
    </row>
    <row r="636" spans="1:21">
      <c r="A636" t="s">
        <v>3640</v>
      </c>
      <c r="B636" t="s">
        <v>1898</v>
      </c>
      <c r="C636" t="s">
        <v>1404</v>
      </c>
      <c r="D636" t="s">
        <v>3641</v>
      </c>
      <c r="E636" t="s">
        <v>3642</v>
      </c>
      <c r="F636" t="s">
        <v>1784</v>
      </c>
      <c r="G636">
        <v>668</v>
      </c>
      <c r="H636" t="s">
        <v>205</v>
      </c>
      <c r="I636" t="s">
        <v>30</v>
      </c>
      <c r="J636" t="s">
        <v>1281</v>
      </c>
      <c r="K636">
        <v>71</v>
      </c>
      <c r="L636" t="s">
        <v>2592</v>
      </c>
      <c r="M636" t="s">
        <v>2593</v>
      </c>
      <c r="N636" t="s">
        <v>36</v>
      </c>
      <c r="O636" s="12">
        <v>45336.024305555555</v>
      </c>
      <c r="P636" s="12">
        <v>45336.565972222219</v>
      </c>
      <c r="Q636" s="12">
        <v>45336.160416666666</v>
      </c>
      <c r="R636" s="12">
        <v>45336.195138888892</v>
      </c>
      <c r="U636" t="b">
        <v>0</v>
      </c>
    </row>
    <row r="637" spans="1:21">
      <c r="A637" t="s">
        <v>3643</v>
      </c>
      <c r="B637" t="s">
        <v>1175</v>
      </c>
      <c r="C637" t="s">
        <v>2100</v>
      </c>
      <c r="D637" t="s">
        <v>3644</v>
      </c>
      <c r="E637" t="s">
        <v>3645</v>
      </c>
      <c r="F637" t="s">
        <v>1448</v>
      </c>
      <c r="G637">
        <v>517</v>
      </c>
      <c r="H637" t="s">
        <v>192</v>
      </c>
      <c r="I637" t="s">
        <v>30</v>
      </c>
      <c r="J637" t="s">
        <v>1271</v>
      </c>
      <c r="K637">
        <v>38</v>
      </c>
      <c r="L637" t="s">
        <v>2601</v>
      </c>
      <c r="M637" t="s">
        <v>2655</v>
      </c>
      <c r="N637" t="s">
        <v>18</v>
      </c>
      <c r="O637" s="12">
        <v>45820.423611111109</v>
      </c>
      <c r="Q637" s="12">
        <v>45820.519444444442</v>
      </c>
      <c r="U637" t="b">
        <v>0</v>
      </c>
    </row>
    <row r="638" spans="1:21">
      <c r="A638" t="s">
        <v>3646</v>
      </c>
      <c r="B638" t="s">
        <v>2657</v>
      </c>
      <c r="C638" t="s">
        <v>1186</v>
      </c>
      <c r="D638" t="s">
        <v>3647</v>
      </c>
      <c r="E638" t="s">
        <v>3648</v>
      </c>
      <c r="F638" t="s">
        <v>1843</v>
      </c>
      <c r="G638">
        <v>5</v>
      </c>
      <c r="H638" t="s">
        <v>1034</v>
      </c>
      <c r="J638" t="s">
        <v>1355</v>
      </c>
      <c r="K638">
        <v>68</v>
      </c>
      <c r="L638" t="s">
        <v>2601</v>
      </c>
      <c r="M638" t="s">
        <v>2618</v>
      </c>
      <c r="O638" s="12">
        <v>45629.948611111111</v>
      </c>
      <c r="T638" t="s">
        <v>2933</v>
      </c>
      <c r="U638" t="b">
        <v>0</v>
      </c>
    </row>
    <row r="639" spans="1:21">
      <c r="A639" t="s">
        <v>3649</v>
      </c>
      <c r="B639" t="s">
        <v>1185</v>
      </c>
      <c r="C639" t="s">
        <v>1307</v>
      </c>
      <c r="D639" t="s">
        <v>3650</v>
      </c>
      <c r="E639" t="s">
        <v>3651</v>
      </c>
      <c r="F639" t="s">
        <v>2617</v>
      </c>
      <c r="G639">
        <v>153</v>
      </c>
      <c r="H639" t="s">
        <v>23</v>
      </c>
      <c r="I639" t="s">
        <v>24</v>
      </c>
      <c r="J639" t="s">
        <v>1288</v>
      </c>
      <c r="K639">
        <v>50</v>
      </c>
      <c r="L639" t="s">
        <v>2601</v>
      </c>
      <c r="M639" t="s">
        <v>2593</v>
      </c>
      <c r="N639" t="s">
        <v>25</v>
      </c>
      <c r="O639" s="12">
        <v>45699.402777777781</v>
      </c>
      <c r="Q639" s="12">
        <v>45699.428472222222</v>
      </c>
      <c r="U639" t="b">
        <v>0</v>
      </c>
    </row>
    <row r="640" spans="1:21">
      <c r="A640" t="s">
        <v>3652</v>
      </c>
      <c r="B640" t="s">
        <v>1176</v>
      </c>
      <c r="C640" t="s">
        <v>1155</v>
      </c>
      <c r="D640" t="s">
        <v>3653</v>
      </c>
      <c r="E640" t="s">
        <v>3654</v>
      </c>
      <c r="F640" t="s">
        <v>1309</v>
      </c>
      <c r="G640">
        <v>243</v>
      </c>
      <c r="H640" t="s">
        <v>120</v>
      </c>
      <c r="I640" t="s">
        <v>30</v>
      </c>
      <c r="J640" t="s">
        <v>1271</v>
      </c>
      <c r="K640">
        <v>64</v>
      </c>
      <c r="L640" t="s">
        <v>2601</v>
      </c>
      <c r="M640" t="s">
        <v>2605</v>
      </c>
      <c r="N640" t="s">
        <v>82</v>
      </c>
      <c r="O640" s="12">
        <v>45632.525694444441</v>
      </c>
      <c r="Q640" s="12">
        <v>45632.57708333333</v>
      </c>
      <c r="R640" s="12">
        <v>45633.785416666666</v>
      </c>
      <c r="U640" t="b">
        <v>0</v>
      </c>
    </row>
    <row r="641" spans="1:21">
      <c r="A641" t="s">
        <v>3655</v>
      </c>
      <c r="B641" t="s">
        <v>1431</v>
      </c>
      <c r="C641" t="s">
        <v>2621</v>
      </c>
      <c r="D641" t="s">
        <v>3656</v>
      </c>
      <c r="E641" t="s">
        <v>3657</v>
      </c>
      <c r="F641" t="s">
        <v>1412</v>
      </c>
      <c r="G641">
        <v>87</v>
      </c>
      <c r="H641" t="s">
        <v>68</v>
      </c>
      <c r="I641" t="s">
        <v>24</v>
      </c>
      <c r="J641" t="s">
        <v>1288</v>
      </c>
      <c r="K641">
        <v>58</v>
      </c>
      <c r="L641" t="s">
        <v>2592</v>
      </c>
      <c r="M641" t="s">
        <v>2618</v>
      </c>
      <c r="N641" t="s">
        <v>69</v>
      </c>
      <c r="O641" s="12">
        <v>45591.509722222225</v>
      </c>
      <c r="P641" s="12">
        <v>45595.843055555553</v>
      </c>
      <c r="Q641" s="12">
        <v>45591.527083333334</v>
      </c>
      <c r="T641" t="s">
        <v>2763</v>
      </c>
      <c r="U641" t="b">
        <v>0</v>
      </c>
    </row>
    <row r="642" spans="1:21">
      <c r="A642" t="s">
        <v>3658</v>
      </c>
      <c r="B642" t="s">
        <v>1431</v>
      </c>
      <c r="C642" t="s">
        <v>1597</v>
      </c>
      <c r="D642" t="s">
        <v>3659</v>
      </c>
      <c r="E642" t="s">
        <v>3660</v>
      </c>
      <c r="F642" t="s">
        <v>1511</v>
      </c>
      <c r="G642">
        <v>40</v>
      </c>
      <c r="H642" t="s">
        <v>212</v>
      </c>
      <c r="I642" t="s">
        <v>24</v>
      </c>
      <c r="J642" t="s">
        <v>1271</v>
      </c>
      <c r="K642">
        <v>41</v>
      </c>
      <c r="L642" t="s">
        <v>2601</v>
      </c>
      <c r="M642" t="s">
        <v>2605</v>
      </c>
      <c r="O642" s="12">
        <v>45823.53125</v>
      </c>
      <c r="U642" t="b">
        <v>0</v>
      </c>
    </row>
    <row r="643" spans="1:21">
      <c r="A643" t="s">
        <v>3661</v>
      </c>
      <c r="B643" t="s">
        <v>2670</v>
      </c>
      <c r="C643" t="s">
        <v>1162</v>
      </c>
      <c r="D643" t="s">
        <v>3662</v>
      </c>
      <c r="E643" t="s">
        <v>3663</v>
      </c>
      <c r="F643" t="s">
        <v>2755</v>
      </c>
      <c r="G643">
        <v>715</v>
      </c>
      <c r="H643" t="s">
        <v>161</v>
      </c>
      <c r="I643" t="s">
        <v>30</v>
      </c>
      <c r="J643" t="s">
        <v>1281</v>
      </c>
      <c r="K643">
        <v>77</v>
      </c>
      <c r="L643" t="s">
        <v>2601</v>
      </c>
      <c r="M643" t="s">
        <v>2605</v>
      </c>
      <c r="N643" t="s">
        <v>36</v>
      </c>
      <c r="O643" s="12">
        <v>45936.287499999999</v>
      </c>
      <c r="Q643" s="12">
        <v>45936.411111111112</v>
      </c>
      <c r="R643" s="12">
        <v>45936.456944444442</v>
      </c>
      <c r="U643" t="b">
        <v>0</v>
      </c>
    </row>
    <row r="644" spans="1:21">
      <c r="A644" t="s">
        <v>3664</v>
      </c>
      <c r="B644" t="s">
        <v>2607</v>
      </c>
      <c r="C644" t="s">
        <v>1320</v>
      </c>
      <c r="D644" t="s">
        <v>3665</v>
      </c>
      <c r="E644" t="s">
        <v>3666</v>
      </c>
      <c r="F644" t="s">
        <v>2084</v>
      </c>
      <c r="G644">
        <v>48</v>
      </c>
      <c r="H644" t="s">
        <v>99</v>
      </c>
      <c r="I644" t="s">
        <v>24</v>
      </c>
      <c r="J644" t="s">
        <v>1271</v>
      </c>
      <c r="K644">
        <v>66</v>
      </c>
      <c r="L644" t="s">
        <v>2592</v>
      </c>
      <c r="M644" t="s">
        <v>2618</v>
      </c>
      <c r="N644" t="s">
        <v>59</v>
      </c>
      <c r="O644" s="12">
        <v>45392.8125</v>
      </c>
      <c r="P644" s="12">
        <v>45393.979166666664</v>
      </c>
      <c r="Q644" s="12">
        <v>45393.01458333333</v>
      </c>
      <c r="R644" s="12">
        <v>45394.306250000001</v>
      </c>
      <c r="T644" t="s">
        <v>2631</v>
      </c>
      <c r="U644" t="b">
        <v>0</v>
      </c>
    </row>
    <row r="645" spans="1:21">
      <c r="A645" t="s">
        <v>3667</v>
      </c>
      <c r="B645" t="s">
        <v>2902</v>
      </c>
      <c r="C645" t="s">
        <v>1404</v>
      </c>
      <c r="D645" t="s">
        <v>3668</v>
      </c>
      <c r="E645" t="s">
        <v>3669</v>
      </c>
      <c r="F645" t="s">
        <v>2709</v>
      </c>
      <c r="G645">
        <v>5594</v>
      </c>
      <c r="H645" t="s">
        <v>50</v>
      </c>
      <c r="J645" t="s">
        <v>1295</v>
      </c>
      <c r="K645">
        <v>92</v>
      </c>
      <c r="L645" t="s">
        <v>2601</v>
      </c>
      <c r="M645" t="s">
        <v>2618</v>
      </c>
      <c r="O645" s="12">
        <v>45989.363194444442</v>
      </c>
      <c r="T645" t="s">
        <v>2648</v>
      </c>
      <c r="U645" t="b">
        <v>0</v>
      </c>
    </row>
    <row r="646" spans="1:21">
      <c r="A646" t="s">
        <v>3670</v>
      </c>
      <c r="B646" t="s">
        <v>2811</v>
      </c>
      <c r="C646" t="s">
        <v>1135</v>
      </c>
      <c r="D646" t="s">
        <v>3671</v>
      </c>
      <c r="E646" t="s">
        <v>3672</v>
      </c>
      <c r="F646" t="s">
        <v>1412</v>
      </c>
      <c r="G646">
        <v>1042</v>
      </c>
      <c r="H646" t="s">
        <v>560</v>
      </c>
      <c r="I646" t="s">
        <v>17</v>
      </c>
      <c r="J646" t="s">
        <v>1413</v>
      </c>
      <c r="K646">
        <v>64</v>
      </c>
      <c r="L646" t="s">
        <v>2601</v>
      </c>
      <c r="M646" t="s">
        <v>2655</v>
      </c>
      <c r="N646" t="s">
        <v>82</v>
      </c>
      <c r="O646" s="12">
        <v>45468.893750000003</v>
      </c>
      <c r="Q646" s="12">
        <v>45469.09375</v>
      </c>
      <c r="U646" t="b">
        <v>0</v>
      </c>
    </row>
    <row r="647" spans="1:21">
      <c r="A647" t="s">
        <v>3673</v>
      </c>
      <c r="B647" t="s">
        <v>1185</v>
      </c>
      <c r="C647" t="s">
        <v>1365</v>
      </c>
      <c r="D647" t="s">
        <v>3674</v>
      </c>
      <c r="E647" t="s">
        <v>3675</v>
      </c>
      <c r="F647" t="s">
        <v>2680</v>
      </c>
      <c r="G647">
        <v>316</v>
      </c>
      <c r="H647" t="s">
        <v>35</v>
      </c>
      <c r="I647" t="s">
        <v>30</v>
      </c>
      <c r="J647" t="s">
        <v>1288</v>
      </c>
      <c r="K647">
        <v>55</v>
      </c>
      <c r="L647" t="s">
        <v>2601</v>
      </c>
      <c r="M647" t="s">
        <v>2618</v>
      </c>
      <c r="N647" t="s">
        <v>36</v>
      </c>
      <c r="O647" s="12">
        <v>45903.345138888886</v>
      </c>
      <c r="Q647" s="12">
        <v>45903.488194444442</v>
      </c>
      <c r="R647" s="12">
        <v>45904.654861111114</v>
      </c>
      <c r="T647" t="s">
        <v>2685</v>
      </c>
      <c r="U647" t="b">
        <v>0</v>
      </c>
    </row>
    <row r="648" spans="1:21">
      <c r="A648" t="s">
        <v>3676</v>
      </c>
      <c r="B648" t="s">
        <v>1649</v>
      </c>
      <c r="C648" t="s">
        <v>1490</v>
      </c>
      <c r="D648" t="s">
        <v>3677</v>
      </c>
      <c r="E648" t="s">
        <v>3678</v>
      </c>
      <c r="F648" t="s">
        <v>1511</v>
      </c>
      <c r="G648">
        <v>155</v>
      </c>
      <c r="H648" t="s">
        <v>171</v>
      </c>
      <c r="I648" t="s">
        <v>17</v>
      </c>
      <c r="J648" t="s">
        <v>1295</v>
      </c>
      <c r="K648">
        <v>73</v>
      </c>
      <c r="L648" t="s">
        <v>2642</v>
      </c>
      <c r="M648" t="s">
        <v>2643</v>
      </c>
      <c r="N648" t="s">
        <v>91</v>
      </c>
      <c r="O648" s="12">
        <v>45626.293749999997</v>
      </c>
      <c r="P648" s="12">
        <v>45631.210416666669</v>
      </c>
      <c r="Q648" s="12">
        <v>45626.521527777775</v>
      </c>
      <c r="R648" s="12">
        <v>45626.597222222219</v>
      </c>
      <c r="S648" s="12">
        <v>45636.460416666669</v>
      </c>
      <c r="U648" t="b">
        <v>0</v>
      </c>
    </row>
    <row r="649" spans="1:21">
      <c r="A649" t="s">
        <v>3679</v>
      </c>
      <c r="B649" t="s">
        <v>1185</v>
      </c>
      <c r="C649" t="s">
        <v>1145</v>
      </c>
      <c r="D649" t="s">
        <v>3680</v>
      </c>
      <c r="E649" t="s">
        <v>3681</v>
      </c>
      <c r="F649" t="s">
        <v>2617</v>
      </c>
      <c r="G649">
        <v>352</v>
      </c>
      <c r="H649" t="s">
        <v>212</v>
      </c>
      <c r="I649" t="s">
        <v>30</v>
      </c>
      <c r="J649" t="s">
        <v>1355</v>
      </c>
      <c r="K649">
        <v>64</v>
      </c>
      <c r="L649" t="s">
        <v>2592</v>
      </c>
      <c r="M649" t="s">
        <v>2597</v>
      </c>
      <c r="N649" t="s">
        <v>55</v>
      </c>
      <c r="O649" s="12">
        <v>45607.704861111109</v>
      </c>
      <c r="P649" s="12">
        <v>45611.371527777781</v>
      </c>
      <c r="Q649" s="12">
        <v>45607.837500000001</v>
      </c>
      <c r="R649" s="12">
        <v>45607.90625</v>
      </c>
      <c r="U649" t="b">
        <v>0</v>
      </c>
    </row>
    <row r="650" spans="1:21">
      <c r="A650" t="s">
        <v>3682</v>
      </c>
      <c r="B650" t="s">
        <v>2967</v>
      </c>
      <c r="C650" t="s">
        <v>1971</v>
      </c>
      <c r="D650" t="s">
        <v>3683</v>
      </c>
      <c r="E650" t="s">
        <v>3684</v>
      </c>
      <c r="F650" t="s">
        <v>1843</v>
      </c>
      <c r="G650">
        <v>171</v>
      </c>
      <c r="H650" t="s">
        <v>16</v>
      </c>
      <c r="I650" t="s">
        <v>24</v>
      </c>
      <c r="J650" t="s">
        <v>1288</v>
      </c>
      <c r="K650">
        <v>59</v>
      </c>
      <c r="L650" t="s">
        <v>2601</v>
      </c>
      <c r="M650" t="s">
        <v>2643</v>
      </c>
      <c r="N650" t="s">
        <v>91</v>
      </c>
      <c r="O650" s="12">
        <v>45546.730555555558</v>
      </c>
      <c r="Q650" s="12">
        <v>45546.979861111111</v>
      </c>
      <c r="R650" s="12">
        <v>45547.688194444447</v>
      </c>
      <c r="U650" t="b">
        <v>0</v>
      </c>
    </row>
    <row r="651" spans="1:21">
      <c r="A651" t="s">
        <v>3685</v>
      </c>
      <c r="B651" t="s">
        <v>1898</v>
      </c>
      <c r="C651" t="s">
        <v>1475</v>
      </c>
      <c r="D651" t="s">
        <v>3686</v>
      </c>
      <c r="E651" t="s">
        <v>3687</v>
      </c>
      <c r="F651" t="s">
        <v>1843</v>
      </c>
      <c r="G651">
        <v>69</v>
      </c>
      <c r="H651" t="s">
        <v>1042</v>
      </c>
      <c r="I651" t="s">
        <v>24</v>
      </c>
      <c r="J651" t="s">
        <v>1413</v>
      </c>
      <c r="K651">
        <v>70</v>
      </c>
      <c r="L651" t="s">
        <v>2592</v>
      </c>
      <c r="M651" t="s">
        <v>2605</v>
      </c>
      <c r="N651" t="s">
        <v>91</v>
      </c>
      <c r="O651" s="12">
        <v>45798.150694444441</v>
      </c>
      <c r="P651" s="12">
        <v>45800.275694444441</v>
      </c>
      <c r="Q651" s="12">
        <v>45798.156944444447</v>
      </c>
      <c r="R651" s="12">
        <v>45798.198611111111</v>
      </c>
      <c r="U651" t="b">
        <v>0</v>
      </c>
    </row>
    <row r="652" spans="1:21">
      <c r="A652" t="s">
        <v>3688</v>
      </c>
      <c r="B652" t="s">
        <v>1320</v>
      </c>
      <c r="C652" t="s">
        <v>1597</v>
      </c>
      <c r="D652" t="s">
        <v>3689</v>
      </c>
      <c r="E652" t="s">
        <v>3690</v>
      </c>
      <c r="F652" t="s">
        <v>1182</v>
      </c>
      <c r="G652">
        <v>35</v>
      </c>
      <c r="H652" t="s">
        <v>154</v>
      </c>
      <c r="I652" t="s">
        <v>24</v>
      </c>
      <c r="J652" t="s">
        <v>1288</v>
      </c>
      <c r="K652">
        <v>42</v>
      </c>
      <c r="L652" t="s">
        <v>2601</v>
      </c>
      <c r="M652" t="s">
        <v>2655</v>
      </c>
      <c r="N652" t="s">
        <v>25</v>
      </c>
      <c r="O652" s="12">
        <v>45543.214583333334</v>
      </c>
      <c r="Q652" s="12">
        <v>45543.415277777778</v>
      </c>
      <c r="U652" t="b">
        <v>0</v>
      </c>
    </row>
    <row r="653" spans="1:21">
      <c r="A653" t="s">
        <v>3691</v>
      </c>
      <c r="B653" t="s">
        <v>1176</v>
      </c>
      <c r="C653" t="s">
        <v>1180</v>
      </c>
      <c r="D653" t="s">
        <v>3692</v>
      </c>
      <c r="E653" t="s">
        <v>3693</v>
      </c>
      <c r="F653" t="s">
        <v>1294</v>
      </c>
      <c r="G653">
        <v>94</v>
      </c>
      <c r="H653" t="s">
        <v>216</v>
      </c>
      <c r="I653" t="s">
        <v>24</v>
      </c>
      <c r="J653" t="s">
        <v>1413</v>
      </c>
      <c r="K653">
        <v>51</v>
      </c>
      <c r="L653" t="s">
        <v>2592</v>
      </c>
      <c r="M653" t="s">
        <v>2597</v>
      </c>
      <c r="N653" t="s">
        <v>91</v>
      </c>
      <c r="O653" s="12">
        <v>45619.472916666666</v>
      </c>
      <c r="P653" s="12">
        <v>45620.972916666666</v>
      </c>
      <c r="Q653" s="12">
        <v>45619.720138888886</v>
      </c>
      <c r="R653" s="12">
        <v>45619.776388888888</v>
      </c>
      <c r="U653" t="b">
        <v>0</v>
      </c>
    </row>
    <row r="654" spans="1:21">
      <c r="A654" t="s">
        <v>3694</v>
      </c>
      <c r="B654" t="s">
        <v>2639</v>
      </c>
      <c r="C654" t="s">
        <v>2100</v>
      </c>
      <c r="D654" t="s">
        <v>3695</v>
      </c>
      <c r="E654" t="s">
        <v>3696</v>
      </c>
      <c r="F654" t="s">
        <v>2271</v>
      </c>
      <c r="G654">
        <v>2491</v>
      </c>
      <c r="H654" t="s">
        <v>116</v>
      </c>
      <c r="I654" t="s">
        <v>17</v>
      </c>
      <c r="J654" t="s">
        <v>1317</v>
      </c>
      <c r="K654">
        <v>50</v>
      </c>
      <c r="L654" t="s">
        <v>2601</v>
      </c>
      <c r="M654" t="s">
        <v>2618</v>
      </c>
      <c r="N654" t="s">
        <v>82</v>
      </c>
      <c r="O654" s="12">
        <v>46101.776388888888</v>
      </c>
      <c r="Q654" s="12">
        <v>46101.956944444442</v>
      </c>
      <c r="R654" s="12">
        <v>46101.998611111114</v>
      </c>
      <c r="T654" t="s">
        <v>2763</v>
      </c>
      <c r="U654" t="b">
        <v>0</v>
      </c>
    </row>
    <row r="655" spans="1:21">
      <c r="A655" t="s">
        <v>3697</v>
      </c>
      <c r="B655" t="s">
        <v>1207</v>
      </c>
      <c r="C655" t="s">
        <v>1320</v>
      </c>
      <c r="D655" t="s">
        <v>3698</v>
      </c>
      <c r="E655" t="s">
        <v>3699</v>
      </c>
      <c r="F655" t="s">
        <v>1784</v>
      </c>
      <c r="G655">
        <v>579</v>
      </c>
      <c r="H655" t="s">
        <v>366</v>
      </c>
      <c r="I655" t="s">
        <v>17</v>
      </c>
      <c r="J655" t="s">
        <v>1413</v>
      </c>
      <c r="K655">
        <v>64</v>
      </c>
      <c r="L655" t="s">
        <v>2592</v>
      </c>
      <c r="M655" t="s">
        <v>2597</v>
      </c>
      <c r="N655" t="s">
        <v>18</v>
      </c>
      <c r="O655" s="12">
        <v>46080.593055555553</v>
      </c>
      <c r="P655" s="12">
        <v>46084.968055555553</v>
      </c>
      <c r="Q655" s="12">
        <v>46080.620138888888</v>
      </c>
      <c r="R655" s="12">
        <v>46081.828472222223</v>
      </c>
      <c r="U655" t="b">
        <v>0</v>
      </c>
    </row>
    <row r="656" spans="1:21">
      <c r="A656" t="s">
        <v>3700</v>
      </c>
      <c r="B656" t="s">
        <v>1649</v>
      </c>
      <c r="C656" t="s">
        <v>1404</v>
      </c>
      <c r="D656" t="s">
        <v>3701</v>
      </c>
      <c r="E656" t="s">
        <v>3702</v>
      </c>
      <c r="F656" t="s">
        <v>1471</v>
      </c>
      <c r="G656">
        <v>537</v>
      </c>
      <c r="H656" t="s">
        <v>205</v>
      </c>
      <c r="I656" t="s">
        <v>30</v>
      </c>
      <c r="J656" t="s">
        <v>1288</v>
      </c>
      <c r="K656">
        <v>35</v>
      </c>
      <c r="L656" t="s">
        <v>2601</v>
      </c>
      <c r="M656" t="s">
        <v>2618</v>
      </c>
      <c r="N656" t="s">
        <v>36</v>
      </c>
      <c r="O656" s="12">
        <v>45649.081944444442</v>
      </c>
      <c r="Q656" s="12">
        <v>45649.176388888889</v>
      </c>
      <c r="R656" s="12">
        <v>45649.30972222222</v>
      </c>
      <c r="T656" t="s">
        <v>2763</v>
      </c>
      <c r="U656" t="b">
        <v>0</v>
      </c>
    </row>
    <row r="657" spans="1:21">
      <c r="A657" t="s">
        <v>3703</v>
      </c>
      <c r="B657" t="s">
        <v>1320</v>
      </c>
      <c r="C657" t="s">
        <v>1145</v>
      </c>
      <c r="D657" t="s">
        <v>2815</v>
      </c>
      <c r="E657" t="s">
        <v>3704</v>
      </c>
      <c r="F657" t="s">
        <v>1511</v>
      </c>
      <c r="G657">
        <v>116</v>
      </c>
      <c r="H657" t="s">
        <v>50</v>
      </c>
      <c r="I657" t="s">
        <v>24</v>
      </c>
      <c r="J657" t="s">
        <v>1413</v>
      </c>
      <c r="K657">
        <v>65</v>
      </c>
      <c r="L657" t="s">
        <v>2592</v>
      </c>
      <c r="M657" t="s">
        <v>2593</v>
      </c>
      <c r="N657" t="s">
        <v>59</v>
      </c>
      <c r="O657" s="12">
        <v>45894.876388888886</v>
      </c>
      <c r="P657" s="12">
        <v>45897.043055555558</v>
      </c>
      <c r="Q657" s="12">
        <v>45894.994444444441</v>
      </c>
      <c r="R657" s="12">
        <v>45895.078472222223</v>
      </c>
      <c r="U657" t="b">
        <v>0</v>
      </c>
    </row>
    <row r="658" spans="1:21">
      <c r="A658" t="s">
        <v>3705</v>
      </c>
      <c r="B658" t="s">
        <v>3169</v>
      </c>
      <c r="C658" t="s">
        <v>1320</v>
      </c>
      <c r="D658" t="s">
        <v>3706</v>
      </c>
      <c r="E658" t="s">
        <v>3707</v>
      </c>
      <c r="F658" t="s">
        <v>1517</v>
      </c>
      <c r="G658">
        <v>301</v>
      </c>
      <c r="H658" t="s">
        <v>68</v>
      </c>
      <c r="I658" t="s">
        <v>30</v>
      </c>
      <c r="J658" t="s">
        <v>1413</v>
      </c>
      <c r="K658">
        <v>63</v>
      </c>
      <c r="L658" t="s">
        <v>2601</v>
      </c>
      <c r="M658" t="s">
        <v>2605</v>
      </c>
      <c r="N658" t="s">
        <v>55</v>
      </c>
      <c r="O658" s="12">
        <v>45655.120833333334</v>
      </c>
      <c r="Q658" s="12">
        <v>45655.320833333331</v>
      </c>
      <c r="R658" s="12">
        <v>45655.779166666667</v>
      </c>
      <c r="U658" t="b">
        <v>0</v>
      </c>
    </row>
    <row r="659" spans="1:21">
      <c r="A659" t="s">
        <v>3708</v>
      </c>
      <c r="B659" t="s">
        <v>2878</v>
      </c>
      <c r="C659" t="s">
        <v>1162</v>
      </c>
      <c r="D659" t="s">
        <v>3709</v>
      </c>
      <c r="E659" t="s">
        <v>3710</v>
      </c>
      <c r="F659" t="s">
        <v>1843</v>
      </c>
      <c r="G659">
        <v>30</v>
      </c>
      <c r="H659" t="s">
        <v>1079</v>
      </c>
      <c r="I659" t="s">
        <v>24</v>
      </c>
      <c r="K659">
        <v>45</v>
      </c>
      <c r="L659" t="s">
        <v>2592</v>
      </c>
      <c r="M659" t="s">
        <v>2618</v>
      </c>
      <c r="N659" t="s">
        <v>69</v>
      </c>
      <c r="O659" s="12">
        <v>46266.019444444442</v>
      </c>
      <c r="P659" s="12">
        <v>46266.311111111114</v>
      </c>
      <c r="Q659" s="12">
        <v>46266.192361111112</v>
      </c>
      <c r="T659" t="s">
        <v>2685</v>
      </c>
      <c r="U659" t="b">
        <v>0</v>
      </c>
    </row>
    <row r="660" spans="1:21">
      <c r="A660" t="s">
        <v>3711</v>
      </c>
      <c r="B660" t="s">
        <v>2902</v>
      </c>
      <c r="C660" t="s">
        <v>2033</v>
      </c>
      <c r="D660" t="s">
        <v>3712</v>
      </c>
      <c r="E660" t="s">
        <v>3713</v>
      </c>
      <c r="F660" t="s">
        <v>2755</v>
      </c>
      <c r="G660">
        <v>155</v>
      </c>
      <c r="H660" t="s">
        <v>16</v>
      </c>
      <c r="I660" t="s">
        <v>24</v>
      </c>
      <c r="J660" t="s">
        <v>1281</v>
      </c>
      <c r="K660">
        <v>64</v>
      </c>
      <c r="L660" t="s">
        <v>2601</v>
      </c>
      <c r="M660" t="s">
        <v>2605</v>
      </c>
      <c r="N660" t="s">
        <v>91</v>
      </c>
      <c r="O660" s="12">
        <v>46219.351388888892</v>
      </c>
      <c r="Q660" s="12">
        <v>46219.534722222219</v>
      </c>
      <c r="R660" s="12">
        <v>46220.784722222219</v>
      </c>
      <c r="U660" t="b">
        <v>0</v>
      </c>
    </row>
    <row r="661" spans="1:21">
      <c r="A661" t="s">
        <v>3714</v>
      </c>
      <c r="B661" t="s">
        <v>2834</v>
      </c>
      <c r="C661" t="s">
        <v>1385</v>
      </c>
      <c r="D661" t="s">
        <v>3715</v>
      </c>
      <c r="E661" t="s">
        <v>3716</v>
      </c>
      <c r="F661" t="s">
        <v>2617</v>
      </c>
      <c r="G661">
        <v>222</v>
      </c>
      <c r="H661" t="s">
        <v>68</v>
      </c>
      <c r="I661" t="s">
        <v>30</v>
      </c>
      <c r="J661" t="s">
        <v>1355</v>
      </c>
      <c r="K661">
        <v>64</v>
      </c>
      <c r="L661" t="s">
        <v>2601</v>
      </c>
      <c r="M661" t="s">
        <v>2593</v>
      </c>
      <c r="N661" t="s">
        <v>55</v>
      </c>
      <c r="O661" s="12">
        <v>45462.290972222225</v>
      </c>
      <c r="Q661" s="12">
        <v>45462.495138888888</v>
      </c>
      <c r="R661" s="12">
        <v>45462.591666666667</v>
      </c>
      <c r="U661" t="b">
        <v>0</v>
      </c>
    </row>
    <row r="662" spans="1:21">
      <c r="A662" t="s">
        <v>3717</v>
      </c>
      <c r="B662" t="s">
        <v>1176</v>
      </c>
      <c r="C662" t="s">
        <v>1278</v>
      </c>
      <c r="D662" t="s">
        <v>3718</v>
      </c>
      <c r="E662" t="s">
        <v>3719</v>
      </c>
      <c r="F662" t="s">
        <v>2709</v>
      </c>
      <c r="G662">
        <v>92</v>
      </c>
      <c r="H662" t="s">
        <v>50</v>
      </c>
      <c r="I662" t="s">
        <v>24</v>
      </c>
      <c r="J662" t="s">
        <v>1339</v>
      </c>
      <c r="K662">
        <v>83</v>
      </c>
      <c r="L662" t="s">
        <v>2642</v>
      </c>
      <c r="M662" t="s">
        <v>2643</v>
      </c>
      <c r="N662" t="s">
        <v>59</v>
      </c>
      <c r="O662" s="12">
        <v>45805.51666666667</v>
      </c>
      <c r="P662" s="12">
        <v>45808.683333333334</v>
      </c>
      <c r="Q662" s="12">
        <v>45805.539583333331</v>
      </c>
      <c r="R662" s="12">
        <v>45805.55</v>
      </c>
      <c r="S662" s="12">
        <v>45813.558333333334</v>
      </c>
      <c r="U662" t="b">
        <v>0</v>
      </c>
    </row>
    <row r="663" spans="1:21">
      <c r="A663" t="s">
        <v>3720</v>
      </c>
      <c r="B663" t="s">
        <v>2789</v>
      </c>
      <c r="C663" t="s">
        <v>1152</v>
      </c>
      <c r="D663" t="s">
        <v>3721</v>
      </c>
      <c r="E663" t="s">
        <v>3722</v>
      </c>
      <c r="F663" t="s">
        <v>1471</v>
      </c>
      <c r="G663">
        <v>185</v>
      </c>
      <c r="H663" t="s">
        <v>408</v>
      </c>
      <c r="I663" t="s">
        <v>24</v>
      </c>
      <c r="J663" t="s">
        <v>1271</v>
      </c>
      <c r="K663">
        <v>36</v>
      </c>
      <c r="L663" t="s">
        <v>2601</v>
      </c>
      <c r="M663" t="s">
        <v>2618</v>
      </c>
      <c r="N663" t="s">
        <v>69</v>
      </c>
      <c r="O663" s="12">
        <v>45451.664583333331</v>
      </c>
      <c r="Q663" s="12">
        <v>45451.817361111112</v>
      </c>
      <c r="R663" s="12">
        <v>45451.824305555558</v>
      </c>
      <c r="T663" t="s">
        <v>2673</v>
      </c>
      <c r="U663" t="b">
        <v>0</v>
      </c>
    </row>
    <row r="664" spans="1:21">
      <c r="A664" t="s">
        <v>3723</v>
      </c>
      <c r="B664" t="s">
        <v>1167</v>
      </c>
      <c r="C664" t="s">
        <v>1222</v>
      </c>
      <c r="D664" t="s">
        <v>3724</v>
      </c>
      <c r="E664" t="s">
        <v>3725</v>
      </c>
      <c r="F664" t="s">
        <v>2271</v>
      </c>
      <c r="G664">
        <v>759</v>
      </c>
      <c r="H664" t="s">
        <v>140</v>
      </c>
      <c r="I664" t="s">
        <v>30</v>
      </c>
      <c r="J664" t="s">
        <v>1271</v>
      </c>
      <c r="K664">
        <v>70</v>
      </c>
      <c r="L664" t="s">
        <v>2601</v>
      </c>
      <c r="M664" t="s">
        <v>2593</v>
      </c>
      <c r="N664" t="s">
        <v>82</v>
      </c>
      <c r="O664" s="12">
        <v>45873.544444444444</v>
      </c>
      <c r="Q664" s="12">
        <v>45873.552777777775</v>
      </c>
      <c r="R664" s="12">
        <v>45873.65347222222</v>
      </c>
      <c r="U664" t="b">
        <v>0</v>
      </c>
    </row>
    <row r="665" spans="1:21">
      <c r="A665" t="s">
        <v>3726</v>
      </c>
      <c r="B665" t="s">
        <v>2733</v>
      </c>
      <c r="C665" t="s">
        <v>1655</v>
      </c>
      <c r="D665" t="s">
        <v>3727</v>
      </c>
      <c r="E665" t="s">
        <v>3728</v>
      </c>
      <c r="F665" t="s">
        <v>1367</v>
      </c>
      <c r="G665">
        <v>186</v>
      </c>
      <c r="H665" t="s">
        <v>64</v>
      </c>
      <c r="I665" t="s">
        <v>24</v>
      </c>
      <c r="J665" t="s">
        <v>1288</v>
      </c>
      <c r="K665">
        <v>40</v>
      </c>
      <c r="L665" t="s">
        <v>2601</v>
      </c>
      <c r="M665" t="s">
        <v>2593</v>
      </c>
      <c r="N665" t="s">
        <v>69</v>
      </c>
      <c r="O665" s="12">
        <v>45797.371527777781</v>
      </c>
      <c r="Q665" s="12">
        <v>45797.522222222222</v>
      </c>
      <c r="R665" s="12">
        <v>45798.147222222222</v>
      </c>
      <c r="U665" t="b">
        <v>0</v>
      </c>
    </row>
    <row r="666" spans="1:21">
      <c r="A666" t="s">
        <v>3729</v>
      </c>
      <c r="B666" t="s">
        <v>1521</v>
      </c>
      <c r="C666" t="s">
        <v>1142</v>
      </c>
      <c r="D666" t="s">
        <v>3730</v>
      </c>
      <c r="E666" t="s">
        <v>3731</v>
      </c>
      <c r="F666" t="s">
        <v>2755</v>
      </c>
      <c r="G666">
        <v>308</v>
      </c>
      <c r="H666" t="s">
        <v>127</v>
      </c>
      <c r="I666" t="s">
        <v>30</v>
      </c>
      <c r="J666" t="s">
        <v>1355</v>
      </c>
      <c r="K666">
        <v>66</v>
      </c>
      <c r="L666" t="s">
        <v>2592</v>
      </c>
      <c r="M666" t="s">
        <v>2593</v>
      </c>
      <c r="N666" t="s">
        <v>82</v>
      </c>
      <c r="O666" s="12">
        <v>45879.532638888886</v>
      </c>
      <c r="P666" s="12">
        <v>45880.324305555558</v>
      </c>
      <c r="Q666" s="12">
        <v>45879.648611111108</v>
      </c>
      <c r="R666" s="12">
        <v>45879.693055555559</v>
      </c>
      <c r="U666" t="b">
        <v>0</v>
      </c>
    </row>
    <row r="667" spans="1:21">
      <c r="A667" t="s">
        <v>3732</v>
      </c>
      <c r="B667" t="s">
        <v>1207</v>
      </c>
      <c r="C667" t="s">
        <v>1490</v>
      </c>
      <c r="D667" t="s">
        <v>3007</v>
      </c>
      <c r="E667" t="s">
        <v>3733</v>
      </c>
      <c r="F667" t="s">
        <v>1294</v>
      </c>
      <c r="G667">
        <v>417</v>
      </c>
      <c r="H667" t="s">
        <v>50</v>
      </c>
      <c r="I667" t="s">
        <v>30</v>
      </c>
      <c r="J667" t="s">
        <v>1413</v>
      </c>
      <c r="K667">
        <v>66</v>
      </c>
      <c r="L667" t="s">
        <v>2642</v>
      </c>
      <c r="M667" t="s">
        <v>2597</v>
      </c>
      <c r="N667" t="s">
        <v>36</v>
      </c>
      <c r="O667" s="12">
        <v>45368.459722222222</v>
      </c>
      <c r="P667" s="12">
        <v>45372.251388888886</v>
      </c>
      <c r="Q667" s="12">
        <v>45368.64166666667</v>
      </c>
      <c r="R667" s="12">
        <v>45369.058333333334</v>
      </c>
      <c r="S667" s="12">
        <v>45374.834722222222</v>
      </c>
      <c r="U667" t="b">
        <v>0</v>
      </c>
    </row>
    <row r="668" spans="1:21">
      <c r="A668" t="s">
        <v>3734</v>
      </c>
      <c r="B668" t="s">
        <v>1161</v>
      </c>
      <c r="C668" t="s">
        <v>1469</v>
      </c>
      <c r="D668" t="s">
        <v>3735</v>
      </c>
      <c r="E668" t="s">
        <v>3736</v>
      </c>
      <c r="F668" t="s">
        <v>1511</v>
      </c>
      <c r="G668">
        <v>787</v>
      </c>
      <c r="H668" t="s">
        <v>154</v>
      </c>
      <c r="I668" t="s">
        <v>30</v>
      </c>
      <c r="J668" t="s">
        <v>1295</v>
      </c>
      <c r="K668">
        <v>81</v>
      </c>
      <c r="L668" t="s">
        <v>2592</v>
      </c>
      <c r="M668" t="s">
        <v>2597</v>
      </c>
      <c r="N668" t="s">
        <v>82</v>
      </c>
      <c r="O668" s="12">
        <v>45684.474305555559</v>
      </c>
      <c r="P668" s="12">
        <v>45687.724305555559</v>
      </c>
      <c r="Q668" s="12">
        <v>45684.695138888892</v>
      </c>
      <c r="R668" s="12">
        <v>45684.777777777781</v>
      </c>
      <c r="U668" t="b">
        <v>0</v>
      </c>
    </row>
    <row r="669" spans="1:21">
      <c r="A669" t="s">
        <v>3737</v>
      </c>
      <c r="B669" t="s">
        <v>2834</v>
      </c>
      <c r="C669" t="s">
        <v>1197</v>
      </c>
      <c r="D669" t="s">
        <v>3738</v>
      </c>
      <c r="E669" t="s">
        <v>3739</v>
      </c>
      <c r="F669" t="s">
        <v>1448</v>
      </c>
      <c r="G669">
        <v>109</v>
      </c>
      <c r="H669" t="s">
        <v>16</v>
      </c>
      <c r="I669" t="s">
        <v>24</v>
      </c>
      <c r="J669" t="s">
        <v>1295</v>
      </c>
      <c r="K669">
        <v>86</v>
      </c>
      <c r="L669" t="s">
        <v>2642</v>
      </c>
      <c r="M669" t="s">
        <v>2643</v>
      </c>
      <c r="N669" t="s">
        <v>91</v>
      </c>
      <c r="O669" s="12">
        <v>45471.767361111109</v>
      </c>
      <c r="P669" s="12">
        <v>45475.600694444445</v>
      </c>
      <c r="Q669" s="12">
        <v>45471.902083333334</v>
      </c>
      <c r="R669" s="12">
        <v>45471.952777777777</v>
      </c>
      <c r="S669" s="12">
        <v>45478.392361111109</v>
      </c>
      <c r="U669" t="b">
        <v>0</v>
      </c>
    </row>
    <row r="670" spans="1:21">
      <c r="A670" t="s">
        <v>3740</v>
      </c>
      <c r="B670" t="s">
        <v>2662</v>
      </c>
      <c r="C670" t="s">
        <v>1168</v>
      </c>
      <c r="D670" t="s">
        <v>3741</v>
      </c>
      <c r="E670" t="s">
        <v>3742</v>
      </c>
      <c r="F670" t="s">
        <v>1471</v>
      </c>
      <c r="G670">
        <v>163</v>
      </c>
      <c r="H670" t="s">
        <v>120</v>
      </c>
      <c r="I670" t="s">
        <v>24</v>
      </c>
      <c r="J670" t="s">
        <v>1413</v>
      </c>
      <c r="K670">
        <v>59</v>
      </c>
      <c r="L670" t="s">
        <v>2592</v>
      </c>
      <c r="M670" t="s">
        <v>2593</v>
      </c>
      <c r="N670" t="s">
        <v>25</v>
      </c>
      <c r="O670" s="12">
        <v>46113.53402777778</v>
      </c>
      <c r="P670" s="12">
        <v>46117.78402777778</v>
      </c>
      <c r="Q670" s="12">
        <v>46113.720138888886</v>
      </c>
      <c r="R670" s="12">
        <v>46113.776388888888</v>
      </c>
      <c r="U670" t="b">
        <v>0</v>
      </c>
    </row>
    <row r="671" spans="1:21">
      <c r="A671" t="s">
        <v>3743</v>
      </c>
      <c r="B671" t="s">
        <v>2670</v>
      </c>
      <c r="C671" t="s">
        <v>2033</v>
      </c>
      <c r="D671" t="s">
        <v>3744</v>
      </c>
      <c r="E671" t="s">
        <v>3745</v>
      </c>
      <c r="F671" t="s">
        <v>1309</v>
      </c>
      <c r="G671">
        <v>1441</v>
      </c>
      <c r="H671" t="s">
        <v>1079</v>
      </c>
      <c r="I671" t="s">
        <v>17</v>
      </c>
      <c r="J671" t="s">
        <v>1413</v>
      </c>
      <c r="K671">
        <v>46</v>
      </c>
      <c r="L671" t="s">
        <v>2601</v>
      </c>
      <c r="M671" t="s">
        <v>2618</v>
      </c>
      <c r="N671" t="s">
        <v>55</v>
      </c>
      <c r="O671" s="12">
        <v>45781.87777777778</v>
      </c>
      <c r="Q671" s="12">
        <v>45781.962500000001</v>
      </c>
      <c r="R671" s="12">
        <v>45782.051388888889</v>
      </c>
      <c r="T671" t="s">
        <v>2685</v>
      </c>
      <c r="U671" t="b">
        <v>0</v>
      </c>
    </row>
    <row r="672" spans="1:21">
      <c r="A672" t="s">
        <v>3746</v>
      </c>
      <c r="B672" t="s">
        <v>1175</v>
      </c>
      <c r="C672" t="s">
        <v>2059</v>
      </c>
      <c r="D672" t="s">
        <v>3747</v>
      </c>
      <c r="E672" t="s">
        <v>3748</v>
      </c>
      <c r="F672" t="s">
        <v>1511</v>
      </c>
      <c r="G672">
        <v>305</v>
      </c>
      <c r="H672" t="s">
        <v>23</v>
      </c>
      <c r="I672" t="s">
        <v>30</v>
      </c>
      <c r="J672" t="s">
        <v>1295</v>
      </c>
      <c r="K672">
        <v>99</v>
      </c>
      <c r="L672" t="s">
        <v>2592</v>
      </c>
      <c r="M672" t="s">
        <v>2593</v>
      </c>
      <c r="N672" t="s">
        <v>82</v>
      </c>
      <c r="O672" s="12">
        <v>45426.142361111109</v>
      </c>
      <c r="P672" s="12">
        <v>45430.059027777781</v>
      </c>
      <c r="Q672" s="12">
        <v>45426.276388888888</v>
      </c>
      <c r="R672" s="12">
        <v>45426.413888888892</v>
      </c>
      <c r="U672" t="b">
        <v>0</v>
      </c>
    </row>
    <row r="673" spans="1:21">
      <c r="A673" t="s">
        <v>3749</v>
      </c>
      <c r="B673" t="s">
        <v>1111</v>
      </c>
      <c r="C673" t="s">
        <v>1135</v>
      </c>
      <c r="D673" t="s">
        <v>3750</v>
      </c>
      <c r="E673" t="s">
        <v>3751</v>
      </c>
      <c r="F673" t="s">
        <v>1784</v>
      </c>
      <c r="G673">
        <v>83</v>
      </c>
      <c r="H673" t="s">
        <v>50</v>
      </c>
      <c r="I673" t="s">
        <v>24</v>
      </c>
      <c r="J673" t="s">
        <v>1355</v>
      </c>
      <c r="K673">
        <v>48</v>
      </c>
      <c r="L673" t="s">
        <v>2601</v>
      </c>
      <c r="M673" t="s">
        <v>2593</v>
      </c>
      <c r="N673" t="s">
        <v>59</v>
      </c>
      <c r="O673" s="12">
        <v>45859.815972222219</v>
      </c>
      <c r="Q673" s="12">
        <v>45859.88958333333</v>
      </c>
      <c r="R673" s="12">
        <v>45861.056250000001</v>
      </c>
      <c r="U673" t="b">
        <v>0</v>
      </c>
    </row>
    <row r="674" spans="1:21">
      <c r="A674" t="s">
        <v>3752</v>
      </c>
      <c r="B674" t="s">
        <v>1190</v>
      </c>
      <c r="C674" t="s">
        <v>1142</v>
      </c>
      <c r="D674" t="s">
        <v>3753</v>
      </c>
      <c r="E674" t="s">
        <v>3754</v>
      </c>
      <c r="F674" t="s">
        <v>1784</v>
      </c>
      <c r="G674">
        <v>19</v>
      </c>
      <c r="H674" t="s">
        <v>216</v>
      </c>
      <c r="J674" t="s">
        <v>1281</v>
      </c>
      <c r="K674">
        <v>67</v>
      </c>
      <c r="L674" t="s">
        <v>2601</v>
      </c>
      <c r="M674" t="s">
        <v>2593</v>
      </c>
      <c r="O674" s="12">
        <v>45836.500694444447</v>
      </c>
      <c r="U674" t="b">
        <v>0</v>
      </c>
    </row>
    <row r="675" spans="1:21">
      <c r="A675" t="s">
        <v>3755</v>
      </c>
      <c r="B675" t="s">
        <v>2827</v>
      </c>
      <c r="C675" t="s">
        <v>1597</v>
      </c>
      <c r="D675" t="s">
        <v>3756</v>
      </c>
      <c r="E675" t="s">
        <v>3757</v>
      </c>
      <c r="F675" t="s">
        <v>1294</v>
      </c>
      <c r="G675">
        <v>78</v>
      </c>
      <c r="H675" t="s">
        <v>50</v>
      </c>
      <c r="I675" t="s">
        <v>24</v>
      </c>
      <c r="J675" t="s">
        <v>1288</v>
      </c>
      <c r="K675">
        <v>48</v>
      </c>
      <c r="L675" t="s">
        <v>2601</v>
      </c>
      <c r="M675" t="s">
        <v>2605</v>
      </c>
      <c r="N675" t="s">
        <v>59</v>
      </c>
      <c r="O675" s="12">
        <v>46028.580555555556</v>
      </c>
      <c r="Q675" s="12">
        <v>46028.661805555559</v>
      </c>
      <c r="R675" s="12">
        <v>46028.953472222223</v>
      </c>
      <c r="U675" t="b">
        <v>0</v>
      </c>
    </row>
    <row r="676" spans="1:21">
      <c r="A676" t="s">
        <v>3758</v>
      </c>
      <c r="B676" t="s">
        <v>2967</v>
      </c>
      <c r="C676" t="s">
        <v>1208</v>
      </c>
      <c r="D676" t="s">
        <v>3759</v>
      </c>
      <c r="E676" t="s">
        <v>3760</v>
      </c>
      <c r="F676" t="s">
        <v>1367</v>
      </c>
      <c r="G676">
        <v>283</v>
      </c>
      <c r="H676" t="s">
        <v>366</v>
      </c>
      <c r="I676" t="s">
        <v>30</v>
      </c>
      <c r="J676" t="s">
        <v>1288</v>
      </c>
      <c r="K676">
        <v>58</v>
      </c>
      <c r="L676" t="s">
        <v>2592</v>
      </c>
      <c r="M676" t="s">
        <v>2597</v>
      </c>
      <c r="N676" t="s">
        <v>18</v>
      </c>
      <c r="O676" s="12">
        <v>45663.511111111111</v>
      </c>
      <c r="P676" s="12">
        <v>45667.219444444447</v>
      </c>
      <c r="Q676" s="12">
        <v>45663.665277777778</v>
      </c>
      <c r="R676" s="12">
        <v>45664.331944444442</v>
      </c>
      <c r="U676" t="b">
        <v>0</v>
      </c>
    </row>
    <row r="677" spans="1:21">
      <c r="A677" t="s">
        <v>3761</v>
      </c>
      <c r="B677" t="s">
        <v>1175</v>
      </c>
      <c r="C677" t="s">
        <v>1385</v>
      </c>
      <c r="D677" t="s">
        <v>3762</v>
      </c>
      <c r="E677" t="s">
        <v>3763</v>
      </c>
      <c r="F677" t="s">
        <v>1517</v>
      </c>
      <c r="G677">
        <v>122</v>
      </c>
      <c r="H677" t="s">
        <v>154</v>
      </c>
      <c r="I677" t="s">
        <v>24</v>
      </c>
      <c r="J677" t="s">
        <v>1295</v>
      </c>
      <c r="K677">
        <v>92</v>
      </c>
      <c r="L677" t="s">
        <v>2592</v>
      </c>
      <c r="M677" t="s">
        <v>2593</v>
      </c>
      <c r="N677" t="s">
        <v>25</v>
      </c>
      <c r="O677" s="12">
        <v>45824.342361111114</v>
      </c>
      <c r="P677" s="12">
        <v>45828.384027777778</v>
      </c>
      <c r="Q677" s="12">
        <v>45824.367361111108</v>
      </c>
      <c r="R677" s="12">
        <v>45824.414583333331</v>
      </c>
      <c r="U677" t="b">
        <v>0</v>
      </c>
    </row>
    <row r="678" spans="1:21">
      <c r="A678" t="s">
        <v>3764</v>
      </c>
      <c r="B678" t="s">
        <v>1221</v>
      </c>
      <c r="C678" t="s">
        <v>2059</v>
      </c>
      <c r="D678" t="s">
        <v>3765</v>
      </c>
      <c r="E678" t="s">
        <v>3766</v>
      </c>
      <c r="F678" t="s">
        <v>1412</v>
      </c>
      <c r="G678">
        <v>172</v>
      </c>
      <c r="H678" t="s">
        <v>68</v>
      </c>
      <c r="I678" t="s">
        <v>24</v>
      </c>
      <c r="J678" t="s">
        <v>1355</v>
      </c>
      <c r="K678">
        <v>73</v>
      </c>
      <c r="L678" t="s">
        <v>2601</v>
      </c>
      <c r="M678" t="s">
        <v>2593</v>
      </c>
      <c r="N678" t="s">
        <v>69</v>
      </c>
      <c r="O678" s="12">
        <v>46210.300694444442</v>
      </c>
      <c r="Q678" s="12">
        <v>46210.374305555553</v>
      </c>
      <c r="R678" s="12">
        <v>46211.499305555553</v>
      </c>
      <c r="U678" t="b">
        <v>0</v>
      </c>
    </row>
    <row r="679" spans="1:21">
      <c r="A679" t="s">
        <v>3767</v>
      </c>
      <c r="B679" t="s">
        <v>2611</v>
      </c>
      <c r="C679" t="s">
        <v>1320</v>
      </c>
      <c r="D679" t="s">
        <v>3768</v>
      </c>
      <c r="E679" t="s">
        <v>3769</v>
      </c>
      <c r="F679" t="s">
        <v>1487</v>
      </c>
      <c r="G679">
        <v>532</v>
      </c>
      <c r="H679" t="s">
        <v>323</v>
      </c>
      <c r="I679" t="s">
        <v>30</v>
      </c>
      <c r="J679" t="s">
        <v>1288</v>
      </c>
      <c r="K679">
        <v>49</v>
      </c>
      <c r="L679" t="s">
        <v>2601</v>
      </c>
      <c r="M679" t="s">
        <v>2593</v>
      </c>
      <c r="N679" t="s">
        <v>82</v>
      </c>
      <c r="O679" s="12">
        <v>45775.439583333333</v>
      </c>
      <c r="Q679" s="12">
        <v>45775.660416666666</v>
      </c>
      <c r="R679" s="12">
        <v>45775.667361111111</v>
      </c>
      <c r="U679" t="b">
        <v>0</v>
      </c>
    </row>
    <row r="680" spans="1:21">
      <c r="A680" t="s">
        <v>3770</v>
      </c>
      <c r="B680" t="s">
        <v>2657</v>
      </c>
      <c r="C680" t="s">
        <v>1418</v>
      </c>
      <c r="D680" t="s">
        <v>3771</v>
      </c>
      <c r="E680" t="s">
        <v>3772</v>
      </c>
      <c r="F680" t="s">
        <v>1182</v>
      </c>
      <c r="G680">
        <v>40</v>
      </c>
      <c r="H680" t="s">
        <v>366</v>
      </c>
      <c r="I680" t="s">
        <v>24</v>
      </c>
      <c r="J680" t="s">
        <v>1317</v>
      </c>
      <c r="K680">
        <v>50</v>
      </c>
      <c r="L680" t="s">
        <v>2601</v>
      </c>
      <c r="M680" t="s">
        <v>2593</v>
      </c>
      <c r="N680" t="s">
        <v>91</v>
      </c>
      <c r="O680" s="12">
        <v>45973.870833333334</v>
      </c>
      <c r="Q680" s="12">
        <v>45974.051388888889</v>
      </c>
      <c r="R680" s="12">
        <v>45974.164583333331</v>
      </c>
      <c r="U680" t="b">
        <v>0</v>
      </c>
    </row>
    <row r="681" spans="1:21">
      <c r="A681" t="s">
        <v>3773</v>
      </c>
      <c r="B681" t="s">
        <v>2834</v>
      </c>
      <c r="C681" t="s">
        <v>1180</v>
      </c>
      <c r="D681" t="s">
        <v>3774</v>
      </c>
      <c r="E681" t="s">
        <v>3775</v>
      </c>
      <c r="F681" t="s">
        <v>1294</v>
      </c>
      <c r="G681">
        <v>1809</v>
      </c>
      <c r="H681" t="s">
        <v>366</v>
      </c>
      <c r="I681" t="s">
        <v>17</v>
      </c>
      <c r="J681" t="s">
        <v>1295</v>
      </c>
      <c r="K681">
        <v>87</v>
      </c>
      <c r="L681" t="s">
        <v>2642</v>
      </c>
      <c r="M681" t="s">
        <v>2643</v>
      </c>
      <c r="N681" t="s">
        <v>18</v>
      </c>
      <c r="O681" s="12">
        <v>45412.090277777781</v>
      </c>
      <c r="P681" s="12">
        <v>45415.798611111109</v>
      </c>
      <c r="Q681" s="12">
        <v>45412.325694444444</v>
      </c>
      <c r="R681" s="12">
        <v>45412.742361111108</v>
      </c>
      <c r="S681" s="12">
        <v>45425.631944444445</v>
      </c>
      <c r="U681" t="b">
        <v>0</v>
      </c>
    </row>
    <row r="682" spans="1:21">
      <c r="A682" t="s">
        <v>3776</v>
      </c>
      <c r="B682" t="s">
        <v>2967</v>
      </c>
      <c r="C682" t="s">
        <v>1365</v>
      </c>
      <c r="D682" t="s">
        <v>3777</v>
      </c>
      <c r="E682" t="s">
        <v>3778</v>
      </c>
      <c r="F682" t="s">
        <v>1309</v>
      </c>
      <c r="G682">
        <v>59</v>
      </c>
      <c r="H682" t="s">
        <v>140</v>
      </c>
      <c r="I682" t="s">
        <v>24</v>
      </c>
      <c r="J682" t="s">
        <v>1281</v>
      </c>
      <c r="K682">
        <v>76</v>
      </c>
      <c r="L682" t="s">
        <v>2592</v>
      </c>
      <c r="M682" t="s">
        <v>2593</v>
      </c>
      <c r="N682" t="s">
        <v>25</v>
      </c>
      <c r="O682" s="12">
        <v>45695.46875</v>
      </c>
      <c r="P682" s="12">
        <v>45698.96875</v>
      </c>
      <c r="Q682" s="12">
        <v>45695.584722222222</v>
      </c>
      <c r="R682" s="12">
        <v>45695.698611111111</v>
      </c>
      <c r="U682" t="b">
        <v>0</v>
      </c>
    </row>
    <row r="683" spans="1:21">
      <c r="A683" t="s">
        <v>3779</v>
      </c>
      <c r="B683" t="s">
        <v>2967</v>
      </c>
      <c r="C683" t="s">
        <v>1579</v>
      </c>
      <c r="D683" t="s">
        <v>3780</v>
      </c>
      <c r="E683" t="s">
        <v>3781</v>
      </c>
      <c r="F683" t="s">
        <v>1448</v>
      </c>
      <c r="G683">
        <v>718</v>
      </c>
      <c r="H683" t="s">
        <v>212</v>
      </c>
      <c r="I683" t="s">
        <v>30</v>
      </c>
      <c r="J683" t="s">
        <v>1271</v>
      </c>
      <c r="K683">
        <v>42</v>
      </c>
      <c r="L683" t="s">
        <v>2592</v>
      </c>
      <c r="M683" t="s">
        <v>2605</v>
      </c>
      <c r="N683" t="s">
        <v>55</v>
      </c>
      <c r="O683" s="12">
        <v>45770.310416666667</v>
      </c>
      <c r="P683" s="12">
        <v>45772.102083333331</v>
      </c>
      <c r="Q683" s="12">
        <v>45770.382638888892</v>
      </c>
      <c r="R683" s="12">
        <v>45770.527777777781</v>
      </c>
      <c r="U683" t="b">
        <v>0</v>
      </c>
    </row>
    <row r="684" spans="1:21">
      <c r="A684" t="s">
        <v>3782</v>
      </c>
      <c r="B684" t="s">
        <v>1138</v>
      </c>
      <c r="C684" t="s">
        <v>1197</v>
      </c>
      <c r="D684" t="s">
        <v>3783</v>
      </c>
      <c r="E684" t="s">
        <v>3784</v>
      </c>
      <c r="F684" t="s">
        <v>1367</v>
      </c>
      <c r="G684">
        <v>39</v>
      </c>
      <c r="H684" t="s">
        <v>635</v>
      </c>
      <c r="I684" t="s">
        <v>24</v>
      </c>
      <c r="J684" t="s">
        <v>1413</v>
      </c>
      <c r="K684">
        <v>49</v>
      </c>
      <c r="L684" t="s">
        <v>2592</v>
      </c>
      <c r="M684" t="s">
        <v>2593</v>
      </c>
      <c r="N684" t="s">
        <v>59</v>
      </c>
      <c r="O684" s="12">
        <v>45667.004861111112</v>
      </c>
      <c r="P684" s="12">
        <v>45668.546527777777</v>
      </c>
      <c r="Q684" s="12">
        <v>45667.226388888892</v>
      </c>
      <c r="R684" s="12">
        <v>45667.331944444442</v>
      </c>
      <c r="U684" t="b">
        <v>0</v>
      </c>
    </row>
    <row r="685" spans="1:21">
      <c r="A685" t="s">
        <v>3785</v>
      </c>
      <c r="B685" t="s">
        <v>1202</v>
      </c>
      <c r="C685" t="s">
        <v>1148</v>
      </c>
      <c r="D685" t="s">
        <v>3786</v>
      </c>
      <c r="E685" t="s">
        <v>3787</v>
      </c>
      <c r="F685" t="s">
        <v>1412</v>
      </c>
      <c r="G685">
        <v>182</v>
      </c>
      <c r="H685" t="s">
        <v>95</v>
      </c>
      <c r="I685" t="s">
        <v>24</v>
      </c>
      <c r="J685" t="s">
        <v>1355</v>
      </c>
      <c r="K685">
        <v>51</v>
      </c>
      <c r="L685" t="s">
        <v>2601</v>
      </c>
      <c r="M685" t="s">
        <v>2618</v>
      </c>
      <c r="N685" t="s">
        <v>91</v>
      </c>
      <c r="O685" s="12">
        <v>45461.381944444445</v>
      </c>
      <c r="Q685" s="12">
        <v>45461.5</v>
      </c>
      <c r="R685" s="12">
        <v>45461.611111111109</v>
      </c>
      <c r="T685" t="s">
        <v>2631</v>
      </c>
      <c r="U685" t="b">
        <v>0</v>
      </c>
    </row>
    <row r="686" spans="1:21">
      <c r="A686" t="s">
        <v>3788</v>
      </c>
      <c r="B686" t="s">
        <v>2878</v>
      </c>
      <c r="C686" t="s">
        <v>1135</v>
      </c>
      <c r="D686" t="s">
        <v>3789</v>
      </c>
      <c r="E686" t="s">
        <v>3790</v>
      </c>
      <c r="F686" t="s">
        <v>2709</v>
      </c>
      <c r="G686">
        <v>649</v>
      </c>
      <c r="H686" t="s">
        <v>50</v>
      </c>
      <c r="I686" t="s">
        <v>30</v>
      </c>
      <c r="J686" t="s">
        <v>1288</v>
      </c>
      <c r="K686">
        <v>65</v>
      </c>
      <c r="L686" t="s">
        <v>2592</v>
      </c>
      <c r="M686" t="s">
        <v>2605</v>
      </c>
      <c r="N686" t="s">
        <v>36</v>
      </c>
      <c r="O686" s="12">
        <v>45933.143055555556</v>
      </c>
      <c r="P686" s="12">
        <v>45935.43472222222</v>
      </c>
      <c r="Q686" s="12">
        <v>45933.161805555559</v>
      </c>
      <c r="U686" t="b">
        <v>0</v>
      </c>
    </row>
    <row r="687" spans="1:21">
      <c r="A687" t="s">
        <v>3791</v>
      </c>
      <c r="B687" t="s">
        <v>1176</v>
      </c>
      <c r="C687" t="s">
        <v>2005</v>
      </c>
      <c r="D687" t="s">
        <v>3792</v>
      </c>
      <c r="E687" t="s">
        <v>3793</v>
      </c>
      <c r="F687" t="s">
        <v>1448</v>
      </c>
      <c r="G687">
        <v>252</v>
      </c>
      <c r="H687" t="s">
        <v>16</v>
      </c>
      <c r="I687" t="s">
        <v>30</v>
      </c>
      <c r="J687" t="s">
        <v>1281</v>
      </c>
      <c r="K687">
        <v>72</v>
      </c>
      <c r="L687" t="s">
        <v>2592</v>
      </c>
      <c r="M687" t="s">
        <v>2593</v>
      </c>
      <c r="N687" t="s">
        <v>18</v>
      </c>
      <c r="O687" s="12">
        <v>45808.154861111114</v>
      </c>
      <c r="P687" s="12">
        <v>45810.821527777778</v>
      </c>
      <c r="Q687" s="12">
        <v>45808.331944444442</v>
      </c>
      <c r="R687" s="12">
        <v>45808.369444444441</v>
      </c>
      <c r="U687" t="b">
        <v>0</v>
      </c>
    </row>
    <row r="688" spans="1:21">
      <c r="A688" t="s">
        <v>3794</v>
      </c>
      <c r="B688" t="s">
        <v>1898</v>
      </c>
      <c r="C688" t="s">
        <v>1771</v>
      </c>
      <c r="D688" t="s">
        <v>3795</v>
      </c>
      <c r="E688" t="s">
        <v>3796</v>
      </c>
      <c r="F688" t="s">
        <v>1487</v>
      </c>
      <c r="G688">
        <v>73</v>
      </c>
      <c r="H688" t="s">
        <v>216</v>
      </c>
      <c r="I688" t="s">
        <v>24</v>
      </c>
      <c r="J688" t="s">
        <v>1288</v>
      </c>
      <c r="K688">
        <v>66</v>
      </c>
      <c r="L688" t="s">
        <v>2601</v>
      </c>
      <c r="M688" t="s">
        <v>2605</v>
      </c>
      <c r="N688" t="s">
        <v>91</v>
      </c>
      <c r="O688" s="12">
        <v>46183.702777777777</v>
      </c>
      <c r="Q688" s="12">
        <v>46183.792361111111</v>
      </c>
      <c r="R688" s="12">
        <v>46183.895138888889</v>
      </c>
      <c r="U688" t="b">
        <v>0</v>
      </c>
    </row>
    <row r="689" spans="1:21">
      <c r="A689" t="s">
        <v>3797</v>
      </c>
      <c r="B689" t="s">
        <v>1221</v>
      </c>
      <c r="C689" t="s">
        <v>1158</v>
      </c>
      <c r="D689" t="s">
        <v>3798</v>
      </c>
      <c r="E689" t="s">
        <v>3799</v>
      </c>
      <c r="F689" t="s">
        <v>1448</v>
      </c>
      <c r="G689">
        <v>132</v>
      </c>
      <c r="H689" t="s">
        <v>81</v>
      </c>
      <c r="I689" t="s">
        <v>24</v>
      </c>
      <c r="J689" t="s">
        <v>1413</v>
      </c>
      <c r="K689">
        <v>75</v>
      </c>
      <c r="L689" t="s">
        <v>2642</v>
      </c>
      <c r="M689" t="s">
        <v>2597</v>
      </c>
      <c r="N689" t="s">
        <v>25</v>
      </c>
      <c r="O689" s="12">
        <v>45748.572916666664</v>
      </c>
      <c r="P689" s="12">
        <v>45752.53125</v>
      </c>
      <c r="Q689" s="12">
        <v>45748.711111111108</v>
      </c>
      <c r="R689" s="12">
        <v>45748.827777777777</v>
      </c>
      <c r="S689" s="12">
        <v>45759.65625</v>
      </c>
      <c r="U689" t="b">
        <v>0</v>
      </c>
    </row>
    <row r="690" spans="1:21">
      <c r="A690" t="s">
        <v>3800</v>
      </c>
      <c r="B690" t="s">
        <v>3169</v>
      </c>
      <c r="C690" t="s">
        <v>1378</v>
      </c>
      <c r="D690" t="s">
        <v>3801</v>
      </c>
      <c r="E690" t="s">
        <v>3802</v>
      </c>
      <c r="F690" t="s">
        <v>1784</v>
      </c>
      <c r="G690">
        <v>848</v>
      </c>
      <c r="H690" t="s">
        <v>576</v>
      </c>
      <c r="I690" t="s">
        <v>30</v>
      </c>
      <c r="J690" t="s">
        <v>1413</v>
      </c>
      <c r="K690">
        <v>52</v>
      </c>
      <c r="L690" t="s">
        <v>2592</v>
      </c>
      <c r="M690" t="s">
        <v>2618</v>
      </c>
      <c r="N690" t="s">
        <v>82</v>
      </c>
      <c r="O690" s="12">
        <v>46164.146527777775</v>
      </c>
      <c r="P690" s="12">
        <v>46166.229861111111</v>
      </c>
      <c r="Q690" s="12">
        <v>46164.336805555555</v>
      </c>
      <c r="R690" s="12">
        <v>46164.387499999997</v>
      </c>
      <c r="T690" t="s">
        <v>2933</v>
      </c>
      <c r="U690" t="b">
        <v>0</v>
      </c>
    </row>
    <row r="691" spans="1:21">
      <c r="A691" t="s">
        <v>3803</v>
      </c>
      <c r="B691" t="s">
        <v>1167</v>
      </c>
      <c r="C691" t="s">
        <v>1462</v>
      </c>
      <c r="D691" t="s">
        <v>3804</v>
      </c>
      <c r="E691" t="s">
        <v>3805</v>
      </c>
      <c r="F691" t="s">
        <v>2680</v>
      </c>
      <c r="G691">
        <v>156</v>
      </c>
      <c r="H691" t="s">
        <v>120</v>
      </c>
      <c r="I691" t="s">
        <v>24</v>
      </c>
      <c r="J691" t="s">
        <v>1281</v>
      </c>
      <c r="K691">
        <v>80</v>
      </c>
      <c r="L691" t="s">
        <v>2642</v>
      </c>
      <c r="M691" t="s">
        <v>2643</v>
      </c>
      <c r="N691" t="s">
        <v>25</v>
      </c>
      <c r="O691" s="12">
        <v>46277.214583333334</v>
      </c>
      <c r="P691" s="12">
        <v>46281.214583333334</v>
      </c>
      <c r="Q691" s="12">
        <v>46277.388194444444</v>
      </c>
      <c r="R691" s="12">
        <v>46277.519444444442</v>
      </c>
      <c r="S691" s="12">
        <v>46283.381249999999</v>
      </c>
      <c r="U691" t="b">
        <v>0</v>
      </c>
    </row>
    <row r="692" spans="1:21">
      <c r="A692" t="s">
        <v>3806</v>
      </c>
      <c r="B692" t="s">
        <v>2878</v>
      </c>
      <c r="C692" t="s">
        <v>1320</v>
      </c>
      <c r="D692" t="s">
        <v>3807</v>
      </c>
      <c r="E692" t="s">
        <v>3808</v>
      </c>
      <c r="F692" t="s">
        <v>2084</v>
      </c>
      <c r="G692">
        <v>977</v>
      </c>
      <c r="H692" t="s">
        <v>23</v>
      </c>
      <c r="I692" t="s">
        <v>30</v>
      </c>
      <c r="J692" t="s">
        <v>1355</v>
      </c>
      <c r="K692">
        <v>57</v>
      </c>
      <c r="L692" t="s">
        <v>2601</v>
      </c>
      <c r="M692" t="s">
        <v>2618</v>
      </c>
      <c r="N692" t="s">
        <v>82</v>
      </c>
      <c r="O692" s="12">
        <v>45858.036805555559</v>
      </c>
      <c r="Q692" s="12">
        <v>45858.143055555556</v>
      </c>
      <c r="R692" s="12">
        <v>45858.230555555558</v>
      </c>
      <c r="T692" t="s">
        <v>2619</v>
      </c>
      <c r="U692" t="b">
        <v>0</v>
      </c>
    </row>
    <row r="693" spans="1:21">
      <c r="A693" t="s">
        <v>3809</v>
      </c>
      <c r="B693" t="s">
        <v>1649</v>
      </c>
      <c r="C693" t="s">
        <v>1186</v>
      </c>
      <c r="D693" t="s">
        <v>3810</v>
      </c>
      <c r="E693" t="s">
        <v>3811</v>
      </c>
      <c r="F693" t="s">
        <v>1784</v>
      </c>
      <c r="G693">
        <v>64</v>
      </c>
      <c r="H693" t="s">
        <v>50</v>
      </c>
      <c r="I693" t="s">
        <v>24</v>
      </c>
      <c r="J693" t="s">
        <v>1281</v>
      </c>
      <c r="K693">
        <v>85</v>
      </c>
      <c r="L693" t="s">
        <v>2592</v>
      </c>
      <c r="M693" t="s">
        <v>2593</v>
      </c>
      <c r="N693" t="s">
        <v>59</v>
      </c>
      <c r="O693" s="12">
        <v>45929.352083333331</v>
      </c>
      <c r="P693" s="12">
        <v>45932.685416666667</v>
      </c>
      <c r="Q693" s="12">
        <v>45929.424305555556</v>
      </c>
      <c r="R693" s="12">
        <v>45929.55</v>
      </c>
      <c r="U693" t="b">
        <v>0</v>
      </c>
    </row>
    <row r="694" spans="1:21">
      <c r="A694" t="s">
        <v>3812</v>
      </c>
      <c r="B694" t="s">
        <v>1176</v>
      </c>
      <c r="C694" t="s">
        <v>1135</v>
      </c>
      <c r="D694" t="s">
        <v>3813</v>
      </c>
      <c r="E694" t="s">
        <v>3814</v>
      </c>
      <c r="F694" t="s">
        <v>1412</v>
      </c>
      <c r="G694">
        <v>654</v>
      </c>
      <c r="H694" t="s">
        <v>81</v>
      </c>
      <c r="I694" t="s">
        <v>30</v>
      </c>
      <c r="J694" t="s">
        <v>1317</v>
      </c>
      <c r="K694">
        <v>77</v>
      </c>
      <c r="L694" t="s">
        <v>2592</v>
      </c>
      <c r="M694" t="s">
        <v>2605</v>
      </c>
      <c r="N694" t="s">
        <v>82</v>
      </c>
      <c r="O694" s="12">
        <v>45876.087500000001</v>
      </c>
      <c r="P694" s="12">
        <v>45880.17083333333</v>
      </c>
      <c r="Q694" s="12">
        <v>45876.183333333334</v>
      </c>
      <c r="R694" s="12">
        <v>45876.250694444447</v>
      </c>
      <c r="U694" t="b">
        <v>0</v>
      </c>
    </row>
    <row r="695" spans="1:21">
      <c r="A695" t="s">
        <v>3815</v>
      </c>
      <c r="B695" t="s">
        <v>2682</v>
      </c>
      <c r="C695" t="s">
        <v>1385</v>
      </c>
      <c r="D695" t="s">
        <v>3816</v>
      </c>
      <c r="E695" t="s">
        <v>3817</v>
      </c>
      <c r="F695" t="s">
        <v>1309</v>
      </c>
      <c r="G695">
        <v>109</v>
      </c>
      <c r="H695" t="s">
        <v>81</v>
      </c>
      <c r="I695" t="s">
        <v>24</v>
      </c>
      <c r="J695" t="s">
        <v>1271</v>
      </c>
      <c r="K695">
        <v>58</v>
      </c>
      <c r="L695" t="s">
        <v>2601</v>
      </c>
      <c r="M695" t="s">
        <v>2605</v>
      </c>
      <c r="N695" t="s">
        <v>25</v>
      </c>
      <c r="O695" s="12">
        <v>46153.307638888888</v>
      </c>
      <c r="Q695" s="12">
        <v>46153.472222222219</v>
      </c>
      <c r="R695" s="12">
        <v>46153.609027777777</v>
      </c>
      <c r="U695" t="b">
        <v>0</v>
      </c>
    </row>
    <row r="696" spans="1:21">
      <c r="A696" t="s">
        <v>3818</v>
      </c>
      <c r="B696" t="s">
        <v>1221</v>
      </c>
      <c r="C696" t="s">
        <v>1186</v>
      </c>
      <c r="D696" t="s">
        <v>2703</v>
      </c>
      <c r="E696" t="s">
        <v>3819</v>
      </c>
      <c r="F696" t="s">
        <v>1517</v>
      </c>
      <c r="G696">
        <v>85</v>
      </c>
      <c r="H696" t="s">
        <v>226</v>
      </c>
      <c r="I696" t="s">
        <v>24</v>
      </c>
      <c r="J696" t="s">
        <v>1413</v>
      </c>
      <c r="K696">
        <v>46</v>
      </c>
      <c r="L696" t="s">
        <v>2601</v>
      </c>
      <c r="M696" t="s">
        <v>2605</v>
      </c>
      <c r="N696" t="s">
        <v>69</v>
      </c>
      <c r="O696" s="12">
        <v>45713.309027777781</v>
      </c>
      <c r="Q696" s="12">
        <v>45713.489583333336</v>
      </c>
      <c r="R696" s="12">
        <v>45714.53125</v>
      </c>
      <c r="U696" t="b">
        <v>0</v>
      </c>
    </row>
    <row r="697" spans="1:21">
      <c r="A697" t="s">
        <v>3820</v>
      </c>
      <c r="B697" t="s">
        <v>1176</v>
      </c>
      <c r="C697" t="s">
        <v>1142</v>
      </c>
      <c r="D697" t="s">
        <v>3821</v>
      </c>
      <c r="E697" t="s">
        <v>3822</v>
      </c>
      <c r="F697" t="s">
        <v>2084</v>
      </c>
      <c r="G697">
        <v>179</v>
      </c>
      <c r="H697" t="s">
        <v>140</v>
      </c>
      <c r="I697" t="s">
        <v>24</v>
      </c>
      <c r="J697" t="s">
        <v>1271</v>
      </c>
      <c r="K697">
        <v>36</v>
      </c>
      <c r="L697" t="s">
        <v>2601</v>
      </c>
      <c r="M697" t="s">
        <v>2655</v>
      </c>
      <c r="N697" t="s">
        <v>25</v>
      </c>
      <c r="O697" s="12">
        <v>45989.15625</v>
      </c>
      <c r="Q697" s="12">
        <v>45989.369444444441</v>
      </c>
      <c r="U697" t="b">
        <v>0</v>
      </c>
    </row>
    <row r="698" spans="1:21">
      <c r="A698" t="s">
        <v>3823</v>
      </c>
      <c r="B698" t="s">
        <v>1138</v>
      </c>
      <c r="C698" t="s">
        <v>1291</v>
      </c>
      <c r="D698" t="s">
        <v>3824</v>
      </c>
      <c r="E698" t="s">
        <v>3825</v>
      </c>
      <c r="F698" t="s">
        <v>2271</v>
      </c>
      <c r="G698">
        <v>63</v>
      </c>
      <c r="H698" t="s">
        <v>68</v>
      </c>
      <c r="I698" t="s">
        <v>30</v>
      </c>
      <c r="J698" t="s">
        <v>1355</v>
      </c>
      <c r="K698">
        <v>79</v>
      </c>
      <c r="L698" t="s">
        <v>2592</v>
      </c>
      <c r="M698" t="s">
        <v>2605</v>
      </c>
      <c r="N698" t="s">
        <v>69</v>
      </c>
      <c r="O698" s="12">
        <v>45547.545138888891</v>
      </c>
      <c r="P698" s="12">
        <v>45551.045138888891</v>
      </c>
      <c r="Q698" s="12">
        <v>45547.661111111112</v>
      </c>
      <c r="R698" s="12">
        <v>45547.681944444441</v>
      </c>
      <c r="U698" t="b">
        <v>0</v>
      </c>
    </row>
    <row r="699" spans="1:21">
      <c r="A699" t="s">
        <v>3826</v>
      </c>
      <c r="B699" t="s">
        <v>1190</v>
      </c>
      <c r="C699" t="s">
        <v>1278</v>
      </c>
      <c r="D699" t="s">
        <v>3827</v>
      </c>
      <c r="E699" t="s">
        <v>3828</v>
      </c>
      <c r="F699" t="s">
        <v>2617</v>
      </c>
      <c r="G699">
        <v>964</v>
      </c>
      <c r="H699" t="s">
        <v>226</v>
      </c>
      <c r="I699" t="s">
        <v>30</v>
      </c>
      <c r="J699" t="s">
        <v>1295</v>
      </c>
      <c r="K699">
        <v>76</v>
      </c>
      <c r="L699" t="s">
        <v>2592</v>
      </c>
      <c r="M699" t="s">
        <v>2605</v>
      </c>
      <c r="N699" t="s">
        <v>55</v>
      </c>
      <c r="O699" s="12">
        <v>45649.230555555558</v>
      </c>
      <c r="P699" s="12">
        <v>45653.730555555558</v>
      </c>
      <c r="Q699" s="12">
        <v>45649.322222222225</v>
      </c>
      <c r="R699" s="12">
        <v>45649.417361111111</v>
      </c>
      <c r="U699" t="b">
        <v>0</v>
      </c>
    </row>
    <row r="700" spans="1:21">
      <c r="A700" t="s">
        <v>3829</v>
      </c>
      <c r="B700" t="s">
        <v>1320</v>
      </c>
      <c r="C700" t="s">
        <v>1597</v>
      </c>
      <c r="D700" t="s">
        <v>3830</v>
      </c>
      <c r="E700" t="s">
        <v>3831</v>
      </c>
      <c r="F700" t="s">
        <v>2660</v>
      </c>
      <c r="G700">
        <v>67</v>
      </c>
      <c r="H700" t="s">
        <v>226</v>
      </c>
      <c r="I700" t="s">
        <v>24</v>
      </c>
      <c r="J700" t="s">
        <v>1413</v>
      </c>
      <c r="K700">
        <v>77</v>
      </c>
      <c r="L700" t="s">
        <v>2601</v>
      </c>
      <c r="M700" t="s">
        <v>2605</v>
      </c>
      <c r="N700" t="s">
        <v>69</v>
      </c>
      <c r="O700" s="12">
        <v>45915.636111111111</v>
      </c>
      <c r="Q700" s="12">
        <v>45915.862500000003</v>
      </c>
      <c r="U700" t="b">
        <v>0</v>
      </c>
    </row>
    <row r="701" spans="1:21">
      <c r="A701" t="s">
        <v>3832</v>
      </c>
      <c r="B701" t="s">
        <v>2906</v>
      </c>
      <c r="C701" t="s">
        <v>1771</v>
      </c>
      <c r="D701" t="s">
        <v>3833</v>
      </c>
      <c r="E701" t="s">
        <v>3834</v>
      </c>
      <c r="F701" t="s">
        <v>1420</v>
      </c>
      <c r="G701">
        <v>20</v>
      </c>
      <c r="H701" t="s">
        <v>16</v>
      </c>
      <c r="I701" t="s">
        <v>24</v>
      </c>
      <c r="J701" t="s">
        <v>1271</v>
      </c>
      <c r="K701">
        <v>72</v>
      </c>
      <c r="L701" t="s">
        <v>2601</v>
      </c>
      <c r="M701" t="s">
        <v>2655</v>
      </c>
      <c r="N701" t="s">
        <v>91</v>
      </c>
      <c r="O701" s="12">
        <v>45729.240972222222</v>
      </c>
      <c r="Q701" s="12">
        <v>45729.291666666664</v>
      </c>
      <c r="U701" t="b">
        <v>0</v>
      </c>
    </row>
    <row r="702" spans="1:21">
      <c r="A702" t="s">
        <v>3835</v>
      </c>
      <c r="B702" t="s">
        <v>3169</v>
      </c>
      <c r="C702" t="s">
        <v>1650</v>
      </c>
      <c r="D702" t="s">
        <v>3836</v>
      </c>
      <c r="E702" t="s">
        <v>3837</v>
      </c>
      <c r="F702" t="s">
        <v>2680</v>
      </c>
      <c r="G702">
        <v>1539</v>
      </c>
      <c r="H702" t="s">
        <v>1039</v>
      </c>
      <c r="I702" t="s">
        <v>30</v>
      </c>
      <c r="J702" t="s">
        <v>1295</v>
      </c>
      <c r="K702">
        <v>80</v>
      </c>
      <c r="L702" t="s">
        <v>2642</v>
      </c>
      <c r="M702" t="s">
        <v>2643</v>
      </c>
      <c r="N702" t="s">
        <v>18</v>
      </c>
      <c r="O702" s="12">
        <v>46041.215277777781</v>
      </c>
      <c r="P702" s="12">
        <v>46046.090277777781</v>
      </c>
      <c r="Q702" s="12">
        <v>46041.273611111108</v>
      </c>
      <c r="R702" s="12">
        <v>46041.606944444444</v>
      </c>
      <c r="S702" s="12">
        <v>46050.798611111109</v>
      </c>
      <c r="U702" t="b">
        <v>0</v>
      </c>
    </row>
    <row r="703" spans="1:21">
      <c r="A703" t="s">
        <v>3838</v>
      </c>
      <c r="B703" t="s">
        <v>1185</v>
      </c>
      <c r="C703" t="s">
        <v>1212</v>
      </c>
      <c r="D703" t="s">
        <v>3839</v>
      </c>
      <c r="E703" t="s">
        <v>3840</v>
      </c>
      <c r="F703" t="s">
        <v>2755</v>
      </c>
      <c r="G703">
        <v>198</v>
      </c>
      <c r="H703" t="s">
        <v>226</v>
      </c>
      <c r="I703" t="s">
        <v>24</v>
      </c>
      <c r="J703" t="s">
        <v>1413</v>
      </c>
      <c r="K703">
        <v>73</v>
      </c>
      <c r="L703" t="s">
        <v>2592</v>
      </c>
      <c r="M703" t="s">
        <v>2593</v>
      </c>
      <c r="N703" t="s">
        <v>69</v>
      </c>
      <c r="O703" s="12">
        <v>45545.813888888886</v>
      </c>
      <c r="P703" s="12">
        <v>45548.480555555558</v>
      </c>
      <c r="Q703" s="12">
        <v>45545.911111111112</v>
      </c>
      <c r="R703" s="12">
        <v>45545.984722222223</v>
      </c>
      <c r="U703" t="b">
        <v>0</v>
      </c>
    </row>
    <row r="704" spans="1:21">
      <c r="A704" t="s">
        <v>3841</v>
      </c>
      <c r="B704" t="s">
        <v>1185</v>
      </c>
      <c r="C704" t="s">
        <v>1898</v>
      </c>
      <c r="D704" t="s">
        <v>3842</v>
      </c>
      <c r="E704" t="s">
        <v>3843</v>
      </c>
      <c r="F704" t="s">
        <v>2084</v>
      </c>
      <c r="G704">
        <v>62</v>
      </c>
      <c r="H704" t="s">
        <v>16</v>
      </c>
      <c r="I704" t="s">
        <v>24</v>
      </c>
      <c r="J704" t="s">
        <v>1295</v>
      </c>
      <c r="K704">
        <v>80</v>
      </c>
      <c r="L704" t="s">
        <v>2592</v>
      </c>
      <c r="M704" t="s">
        <v>2593</v>
      </c>
      <c r="N704" t="s">
        <v>91</v>
      </c>
      <c r="O704" s="12">
        <v>45784.732638888891</v>
      </c>
      <c r="P704" s="12">
        <v>45789.649305555555</v>
      </c>
      <c r="Q704" s="12">
        <v>45784.78402777778</v>
      </c>
      <c r="R704" s="12">
        <v>45784.818749999999</v>
      </c>
      <c r="U704" t="b">
        <v>0</v>
      </c>
    </row>
    <row r="705" spans="1:21">
      <c r="A705" t="s">
        <v>3844</v>
      </c>
      <c r="B705" t="s">
        <v>1584</v>
      </c>
      <c r="C705" t="s">
        <v>1490</v>
      </c>
      <c r="D705" t="s">
        <v>3845</v>
      </c>
      <c r="E705" t="s">
        <v>3846</v>
      </c>
      <c r="F705" t="s">
        <v>1420</v>
      </c>
      <c r="G705">
        <v>58</v>
      </c>
      <c r="H705" t="s">
        <v>1093</v>
      </c>
      <c r="I705" t="s">
        <v>24</v>
      </c>
      <c r="J705" t="s">
        <v>1271</v>
      </c>
      <c r="K705">
        <v>40</v>
      </c>
      <c r="L705" t="s">
        <v>2601</v>
      </c>
      <c r="M705" t="s">
        <v>2618</v>
      </c>
      <c r="N705" t="s">
        <v>59</v>
      </c>
      <c r="O705" s="12">
        <v>45478.948611111111</v>
      </c>
      <c r="Q705" s="12">
        <v>45479.011805555558</v>
      </c>
      <c r="R705" s="12">
        <v>45480.303472222222</v>
      </c>
      <c r="T705" t="s">
        <v>2763</v>
      </c>
      <c r="U705" t="b">
        <v>0</v>
      </c>
    </row>
    <row r="706" spans="1:21">
      <c r="A706" t="s">
        <v>3847</v>
      </c>
      <c r="B706" t="s">
        <v>1185</v>
      </c>
      <c r="C706" t="s">
        <v>1197</v>
      </c>
      <c r="D706" t="s">
        <v>3848</v>
      </c>
      <c r="E706" t="s">
        <v>3849</v>
      </c>
      <c r="F706" t="s">
        <v>1843</v>
      </c>
      <c r="G706">
        <v>146</v>
      </c>
      <c r="H706" t="s">
        <v>638</v>
      </c>
      <c r="I706" t="s">
        <v>24</v>
      </c>
      <c r="J706" t="s">
        <v>1355</v>
      </c>
      <c r="K706">
        <v>71</v>
      </c>
      <c r="L706" t="s">
        <v>2601</v>
      </c>
      <c r="M706" t="s">
        <v>2655</v>
      </c>
      <c r="N706" t="s">
        <v>69</v>
      </c>
      <c r="O706" s="12">
        <v>45995.887499999997</v>
      </c>
      <c r="Q706" s="12">
        <v>45996.125694444447</v>
      </c>
      <c r="U706" t="b">
        <v>0</v>
      </c>
    </row>
    <row r="707" spans="1:21">
      <c r="A707" t="s">
        <v>3850</v>
      </c>
      <c r="B707" t="s">
        <v>1211</v>
      </c>
      <c r="C707" t="s">
        <v>1365</v>
      </c>
      <c r="D707" t="s">
        <v>3851</v>
      </c>
      <c r="E707" t="s">
        <v>3852</v>
      </c>
      <c r="F707" t="s">
        <v>2755</v>
      </c>
      <c r="G707">
        <v>411</v>
      </c>
      <c r="H707" t="s">
        <v>226</v>
      </c>
      <c r="I707" t="s">
        <v>30</v>
      </c>
      <c r="J707" t="s">
        <v>1281</v>
      </c>
      <c r="K707">
        <v>85</v>
      </c>
      <c r="L707" t="s">
        <v>2642</v>
      </c>
      <c r="M707" t="s">
        <v>2643</v>
      </c>
      <c r="N707" t="s">
        <v>55</v>
      </c>
      <c r="O707" s="12">
        <v>45978.527777777781</v>
      </c>
      <c r="P707" s="12">
        <v>45982.902777777781</v>
      </c>
      <c r="Q707" s="12">
        <v>45978.72152777778</v>
      </c>
      <c r="R707" s="12">
        <v>45978.829861111109</v>
      </c>
      <c r="S707" s="12">
        <v>45987.111111111109</v>
      </c>
      <c r="U707" t="b">
        <v>0</v>
      </c>
    </row>
    <row r="708" spans="1:21">
      <c r="A708" t="s">
        <v>3853</v>
      </c>
      <c r="B708" t="s">
        <v>2578</v>
      </c>
      <c r="C708" t="s">
        <v>1343</v>
      </c>
      <c r="D708" t="s">
        <v>3854</v>
      </c>
      <c r="E708" t="s">
        <v>3855</v>
      </c>
      <c r="F708" t="s">
        <v>2084</v>
      </c>
      <c r="G708">
        <v>131</v>
      </c>
      <c r="H708" t="s">
        <v>81</v>
      </c>
      <c r="I708" t="s">
        <v>24</v>
      </c>
      <c r="J708" t="s">
        <v>1355</v>
      </c>
      <c r="K708">
        <v>78</v>
      </c>
      <c r="L708" t="s">
        <v>2592</v>
      </c>
      <c r="M708" t="s">
        <v>2597</v>
      </c>
      <c r="N708" t="s">
        <v>25</v>
      </c>
      <c r="O708" s="12">
        <v>45920.395138888889</v>
      </c>
      <c r="P708" s="12">
        <v>45923.311805555553</v>
      </c>
      <c r="Q708" s="12">
        <v>45920.597222222219</v>
      </c>
      <c r="U708" t="b">
        <v>0</v>
      </c>
    </row>
    <row r="709" spans="1:21">
      <c r="A709" t="s">
        <v>3856</v>
      </c>
      <c r="B709" t="s">
        <v>2878</v>
      </c>
      <c r="C709" t="s">
        <v>1197</v>
      </c>
      <c r="D709" t="s">
        <v>3857</v>
      </c>
      <c r="E709" t="s">
        <v>3858</v>
      </c>
      <c r="F709" t="s">
        <v>2271</v>
      </c>
      <c r="G709">
        <v>161</v>
      </c>
      <c r="H709" t="s">
        <v>205</v>
      </c>
      <c r="I709" t="s">
        <v>24</v>
      </c>
      <c r="J709" t="s">
        <v>1271</v>
      </c>
      <c r="K709">
        <v>44</v>
      </c>
      <c r="L709" t="s">
        <v>2601</v>
      </c>
      <c r="M709" t="s">
        <v>2593</v>
      </c>
      <c r="N709" t="s">
        <v>59</v>
      </c>
      <c r="O709" s="12">
        <v>46238.065972222219</v>
      </c>
      <c r="Q709" s="12">
        <v>46238.224305555559</v>
      </c>
      <c r="R709" s="12">
        <v>46239.515972222223</v>
      </c>
      <c r="U709" t="b">
        <v>0</v>
      </c>
    </row>
    <row r="710" spans="1:21">
      <c r="A710" t="s">
        <v>3859</v>
      </c>
      <c r="B710" t="s">
        <v>1207</v>
      </c>
      <c r="C710" t="s">
        <v>1660</v>
      </c>
      <c r="D710" t="s">
        <v>3860</v>
      </c>
      <c r="E710" t="s">
        <v>3861</v>
      </c>
      <c r="F710" t="s">
        <v>1487</v>
      </c>
      <c r="G710">
        <v>961</v>
      </c>
      <c r="H710" t="s">
        <v>285</v>
      </c>
      <c r="I710" t="s">
        <v>30</v>
      </c>
      <c r="J710" t="s">
        <v>1288</v>
      </c>
      <c r="K710">
        <v>62</v>
      </c>
      <c r="L710" t="s">
        <v>2642</v>
      </c>
      <c r="M710" t="s">
        <v>2597</v>
      </c>
      <c r="N710" t="s">
        <v>36</v>
      </c>
      <c r="O710" s="12">
        <v>45672.972222222219</v>
      </c>
      <c r="P710" s="12">
        <v>45677.513888888891</v>
      </c>
      <c r="Q710" s="12">
        <v>45673.114583333336</v>
      </c>
      <c r="R710" s="12">
        <v>45673.162499999999</v>
      </c>
      <c r="S710" s="12">
        <v>45685.222222222219</v>
      </c>
      <c r="U710" t="b">
        <v>0</v>
      </c>
    </row>
    <row r="711" spans="1:21">
      <c r="A711" t="s">
        <v>3862</v>
      </c>
      <c r="B711" t="s">
        <v>2711</v>
      </c>
      <c r="C711" t="s">
        <v>1541</v>
      </c>
      <c r="D711" t="s">
        <v>3863</v>
      </c>
      <c r="E711" t="s">
        <v>3864</v>
      </c>
      <c r="F711" t="s">
        <v>2271</v>
      </c>
      <c r="G711">
        <v>518</v>
      </c>
      <c r="H711" t="s">
        <v>41</v>
      </c>
      <c r="I711" t="s">
        <v>30</v>
      </c>
      <c r="J711" t="s">
        <v>1295</v>
      </c>
      <c r="K711">
        <v>91</v>
      </c>
      <c r="L711" t="s">
        <v>2601</v>
      </c>
      <c r="M711" t="s">
        <v>2618</v>
      </c>
      <c r="N711" t="s">
        <v>82</v>
      </c>
      <c r="O711" s="12">
        <v>45670.038888888892</v>
      </c>
      <c r="Q711" s="12">
        <v>45670.194444444445</v>
      </c>
      <c r="R711" s="12">
        <v>45670.341666666667</v>
      </c>
      <c r="T711" t="s">
        <v>2933</v>
      </c>
      <c r="U711" t="b">
        <v>0</v>
      </c>
    </row>
    <row r="712" spans="1:21">
      <c r="A712" t="s">
        <v>3865</v>
      </c>
      <c r="B712" t="s">
        <v>2662</v>
      </c>
      <c r="C712" t="s">
        <v>1307</v>
      </c>
      <c r="D712" t="s">
        <v>3866</v>
      </c>
      <c r="E712" t="s">
        <v>3867</v>
      </c>
      <c r="F712" t="s">
        <v>2617</v>
      </c>
      <c r="G712">
        <v>1077</v>
      </c>
      <c r="H712" t="s">
        <v>226</v>
      </c>
      <c r="I712" t="s">
        <v>17</v>
      </c>
      <c r="J712" t="s">
        <v>1413</v>
      </c>
      <c r="K712">
        <v>55</v>
      </c>
      <c r="L712" t="s">
        <v>2592</v>
      </c>
      <c r="M712" t="s">
        <v>2593</v>
      </c>
      <c r="N712" t="s">
        <v>55</v>
      </c>
      <c r="O712" s="12">
        <v>46036.734027777777</v>
      </c>
      <c r="P712" s="12">
        <v>46041.150694444441</v>
      </c>
      <c r="Q712" s="12">
        <v>46036.907638888886</v>
      </c>
      <c r="R712" s="12">
        <v>46037.407638888886</v>
      </c>
      <c r="U712" t="b">
        <v>0</v>
      </c>
    </row>
    <row r="713" spans="1:21">
      <c r="A713" t="s">
        <v>3868</v>
      </c>
      <c r="B713" t="s">
        <v>2967</v>
      </c>
      <c r="C713" t="s">
        <v>1162</v>
      </c>
      <c r="D713" t="s">
        <v>3869</v>
      </c>
      <c r="E713" t="s">
        <v>3870</v>
      </c>
      <c r="F713" t="s">
        <v>2680</v>
      </c>
      <c r="G713">
        <v>570</v>
      </c>
      <c r="H713" t="s">
        <v>16</v>
      </c>
      <c r="I713" t="s">
        <v>30</v>
      </c>
      <c r="J713" t="s">
        <v>1355</v>
      </c>
      <c r="K713">
        <v>45</v>
      </c>
      <c r="L713" t="s">
        <v>2592</v>
      </c>
      <c r="M713" t="s">
        <v>2618</v>
      </c>
      <c r="N713" t="s">
        <v>18</v>
      </c>
      <c r="O713" s="12">
        <v>46127.964583333334</v>
      </c>
      <c r="P713" s="12">
        <v>46128.881249999999</v>
      </c>
      <c r="Q713" s="12">
        <v>46128.095833333333</v>
      </c>
      <c r="R713" s="12">
        <v>46128.720833333333</v>
      </c>
      <c r="T713" t="s">
        <v>2648</v>
      </c>
      <c r="U713" t="b">
        <v>0</v>
      </c>
    </row>
    <row r="714" spans="1:21">
      <c r="A714" t="s">
        <v>3871</v>
      </c>
      <c r="B714" t="s">
        <v>2706</v>
      </c>
      <c r="C714" t="s">
        <v>1172</v>
      </c>
      <c r="D714" t="s">
        <v>3872</v>
      </c>
      <c r="E714" t="s">
        <v>3873</v>
      </c>
      <c r="F714" t="s">
        <v>2660</v>
      </c>
      <c r="G714">
        <v>142</v>
      </c>
      <c r="H714" t="s">
        <v>226</v>
      </c>
      <c r="I714" t="s">
        <v>24</v>
      </c>
      <c r="J714" t="s">
        <v>1295</v>
      </c>
      <c r="K714">
        <v>87</v>
      </c>
      <c r="L714" t="s">
        <v>2592</v>
      </c>
      <c r="M714" t="s">
        <v>2597</v>
      </c>
      <c r="N714" t="s">
        <v>69</v>
      </c>
      <c r="O714" s="12">
        <v>45311.296527777777</v>
      </c>
      <c r="P714" s="12">
        <v>45314.796527777777</v>
      </c>
      <c r="Q714" s="12">
        <v>45311.480555555558</v>
      </c>
      <c r="R714" s="12">
        <v>45311.586111111108</v>
      </c>
      <c r="U714" t="b">
        <v>0</v>
      </c>
    </row>
    <row r="715" spans="1:21">
      <c r="A715" t="s">
        <v>3874</v>
      </c>
      <c r="B715" t="s">
        <v>2902</v>
      </c>
      <c r="C715" t="s">
        <v>1278</v>
      </c>
      <c r="D715" t="s">
        <v>3875</v>
      </c>
      <c r="E715" t="s">
        <v>3876</v>
      </c>
      <c r="F715" t="s">
        <v>1412</v>
      </c>
      <c r="G715">
        <v>188</v>
      </c>
      <c r="H715" t="s">
        <v>50</v>
      </c>
      <c r="I715" t="s">
        <v>24</v>
      </c>
      <c r="J715" t="s">
        <v>1355</v>
      </c>
      <c r="K715">
        <v>62</v>
      </c>
      <c r="L715" t="s">
        <v>2592</v>
      </c>
      <c r="M715" t="s">
        <v>2597</v>
      </c>
      <c r="N715" t="s">
        <v>59</v>
      </c>
      <c r="O715" s="12">
        <v>45419.544444444444</v>
      </c>
      <c r="P715" s="12">
        <v>45421.669444444444</v>
      </c>
      <c r="Q715" s="12">
        <v>45419.582638888889</v>
      </c>
      <c r="R715" s="12">
        <v>45419.607638888891</v>
      </c>
      <c r="U715" t="b">
        <v>0</v>
      </c>
    </row>
    <row r="716" spans="1:21">
      <c r="A716" t="s">
        <v>3877</v>
      </c>
      <c r="B716" t="s">
        <v>2670</v>
      </c>
      <c r="C716" t="s">
        <v>1721</v>
      </c>
      <c r="D716" t="s">
        <v>3878</v>
      </c>
      <c r="E716" t="s">
        <v>3879</v>
      </c>
      <c r="F716" t="s">
        <v>1511</v>
      </c>
      <c r="G716">
        <v>173</v>
      </c>
      <c r="H716" t="s">
        <v>178</v>
      </c>
      <c r="I716" t="s">
        <v>24</v>
      </c>
      <c r="J716" t="s">
        <v>1271</v>
      </c>
      <c r="K716">
        <v>54</v>
      </c>
      <c r="L716" t="s">
        <v>2601</v>
      </c>
      <c r="M716" t="s">
        <v>2593</v>
      </c>
      <c r="N716" t="s">
        <v>59</v>
      </c>
      <c r="O716" s="12">
        <v>46151.768750000003</v>
      </c>
      <c r="Q716" s="12">
        <v>46151.818749999999</v>
      </c>
      <c r="R716" s="12">
        <v>46151.969444444447</v>
      </c>
      <c r="U716" t="b">
        <v>0</v>
      </c>
    </row>
    <row r="717" spans="1:21">
      <c r="A717" t="s">
        <v>3880</v>
      </c>
      <c r="B717" t="s">
        <v>3169</v>
      </c>
      <c r="C717" t="s">
        <v>1125</v>
      </c>
      <c r="D717" t="s">
        <v>3881</v>
      </c>
      <c r="E717" t="s">
        <v>3882</v>
      </c>
      <c r="F717" t="s">
        <v>1843</v>
      </c>
      <c r="G717">
        <v>82</v>
      </c>
      <c r="H717" t="s">
        <v>54</v>
      </c>
      <c r="I717" t="s">
        <v>24</v>
      </c>
      <c r="J717" t="s">
        <v>1339</v>
      </c>
      <c r="K717">
        <v>70</v>
      </c>
      <c r="L717" t="s">
        <v>2642</v>
      </c>
      <c r="M717" t="s">
        <v>2597</v>
      </c>
      <c r="N717" t="s">
        <v>69</v>
      </c>
      <c r="O717" s="12">
        <v>45709.156944444447</v>
      </c>
      <c r="P717" s="12">
        <v>45710.365277777775</v>
      </c>
      <c r="Q717" s="12">
        <v>45709.361805555556</v>
      </c>
      <c r="R717" s="12">
        <v>45709.494444444441</v>
      </c>
      <c r="S717" s="12">
        <v>45713.823611111111</v>
      </c>
      <c r="U717" t="b">
        <v>0</v>
      </c>
    </row>
    <row r="718" spans="1:21">
      <c r="A718" t="s">
        <v>3883</v>
      </c>
      <c r="B718" t="s">
        <v>2693</v>
      </c>
      <c r="C718" t="s">
        <v>2005</v>
      </c>
      <c r="D718" t="s">
        <v>3884</v>
      </c>
      <c r="E718" t="s">
        <v>3885</v>
      </c>
      <c r="F718" t="s">
        <v>2660</v>
      </c>
      <c r="G718">
        <v>4079</v>
      </c>
      <c r="H718" t="s">
        <v>16</v>
      </c>
      <c r="J718" t="s">
        <v>1355</v>
      </c>
      <c r="K718">
        <v>76</v>
      </c>
      <c r="L718" t="s">
        <v>2601</v>
      </c>
      <c r="M718" t="s">
        <v>2618</v>
      </c>
      <c r="O718" s="12">
        <v>46085.823611111111</v>
      </c>
      <c r="T718" t="s">
        <v>2648</v>
      </c>
      <c r="U718" t="b">
        <v>0</v>
      </c>
    </row>
    <row r="719" spans="1:21">
      <c r="A719" t="s">
        <v>3886</v>
      </c>
      <c r="B719" t="s">
        <v>2789</v>
      </c>
      <c r="C719" t="s">
        <v>1378</v>
      </c>
      <c r="D719" t="s">
        <v>3887</v>
      </c>
      <c r="E719" t="s">
        <v>3888</v>
      </c>
      <c r="F719" t="s">
        <v>2617</v>
      </c>
      <c r="G719">
        <v>349</v>
      </c>
      <c r="H719" t="s">
        <v>116</v>
      </c>
      <c r="I719" t="s">
        <v>30</v>
      </c>
      <c r="J719" t="s">
        <v>1295</v>
      </c>
      <c r="K719">
        <v>92</v>
      </c>
      <c r="L719" t="s">
        <v>2642</v>
      </c>
      <c r="M719" t="s">
        <v>2643</v>
      </c>
      <c r="O719" s="12">
        <v>45902.793055555558</v>
      </c>
      <c r="P719" s="12">
        <v>45905.501388888886</v>
      </c>
      <c r="S719" s="12">
        <v>45906.793055555558</v>
      </c>
      <c r="U719" t="b">
        <v>0</v>
      </c>
    </row>
    <row r="720" spans="1:21">
      <c r="A720" t="s">
        <v>3889</v>
      </c>
      <c r="B720" t="s">
        <v>1176</v>
      </c>
      <c r="C720" t="s">
        <v>1337</v>
      </c>
      <c r="D720" t="s">
        <v>3890</v>
      </c>
      <c r="E720" t="s">
        <v>3891</v>
      </c>
      <c r="F720" t="s">
        <v>2271</v>
      </c>
      <c r="G720">
        <v>307</v>
      </c>
      <c r="H720" t="s">
        <v>178</v>
      </c>
      <c r="I720" t="s">
        <v>30</v>
      </c>
      <c r="J720" t="s">
        <v>1271</v>
      </c>
      <c r="K720">
        <v>39</v>
      </c>
      <c r="L720" t="s">
        <v>2601</v>
      </c>
      <c r="M720" t="s">
        <v>2593</v>
      </c>
      <c r="N720" t="s">
        <v>36</v>
      </c>
      <c r="O720" s="12">
        <v>45577.282638888886</v>
      </c>
      <c r="Q720" s="12">
        <v>45577.363194444442</v>
      </c>
      <c r="R720" s="12">
        <v>45578.529861111114</v>
      </c>
      <c r="U720" t="b">
        <v>0</v>
      </c>
    </row>
    <row r="721" spans="1:21">
      <c r="A721" t="s">
        <v>3892</v>
      </c>
      <c r="B721" t="s">
        <v>2878</v>
      </c>
      <c r="C721" t="s">
        <v>1343</v>
      </c>
      <c r="D721" t="s">
        <v>3893</v>
      </c>
      <c r="E721" t="s">
        <v>3894</v>
      </c>
      <c r="F721" t="s">
        <v>1367</v>
      </c>
      <c r="G721">
        <v>13</v>
      </c>
      <c r="H721" t="s">
        <v>16</v>
      </c>
      <c r="J721" t="s">
        <v>1295</v>
      </c>
      <c r="K721">
        <v>91</v>
      </c>
      <c r="L721" t="s">
        <v>2642</v>
      </c>
      <c r="M721" t="s">
        <v>2597</v>
      </c>
      <c r="O721" s="12">
        <v>45782.066666666666</v>
      </c>
      <c r="P721" s="12">
        <v>45783.65</v>
      </c>
      <c r="S721" s="12">
        <v>45789.066666666666</v>
      </c>
      <c r="U721" t="b">
        <v>0</v>
      </c>
    </row>
    <row r="722" spans="1:21">
      <c r="A722" t="s">
        <v>3895</v>
      </c>
      <c r="B722" t="s">
        <v>2666</v>
      </c>
      <c r="C722" t="s">
        <v>1119</v>
      </c>
      <c r="D722" t="s">
        <v>3896</v>
      </c>
      <c r="E722" t="s">
        <v>3897</v>
      </c>
      <c r="F722" t="s">
        <v>1412</v>
      </c>
      <c r="G722">
        <v>998</v>
      </c>
      <c r="H722" t="s">
        <v>440</v>
      </c>
      <c r="I722" t="s">
        <v>30</v>
      </c>
      <c r="J722" t="s">
        <v>1317</v>
      </c>
      <c r="K722">
        <v>68</v>
      </c>
      <c r="L722" t="s">
        <v>2592</v>
      </c>
      <c r="M722" t="s">
        <v>2605</v>
      </c>
      <c r="N722" t="s">
        <v>55</v>
      </c>
      <c r="O722" s="12">
        <v>46084.620833333334</v>
      </c>
      <c r="P722" s="12">
        <v>46086.370833333334</v>
      </c>
      <c r="Q722" s="12">
        <v>46084.820833333331</v>
      </c>
      <c r="R722" s="12">
        <v>46085.779166666667</v>
      </c>
      <c r="U722" t="b">
        <v>0</v>
      </c>
    </row>
    <row r="723" spans="1:21">
      <c r="A723" t="s">
        <v>3898</v>
      </c>
      <c r="B723" t="s">
        <v>2639</v>
      </c>
      <c r="C723" t="s">
        <v>1162</v>
      </c>
      <c r="D723" t="s">
        <v>3899</v>
      </c>
      <c r="E723" t="s">
        <v>3900</v>
      </c>
      <c r="F723" t="s">
        <v>1294</v>
      </c>
      <c r="G723">
        <v>157</v>
      </c>
      <c r="H723" t="s">
        <v>366</v>
      </c>
      <c r="I723" t="s">
        <v>24</v>
      </c>
      <c r="J723" t="s">
        <v>1271</v>
      </c>
      <c r="K723">
        <v>36</v>
      </c>
      <c r="L723" t="s">
        <v>2601</v>
      </c>
      <c r="M723" t="s">
        <v>2593</v>
      </c>
      <c r="N723" t="s">
        <v>91</v>
      </c>
      <c r="O723" s="12">
        <v>45735.984722222223</v>
      </c>
      <c r="Q723" s="12">
        <v>45736.170138888891</v>
      </c>
      <c r="R723" s="12">
        <v>45736.224305555559</v>
      </c>
      <c r="U723" t="b">
        <v>0</v>
      </c>
    </row>
    <row r="724" spans="1:21">
      <c r="A724" t="s">
        <v>3901</v>
      </c>
      <c r="B724" t="s">
        <v>1176</v>
      </c>
      <c r="C724" t="s">
        <v>1203</v>
      </c>
      <c r="D724" t="s">
        <v>3902</v>
      </c>
      <c r="E724" t="s">
        <v>3903</v>
      </c>
      <c r="F724" t="s">
        <v>1294</v>
      </c>
      <c r="G724">
        <v>421</v>
      </c>
      <c r="H724" t="s">
        <v>23</v>
      </c>
      <c r="I724" t="s">
        <v>30</v>
      </c>
      <c r="J724" t="s">
        <v>1413</v>
      </c>
      <c r="K724">
        <v>71</v>
      </c>
      <c r="L724" t="s">
        <v>2592</v>
      </c>
      <c r="M724" t="s">
        <v>2593</v>
      </c>
      <c r="N724" t="s">
        <v>36</v>
      </c>
      <c r="O724" s="12">
        <v>45542.584722222222</v>
      </c>
      <c r="P724" s="12">
        <v>45547.543055555558</v>
      </c>
      <c r="Q724" s="12">
        <v>45542.6875</v>
      </c>
      <c r="R724" s="12">
        <v>45542.796527777777</v>
      </c>
      <c r="U724" t="b">
        <v>0</v>
      </c>
    </row>
    <row r="725" spans="1:21">
      <c r="A725" t="s">
        <v>3904</v>
      </c>
      <c r="B725" t="s">
        <v>2827</v>
      </c>
      <c r="C725" t="s">
        <v>1660</v>
      </c>
      <c r="D725" t="s">
        <v>3905</v>
      </c>
      <c r="E725" t="s">
        <v>3906</v>
      </c>
      <c r="F725" t="s">
        <v>1517</v>
      </c>
      <c r="G725">
        <v>1831</v>
      </c>
      <c r="H725" t="s">
        <v>140</v>
      </c>
      <c r="I725" t="s">
        <v>17</v>
      </c>
      <c r="J725" t="s">
        <v>1355</v>
      </c>
      <c r="K725">
        <v>83</v>
      </c>
      <c r="L725" t="s">
        <v>2642</v>
      </c>
      <c r="M725" t="s">
        <v>2643</v>
      </c>
      <c r="N725" t="s">
        <v>82</v>
      </c>
      <c r="O725" s="12">
        <v>46253.806944444441</v>
      </c>
      <c r="P725" s="12">
        <v>46256.515277777777</v>
      </c>
      <c r="Q725" s="12">
        <v>46253.913888888892</v>
      </c>
      <c r="R725" s="12">
        <v>46253.989583333336</v>
      </c>
      <c r="S725" s="12">
        <v>46258.973611111112</v>
      </c>
      <c r="U725" t="b">
        <v>0</v>
      </c>
    </row>
    <row r="726" spans="1:21">
      <c r="A726" t="s">
        <v>3907</v>
      </c>
      <c r="B726" t="s">
        <v>2682</v>
      </c>
      <c r="C726" t="s">
        <v>1152</v>
      </c>
      <c r="D726" t="s">
        <v>3712</v>
      </c>
      <c r="E726" t="s">
        <v>3908</v>
      </c>
      <c r="F726" t="s">
        <v>1471</v>
      </c>
      <c r="G726">
        <v>79</v>
      </c>
      <c r="H726" t="s">
        <v>140</v>
      </c>
      <c r="I726" t="s">
        <v>24</v>
      </c>
      <c r="J726" t="s">
        <v>1271</v>
      </c>
      <c r="K726">
        <v>37</v>
      </c>
      <c r="L726" t="s">
        <v>2601</v>
      </c>
      <c r="M726" t="s">
        <v>2655</v>
      </c>
      <c r="N726" t="s">
        <v>25</v>
      </c>
      <c r="O726" s="12">
        <v>45719.494444444441</v>
      </c>
      <c r="Q726" s="12">
        <v>45719.570833333331</v>
      </c>
      <c r="U726" t="b">
        <v>0</v>
      </c>
    </row>
    <row r="727" spans="1:21">
      <c r="A727" t="s">
        <v>3909</v>
      </c>
      <c r="B727" t="s">
        <v>1521</v>
      </c>
      <c r="C727" t="s">
        <v>1152</v>
      </c>
      <c r="D727" t="s">
        <v>3910</v>
      </c>
      <c r="E727" t="s">
        <v>3911</v>
      </c>
      <c r="F727" t="s">
        <v>2617</v>
      </c>
      <c r="G727">
        <v>662</v>
      </c>
      <c r="H727" t="s">
        <v>249</v>
      </c>
      <c r="I727" t="s">
        <v>30</v>
      </c>
      <c r="J727" t="s">
        <v>1413</v>
      </c>
      <c r="K727">
        <v>55</v>
      </c>
      <c r="L727" t="s">
        <v>2601</v>
      </c>
      <c r="M727" t="s">
        <v>2605</v>
      </c>
      <c r="N727" t="s">
        <v>36</v>
      </c>
      <c r="O727" s="12">
        <v>45908.893055555556</v>
      </c>
      <c r="Q727" s="12">
        <v>45908.950694444444</v>
      </c>
      <c r="R727" s="12">
        <v>45909.700694444444</v>
      </c>
      <c r="U727" t="b">
        <v>0</v>
      </c>
    </row>
    <row r="728" spans="1:21">
      <c r="A728" t="s">
        <v>3912</v>
      </c>
      <c r="B728" t="s">
        <v>2611</v>
      </c>
      <c r="C728" t="s">
        <v>1197</v>
      </c>
      <c r="D728" t="s">
        <v>3913</v>
      </c>
      <c r="E728" t="s">
        <v>3914</v>
      </c>
      <c r="F728" t="s">
        <v>1309</v>
      </c>
      <c r="G728">
        <v>1200</v>
      </c>
      <c r="H728" t="s">
        <v>226</v>
      </c>
      <c r="I728" t="s">
        <v>17</v>
      </c>
      <c r="J728" t="s">
        <v>1271</v>
      </c>
      <c r="K728">
        <v>57</v>
      </c>
      <c r="L728" t="s">
        <v>2601</v>
      </c>
      <c r="M728" t="s">
        <v>2655</v>
      </c>
      <c r="N728" t="s">
        <v>55</v>
      </c>
      <c r="O728" s="12">
        <v>45387.915972222225</v>
      </c>
      <c r="Q728" s="12">
        <v>45388.049305555556</v>
      </c>
      <c r="U728" t="b">
        <v>0</v>
      </c>
    </row>
    <row r="729" spans="1:21">
      <c r="A729" t="s">
        <v>3915</v>
      </c>
      <c r="B729" t="s">
        <v>1221</v>
      </c>
      <c r="C729" t="s">
        <v>1142</v>
      </c>
      <c r="D729" t="s">
        <v>3916</v>
      </c>
      <c r="E729" t="s">
        <v>3917</v>
      </c>
      <c r="F729" t="s">
        <v>2084</v>
      </c>
      <c r="G729">
        <v>375</v>
      </c>
      <c r="H729" t="s">
        <v>226</v>
      </c>
      <c r="I729" t="s">
        <v>17</v>
      </c>
      <c r="J729" t="s">
        <v>1271</v>
      </c>
      <c r="K729">
        <v>52</v>
      </c>
      <c r="L729" t="s">
        <v>2601</v>
      </c>
      <c r="M729" t="s">
        <v>2605</v>
      </c>
      <c r="N729" t="s">
        <v>55</v>
      </c>
      <c r="O729" s="12">
        <v>45503.817361111112</v>
      </c>
      <c r="Q729" s="12">
        <v>45504.02847222222</v>
      </c>
      <c r="U729" t="b">
        <v>0</v>
      </c>
    </row>
    <row r="730" spans="1:21">
      <c r="A730" t="s">
        <v>3918</v>
      </c>
      <c r="B730" t="s">
        <v>2645</v>
      </c>
      <c r="C730" t="s">
        <v>2283</v>
      </c>
      <c r="D730" t="s">
        <v>3919</v>
      </c>
      <c r="E730" t="s">
        <v>3920</v>
      </c>
      <c r="F730" t="s">
        <v>1487</v>
      </c>
      <c r="G730">
        <v>200</v>
      </c>
      <c r="H730" t="s">
        <v>140</v>
      </c>
      <c r="I730" t="s">
        <v>30</v>
      </c>
      <c r="J730" t="s">
        <v>1413</v>
      </c>
      <c r="K730">
        <v>69</v>
      </c>
      <c r="L730" t="s">
        <v>2601</v>
      </c>
      <c r="M730" t="s">
        <v>2605</v>
      </c>
      <c r="N730" t="s">
        <v>82</v>
      </c>
      <c r="O730" s="12">
        <v>46044.792361111111</v>
      </c>
      <c r="Q730" s="12">
        <v>46045.038194444445</v>
      </c>
      <c r="R730" s="12">
        <v>46045.133333333331</v>
      </c>
      <c r="U730" t="b">
        <v>0</v>
      </c>
    </row>
    <row r="731" spans="1:21">
      <c r="A731" t="s">
        <v>3921</v>
      </c>
      <c r="B731" t="s">
        <v>1190</v>
      </c>
      <c r="C731" t="s">
        <v>1168</v>
      </c>
      <c r="D731" t="s">
        <v>3922</v>
      </c>
      <c r="E731" t="s">
        <v>3923</v>
      </c>
      <c r="F731" t="s">
        <v>1309</v>
      </c>
      <c r="G731">
        <v>197</v>
      </c>
      <c r="H731" t="s">
        <v>223</v>
      </c>
      <c r="I731" t="s">
        <v>24</v>
      </c>
      <c r="J731" t="s">
        <v>1339</v>
      </c>
      <c r="K731">
        <v>73</v>
      </c>
      <c r="L731" t="s">
        <v>2592</v>
      </c>
      <c r="M731" t="s">
        <v>2593</v>
      </c>
      <c r="N731" t="s">
        <v>91</v>
      </c>
      <c r="O731" s="12">
        <v>45581.004166666666</v>
      </c>
      <c r="P731" s="12">
        <v>45586.004166666666</v>
      </c>
      <c r="Q731" s="12">
        <v>45581.201388888891</v>
      </c>
      <c r="R731" s="12">
        <v>45581.211111111108</v>
      </c>
      <c r="U731" t="b">
        <v>0</v>
      </c>
    </row>
    <row r="732" spans="1:21">
      <c r="A732" t="s">
        <v>3924</v>
      </c>
      <c r="B732" t="s">
        <v>1190</v>
      </c>
      <c r="C732" t="s">
        <v>1462</v>
      </c>
      <c r="D732" t="s">
        <v>3925</v>
      </c>
      <c r="E732" t="s">
        <v>3926</v>
      </c>
      <c r="F732" t="s">
        <v>1309</v>
      </c>
      <c r="G732">
        <v>138</v>
      </c>
      <c r="H732" t="s">
        <v>140</v>
      </c>
      <c r="I732" t="s">
        <v>24</v>
      </c>
      <c r="J732" t="s">
        <v>1413</v>
      </c>
      <c r="K732">
        <v>76</v>
      </c>
      <c r="L732" t="s">
        <v>2592</v>
      </c>
      <c r="M732" t="s">
        <v>2593</v>
      </c>
      <c r="N732" t="s">
        <v>25</v>
      </c>
      <c r="O732" s="12">
        <v>45758.470833333333</v>
      </c>
      <c r="P732" s="12">
        <v>45759.345833333333</v>
      </c>
      <c r="Q732" s="12">
        <v>45758.71597222222</v>
      </c>
      <c r="U732" t="b">
        <v>0</v>
      </c>
    </row>
    <row r="733" spans="1:21">
      <c r="A733" t="s">
        <v>3927</v>
      </c>
      <c r="B733" t="s">
        <v>2645</v>
      </c>
      <c r="C733" t="s">
        <v>1490</v>
      </c>
      <c r="D733" t="s">
        <v>3928</v>
      </c>
      <c r="E733" t="s">
        <v>3929</v>
      </c>
      <c r="F733" t="s">
        <v>1517</v>
      </c>
      <c r="G733">
        <v>2084</v>
      </c>
      <c r="H733" t="s">
        <v>81</v>
      </c>
      <c r="I733" t="s">
        <v>17</v>
      </c>
      <c r="J733" t="s">
        <v>1271</v>
      </c>
      <c r="K733">
        <v>60</v>
      </c>
      <c r="L733" t="s">
        <v>2592</v>
      </c>
      <c r="M733" t="s">
        <v>2593</v>
      </c>
      <c r="N733" t="s">
        <v>82</v>
      </c>
      <c r="O733" s="12">
        <v>45565.667361111111</v>
      </c>
      <c r="P733" s="12">
        <v>45567.459027777775</v>
      </c>
      <c r="Q733" s="12">
        <v>45565.868055555555</v>
      </c>
      <c r="R733" s="12">
        <v>45565.940972222219</v>
      </c>
      <c r="U733" t="b">
        <v>0</v>
      </c>
    </row>
    <row r="734" spans="1:21">
      <c r="A734" t="s">
        <v>3930</v>
      </c>
      <c r="B734" t="s">
        <v>2874</v>
      </c>
      <c r="C734" t="s">
        <v>1320</v>
      </c>
      <c r="D734" t="s">
        <v>3931</v>
      </c>
      <c r="E734" t="s">
        <v>3932</v>
      </c>
      <c r="F734" t="s">
        <v>2617</v>
      </c>
      <c r="G734">
        <v>902</v>
      </c>
      <c r="H734" t="s">
        <v>1093</v>
      </c>
      <c r="I734" t="s">
        <v>30</v>
      </c>
      <c r="J734" t="s">
        <v>1271</v>
      </c>
      <c r="K734">
        <v>50</v>
      </c>
      <c r="L734" t="s">
        <v>2601</v>
      </c>
      <c r="M734" t="s">
        <v>2593</v>
      </c>
      <c r="N734" t="s">
        <v>36</v>
      </c>
      <c r="O734" s="12">
        <v>45505.746527777781</v>
      </c>
      <c r="Q734" s="12">
        <v>45505.815972222219</v>
      </c>
      <c r="R734" s="12">
        <v>45505.897916666669</v>
      </c>
      <c r="U734" t="b">
        <v>0</v>
      </c>
    </row>
    <row r="735" spans="1:21">
      <c r="A735" t="s">
        <v>3933</v>
      </c>
      <c r="B735" t="s">
        <v>1485</v>
      </c>
      <c r="C735" t="s">
        <v>1475</v>
      </c>
      <c r="D735" t="s">
        <v>3934</v>
      </c>
      <c r="E735" t="s">
        <v>3935</v>
      </c>
      <c r="F735" t="s">
        <v>2271</v>
      </c>
      <c r="G735">
        <v>476</v>
      </c>
      <c r="H735" t="s">
        <v>50</v>
      </c>
      <c r="I735" t="s">
        <v>30</v>
      </c>
      <c r="J735" t="s">
        <v>1413</v>
      </c>
      <c r="K735">
        <v>58</v>
      </c>
      <c r="L735" t="s">
        <v>2601</v>
      </c>
      <c r="M735" t="s">
        <v>2593</v>
      </c>
      <c r="N735" t="s">
        <v>36</v>
      </c>
      <c r="O735" s="12">
        <v>45525.51458333333</v>
      </c>
      <c r="Q735" s="12">
        <v>45525.55</v>
      </c>
      <c r="R735" s="12">
        <v>45526.591666666667</v>
      </c>
      <c r="U735" t="b">
        <v>0</v>
      </c>
    </row>
    <row r="736" spans="1:21">
      <c r="A736" t="s">
        <v>3936</v>
      </c>
      <c r="B736" t="s">
        <v>1521</v>
      </c>
      <c r="C736" t="s">
        <v>1490</v>
      </c>
      <c r="D736" t="s">
        <v>3937</v>
      </c>
      <c r="E736" t="s">
        <v>3938</v>
      </c>
      <c r="F736" t="s">
        <v>1412</v>
      </c>
      <c r="G736">
        <v>212</v>
      </c>
      <c r="H736" t="s">
        <v>81</v>
      </c>
      <c r="I736" t="s">
        <v>24</v>
      </c>
      <c r="J736" t="s">
        <v>1355</v>
      </c>
      <c r="K736">
        <v>49</v>
      </c>
      <c r="L736" t="s">
        <v>2601</v>
      </c>
      <c r="M736" t="s">
        <v>2593</v>
      </c>
      <c r="N736" t="s">
        <v>82</v>
      </c>
      <c r="O736" s="12">
        <v>45992.381944444445</v>
      </c>
      <c r="Q736" s="12">
        <v>45992.523611111108</v>
      </c>
      <c r="R736" s="12">
        <v>45993.481944444444</v>
      </c>
      <c r="U736" t="b">
        <v>0</v>
      </c>
    </row>
    <row r="737" spans="1:21">
      <c r="A737" t="s">
        <v>3939</v>
      </c>
      <c r="B737" t="s">
        <v>1485</v>
      </c>
      <c r="C737" t="s">
        <v>1208</v>
      </c>
      <c r="D737" t="s">
        <v>3940</v>
      </c>
      <c r="E737" t="s">
        <v>3941</v>
      </c>
      <c r="F737" t="s">
        <v>1367</v>
      </c>
      <c r="G737">
        <v>177</v>
      </c>
      <c r="H737" t="s">
        <v>81</v>
      </c>
      <c r="I737" t="s">
        <v>24</v>
      </c>
      <c r="J737" t="s">
        <v>1317</v>
      </c>
      <c r="K737">
        <v>63</v>
      </c>
      <c r="L737" t="s">
        <v>2601</v>
      </c>
      <c r="M737" t="s">
        <v>2655</v>
      </c>
      <c r="N737" t="s">
        <v>25</v>
      </c>
      <c r="O737" s="12">
        <v>45977.875</v>
      </c>
      <c r="Q737" s="12">
        <v>45978.117361111108</v>
      </c>
      <c r="U737" t="b">
        <v>0</v>
      </c>
    </row>
    <row r="738" spans="1:21">
      <c r="A738" t="s">
        <v>3942</v>
      </c>
      <c r="B738" t="s">
        <v>1211</v>
      </c>
      <c r="C738" t="s">
        <v>1168</v>
      </c>
      <c r="D738" t="s">
        <v>3943</v>
      </c>
      <c r="E738" t="s">
        <v>3944</v>
      </c>
      <c r="F738" t="s">
        <v>2709</v>
      </c>
      <c r="G738">
        <v>176</v>
      </c>
      <c r="H738" t="s">
        <v>120</v>
      </c>
      <c r="I738" t="s">
        <v>24</v>
      </c>
      <c r="J738" t="s">
        <v>1355</v>
      </c>
      <c r="K738">
        <v>59</v>
      </c>
      <c r="L738" t="s">
        <v>2601</v>
      </c>
      <c r="M738" t="s">
        <v>2593</v>
      </c>
      <c r="N738" t="s">
        <v>25</v>
      </c>
      <c r="O738" s="12">
        <v>45856.470833333333</v>
      </c>
      <c r="Q738" s="12">
        <v>45856.656944444447</v>
      </c>
      <c r="R738" s="12">
        <v>45856.667361111111</v>
      </c>
      <c r="U738" t="b">
        <v>0</v>
      </c>
    </row>
    <row r="739" spans="1:21">
      <c r="A739" t="s">
        <v>3945</v>
      </c>
      <c r="B739" t="s">
        <v>2967</v>
      </c>
      <c r="C739" t="s">
        <v>1222</v>
      </c>
      <c r="D739" t="s">
        <v>3946</v>
      </c>
      <c r="E739" t="s">
        <v>3947</v>
      </c>
      <c r="F739" t="s">
        <v>1511</v>
      </c>
      <c r="G739">
        <v>166</v>
      </c>
      <c r="H739" t="s">
        <v>192</v>
      </c>
      <c r="I739" t="s">
        <v>24</v>
      </c>
      <c r="J739" t="s">
        <v>1355</v>
      </c>
      <c r="K739">
        <v>47</v>
      </c>
      <c r="L739" t="s">
        <v>2592</v>
      </c>
      <c r="M739" t="s">
        <v>2605</v>
      </c>
      <c r="N739" t="s">
        <v>91</v>
      </c>
      <c r="O739" s="12">
        <v>46199.475694444445</v>
      </c>
      <c r="P739" s="12">
        <v>46202.684027777781</v>
      </c>
      <c r="Q739" s="12">
        <v>46199.482638888891</v>
      </c>
      <c r="R739" s="12">
        <v>46200.940972222219</v>
      </c>
      <c r="U739" t="b">
        <v>0</v>
      </c>
    </row>
    <row r="740" spans="1:21">
      <c r="A740" t="s">
        <v>3948</v>
      </c>
      <c r="B740" t="s">
        <v>1138</v>
      </c>
      <c r="C740" t="s">
        <v>1145</v>
      </c>
      <c r="D740" t="s">
        <v>3949</v>
      </c>
      <c r="E740" t="s">
        <v>3950</v>
      </c>
      <c r="F740" t="s">
        <v>2617</v>
      </c>
      <c r="G740">
        <v>549</v>
      </c>
      <c r="H740" t="s">
        <v>635</v>
      </c>
      <c r="I740" t="s">
        <v>30</v>
      </c>
      <c r="J740" t="s">
        <v>1271</v>
      </c>
      <c r="K740">
        <v>49</v>
      </c>
      <c r="L740" t="s">
        <v>2601</v>
      </c>
      <c r="M740" t="s">
        <v>2605</v>
      </c>
      <c r="N740" t="s">
        <v>36</v>
      </c>
      <c r="O740" s="12">
        <v>45441.167361111111</v>
      </c>
      <c r="Q740" s="12">
        <v>45441.211805555555</v>
      </c>
      <c r="R740" s="12">
        <v>45441.269444444442</v>
      </c>
      <c r="U740" t="b">
        <v>0</v>
      </c>
    </row>
    <row r="741" spans="1:21">
      <c r="A741" t="s">
        <v>3951</v>
      </c>
      <c r="B741" t="s">
        <v>2827</v>
      </c>
      <c r="C741" t="s">
        <v>1971</v>
      </c>
      <c r="D741" t="s">
        <v>3952</v>
      </c>
      <c r="E741" t="s">
        <v>3953</v>
      </c>
      <c r="F741" t="s">
        <v>1517</v>
      </c>
      <c r="G741">
        <v>54</v>
      </c>
      <c r="H741" t="s">
        <v>54</v>
      </c>
      <c r="I741" t="s">
        <v>24</v>
      </c>
      <c r="J741" t="s">
        <v>1288</v>
      </c>
      <c r="K741">
        <v>44</v>
      </c>
      <c r="L741" t="s">
        <v>2601</v>
      </c>
      <c r="M741" t="s">
        <v>2655</v>
      </c>
      <c r="N741" t="s">
        <v>69</v>
      </c>
      <c r="O741" s="12">
        <v>45984.73333333333</v>
      </c>
      <c r="Q741" s="12">
        <v>45984.862500000003</v>
      </c>
      <c r="U741" t="b">
        <v>0</v>
      </c>
    </row>
    <row r="742" spans="1:21">
      <c r="A742" t="s">
        <v>3954</v>
      </c>
      <c r="B742" t="s">
        <v>2682</v>
      </c>
      <c r="C742" t="s">
        <v>1278</v>
      </c>
      <c r="D742" t="s">
        <v>3955</v>
      </c>
      <c r="E742" t="s">
        <v>3956</v>
      </c>
      <c r="F742" t="s">
        <v>1367</v>
      </c>
      <c r="G742">
        <v>632</v>
      </c>
      <c r="H742" t="s">
        <v>54</v>
      </c>
      <c r="I742" t="s">
        <v>30</v>
      </c>
      <c r="J742" t="s">
        <v>1339</v>
      </c>
      <c r="K742">
        <v>86</v>
      </c>
      <c r="L742" t="s">
        <v>2642</v>
      </c>
      <c r="M742" t="s">
        <v>2643</v>
      </c>
      <c r="N742" t="s">
        <v>55</v>
      </c>
      <c r="O742" s="12">
        <v>45484.539583333331</v>
      </c>
      <c r="P742" s="12">
        <v>45488.706250000003</v>
      </c>
      <c r="Q742" s="12">
        <v>45484.73541666667</v>
      </c>
      <c r="R742" s="12">
        <v>45484.888194444444</v>
      </c>
      <c r="S742" s="12">
        <v>45498.247916666667</v>
      </c>
      <c r="U742" t="b">
        <v>0</v>
      </c>
    </row>
    <row r="743" spans="1:21">
      <c r="A743" t="s">
        <v>3957</v>
      </c>
      <c r="B743" t="s">
        <v>2639</v>
      </c>
      <c r="C743" t="s">
        <v>1418</v>
      </c>
      <c r="D743" t="s">
        <v>3958</v>
      </c>
      <c r="E743" t="s">
        <v>3959</v>
      </c>
      <c r="F743" t="s">
        <v>2755</v>
      </c>
      <c r="G743">
        <v>163</v>
      </c>
      <c r="H743" t="s">
        <v>81</v>
      </c>
      <c r="I743" t="s">
        <v>24</v>
      </c>
      <c r="J743" t="s">
        <v>3373</v>
      </c>
      <c r="K743">
        <v>78</v>
      </c>
      <c r="L743" t="s">
        <v>2592</v>
      </c>
      <c r="M743" t="s">
        <v>2605</v>
      </c>
      <c r="O743" s="12">
        <v>46263.96597222222</v>
      </c>
      <c r="P743" s="12">
        <v>46268.924305555556</v>
      </c>
      <c r="U743" t="b">
        <v>0</v>
      </c>
    </row>
    <row r="744" spans="1:21">
      <c r="A744" t="s">
        <v>3960</v>
      </c>
      <c r="B744" t="s">
        <v>2902</v>
      </c>
      <c r="C744" t="s">
        <v>1152</v>
      </c>
      <c r="D744" t="s">
        <v>3961</v>
      </c>
      <c r="E744" t="s">
        <v>3962</v>
      </c>
      <c r="F744" t="s">
        <v>1448</v>
      </c>
      <c r="G744">
        <v>407</v>
      </c>
      <c r="H744" t="s">
        <v>50</v>
      </c>
      <c r="I744" t="s">
        <v>30</v>
      </c>
      <c r="J744" t="s">
        <v>1295</v>
      </c>
      <c r="K744">
        <v>79</v>
      </c>
      <c r="L744" t="s">
        <v>2642</v>
      </c>
      <c r="M744" t="s">
        <v>2643</v>
      </c>
      <c r="N744" t="s">
        <v>36</v>
      </c>
      <c r="O744" s="12">
        <v>46004.818749999999</v>
      </c>
      <c r="P744" s="12">
        <v>46005.36041666667</v>
      </c>
      <c r="Q744" s="12">
        <v>46004.996527777781</v>
      </c>
      <c r="R744" s="12">
        <v>46005.026388888888</v>
      </c>
      <c r="S744" s="12">
        <v>46013.568749999999</v>
      </c>
      <c r="U744" t="b">
        <v>0</v>
      </c>
    </row>
    <row r="745" spans="1:21">
      <c r="A745" t="s">
        <v>3963</v>
      </c>
      <c r="B745" t="s">
        <v>2706</v>
      </c>
      <c r="C745" t="s">
        <v>1320</v>
      </c>
      <c r="D745" t="s">
        <v>3964</v>
      </c>
      <c r="E745" t="s">
        <v>3965</v>
      </c>
      <c r="F745" t="s">
        <v>2709</v>
      </c>
      <c r="G745">
        <v>602</v>
      </c>
      <c r="H745" t="s">
        <v>560</v>
      </c>
      <c r="I745" t="s">
        <v>30</v>
      </c>
      <c r="J745" t="s">
        <v>1413</v>
      </c>
      <c r="K745">
        <v>63</v>
      </c>
      <c r="L745" t="s">
        <v>2592</v>
      </c>
      <c r="M745" t="s">
        <v>2605</v>
      </c>
      <c r="N745" t="s">
        <v>82</v>
      </c>
      <c r="O745" s="12">
        <v>45825.220138888886</v>
      </c>
      <c r="P745" s="12">
        <v>45829.470138888886</v>
      </c>
      <c r="Q745" s="12">
        <v>45825.469444444447</v>
      </c>
      <c r="R745" s="12">
        <v>45826.802777777775</v>
      </c>
      <c r="U745" t="b">
        <v>0</v>
      </c>
    </row>
    <row r="746" spans="1:21">
      <c r="A746" t="s">
        <v>3966</v>
      </c>
      <c r="B746" t="s">
        <v>2693</v>
      </c>
      <c r="C746" t="s">
        <v>2283</v>
      </c>
      <c r="D746" t="s">
        <v>3967</v>
      </c>
      <c r="E746" t="s">
        <v>3968</v>
      </c>
      <c r="F746" t="s">
        <v>1412</v>
      </c>
      <c r="G746">
        <v>684</v>
      </c>
      <c r="H746" t="s">
        <v>205</v>
      </c>
      <c r="I746" t="s">
        <v>30</v>
      </c>
      <c r="J746" t="s">
        <v>1339</v>
      </c>
      <c r="K746">
        <v>75</v>
      </c>
      <c r="L746" t="s">
        <v>2642</v>
      </c>
      <c r="M746" t="s">
        <v>2643</v>
      </c>
      <c r="N746" t="s">
        <v>36</v>
      </c>
      <c r="O746" s="12">
        <v>46072.989583333336</v>
      </c>
      <c r="P746" s="12">
        <v>46074.989583333336</v>
      </c>
      <c r="Q746" s="12">
        <v>46073.18472222222</v>
      </c>
      <c r="R746" s="12">
        <v>46073.212500000001</v>
      </c>
      <c r="S746" s="12">
        <v>46078.447916666664</v>
      </c>
      <c r="U746" t="b">
        <v>0</v>
      </c>
    </row>
    <row r="747" spans="1:21">
      <c r="A747" t="s">
        <v>3969</v>
      </c>
      <c r="B747" t="s">
        <v>1485</v>
      </c>
      <c r="C747" t="s">
        <v>1490</v>
      </c>
      <c r="D747" t="s">
        <v>3970</v>
      </c>
      <c r="E747" t="s">
        <v>3971</v>
      </c>
      <c r="F747" t="s">
        <v>1309</v>
      </c>
      <c r="G747">
        <v>848</v>
      </c>
      <c r="H747" t="s">
        <v>41</v>
      </c>
      <c r="I747" t="s">
        <v>30</v>
      </c>
      <c r="J747" t="s">
        <v>1281</v>
      </c>
      <c r="K747">
        <v>78</v>
      </c>
      <c r="L747" t="s">
        <v>2642</v>
      </c>
      <c r="M747" t="s">
        <v>2643</v>
      </c>
      <c r="N747" t="s">
        <v>82</v>
      </c>
      <c r="O747" s="12">
        <v>45473.538888888892</v>
      </c>
      <c r="P747" s="12">
        <v>45477.62222222222</v>
      </c>
      <c r="Q747" s="12">
        <v>45473.640277777777</v>
      </c>
      <c r="R747" s="12">
        <v>45474.348611111112</v>
      </c>
      <c r="S747" s="12">
        <v>45478.74722222222</v>
      </c>
      <c r="U747" t="b">
        <v>0</v>
      </c>
    </row>
    <row r="748" spans="1:21">
      <c r="A748" t="s">
        <v>3972</v>
      </c>
      <c r="B748" t="s">
        <v>2645</v>
      </c>
      <c r="C748" t="s">
        <v>1655</v>
      </c>
      <c r="D748" t="s">
        <v>3973</v>
      </c>
      <c r="E748" t="s">
        <v>3974</v>
      </c>
      <c r="F748" t="s">
        <v>1294</v>
      </c>
      <c r="G748">
        <v>253</v>
      </c>
      <c r="H748" t="s">
        <v>81</v>
      </c>
      <c r="I748" t="s">
        <v>30</v>
      </c>
      <c r="J748" t="s">
        <v>1355</v>
      </c>
      <c r="K748">
        <v>64</v>
      </c>
      <c r="L748" t="s">
        <v>2592</v>
      </c>
      <c r="M748" t="s">
        <v>2605</v>
      </c>
      <c r="N748" t="s">
        <v>82</v>
      </c>
      <c r="O748" s="12">
        <v>45620.382638888892</v>
      </c>
      <c r="P748" s="12">
        <v>45625.049305555556</v>
      </c>
      <c r="Q748" s="12">
        <v>45620.576388888891</v>
      </c>
      <c r="R748" s="12">
        <v>45621.034722222219</v>
      </c>
      <c r="U748" t="b">
        <v>0</v>
      </c>
    </row>
    <row r="749" spans="1:21">
      <c r="A749" t="s">
        <v>3975</v>
      </c>
      <c r="B749" t="s">
        <v>1211</v>
      </c>
      <c r="C749" t="s">
        <v>1168</v>
      </c>
      <c r="D749" t="s">
        <v>3976</v>
      </c>
      <c r="E749" t="s">
        <v>3977</v>
      </c>
      <c r="F749" t="s">
        <v>2271</v>
      </c>
      <c r="G749">
        <v>90</v>
      </c>
      <c r="H749" t="s">
        <v>50</v>
      </c>
      <c r="I749" t="s">
        <v>24</v>
      </c>
      <c r="J749" t="s">
        <v>1339</v>
      </c>
      <c r="K749">
        <v>71</v>
      </c>
      <c r="L749" t="s">
        <v>2601</v>
      </c>
      <c r="M749" t="s">
        <v>2605</v>
      </c>
      <c r="N749" t="s">
        <v>59</v>
      </c>
      <c r="O749" s="12">
        <v>46151.973611111112</v>
      </c>
      <c r="Q749" s="12">
        <v>46152.208333333336</v>
      </c>
      <c r="R749" s="12">
        <v>46153.5</v>
      </c>
      <c r="U749" t="b">
        <v>0</v>
      </c>
    </row>
    <row r="750" spans="1:21">
      <c r="A750" t="s">
        <v>3978</v>
      </c>
      <c r="B750" t="s">
        <v>2639</v>
      </c>
      <c r="C750" t="s">
        <v>1432</v>
      </c>
      <c r="D750" t="s">
        <v>3979</v>
      </c>
      <c r="E750" t="s">
        <v>3980</v>
      </c>
      <c r="F750" t="s">
        <v>1309</v>
      </c>
      <c r="G750">
        <v>856</v>
      </c>
      <c r="H750" t="s">
        <v>95</v>
      </c>
      <c r="I750" t="s">
        <v>30</v>
      </c>
      <c r="J750" t="s">
        <v>1355</v>
      </c>
      <c r="K750">
        <v>71</v>
      </c>
      <c r="L750" t="s">
        <v>2592</v>
      </c>
      <c r="M750" t="s">
        <v>2593</v>
      </c>
      <c r="O750" s="12">
        <v>46029.366666666669</v>
      </c>
      <c r="P750" s="12">
        <v>46033.45</v>
      </c>
      <c r="U750" t="b">
        <v>0</v>
      </c>
    </row>
    <row r="751" spans="1:21">
      <c r="A751" t="s">
        <v>3981</v>
      </c>
      <c r="B751" t="s">
        <v>1161</v>
      </c>
      <c r="C751" t="s">
        <v>1186</v>
      </c>
      <c r="D751" t="s">
        <v>3982</v>
      </c>
      <c r="E751" t="s">
        <v>3983</v>
      </c>
      <c r="F751" t="s">
        <v>2680</v>
      </c>
      <c r="G751">
        <v>1426</v>
      </c>
      <c r="H751" t="s">
        <v>16</v>
      </c>
      <c r="I751" t="s">
        <v>17</v>
      </c>
      <c r="J751" t="s">
        <v>1355</v>
      </c>
      <c r="K751">
        <v>49</v>
      </c>
      <c r="L751" t="s">
        <v>2601</v>
      </c>
      <c r="M751" t="s">
        <v>2643</v>
      </c>
      <c r="N751" t="s">
        <v>18</v>
      </c>
      <c r="O751" s="12">
        <v>45756.963194444441</v>
      </c>
      <c r="Q751" s="12">
        <v>45757.147222222222</v>
      </c>
      <c r="R751" s="12">
        <v>45757.224305555559</v>
      </c>
      <c r="U751" t="b">
        <v>0</v>
      </c>
    </row>
    <row r="752" spans="1:21">
      <c r="A752" t="s">
        <v>3984</v>
      </c>
      <c r="B752" t="s">
        <v>1521</v>
      </c>
      <c r="C752" t="s">
        <v>1436</v>
      </c>
      <c r="D752" t="s">
        <v>3985</v>
      </c>
      <c r="E752" t="s">
        <v>3986</v>
      </c>
      <c r="F752" t="s">
        <v>1182</v>
      </c>
      <c r="G752">
        <v>860</v>
      </c>
      <c r="H752" t="s">
        <v>64</v>
      </c>
      <c r="I752" t="s">
        <v>30</v>
      </c>
      <c r="J752" t="s">
        <v>1271</v>
      </c>
      <c r="K752">
        <v>51</v>
      </c>
      <c r="L752" t="s">
        <v>2601</v>
      </c>
      <c r="M752" t="s">
        <v>2605</v>
      </c>
      <c r="N752" t="s">
        <v>55</v>
      </c>
      <c r="O752" s="12">
        <v>45769.835416666669</v>
      </c>
      <c r="Q752" s="12">
        <v>45769.904861111114</v>
      </c>
      <c r="R752" s="12">
        <v>45770.571527777778</v>
      </c>
      <c r="U752" t="b">
        <v>0</v>
      </c>
    </row>
    <row r="753" spans="1:21">
      <c r="A753" t="s">
        <v>3987</v>
      </c>
      <c r="B753" t="s">
        <v>1211</v>
      </c>
      <c r="C753" t="s">
        <v>1119</v>
      </c>
      <c r="D753" t="s">
        <v>3988</v>
      </c>
      <c r="E753" t="s">
        <v>3989</v>
      </c>
      <c r="F753" t="s">
        <v>1294</v>
      </c>
      <c r="G753">
        <v>137</v>
      </c>
      <c r="H753" t="s">
        <v>68</v>
      </c>
      <c r="I753" t="s">
        <v>24</v>
      </c>
      <c r="J753" t="s">
        <v>1271</v>
      </c>
      <c r="K753">
        <v>34</v>
      </c>
      <c r="L753" t="s">
        <v>2601</v>
      </c>
      <c r="M753" t="s">
        <v>2655</v>
      </c>
      <c r="N753" t="s">
        <v>69</v>
      </c>
      <c r="O753" s="12">
        <v>45735.158333333333</v>
      </c>
      <c r="Q753" s="12">
        <v>45735.199305555558</v>
      </c>
      <c r="U753" t="b">
        <v>0</v>
      </c>
    </row>
    <row r="754" spans="1:21">
      <c r="A754" t="s">
        <v>3990</v>
      </c>
      <c r="B754" t="s">
        <v>1190</v>
      </c>
      <c r="C754" t="s">
        <v>1432</v>
      </c>
      <c r="D754" t="s">
        <v>3991</v>
      </c>
      <c r="E754" t="s">
        <v>3992</v>
      </c>
      <c r="F754" t="s">
        <v>1471</v>
      </c>
      <c r="G754">
        <v>820</v>
      </c>
      <c r="H754" t="s">
        <v>1034</v>
      </c>
      <c r="I754" t="s">
        <v>30</v>
      </c>
      <c r="J754" t="s">
        <v>1413</v>
      </c>
      <c r="K754">
        <v>62</v>
      </c>
      <c r="L754" t="s">
        <v>2592</v>
      </c>
      <c r="M754" t="s">
        <v>2593</v>
      </c>
      <c r="N754" t="s">
        <v>36</v>
      </c>
      <c r="O754" s="12">
        <v>45438.594444444447</v>
      </c>
      <c r="P754" s="12">
        <v>45443.344444444447</v>
      </c>
      <c r="Q754" s="12">
        <v>45438.793749999997</v>
      </c>
      <c r="R754" s="12">
        <v>45438.9375</v>
      </c>
      <c r="U754" t="b">
        <v>0</v>
      </c>
    </row>
    <row r="755" spans="1:21">
      <c r="A755" t="s">
        <v>3993</v>
      </c>
      <c r="B755" t="s">
        <v>2882</v>
      </c>
      <c r="C755" t="s">
        <v>1490</v>
      </c>
      <c r="D755" t="s">
        <v>3994</v>
      </c>
      <c r="E755" t="s">
        <v>3995</v>
      </c>
      <c r="F755" t="s">
        <v>1294</v>
      </c>
      <c r="G755">
        <v>419</v>
      </c>
      <c r="H755" t="s">
        <v>366</v>
      </c>
      <c r="I755" t="s">
        <v>30</v>
      </c>
      <c r="J755" t="s">
        <v>1288</v>
      </c>
      <c r="K755">
        <v>66</v>
      </c>
      <c r="L755" t="s">
        <v>2601</v>
      </c>
      <c r="M755" t="s">
        <v>2593</v>
      </c>
      <c r="N755" t="s">
        <v>18</v>
      </c>
      <c r="O755" s="12">
        <v>45706.2</v>
      </c>
      <c r="Q755" s="12">
        <v>45706.304861111108</v>
      </c>
      <c r="R755" s="12">
        <v>45706.513194444444</v>
      </c>
      <c r="U755" t="b">
        <v>0</v>
      </c>
    </row>
    <row r="756" spans="1:21">
      <c r="A756" t="s">
        <v>3996</v>
      </c>
      <c r="B756" t="s">
        <v>1221</v>
      </c>
      <c r="C756" t="s">
        <v>1337</v>
      </c>
      <c r="D756" t="s">
        <v>3997</v>
      </c>
      <c r="E756" t="s">
        <v>3998</v>
      </c>
      <c r="F756" t="s">
        <v>2660</v>
      </c>
      <c r="G756">
        <v>111</v>
      </c>
      <c r="H756" t="s">
        <v>41</v>
      </c>
      <c r="I756" t="s">
        <v>24</v>
      </c>
      <c r="J756" t="s">
        <v>1295</v>
      </c>
      <c r="K756">
        <v>95</v>
      </c>
      <c r="L756" t="s">
        <v>2601</v>
      </c>
      <c r="M756" t="s">
        <v>2618</v>
      </c>
      <c r="N756" t="s">
        <v>25</v>
      </c>
      <c r="O756" s="12">
        <v>46237.954861111109</v>
      </c>
      <c r="Q756" s="12">
        <v>46238.068055555559</v>
      </c>
      <c r="R756" s="12">
        <v>46238.098611111112</v>
      </c>
      <c r="T756" t="s">
        <v>2673</v>
      </c>
      <c r="U756" t="b">
        <v>0</v>
      </c>
    </row>
    <row r="757" spans="1:21">
      <c r="A757" t="s">
        <v>3999</v>
      </c>
      <c r="B757" t="s">
        <v>1185</v>
      </c>
      <c r="C757" t="s">
        <v>1404</v>
      </c>
      <c r="D757" t="s">
        <v>4000</v>
      </c>
      <c r="E757" t="s">
        <v>4001</v>
      </c>
      <c r="F757" t="s">
        <v>1309</v>
      </c>
      <c r="G757">
        <v>5530</v>
      </c>
      <c r="H757" t="s">
        <v>415</v>
      </c>
      <c r="J757" t="s">
        <v>1317</v>
      </c>
      <c r="K757">
        <v>76</v>
      </c>
      <c r="L757" t="s">
        <v>2601</v>
      </c>
      <c r="M757" t="s">
        <v>2618</v>
      </c>
      <c r="O757" s="12">
        <v>45442.125694444447</v>
      </c>
      <c r="T757" t="s">
        <v>2648</v>
      </c>
      <c r="U757" t="b">
        <v>0</v>
      </c>
    </row>
    <row r="758" spans="1:21">
      <c r="A758" t="s">
        <v>4002</v>
      </c>
      <c r="B758" t="s">
        <v>2874</v>
      </c>
      <c r="C758" t="s">
        <v>1475</v>
      </c>
      <c r="D758" t="s">
        <v>4003</v>
      </c>
      <c r="E758" t="s">
        <v>4004</v>
      </c>
      <c r="F758" t="s">
        <v>2660</v>
      </c>
      <c r="G758">
        <v>343</v>
      </c>
      <c r="H758" t="s">
        <v>295</v>
      </c>
      <c r="I758" t="s">
        <v>30</v>
      </c>
      <c r="J758" t="s">
        <v>1413</v>
      </c>
      <c r="K758">
        <v>59</v>
      </c>
      <c r="L758" t="s">
        <v>2601</v>
      </c>
      <c r="M758" t="s">
        <v>2655</v>
      </c>
      <c r="N758" t="s">
        <v>82</v>
      </c>
      <c r="O758" s="12">
        <v>46029.668055555558</v>
      </c>
      <c r="Q758" s="12">
        <v>46029.760416666664</v>
      </c>
      <c r="U758" t="b">
        <v>0</v>
      </c>
    </row>
    <row r="759" spans="1:21">
      <c r="A759" t="s">
        <v>4005</v>
      </c>
      <c r="B759" t="s">
        <v>1485</v>
      </c>
      <c r="C759" t="s">
        <v>1212</v>
      </c>
      <c r="D759" t="s">
        <v>4006</v>
      </c>
      <c r="E759" t="s">
        <v>4007</v>
      </c>
      <c r="F759" t="s">
        <v>1471</v>
      </c>
      <c r="G759">
        <v>114</v>
      </c>
      <c r="H759" t="s">
        <v>81</v>
      </c>
      <c r="I759" t="s">
        <v>24</v>
      </c>
      <c r="J759" t="s">
        <v>1295</v>
      </c>
      <c r="K759">
        <v>94</v>
      </c>
      <c r="L759" t="s">
        <v>2642</v>
      </c>
      <c r="M759" t="s">
        <v>2643</v>
      </c>
      <c r="N759" t="s">
        <v>25</v>
      </c>
      <c r="O759" s="12">
        <v>45581.101388888892</v>
      </c>
      <c r="P759" s="12">
        <v>45585.476388888892</v>
      </c>
      <c r="Q759" s="12">
        <v>45581.324305555558</v>
      </c>
      <c r="R759" s="12">
        <v>45582.449305555558</v>
      </c>
      <c r="S759" s="12">
        <v>45592.93472222222</v>
      </c>
      <c r="U759" t="b">
        <v>0</v>
      </c>
    </row>
    <row r="760" spans="1:21">
      <c r="A760" t="s">
        <v>4008</v>
      </c>
      <c r="B760" t="s">
        <v>2682</v>
      </c>
      <c r="C760" t="s">
        <v>1337</v>
      </c>
      <c r="D760" t="s">
        <v>4009</v>
      </c>
      <c r="E760" t="s">
        <v>4010</v>
      </c>
      <c r="F760" t="s">
        <v>2709</v>
      </c>
      <c r="G760">
        <v>76</v>
      </c>
      <c r="H760" t="s">
        <v>54</v>
      </c>
      <c r="I760" t="s">
        <v>24</v>
      </c>
      <c r="J760" t="s">
        <v>1413</v>
      </c>
      <c r="K760">
        <v>53</v>
      </c>
      <c r="L760" t="s">
        <v>2592</v>
      </c>
      <c r="M760" t="s">
        <v>2597</v>
      </c>
      <c r="N760" t="s">
        <v>69</v>
      </c>
      <c r="O760" s="12">
        <v>45560.787499999999</v>
      </c>
      <c r="P760" s="12">
        <v>45561.162499999999</v>
      </c>
      <c r="Q760" s="12">
        <v>45560.908333333333</v>
      </c>
      <c r="R760" s="12">
        <v>45560.97152777778</v>
      </c>
      <c r="U760" t="b">
        <v>0</v>
      </c>
    </row>
    <row r="761" spans="1:21">
      <c r="A761" t="s">
        <v>4011</v>
      </c>
      <c r="B761" t="s">
        <v>2902</v>
      </c>
      <c r="C761" t="s">
        <v>1291</v>
      </c>
      <c r="D761" t="s">
        <v>4012</v>
      </c>
      <c r="E761" t="s">
        <v>4013</v>
      </c>
      <c r="F761" t="s">
        <v>1448</v>
      </c>
      <c r="G761">
        <v>1405</v>
      </c>
      <c r="H761" t="s">
        <v>226</v>
      </c>
      <c r="I761" t="s">
        <v>17</v>
      </c>
      <c r="J761" t="s">
        <v>1355</v>
      </c>
      <c r="K761">
        <v>55</v>
      </c>
      <c r="L761" t="s">
        <v>2592</v>
      </c>
      <c r="M761" t="s">
        <v>2593</v>
      </c>
      <c r="N761" t="s">
        <v>55</v>
      </c>
      <c r="O761" s="12">
        <v>45844.338194444441</v>
      </c>
      <c r="P761" s="12">
        <v>45846.004861111112</v>
      </c>
      <c r="Q761" s="12">
        <v>45844.500694444447</v>
      </c>
      <c r="R761" s="12">
        <v>45845.084027777775</v>
      </c>
      <c r="U761" t="b">
        <v>0</v>
      </c>
    </row>
    <row r="762" spans="1:21">
      <c r="A762" t="s">
        <v>4014</v>
      </c>
      <c r="B762" t="s">
        <v>2760</v>
      </c>
      <c r="C762" t="s">
        <v>1418</v>
      </c>
      <c r="D762" t="s">
        <v>4015</v>
      </c>
      <c r="E762" t="s">
        <v>4016</v>
      </c>
      <c r="F762" t="s">
        <v>2617</v>
      </c>
      <c r="G762">
        <v>190</v>
      </c>
      <c r="H762" t="s">
        <v>50</v>
      </c>
      <c r="I762" t="s">
        <v>24</v>
      </c>
      <c r="J762" t="s">
        <v>1317</v>
      </c>
      <c r="K762">
        <v>60</v>
      </c>
      <c r="L762" t="s">
        <v>2592</v>
      </c>
      <c r="M762" t="s">
        <v>2593</v>
      </c>
      <c r="N762" t="s">
        <v>59</v>
      </c>
      <c r="O762" s="12">
        <v>45401.62222222222</v>
      </c>
      <c r="P762" s="12">
        <v>45403.080555555556</v>
      </c>
      <c r="Q762" s="12">
        <v>45401.691666666666</v>
      </c>
      <c r="R762" s="12">
        <v>45401.797222222223</v>
      </c>
      <c r="U762" t="b">
        <v>0</v>
      </c>
    </row>
    <row r="763" spans="1:21">
      <c r="A763" t="s">
        <v>4017</v>
      </c>
      <c r="B763" t="s">
        <v>2811</v>
      </c>
      <c r="C763" t="s">
        <v>1490</v>
      </c>
      <c r="D763" t="s">
        <v>4018</v>
      </c>
      <c r="E763" t="s">
        <v>4019</v>
      </c>
      <c r="F763" t="s">
        <v>1412</v>
      </c>
      <c r="G763">
        <v>12</v>
      </c>
      <c r="H763" t="s">
        <v>576</v>
      </c>
      <c r="J763" t="s">
        <v>1288</v>
      </c>
      <c r="K763">
        <v>55</v>
      </c>
      <c r="L763" t="s">
        <v>2601</v>
      </c>
      <c r="M763" t="s">
        <v>2618</v>
      </c>
      <c r="O763" s="12">
        <v>46265.918055555558</v>
      </c>
      <c r="T763" t="s">
        <v>2933</v>
      </c>
      <c r="U763" t="b">
        <v>0</v>
      </c>
    </row>
    <row r="764" spans="1:21">
      <c r="A764" t="s">
        <v>4020</v>
      </c>
      <c r="B764" t="s">
        <v>1176</v>
      </c>
      <c r="C764" t="s">
        <v>1155</v>
      </c>
      <c r="D764" t="s">
        <v>4021</v>
      </c>
      <c r="E764" t="s">
        <v>4022</v>
      </c>
      <c r="F764" t="s">
        <v>2084</v>
      </c>
      <c r="G764">
        <v>547</v>
      </c>
      <c r="H764" t="s">
        <v>154</v>
      </c>
      <c r="I764" t="s">
        <v>30</v>
      </c>
      <c r="J764" t="s">
        <v>1413</v>
      </c>
      <c r="K764">
        <v>71</v>
      </c>
      <c r="L764" t="s">
        <v>2601</v>
      </c>
      <c r="M764" t="s">
        <v>2605</v>
      </c>
      <c r="N764" t="s">
        <v>82</v>
      </c>
      <c r="O764" s="12">
        <v>46054.882638888892</v>
      </c>
      <c r="Q764" s="12">
        <v>46055.120138888888</v>
      </c>
      <c r="U764" t="b">
        <v>0</v>
      </c>
    </row>
    <row r="765" spans="1:21">
      <c r="A765" t="s">
        <v>4023</v>
      </c>
      <c r="B765" t="s">
        <v>2666</v>
      </c>
      <c r="C765" t="s">
        <v>2283</v>
      </c>
      <c r="D765" t="s">
        <v>4024</v>
      </c>
      <c r="E765" t="s">
        <v>4025</v>
      </c>
      <c r="F765" t="s">
        <v>1784</v>
      </c>
      <c r="G765">
        <v>168</v>
      </c>
      <c r="H765" t="s">
        <v>140</v>
      </c>
      <c r="I765" t="s">
        <v>24</v>
      </c>
      <c r="J765" t="s">
        <v>1413</v>
      </c>
      <c r="K765">
        <v>75</v>
      </c>
      <c r="L765" t="s">
        <v>2601</v>
      </c>
      <c r="M765" t="s">
        <v>2593</v>
      </c>
      <c r="N765" t="s">
        <v>25</v>
      </c>
      <c r="O765" s="12">
        <v>46178.447916666664</v>
      </c>
      <c r="Q765" s="12">
        <v>46178.518055555556</v>
      </c>
      <c r="R765" s="12">
        <v>46178.546527777777</v>
      </c>
      <c r="U765" t="b">
        <v>0</v>
      </c>
    </row>
    <row r="766" spans="1:21">
      <c r="A766" t="s">
        <v>4026</v>
      </c>
      <c r="B766" t="s">
        <v>1176</v>
      </c>
      <c r="C766" t="s">
        <v>1475</v>
      </c>
      <c r="D766" t="s">
        <v>4027</v>
      </c>
      <c r="E766" t="s">
        <v>4028</v>
      </c>
      <c r="F766" t="s">
        <v>1294</v>
      </c>
      <c r="G766">
        <v>139</v>
      </c>
      <c r="I766" t="s">
        <v>24</v>
      </c>
      <c r="J766" t="s">
        <v>1288</v>
      </c>
      <c r="K766">
        <v>47</v>
      </c>
      <c r="L766" t="s">
        <v>2601</v>
      </c>
      <c r="M766" t="s">
        <v>2593</v>
      </c>
      <c r="N766" t="s">
        <v>91</v>
      </c>
      <c r="O766" s="12">
        <v>45844.294444444444</v>
      </c>
      <c r="Q766" s="12">
        <v>45844.473611111112</v>
      </c>
      <c r="R766" s="12">
        <v>45844.493055555555</v>
      </c>
      <c r="U766" t="b">
        <v>0</v>
      </c>
    </row>
    <row r="767" spans="1:21">
      <c r="A767" t="s">
        <v>4029</v>
      </c>
      <c r="B767" t="s">
        <v>1485</v>
      </c>
      <c r="C767" t="s">
        <v>1337</v>
      </c>
      <c r="D767" t="s">
        <v>4030</v>
      </c>
      <c r="E767" t="s">
        <v>4031</v>
      </c>
      <c r="F767" t="s">
        <v>1294</v>
      </c>
      <c r="G767">
        <v>647</v>
      </c>
      <c r="H767" t="s">
        <v>95</v>
      </c>
      <c r="I767" t="s">
        <v>30</v>
      </c>
      <c r="J767" t="s">
        <v>1271</v>
      </c>
      <c r="K767">
        <v>58</v>
      </c>
      <c r="L767" t="s">
        <v>2601</v>
      </c>
      <c r="M767" t="s">
        <v>2605</v>
      </c>
      <c r="O767" s="12">
        <v>45458.192361111112</v>
      </c>
      <c r="U767" t="b">
        <v>0</v>
      </c>
    </row>
    <row r="768" spans="1:21">
      <c r="A768" t="s">
        <v>4032</v>
      </c>
      <c r="B768" t="s">
        <v>2682</v>
      </c>
      <c r="C768" t="s">
        <v>2059</v>
      </c>
      <c r="D768" t="s">
        <v>4033</v>
      </c>
      <c r="E768" t="s">
        <v>4034</v>
      </c>
      <c r="F768" t="s">
        <v>1471</v>
      </c>
      <c r="G768">
        <v>4143</v>
      </c>
      <c r="H768" t="s">
        <v>339</v>
      </c>
      <c r="J768" t="s">
        <v>1288</v>
      </c>
      <c r="K768">
        <v>35</v>
      </c>
      <c r="L768" t="s">
        <v>2601</v>
      </c>
      <c r="M768" t="s">
        <v>2618</v>
      </c>
      <c r="O768" s="12">
        <v>45501.688888888886</v>
      </c>
      <c r="T768" t="s">
        <v>2648</v>
      </c>
      <c r="U768" t="b">
        <v>0</v>
      </c>
    </row>
    <row r="769" spans="1:21">
      <c r="A769" t="s">
        <v>4035</v>
      </c>
      <c r="B769" t="s">
        <v>1190</v>
      </c>
      <c r="C769" t="s">
        <v>1655</v>
      </c>
      <c r="D769" t="s">
        <v>4036</v>
      </c>
      <c r="E769" t="s">
        <v>4037</v>
      </c>
      <c r="F769" t="s">
        <v>1511</v>
      </c>
      <c r="G769">
        <v>178</v>
      </c>
      <c r="H769" t="s">
        <v>16</v>
      </c>
      <c r="I769" t="s">
        <v>24</v>
      </c>
      <c r="J769" t="s">
        <v>1295</v>
      </c>
      <c r="K769">
        <v>86</v>
      </c>
      <c r="L769" t="s">
        <v>2642</v>
      </c>
      <c r="M769" t="s">
        <v>2643</v>
      </c>
      <c r="N769" t="s">
        <v>91</v>
      </c>
      <c r="O769" s="12">
        <v>45895.376388888886</v>
      </c>
      <c r="P769" s="12">
        <v>45899.751388888886</v>
      </c>
      <c r="Q769" s="12">
        <v>45895.430555555555</v>
      </c>
      <c r="R769" s="12">
        <v>45895.456944444442</v>
      </c>
      <c r="S769" s="12">
        <v>45907.251388888886</v>
      </c>
      <c r="U769" t="b">
        <v>0</v>
      </c>
    </row>
    <row r="770" spans="1:21">
      <c r="A770" t="s">
        <v>4038</v>
      </c>
      <c r="B770" t="s">
        <v>1584</v>
      </c>
      <c r="C770" t="s">
        <v>1469</v>
      </c>
      <c r="D770" t="s">
        <v>4039</v>
      </c>
      <c r="E770" t="s">
        <v>4040</v>
      </c>
      <c r="F770" t="s">
        <v>1182</v>
      </c>
      <c r="G770">
        <v>36</v>
      </c>
      <c r="H770" t="s">
        <v>1093</v>
      </c>
      <c r="I770" t="s">
        <v>24</v>
      </c>
      <c r="J770" t="s">
        <v>1295</v>
      </c>
      <c r="K770">
        <v>76</v>
      </c>
      <c r="L770" t="s">
        <v>2601</v>
      </c>
      <c r="M770" t="s">
        <v>2618</v>
      </c>
      <c r="N770" t="s">
        <v>59</v>
      </c>
      <c r="O770" s="12">
        <v>45840.760416666664</v>
      </c>
      <c r="Q770" s="12">
        <v>45840.886805555558</v>
      </c>
      <c r="R770" s="12">
        <v>45841.386805555558</v>
      </c>
      <c r="T770" t="s">
        <v>2648</v>
      </c>
      <c r="U770" t="b">
        <v>0</v>
      </c>
    </row>
    <row r="771" spans="1:21">
      <c r="A771" t="s">
        <v>4041</v>
      </c>
      <c r="B771" t="s">
        <v>2578</v>
      </c>
      <c r="C771" t="s">
        <v>1186</v>
      </c>
      <c r="D771" t="s">
        <v>4042</v>
      </c>
      <c r="E771" t="s">
        <v>4043</v>
      </c>
      <c r="F771" t="s">
        <v>1309</v>
      </c>
      <c r="G771">
        <v>34</v>
      </c>
      <c r="H771" t="s">
        <v>249</v>
      </c>
      <c r="I771" t="s">
        <v>24</v>
      </c>
      <c r="J771" t="s">
        <v>1413</v>
      </c>
      <c r="K771">
        <v>77</v>
      </c>
      <c r="L771" t="s">
        <v>2592</v>
      </c>
      <c r="M771" t="s">
        <v>2597</v>
      </c>
      <c r="N771" t="s">
        <v>59</v>
      </c>
      <c r="O771" s="12">
        <v>45349.570138888892</v>
      </c>
      <c r="P771" s="12">
        <v>45354.320138888892</v>
      </c>
      <c r="Q771" s="12">
        <v>45349.619444444441</v>
      </c>
      <c r="R771" s="12">
        <v>45349.656944444447</v>
      </c>
      <c r="U771" t="b">
        <v>0</v>
      </c>
    </row>
    <row r="772" spans="1:21">
      <c r="A772" t="s">
        <v>4044</v>
      </c>
      <c r="B772" t="s">
        <v>1185</v>
      </c>
      <c r="C772" t="s">
        <v>1650</v>
      </c>
      <c r="D772" t="s">
        <v>4045</v>
      </c>
      <c r="E772" t="s">
        <v>4046</v>
      </c>
      <c r="F772" t="s">
        <v>2617</v>
      </c>
      <c r="G772">
        <v>512</v>
      </c>
      <c r="H772" t="s">
        <v>205</v>
      </c>
      <c r="I772" t="s">
        <v>30</v>
      </c>
      <c r="J772" t="s">
        <v>1317</v>
      </c>
      <c r="K772">
        <v>80</v>
      </c>
      <c r="L772" t="s">
        <v>2601</v>
      </c>
      <c r="M772" t="s">
        <v>2593</v>
      </c>
      <c r="N772" t="s">
        <v>36</v>
      </c>
      <c r="O772" s="12">
        <v>45673.696527777778</v>
      </c>
      <c r="Q772" s="12">
        <v>45673.943749999999</v>
      </c>
      <c r="R772" s="12">
        <v>45673.961805555555</v>
      </c>
      <c r="U772" t="b">
        <v>0</v>
      </c>
    </row>
    <row r="773" spans="1:21">
      <c r="A773" t="s">
        <v>4047</v>
      </c>
      <c r="B773" t="s">
        <v>2789</v>
      </c>
      <c r="C773" t="s">
        <v>1320</v>
      </c>
      <c r="D773" t="s">
        <v>4048</v>
      </c>
      <c r="E773" t="s">
        <v>4049</v>
      </c>
      <c r="F773" t="s">
        <v>2680</v>
      </c>
      <c r="G773">
        <v>100</v>
      </c>
      <c r="H773" t="s">
        <v>140</v>
      </c>
      <c r="I773" t="s">
        <v>24</v>
      </c>
      <c r="J773" t="s">
        <v>1355</v>
      </c>
      <c r="K773">
        <v>70</v>
      </c>
      <c r="L773" t="s">
        <v>2601</v>
      </c>
      <c r="M773" t="s">
        <v>2605</v>
      </c>
      <c r="N773" t="s">
        <v>25</v>
      </c>
      <c r="O773" s="12">
        <v>45425.765277777777</v>
      </c>
      <c r="Q773" s="12">
        <v>45425.902083333334</v>
      </c>
      <c r="R773" s="12">
        <v>45425.921527777777</v>
      </c>
      <c r="U773" t="b">
        <v>0</v>
      </c>
    </row>
    <row r="774" spans="1:21">
      <c r="A774" t="s">
        <v>4050</v>
      </c>
      <c r="B774" t="s">
        <v>2657</v>
      </c>
      <c r="C774" t="s">
        <v>1152</v>
      </c>
      <c r="D774" t="s">
        <v>4051</v>
      </c>
      <c r="E774" t="s">
        <v>4052</v>
      </c>
      <c r="F774" t="s">
        <v>1367</v>
      </c>
      <c r="G774">
        <v>193</v>
      </c>
      <c r="H774" t="s">
        <v>140</v>
      </c>
      <c r="I774" t="s">
        <v>24</v>
      </c>
      <c r="J774" t="s">
        <v>1295</v>
      </c>
      <c r="K774">
        <v>80</v>
      </c>
      <c r="L774" t="s">
        <v>2642</v>
      </c>
      <c r="M774" t="s">
        <v>2643</v>
      </c>
      <c r="N774" t="s">
        <v>25</v>
      </c>
      <c r="O774" s="12">
        <v>45318.334722222222</v>
      </c>
      <c r="P774" s="12">
        <v>45320.918055555558</v>
      </c>
      <c r="Q774" s="12">
        <v>45318.527083333334</v>
      </c>
      <c r="R774" s="12">
        <v>45318.62777777778</v>
      </c>
      <c r="S774" s="12">
        <v>45330.876388888886</v>
      </c>
      <c r="U774" t="b">
        <v>0</v>
      </c>
    </row>
    <row r="775" spans="1:21">
      <c r="A775" t="s">
        <v>4053</v>
      </c>
      <c r="B775" t="s">
        <v>1584</v>
      </c>
      <c r="C775" t="s">
        <v>1135</v>
      </c>
      <c r="D775" t="s">
        <v>4054</v>
      </c>
      <c r="E775" t="s">
        <v>4055</v>
      </c>
      <c r="F775" t="s">
        <v>1412</v>
      </c>
      <c r="G775">
        <v>869</v>
      </c>
      <c r="H775" t="s">
        <v>81</v>
      </c>
      <c r="I775" t="s">
        <v>30</v>
      </c>
      <c r="J775" t="s">
        <v>1355</v>
      </c>
      <c r="K775">
        <v>77</v>
      </c>
      <c r="L775" t="s">
        <v>2601</v>
      </c>
      <c r="M775" t="s">
        <v>2655</v>
      </c>
      <c r="N775" t="s">
        <v>82</v>
      </c>
      <c r="O775" s="12">
        <v>45588.025694444441</v>
      </c>
      <c r="Q775" s="12">
        <v>45588.101388888892</v>
      </c>
      <c r="U775" t="b">
        <v>0</v>
      </c>
    </row>
    <row r="776" spans="1:21">
      <c r="A776" t="s">
        <v>4056</v>
      </c>
      <c r="B776" t="s">
        <v>1584</v>
      </c>
      <c r="C776" t="s">
        <v>1139</v>
      </c>
      <c r="D776" t="s">
        <v>4057</v>
      </c>
      <c r="E776" t="s">
        <v>4058</v>
      </c>
      <c r="F776" t="s">
        <v>2617</v>
      </c>
      <c r="G776">
        <v>71</v>
      </c>
      <c r="H776" t="s">
        <v>16</v>
      </c>
      <c r="I776" t="s">
        <v>24</v>
      </c>
      <c r="J776" t="s">
        <v>1271</v>
      </c>
      <c r="K776">
        <v>36</v>
      </c>
      <c r="L776" t="s">
        <v>2601</v>
      </c>
      <c r="M776" t="s">
        <v>2618</v>
      </c>
      <c r="N776" t="s">
        <v>91</v>
      </c>
      <c r="O776" s="12">
        <v>46193.970138888886</v>
      </c>
      <c r="Q776" s="12">
        <v>46194.135416666664</v>
      </c>
      <c r="T776" t="s">
        <v>2685</v>
      </c>
      <c r="U776" t="b">
        <v>0</v>
      </c>
    </row>
    <row r="777" spans="1:21">
      <c r="A777" t="s">
        <v>4059</v>
      </c>
      <c r="B777" t="s">
        <v>1649</v>
      </c>
      <c r="C777" t="s">
        <v>1320</v>
      </c>
      <c r="D777" t="s">
        <v>4060</v>
      </c>
      <c r="E777" t="s">
        <v>4061</v>
      </c>
      <c r="F777" t="s">
        <v>2271</v>
      </c>
      <c r="G777">
        <v>34</v>
      </c>
      <c r="H777" t="s">
        <v>339</v>
      </c>
      <c r="I777" t="s">
        <v>24</v>
      </c>
      <c r="J777" t="s">
        <v>1281</v>
      </c>
      <c r="K777">
        <v>72</v>
      </c>
      <c r="L777" t="s">
        <v>2601</v>
      </c>
      <c r="M777" t="s">
        <v>2618</v>
      </c>
      <c r="N777" t="s">
        <v>69</v>
      </c>
      <c r="O777" s="12">
        <v>45805.831944444442</v>
      </c>
      <c r="Q777" s="12">
        <v>45805.859027777777</v>
      </c>
      <c r="R777" s="12">
        <v>45805.871527777781</v>
      </c>
      <c r="T777" t="s">
        <v>2763</v>
      </c>
      <c r="U777" t="b">
        <v>0</v>
      </c>
    </row>
    <row r="778" spans="1:21">
      <c r="A778" t="s">
        <v>4062</v>
      </c>
      <c r="B778" t="s">
        <v>2693</v>
      </c>
      <c r="C778" t="s">
        <v>1385</v>
      </c>
      <c r="D778" t="s">
        <v>4063</v>
      </c>
      <c r="E778" t="s">
        <v>4064</v>
      </c>
      <c r="F778" t="s">
        <v>2617</v>
      </c>
      <c r="G778">
        <v>2100</v>
      </c>
      <c r="H778" t="s">
        <v>404</v>
      </c>
      <c r="I778" t="s">
        <v>17</v>
      </c>
      <c r="J778" t="s">
        <v>1288</v>
      </c>
      <c r="K778">
        <v>69</v>
      </c>
      <c r="L778" t="s">
        <v>2601</v>
      </c>
      <c r="M778" t="s">
        <v>2593</v>
      </c>
      <c r="O778" s="12">
        <v>46123.598611111112</v>
      </c>
      <c r="U778" t="b">
        <v>0</v>
      </c>
    </row>
    <row r="779" spans="1:21">
      <c r="A779" t="s">
        <v>4065</v>
      </c>
      <c r="B779" t="s">
        <v>2706</v>
      </c>
      <c r="C779" t="s">
        <v>1353</v>
      </c>
      <c r="D779" t="s">
        <v>4066</v>
      </c>
      <c r="E779" t="s">
        <v>4067</v>
      </c>
      <c r="F779" t="s">
        <v>1294</v>
      </c>
      <c r="G779">
        <v>61</v>
      </c>
      <c r="H779" t="s">
        <v>120</v>
      </c>
      <c r="I779" t="s">
        <v>24</v>
      </c>
      <c r="J779" t="s">
        <v>1413</v>
      </c>
      <c r="K779">
        <v>76</v>
      </c>
      <c r="L779" t="s">
        <v>2592</v>
      </c>
      <c r="M779" t="s">
        <v>2605</v>
      </c>
      <c r="N779" t="s">
        <v>25</v>
      </c>
      <c r="O779" s="12">
        <v>46189.055555555555</v>
      </c>
      <c r="P779" s="12">
        <v>46192.138888888891</v>
      </c>
      <c r="Q779" s="12">
        <v>46189.250694444447</v>
      </c>
      <c r="R779" s="12">
        <v>46189.351388888892</v>
      </c>
      <c r="U779" t="b">
        <v>0</v>
      </c>
    </row>
    <row r="780" spans="1:21">
      <c r="A780" t="s">
        <v>4068</v>
      </c>
      <c r="B780" t="s">
        <v>2607</v>
      </c>
      <c r="C780" t="s">
        <v>1158</v>
      </c>
      <c r="D780" t="s">
        <v>4069</v>
      </c>
      <c r="E780" t="s">
        <v>4070</v>
      </c>
      <c r="F780" t="s">
        <v>1367</v>
      </c>
      <c r="G780">
        <v>137</v>
      </c>
      <c r="H780" t="s">
        <v>50</v>
      </c>
      <c r="I780" t="s">
        <v>24</v>
      </c>
      <c r="J780" t="s">
        <v>1413</v>
      </c>
      <c r="K780">
        <v>74</v>
      </c>
      <c r="L780" t="s">
        <v>2592</v>
      </c>
      <c r="M780" t="s">
        <v>2597</v>
      </c>
      <c r="N780" t="s">
        <v>59</v>
      </c>
      <c r="O780" s="12">
        <v>45487.101388888892</v>
      </c>
      <c r="P780" s="12">
        <v>45489.643055555556</v>
      </c>
      <c r="Q780" s="12">
        <v>45487.277083333334</v>
      </c>
      <c r="R780" s="12">
        <v>45487.373611111114</v>
      </c>
      <c r="U780" t="b">
        <v>0</v>
      </c>
    </row>
    <row r="781" spans="1:21">
      <c r="A781" t="s">
        <v>4071</v>
      </c>
      <c r="B781" t="s">
        <v>2666</v>
      </c>
      <c r="C781" t="s">
        <v>1142</v>
      </c>
      <c r="D781" t="s">
        <v>4072</v>
      </c>
      <c r="E781" t="s">
        <v>4073</v>
      </c>
      <c r="F781" t="s">
        <v>2084</v>
      </c>
      <c r="G781">
        <v>2187</v>
      </c>
      <c r="H781" t="s">
        <v>415</v>
      </c>
      <c r="I781" t="s">
        <v>17</v>
      </c>
      <c r="J781" t="s">
        <v>1413</v>
      </c>
      <c r="K781">
        <v>79</v>
      </c>
      <c r="L781" t="s">
        <v>2601</v>
      </c>
      <c r="M781" t="s">
        <v>2593</v>
      </c>
      <c r="N781" t="s">
        <v>55</v>
      </c>
      <c r="O781" s="12">
        <v>45484.088194444441</v>
      </c>
      <c r="Q781" s="12">
        <v>45484.304861111108</v>
      </c>
      <c r="R781" s="12">
        <v>45484.442361111112</v>
      </c>
      <c r="U781" t="b">
        <v>0</v>
      </c>
    </row>
    <row r="782" spans="1:21">
      <c r="A782" t="s">
        <v>4074</v>
      </c>
      <c r="B782" t="s">
        <v>2578</v>
      </c>
      <c r="C782" t="s">
        <v>1971</v>
      </c>
      <c r="D782" t="s">
        <v>4075</v>
      </c>
      <c r="E782" t="s">
        <v>4076</v>
      </c>
      <c r="F782" t="s">
        <v>1367</v>
      </c>
      <c r="G782">
        <v>134</v>
      </c>
      <c r="H782" t="s">
        <v>205</v>
      </c>
      <c r="I782" t="s">
        <v>24</v>
      </c>
      <c r="J782" t="s">
        <v>1281</v>
      </c>
      <c r="K782">
        <v>81</v>
      </c>
      <c r="L782" t="s">
        <v>2642</v>
      </c>
      <c r="M782" t="s">
        <v>2643</v>
      </c>
      <c r="N782" t="s">
        <v>59</v>
      </c>
      <c r="O782" s="12">
        <v>45558.074999999997</v>
      </c>
      <c r="P782" s="12">
        <v>45562.2</v>
      </c>
      <c r="Q782" s="12">
        <v>45558.22152777778</v>
      </c>
      <c r="R782" s="12">
        <v>45558.34652777778</v>
      </c>
      <c r="S782" s="12">
        <v>45569.533333333333</v>
      </c>
      <c r="U782" t="b">
        <v>0</v>
      </c>
    </row>
    <row r="783" spans="1:21">
      <c r="A783" t="s">
        <v>4077</v>
      </c>
      <c r="B783" t="s">
        <v>1521</v>
      </c>
      <c r="C783" t="s">
        <v>1337</v>
      </c>
      <c r="D783" t="s">
        <v>4078</v>
      </c>
      <c r="E783" t="s">
        <v>4079</v>
      </c>
      <c r="F783" t="s">
        <v>1517</v>
      </c>
      <c r="G783">
        <v>284</v>
      </c>
      <c r="H783" t="s">
        <v>140</v>
      </c>
      <c r="I783" t="s">
        <v>30</v>
      </c>
      <c r="J783" t="s">
        <v>1295</v>
      </c>
      <c r="K783">
        <v>87</v>
      </c>
      <c r="L783" t="s">
        <v>2592</v>
      </c>
      <c r="M783" t="s">
        <v>2597</v>
      </c>
      <c r="N783" t="s">
        <v>82</v>
      </c>
      <c r="O783" s="12">
        <v>45528.553472222222</v>
      </c>
      <c r="P783" s="12">
        <v>45533.053472222222</v>
      </c>
      <c r="Q783" s="12">
        <v>45528.59652777778</v>
      </c>
      <c r="R783" s="12">
        <v>45528.67083333333</v>
      </c>
      <c r="U783" t="b">
        <v>0</v>
      </c>
    </row>
    <row r="784" spans="1:21">
      <c r="A784" t="s">
        <v>4080</v>
      </c>
      <c r="B784" t="s">
        <v>1190</v>
      </c>
      <c r="C784" t="s">
        <v>1650</v>
      </c>
      <c r="D784" t="s">
        <v>4081</v>
      </c>
      <c r="E784" t="s">
        <v>4082</v>
      </c>
      <c r="F784" t="s">
        <v>1420</v>
      </c>
      <c r="G784">
        <v>1450</v>
      </c>
      <c r="H784" t="s">
        <v>68</v>
      </c>
      <c r="I784" t="s">
        <v>17</v>
      </c>
      <c r="J784" t="s">
        <v>1281</v>
      </c>
      <c r="K784">
        <v>91</v>
      </c>
      <c r="L784" t="s">
        <v>2592</v>
      </c>
      <c r="M784" t="s">
        <v>2593</v>
      </c>
      <c r="N784" t="s">
        <v>55</v>
      </c>
      <c r="O784" s="12">
        <v>45338.923611111109</v>
      </c>
      <c r="P784" s="12">
        <v>45342.423611111109</v>
      </c>
      <c r="Q784" s="12">
        <v>45338.969444444447</v>
      </c>
      <c r="R784" s="12">
        <v>45339.04583333333</v>
      </c>
      <c r="U784" t="b">
        <v>0</v>
      </c>
    </row>
    <row r="785" spans="1:21">
      <c r="A785" t="s">
        <v>4083</v>
      </c>
      <c r="B785" t="s">
        <v>1175</v>
      </c>
      <c r="C785" t="s">
        <v>1353</v>
      </c>
      <c r="D785" t="s">
        <v>4084</v>
      </c>
      <c r="E785" t="s">
        <v>4085</v>
      </c>
      <c r="F785" t="s">
        <v>1843</v>
      </c>
      <c r="G785">
        <v>189</v>
      </c>
      <c r="H785" t="s">
        <v>95</v>
      </c>
      <c r="I785" t="s">
        <v>24</v>
      </c>
      <c r="J785" t="s">
        <v>1271</v>
      </c>
      <c r="K785">
        <v>44</v>
      </c>
      <c r="L785" t="s">
        <v>2592</v>
      </c>
      <c r="M785" t="s">
        <v>2597</v>
      </c>
      <c r="N785" t="s">
        <v>91</v>
      </c>
      <c r="O785" s="12">
        <v>45562.446527777778</v>
      </c>
      <c r="P785" s="12">
        <v>45566.738194444442</v>
      </c>
      <c r="Q785" s="12">
        <v>45562.559027777781</v>
      </c>
      <c r="R785" s="12">
        <v>45562.688888888886</v>
      </c>
      <c r="U785" t="b">
        <v>0</v>
      </c>
    </row>
    <row r="786" spans="1:21">
      <c r="A786" t="s">
        <v>4086</v>
      </c>
      <c r="B786" t="s">
        <v>2682</v>
      </c>
      <c r="C786" t="s">
        <v>1385</v>
      </c>
      <c r="D786" t="s">
        <v>4087</v>
      </c>
      <c r="E786" t="s">
        <v>4088</v>
      </c>
      <c r="F786" t="s">
        <v>2755</v>
      </c>
      <c r="G786">
        <v>159</v>
      </c>
      <c r="H786" t="s">
        <v>154</v>
      </c>
      <c r="I786" t="s">
        <v>24</v>
      </c>
      <c r="J786" t="s">
        <v>1288</v>
      </c>
      <c r="K786">
        <v>59</v>
      </c>
      <c r="L786" t="s">
        <v>2601</v>
      </c>
      <c r="M786" t="s">
        <v>2605</v>
      </c>
      <c r="N786" t="s">
        <v>25</v>
      </c>
      <c r="O786" s="12">
        <v>45846.352083333331</v>
      </c>
      <c r="Q786" s="12">
        <v>45846.365277777775</v>
      </c>
      <c r="R786" s="12">
        <v>45847.656944444447</v>
      </c>
      <c r="U786" t="b">
        <v>0</v>
      </c>
    </row>
    <row r="787" spans="1:21">
      <c r="A787" t="s">
        <v>4089</v>
      </c>
      <c r="B787" t="s">
        <v>1190</v>
      </c>
      <c r="C787" t="s">
        <v>1191</v>
      </c>
      <c r="D787" t="s">
        <v>4090</v>
      </c>
      <c r="E787" t="s">
        <v>4091</v>
      </c>
      <c r="F787" t="s">
        <v>1487</v>
      </c>
      <c r="G787">
        <v>17</v>
      </c>
      <c r="H787" t="s">
        <v>216</v>
      </c>
      <c r="J787" t="s">
        <v>1355</v>
      </c>
      <c r="K787">
        <v>45</v>
      </c>
      <c r="L787" t="s">
        <v>2592</v>
      </c>
      <c r="M787" t="s">
        <v>2597</v>
      </c>
      <c r="O787" s="12">
        <v>45814.808333333334</v>
      </c>
      <c r="P787" s="12">
        <v>45816.183333333334</v>
      </c>
      <c r="U787" t="b">
        <v>0</v>
      </c>
    </row>
    <row r="788" spans="1:21">
      <c r="A788" t="s">
        <v>4092</v>
      </c>
      <c r="B788" t="s">
        <v>2733</v>
      </c>
      <c r="C788" t="s">
        <v>1191</v>
      </c>
      <c r="D788" t="s">
        <v>4093</v>
      </c>
      <c r="E788" t="s">
        <v>4094</v>
      </c>
      <c r="F788" t="s">
        <v>1784</v>
      </c>
      <c r="G788">
        <v>419</v>
      </c>
      <c r="H788" t="s">
        <v>23</v>
      </c>
      <c r="I788" t="s">
        <v>30</v>
      </c>
      <c r="J788" t="s">
        <v>1317</v>
      </c>
      <c r="K788">
        <v>81</v>
      </c>
      <c r="L788" t="s">
        <v>2642</v>
      </c>
      <c r="M788" t="s">
        <v>2643</v>
      </c>
      <c r="N788" t="s">
        <v>82</v>
      </c>
      <c r="O788" s="12">
        <v>45629.506944444445</v>
      </c>
      <c r="P788" s="12">
        <v>45631.256944444445</v>
      </c>
      <c r="Q788" s="12">
        <v>45629.583333333336</v>
      </c>
      <c r="R788" s="12">
        <v>45629.729166666664</v>
      </c>
      <c r="S788" s="12">
        <v>45633.840277777781</v>
      </c>
      <c r="U788" t="b">
        <v>0</v>
      </c>
    </row>
    <row r="789" spans="1:21">
      <c r="A789" t="s">
        <v>4095</v>
      </c>
      <c r="B789" t="s">
        <v>2906</v>
      </c>
      <c r="C789" t="s">
        <v>1307</v>
      </c>
      <c r="D789" t="s">
        <v>4096</v>
      </c>
      <c r="E789" t="s">
        <v>4097</v>
      </c>
      <c r="F789" t="s">
        <v>2271</v>
      </c>
      <c r="G789">
        <v>161</v>
      </c>
      <c r="H789" t="s">
        <v>178</v>
      </c>
      <c r="I789" t="s">
        <v>24</v>
      </c>
      <c r="J789" t="s">
        <v>1339</v>
      </c>
      <c r="K789">
        <v>89</v>
      </c>
      <c r="L789" t="s">
        <v>2592</v>
      </c>
      <c r="M789" t="s">
        <v>2605</v>
      </c>
      <c r="N789" t="s">
        <v>59</v>
      </c>
      <c r="O789" s="12">
        <v>45759.768750000003</v>
      </c>
      <c r="P789" s="12">
        <v>45761.977083333331</v>
      </c>
      <c r="Q789" s="12">
        <v>45759.9375</v>
      </c>
      <c r="R789" s="12">
        <v>45760.070833333331</v>
      </c>
      <c r="U789" t="b">
        <v>0</v>
      </c>
    </row>
    <row r="790" spans="1:21">
      <c r="A790" t="s">
        <v>4098</v>
      </c>
      <c r="B790" t="s">
        <v>2645</v>
      </c>
      <c r="C790" t="s">
        <v>1291</v>
      </c>
      <c r="D790" t="s">
        <v>4099</v>
      </c>
      <c r="E790" t="s">
        <v>4100</v>
      </c>
      <c r="F790" t="s">
        <v>1309</v>
      </c>
      <c r="G790">
        <v>443</v>
      </c>
      <c r="H790" t="s">
        <v>236</v>
      </c>
      <c r="I790" t="s">
        <v>30</v>
      </c>
      <c r="J790" t="s">
        <v>3373</v>
      </c>
      <c r="K790">
        <v>81</v>
      </c>
      <c r="L790" t="s">
        <v>2642</v>
      </c>
      <c r="M790" t="s">
        <v>2597</v>
      </c>
      <c r="N790" t="s">
        <v>18</v>
      </c>
      <c r="O790" s="12">
        <v>46100.334722222222</v>
      </c>
      <c r="P790" s="12">
        <v>46103.126388888886</v>
      </c>
      <c r="Q790" s="12">
        <v>46100.459027777775</v>
      </c>
      <c r="R790" s="12">
        <v>46100.530555555553</v>
      </c>
      <c r="S790" s="12">
        <v>46105.959722222222</v>
      </c>
      <c r="U790" t="b">
        <v>0</v>
      </c>
    </row>
    <row r="791" spans="1:21">
      <c r="A791" t="s">
        <v>4101</v>
      </c>
      <c r="B791" t="s">
        <v>2628</v>
      </c>
      <c r="C791" t="s">
        <v>1385</v>
      </c>
      <c r="D791" t="s">
        <v>4102</v>
      </c>
      <c r="E791" t="s">
        <v>4103</v>
      </c>
      <c r="F791" t="s">
        <v>2680</v>
      </c>
      <c r="G791">
        <v>458</v>
      </c>
      <c r="H791" t="s">
        <v>16</v>
      </c>
      <c r="I791" t="s">
        <v>30</v>
      </c>
      <c r="J791" t="s">
        <v>1295</v>
      </c>
      <c r="K791">
        <v>89</v>
      </c>
      <c r="L791" t="s">
        <v>2642</v>
      </c>
      <c r="M791" t="s">
        <v>2643</v>
      </c>
      <c r="N791" t="s">
        <v>18</v>
      </c>
      <c r="O791" s="12">
        <v>46056.086805555555</v>
      </c>
      <c r="P791" s="12">
        <v>46060.545138888891</v>
      </c>
      <c r="Q791" s="12">
        <v>46056.152777777781</v>
      </c>
      <c r="R791" s="12">
        <v>46056.284722222219</v>
      </c>
      <c r="S791" s="12">
        <v>46063.795138888891</v>
      </c>
      <c r="U791" t="b">
        <v>0</v>
      </c>
    </row>
    <row r="792" spans="1:21">
      <c r="A792" t="s">
        <v>4104</v>
      </c>
      <c r="B792" t="s">
        <v>2682</v>
      </c>
      <c r="C792" t="s">
        <v>1541</v>
      </c>
      <c r="D792" t="s">
        <v>4105</v>
      </c>
      <c r="E792" t="s">
        <v>4106</v>
      </c>
      <c r="F792" t="s">
        <v>1294</v>
      </c>
      <c r="G792">
        <v>151</v>
      </c>
      <c r="H792" t="s">
        <v>50</v>
      </c>
      <c r="I792" t="s">
        <v>24</v>
      </c>
      <c r="J792" t="s">
        <v>1288</v>
      </c>
      <c r="K792">
        <v>67</v>
      </c>
      <c r="L792" t="s">
        <v>2592</v>
      </c>
      <c r="M792" t="s">
        <v>2597</v>
      </c>
      <c r="N792" t="s">
        <v>59</v>
      </c>
      <c r="O792" s="12">
        <v>45870.172222222223</v>
      </c>
      <c r="P792" s="12">
        <v>45875.130555555559</v>
      </c>
      <c r="Q792" s="12">
        <v>45870.244444444441</v>
      </c>
      <c r="U792" t="b">
        <v>0</v>
      </c>
    </row>
    <row r="793" spans="1:21">
      <c r="A793" t="s">
        <v>4107</v>
      </c>
      <c r="B793" t="s">
        <v>1138</v>
      </c>
      <c r="C793" t="s">
        <v>2283</v>
      </c>
      <c r="D793" t="s">
        <v>4108</v>
      </c>
      <c r="E793" t="s">
        <v>4109</v>
      </c>
      <c r="F793" t="s">
        <v>1294</v>
      </c>
      <c r="G793">
        <v>191</v>
      </c>
      <c r="H793" t="s">
        <v>50</v>
      </c>
      <c r="I793" t="s">
        <v>24</v>
      </c>
      <c r="J793" t="s">
        <v>1339</v>
      </c>
      <c r="K793">
        <v>83</v>
      </c>
      <c r="L793" t="s">
        <v>2592</v>
      </c>
      <c r="M793" t="s">
        <v>2597</v>
      </c>
      <c r="N793" t="s">
        <v>59</v>
      </c>
      <c r="O793" s="12">
        <v>45588.706250000003</v>
      </c>
      <c r="P793" s="12">
        <v>45590.664583333331</v>
      </c>
      <c r="Q793" s="12">
        <v>45588.786111111112</v>
      </c>
      <c r="R793" s="12">
        <v>45588.85</v>
      </c>
      <c r="U793" t="b">
        <v>0</v>
      </c>
    </row>
    <row r="794" spans="1:21">
      <c r="A794" t="s">
        <v>4110</v>
      </c>
      <c r="B794" t="s">
        <v>1431</v>
      </c>
      <c r="C794" t="s">
        <v>1125</v>
      </c>
      <c r="D794" t="s">
        <v>4111</v>
      </c>
      <c r="E794" t="s">
        <v>4112</v>
      </c>
      <c r="F794" t="s">
        <v>1309</v>
      </c>
      <c r="G794">
        <v>99</v>
      </c>
      <c r="H794" t="s">
        <v>323</v>
      </c>
      <c r="I794" t="s">
        <v>24</v>
      </c>
      <c r="J794" t="s">
        <v>1295</v>
      </c>
      <c r="K794">
        <v>90</v>
      </c>
      <c r="L794" t="s">
        <v>2601</v>
      </c>
      <c r="M794" t="s">
        <v>2605</v>
      </c>
      <c r="N794" t="s">
        <v>25</v>
      </c>
      <c r="O794" s="12">
        <v>45828.788888888892</v>
      </c>
      <c r="Q794" s="12">
        <v>45828.842361111114</v>
      </c>
      <c r="R794" s="12">
        <v>45829.134027777778</v>
      </c>
      <c r="U794" t="b">
        <v>0</v>
      </c>
    </row>
    <row r="795" spans="1:21">
      <c r="A795" t="s">
        <v>4113</v>
      </c>
      <c r="B795" t="s">
        <v>2789</v>
      </c>
      <c r="C795" t="s">
        <v>1135</v>
      </c>
      <c r="D795" t="s">
        <v>4114</v>
      </c>
      <c r="E795" t="s">
        <v>4115</v>
      </c>
      <c r="F795" t="s">
        <v>2271</v>
      </c>
      <c r="G795">
        <v>105</v>
      </c>
      <c r="H795" t="s">
        <v>154</v>
      </c>
      <c r="I795" t="s">
        <v>24</v>
      </c>
      <c r="J795" t="s">
        <v>1339</v>
      </c>
      <c r="K795">
        <v>79</v>
      </c>
      <c r="L795" t="s">
        <v>2592</v>
      </c>
      <c r="M795" t="s">
        <v>2605</v>
      </c>
      <c r="N795" t="s">
        <v>25</v>
      </c>
      <c r="O795" s="12">
        <v>45770.255555555559</v>
      </c>
      <c r="P795" s="12">
        <v>45775.172222222223</v>
      </c>
      <c r="Q795" s="12">
        <v>45770.288194444445</v>
      </c>
      <c r="R795" s="12">
        <v>45770.377083333333</v>
      </c>
      <c r="U795" t="b">
        <v>0</v>
      </c>
    </row>
    <row r="796" spans="1:21">
      <c r="A796" t="s">
        <v>4116</v>
      </c>
      <c r="B796" t="s">
        <v>2967</v>
      </c>
      <c r="C796" t="s">
        <v>1404</v>
      </c>
      <c r="D796" t="s">
        <v>4117</v>
      </c>
      <c r="E796" t="s">
        <v>4118</v>
      </c>
      <c r="F796" t="s">
        <v>1448</v>
      </c>
      <c r="G796">
        <v>1907</v>
      </c>
      <c r="H796" t="s">
        <v>81</v>
      </c>
      <c r="I796" t="s">
        <v>17</v>
      </c>
      <c r="J796" t="s">
        <v>1295</v>
      </c>
      <c r="K796">
        <v>80</v>
      </c>
      <c r="L796" t="s">
        <v>2642</v>
      </c>
      <c r="M796" t="s">
        <v>2643</v>
      </c>
      <c r="N796" t="s">
        <v>82</v>
      </c>
      <c r="O796" s="12">
        <v>45702.814583333333</v>
      </c>
      <c r="P796" s="12">
        <v>45704.022916666669</v>
      </c>
      <c r="Q796" s="12">
        <v>45702.976388888892</v>
      </c>
      <c r="R796" s="12">
        <v>45703.098611111112</v>
      </c>
      <c r="S796" s="12">
        <v>45712.731249999997</v>
      </c>
      <c r="U796" t="b">
        <v>0</v>
      </c>
    </row>
    <row r="797" spans="1:21">
      <c r="A797" t="s">
        <v>4119</v>
      </c>
      <c r="B797" t="s">
        <v>2662</v>
      </c>
      <c r="C797" t="s">
        <v>1541</v>
      </c>
      <c r="D797" t="s">
        <v>4120</v>
      </c>
      <c r="E797" t="s">
        <v>4121</v>
      </c>
      <c r="F797" t="s">
        <v>2617</v>
      </c>
      <c r="G797">
        <v>290</v>
      </c>
      <c r="H797" t="s">
        <v>216</v>
      </c>
      <c r="I797" t="s">
        <v>30</v>
      </c>
      <c r="J797" t="s">
        <v>1288</v>
      </c>
      <c r="K797">
        <v>36</v>
      </c>
      <c r="L797" t="s">
        <v>2601</v>
      </c>
      <c r="M797" t="s">
        <v>2655</v>
      </c>
      <c r="N797" t="s">
        <v>18</v>
      </c>
      <c r="O797" s="12">
        <v>46109.681250000001</v>
      </c>
      <c r="Q797" s="12">
        <v>46109.754166666666</v>
      </c>
      <c r="U797" t="b">
        <v>0</v>
      </c>
    </row>
    <row r="798" spans="1:21">
      <c r="A798" t="s">
        <v>4122</v>
      </c>
      <c r="B798" t="s">
        <v>2682</v>
      </c>
      <c r="C798" t="s">
        <v>1155</v>
      </c>
      <c r="D798" t="s">
        <v>4123</v>
      </c>
      <c r="E798" t="s">
        <v>4124</v>
      </c>
      <c r="F798" t="s">
        <v>1511</v>
      </c>
      <c r="G798">
        <v>232</v>
      </c>
      <c r="H798" t="s">
        <v>285</v>
      </c>
      <c r="I798" t="s">
        <v>30</v>
      </c>
      <c r="J798" t="s">
        <v>1271</v>
      </c>
      <c r="K798">
        <v>43</v>
      </c>
      <c r="L798" t="s">
        <v>2592</v>
      </c>
      <c r="M798" t="s">
        <v>2597</v>
      </c>
      <c r="N798" t="s">
        <v>36</v>
      </c>
      <c r="O798" s="12">
        <v>46219.824305555558</v>
      </c>
      <c r="P798" s="12">
        <v>46220.240972222222</v>
      </c>
      <c r="Q798" s="12">
        <v>46219.879861111112</v>
      </c>
      <c r="R798" s="12">
        <v>46219.888888888891</v>
      </c>
      <c r="U798" t="b">
        <v>0</v>
      </c>
    </row>
    <row r="799" spans="1:21">
      <c r="A799" t="s">
        <v>4125</v>
      </c>
      <c r="B799" t="s">
        <v>1898</v>
      </c>
      <c r="C799" t="s">
        <v>1343</v>
      </c>
      <c r="D799" t="s">
        <v>4126</v>
      </c>
      <c r="E799" t="s">
        <v>4127</v>
      </c>
      <c r="F799" t="s">
        <v>1309</v>
      </c>
      <c r="G799">
        <v>112</v>
      </c>
      <c r="H799" t="s">
        <v>1077</v>
      </c>
      <c r="I799" t="s">
        <v>24</v>
      </c>
      <c r="J799" t="s">
        <v>1413</v>
      </c>
      <c r="K799">
        <v>58</v>
      </c>
      <c r="L799" t="s">
        <v>2592</v>
      </c>
      <c r="M799" t="s">
        <v>2597</v>
      </c>
      <c r="N799" t="s">
        <v>69</v>
      </c>
      <c r="O799" s="12">
        <v>45536.620138888888</v>
      </c>
      <c r="P799" s="12">
        <v>45539.703472222223</v>
      </c>
      <c r="Q799" s="12">
        <v>45536.643750000003</v>
      </c>
      <c r="R799" s="12">
        <v>45536.686805555553</v>
      </c>
      <c r="U799" t="b">
        <v>0</v>
      </c>
    </row>
    <row r="800" spans="1:21">
      <c r="A800" t="s">
        <v>4128</v>
      </c>
      <c r="B800" t="s">
        <v>2967</v>
      </c>
      <c r="C800" t="s">
        <v>1353</v>
      </c>
      <c r="D800" t="s">
        <v>4129</v>
      </c>
      <c r="E800" t="s">
        <v>4130</v>
      </c>
      <c r="F800" t="s">
        <v>1367</v>
      </c>
      <c r="G800">
        <v>594</v>
      </c>
      <c r="H800" t="s">
        <v>226</v>
      </c>
      <c r="I800" t="s">
        <v>30</v>
      </c>
      <c r="J800" t="s">
        <v>1288</v>
      </c>
      <c r="K800">
        <v>55</v>
      </c>
      <c r="L800" t="s">
        <v>2592</v>
      </c>
      <c r="M800" t="s">
        <v>2597</v>
      </c>
      <c r="N800" t="s">
        <v>55</v>
      </c>
      <c r="O800" s="12">
        <v>45571.13958333333</v>
      </c>
      <c r="P800" s="12">
        <v>45574.431250000001</v>
      </c>
      <c r="Q800" s="12">
        <v>45571.359722222223</v>
      </c>
      <c r="R800" s="12">
        <v>45572.276388888888</v>
      </c>
      <c r="U800" t="b">
        <v>0</v>
      </c>
    </row>
    <row r="801" spans="1:21">
      <c r="A801" t="s">
        <v>4131</v>
      </c>
      <c r="B801" t="s">
        <v>1521</v>
      </c>
      <c r="C801" t="s">
        <v>1475</v>
      </c>
      <c r="D801" t="s">
        <v>4132</v>
      </c>
      <c r="E801" t="s">
        <v>4133</v>
      </c>
      <c r="F801" t="s">
        <v>1784</v>
      </c>
      <c r="G801">
        <v>29</v>
      </c>
      <c r="H801" t="s">
        <v>16</v>
      </c>
      <c r="I801" t="s">
        <v>24</v>
      </c>
      <c r="J801" t="s">
        <v>1281</v>
      </c>
      <c r="K801">
        <v>62</v>
      </c>
      <c r="L801" t="s">
        <v>2592</v>
      </c>
      <c r="M801" t="s">
        <v>2593</v>
      </c>
      <c r="N801" t="s">
        <v>91</v>
      </c>
      <c r="O801" s="12">
        <v>45749.831944444442</v>
      </c>
      <c r="P801" s="12">
        <v>45752.290277777778</v>
      </c>
      <c r="Q801" s="12">
        <v>45750.047222222223</v>
      </c>
      <c r="R801" s="12">
        <v>45750.15</v>
      </c>
      <c r="U801" t="b">
        <v>0</v>
      </c>
    </row>
    <row r="802" spans="1:21">
      <c r="A802" t="s">
        <v>4134</v>
      </c>
      <c r="B802" t="s">
        <v>2711</v>
      </c>
      <c r="C802" t="s">
        <v>2283</v>
      </c>
      <c r="D802" t="s">
        <v>4135</v>
      </c>
      <c r="E802" t="s">
        <v>4136</v>
      </c>
      <c r="F802" t="s">
        <v>1294</v>
      </c>
      <c r="G802">
        <v>32</v>
      </c>
      <c r="H802" t="s">
        <v>226</v>
      </c>
      <c r="I802" t="s">
        <v>24</v>
      </c>
      <c r="J802" t="s">
        <v>1288</v>
      </c>
      <c r="K802">
        <v>78</v>
      </c>
      <c r="L802" t="s">
        <v>2642</v>
      </c>
      <c r="M802" t="s">
        <v>2643</v>
      </c>
      <c r="N802" t="s">
        <v>69</v>
      </c>
      <c r="O802" s="12">
        <v>45923.118055555555</v>
      </c>
      <c r="P802" s="12">
        <v>45928.076388888891</v>
      </c>
      <c r="Q802" s="12">
        <v>45923.242361111108</v>
      </c>
      <c r="R802" s="12">
        <v>45923.262499999997</v>
      </c>
      <c r="S802" s="12">
        <v>45932.576388888891</v>
      </c>
      <c r="U802" t="b">
        <v>0</v>
      </c>
    </row>
    <row r="803" spans="1:21">
      <c r="A803" t="s">
        <v>4137</v>
      </c>
      <c r="B803" t="s">
        <v>1221</v>
      </c>
      <c r="C803" t="s">
        <v>1771</v>
      </c>
      <c r="D803" t="s">
        <v>4138</v>
      </c>
      <c r="E803" t="s">
        <v>4139</v>
      </c>
      <c r="F803" t="s">
        <v>1511</v>
      </c>
      <c r="G803">
        <v>117</v>
      </c>
      <c r="H803" t="s">
        <v>50</v>
      </c>
      <c r="I803" t="s">
        <v>24</v>
      </c>
      <c r="J803" t="s">
        <v>1355</v>
      </c>
      <c r="K803">
        <v>77</v>
      </c>
      <c r="L803" t="s">
        <v>2592</v>
      </c>
      <c r="M803" t="s">
        <v>2597</v>
      </c>
      <c r="N803" t="s">
        <v>59</v>
      </c>
      <c r="O803" s="12">
        <v>45539.897222222222</v>
      </c>
      <c r="P803" s="12">
        <v>45540.938888888886</v>
      </c>
      <c r="Q803" s="12">
        <v>45539.993750000001</v>
      </c>
      <c r="R803" s="12">
        <v>45540.064583333333</v>
      </c>
      <c r="U803" t="b">
        <v>0</v>
      </c>
    </row>
    <row r="804" spans="1:21">
      <c r="A804" t="s">
        <v>4140</v>
      </c>
      <c r="B804" t="s">
        <v>2657</v>
      </c>
      <c r="C804" t="s">
        <v>1180</v>
      </c>
      <c r="D804" t="s">
        <v>4141</v>
      </c>
      <c r="E804" t="s">
        <v>4142</v>
      </c>
      <c r="F804" t="s">
        <v>2755</v>
      </c>
      <c r="G804">
        <v>172</v>
      </c>
      <c r="H804" t="s">
        <v>638</v>
      </c>
      <c r="I804" t="s">
        <v>24</v>
      </c>
      <c r="J804" t="s">
        <v>1413</v>
      </c>
      <c r="K804">
        <v>58</v>
      </c>
      <c r="L804" t="s">
        <v>2601</v>
      </c>
      <c r="M804" t="s">
        <v>2593</v>
      </c>
      <c r="N804" t="s">
        <v>69</v>
      </c>
      <c r="O804" s="12">
        <v>45300.4375</v>
      </c>
      <c r="Q804" s="12">
        <v>45300.574999999997</v>
      </c>
      <c r="R804" s="12">
        <v>45300.667361111111</v>
      </c>
      <c r="U804" t="b">
        <v>0</v>
      </c>
    </row>
    <row r="805" spans="1:21">
      <c r="A805" t="s">
        <v>4143</v>
      </c>
      <c r="B805" t="s">
        <v>1521</v>
      </c>
      <c r="C805" t="s">
        <v>1541</v>
      </c>
      <c r="D805" t="s">
        <v>4144</v>
      </c>
      <c r="E805" t="s">
        <v>4145</v>
      </c>
      <c r="F805" t="s">
        <v>1294</v>
      </c>
      <c r="G805">
        <v>350</v>
      </c>
      <c r="H805" t="s">
        <v>68</v>
      </c>
      <c r="I805" t="s">
        <v>30</v>
      </c>
      <c r="J805" t="s">
        <v>1271</v>
      </c>
      <c r="K805">
        <v>38</v>
      </c>
      <c r="L805" t="s">
        <v>2592</v>
      </c>
      <c r="M805" t="s">
        <v>2593</v>
      </c>
      <c r="N805" t="s">
        <v>55</v>
      </c>
      <c r="O805" s="12">
        <v>45595.041666666664</v>
      </c>
      <c r="P805" s="12">
        <v>45596.291666666664</v>
      </c>
      <c r="Q805" s="12">
        <v>45595.161805555559</v>
      </c>
      <c r="R805" s="12">
        <v>45595.202777777777</v>
      </c>
      <c r="U805" t="b">
        <v>0</v>
      </c>
    </row>
    <row r="806" spans="1:21">
      <c r="A806" t="s">
        <v>4146</v>
      </c>
      <c r="B806" t="s">
        <v>1111</v>
      </c>
      <c r="C806" t="s">
        <v>1462</v>
      </c>
      <c r="D806" t="s">
        <v>4147</v>
      </c>
      <c r="E806" t="s">
        <v>4148</v>
      </c>
      <c r="F806" t="s">
        <v>2271</v>
      </c>
      <c r="G806">
        <v>185</v>
      </c>
      <c r="H806" t="s">
        <v>295</v>
      </c>
      <c r="I806" t="s">
        <v>24</v>
      </c>
      <c r="J806" t="s">
        <v>1295</v>
      </c>
      <c r="K806">
        <v>92</v>
      </c>
      <c r="L806" t="s">
        <v>2601</v>
      </c>
      <c r="M806" t="s">
        <v>2655</v>
      </c>
      <c r="N806" t="s">
        <v>25</v>
      </c>
      <c r="O806" s="12">
        <v>45408.031944444447</v>
      </c>
      <c r="Q806" s="12">
        <v>45408.106249999997</v>
      </c>
      <c r="U806" t="b">
        <v>0</v>
      </c>
    </row>
    <row r="807" spans="1:21">
      <c r="A807" t="s">
        <v>4149</v>
      </c>
      <c r="B807" t="s">
        <v>2645</v>
      </c>
      <c r="C807" t="s">
        <v>1365</v>
      </c>
      <c r="D807" t="s">
        <v>4150</v>
      </c>
      <c r="E807" t="s">
        <v>4151</v>
      </c>
      <c r="F807" t="s">
        <v>1471</v>
      </c>
      <c r="G807">
        <v>59</v>
      </c>
      <c r="H807" t="s">
        <v>205</v>
      </c>
      <c r="I807" t="s">
        <v>24</v>
      </c>
      <c r="J807" t="s">
        <v>1295</v>
      </c>
      <c r="K807">
        <v>81</v>
      </c>
      <c r="L807" t="s">
        <v>2642</v>
      </c>
      <c r="M807" t="s">
        <v>2597</v>
      </c>
      <c r="N807" t="s">
        <v>59</v>
      </c>
      <c r="O807" s="12">
        <v>46090.947222222225</v>
      </c>
      <c r="P807" s="12">
        <v>46092.988888888889</v>
      </c>
      <c r="Q807" s="12">
        <v>46091.120833333334</v>
      </c>
      <c r="R807" s="12">
        <v>46091.214583333334</v>
      </c>
      <c r="S807" s="12">
        <v>46094.030555555553</v>
      </c>
      <c r="U807" t="b">
        <v>0</v>
      </c>
    </row>
    <row r="808" spans="1:21">
      <c r="A808" t="s">
        <v>4152</v>
      </c>
      <c r="B808" t="s">
        <v>1207</v>
      </c>
      <c r="C808" t="s">
        <v>1203</v>
      </c>
      <c r="D808" t="s">
        <v>4153</v>
      </c>
      <c r="E808" t="s">
        <v>4154</v>
      </c>
      <c r="F808" t="s">
        <v>1784</v>
      </c>
      <c r="G808">
        <v>30</v>
      </c>
      <c r="H808" t="s">
        <v>1034</v>
      </c>
      <c r="I808" t="s">
        <v>24</v>
      </c>
      <c r="J808" t="s">
        <v>1288</v>
      </c>
      <c r="K808">
        <v>44</v>
      </c>
      <c r="L808" t="s">
        <v>2601</v>
      </c>
      <c r="M808" t="s">
        <v>2618</v>
      </c>
      <c r="N808" t="s">
        <v>69</v>
      </c>
      <c r="O808" s="12">
        <v>45888.237500000003</v>
      </c>
      <c r="Q808" s="12">
        <v>45888.336111111108</v>
      </c>
      <c r="R808" s="12">
        <v>45889.419444444444</v>
      </c>
      <c r="T808" t="s">
        <v>2631</v>
      </c>
      <c r="U808" t="b">
        <v>0</v>
      </c>
    </row>
    <row r="809" spans="1:21">
      <c r="A809" t="s">
        <v>4155</v>
      </c>
      <c r="B809" t="s">
        <v>2711</v>
      </c>
      <c r="C809" t="s">
        <v>1971</v>
      </c>
      <c r="D809" t="s">
        <v>4156</v>
      </c>
      <c r="E809" t="s">
        <v>4157</v>
      </c>
      <c r="F809" t="s">
        <v>1517</v>
      </c>
      <c r="G809">
        <v>836</v>
      </c>
      <c r="H809" t="s">
        <v>23</v>
      </c>
      <c r="I809" t="s">
        <v>30</v>
      </c>
      <c r="J809" t="s">
        <v>1288</v>
      </c>
      <c r="K809">
        <v>45</v>
      </c>
      <c r="L809" t="s">
        <v>2592</v>
      </c>
      <c r="M809" t="s">
        <v>2605</v>
      </c>
      <c r="N809" t="s">
        <v>82</v>
      </c>
      <c r="O809" s="12">
        <v>45618.946527777778</v>
      </c>
      <c r="P809" s="12">
        <v>45623.238194444442</v>
      </c>
      <c r="Q809" s="12">
        <v>45619.182638888888</v>
      </c>
      <c r="R809" s="12">
        <v>45619.205555555556</v>
      </c>
      <c r="U809" t="b">
        <v>0</v>
      </c>
    </row>
    <row r="810" spans="1:21">
      <c r="A810" t="s">
        <v>4158</v>
      </c>
      <c r="B810" t="s">
        <v>1431</v>
      </c>
      <c r="C810" t="s">
        <v>1162</v>
      </c>
      <c r="D810" t="s">
        <v>4159</v>
      </c>
      <c r="E810" t="s">
        <v>4160</v>
      </c>
      <c r="F810" t="s">
        <v>1448</v>
      </c>
      <c r="G810">
        <v>192</v>
      </c>
      <c r="H810" t="s">
        <v>323</v>
      </c>
      <c r="I810" t="s">
        <v>24</v>
      </c>
      <c r="J810" t="s">
        <v>1339</v>
      </c>
      <c r="K810">
        <v>73</v>
      </c>
      <c r="L810" t="s">
        <v>2592</v>
      </c>
      <c r="M810" t="s">
        <v>2593</v>
      </c>
      <c r="N810" t="s">
        <v>25</v>
      </c>
      <c r="O810" s="12">
        <v>45541.082638888889</v>
      </c>
      <c r="P810" s="12">
        <v>45544.082638888889</v>
      </c>
      <c r="Q810" s="12">
        <v>45541.10833333333</v>
      </c>
      <c r="R810" s="12">
        <v>45542.525000000001</v>
      </c>
      <c r="U810" t="b">
        <v>0</v>
      </c>
    </row>
    <row r="811" spans="1:21">
      <c r="A811" t="s">
        <v>4161</v>
      </c>
      <c r="B811" t="s">
        <v>2874</v>
      </c>
      <c r="C811" t="s">
        <v>1222</v>
      </c>
      <c r="D811" t="s">
        <v>4162</v>
      </c>
      <c r="E811" t="s">
        <v>4163</v>
      </c>
      <c r="F811" t="s">
        <v>2084</v>
      </c>
      <c r="G811">
        <v>162</v>
      </c>
      <c r="H811" t="s">
        <v>226</v>
      </c>
      <c r="I811" t="s">
        <v>24</v>
      </c>
      <c r="J811" t="s">
        <v>1295</v>
      </c>
      <c r="K811">
        <v>84</v>
      </c>
      <c r="L811" t="s">
        <v>2592</v>
      </c>
      <c r="M811" t="s">
        <v>2605</v>
      </c>
      <c r="N811" t="s">
        <v>69</v>
      </c>
      <c r="O811" s="12">
        <v>45782.588194444441</v>
      </c>
      <c r="P811" s="12">
        <v>45783.129861111112</v>
      </c>
      <c r="Q811" s="12">
        <v>45782.748611111114</v>
      </c>
      <c r="R811" s="12">
        <v>45783.248611111114</v>
      </c>
      <c r="U811" t="b">
        <v>0</v>
      </c>
    </row>
    <row r="812" spans="1:21">
      <c r="A812" t="s">
        <v>4164</v>
      </c>
      <c r="B812" t="s">
        <v>2706</v>
      </c>
      <c r="C812" t="s">
        <v>1186</v>
      </c>
      <c r="D812" t="s">
        <v>4165</v>
      </c>
      <c r="E812" t="s">
        <v>4166</v>
      </c>
      <c r="F812" t="s">
        <v>2660</v>
      </c>
      <c r="G812">
        <v>91</v>
      </c>
      <c r="H812" t="s">
        <v>54</v>
      </c>
      <c r="I812" t="s">
        <v>24</v>
      </c>
      <c r="J812" t="s">
        <v>1413</v>
      </c>
      <c r="K812">
        <v>66</v>
      </c>
      <c r="L812" t="s">
        <v>2592</v>
      </c>
      <c r="M812" t="s">
        <v>2597</v>
      </c>
      <c r="N812" t="s">
        <v>69</v>
      </c>
      <c r="O812" s="12">
        <v>45588.65902777778</v>
      </c>
      <c r="P812" s="12">
        <v>45592.65902777778</v>
      </c>
      <c r="Q812" s="12">
        <v>45588.720138888886</v>
      </c>
      <c r="R812" s="12">
        <v>45588.870138888888</v>
      </c>
      <c r="U812" t="b">
        <v>0</v>
      </c>
    </row>
    <row r="813" spans="1:21">
      <c r="A813" t="s">
        <v>4167</v>
      </c>
      <c r="B813" t="s">
        <v>1521</v>
      </c>
      <c r="C813" t="s">
        <v>1222</v>
      </c>
      <c r="D813" t="s">
        <v>4168</v>
      </c>
      <c r="E813" t="s">
        <v>4169</v>
      </c>
      <c r="F813" t="s">
        <v>2084</v>
      </c>
      <c r="G813">
        <v>336</v>
      </c>
      <c r="H813" t="s">
        <v>16</v>
      </c>
      <c r="I813" t="s">
        <v>30</v>
      </c>
      <c r="J813" t="s">
        <v>1271</v>
      </c>
      <c r="K813">
        <v>60</v>
      </c>
      <c r="L813" t="s">
        <v>2642</v>
      </c>
      <c r="M813" t="s">
        <v>2643</v>
      </c>
      <c r="N813" t="s">
        <v>18</v>
      </c>
      <c r="O813" s="12">
        <v>45366.174305555556</v>
      </c>
      <c r="P813" s="12">
        <v>45367.049305555556</v>
      </c>
      <c r="Q813" s="12">
        <v>45366.303472222222</v>
      </c>
      <c r="R813" s="12">
        <v>45366.370833333334</v>
      </c>
      <c r="S813" s="12">
        <v>45370.59097222222</v>
      </c>
      <c r="U813" t="b">
        <v>0</v>
      </c>
    </row>
    <row r="814" spans="1:21">
      <c r="A814" t="s">
        <v>4170</v>
      </c>
      <c r="B814" t="s">
        <v>2682</v>
      </c>
      <c r="C814" t="s">
        <v>1176</v>
      </c>
      <c r="D814" t="s">
        <v>4171</v>
      </c>
      <c r="E814" t="s">
        <v>4172</v>
      </c>
      <c r="F814" t="s">
        <v>2680</v>
      </c>
      <c r="G814">
        <v>66</v>
      </c>
      <c r="H814" t="s">
        <v>140</v>
      </c>
      <c r="I814" t="s">
        <v>24</v>
      </c>
      <c r="J814" t="s">
        <v>1288</v>
      </c>
      <c r="K814">
        <v>41</v>
      </c>
      <c r="L814" t="s">
        <v>2601</v>
      </c>
      <c r="M814" t="s">
        <v>2593</v>
      </c>
      <c r="N814" t="s">
        <v>25</v>
      </c>
      <c r="O814" s="12">
        <v>46098.854861111111</v>
      </c>
      <c r="Q814" s="12">
        <v>46098.979166666664</v>
      </c>
      <c r="R814" s="12">
        <v>46100.0625</v>
      </c>
      <c r="U814" t="b">
        <v>0</v>
      </c>
    </row>
    <row r="815" spans="1:21">
      <c r="A815" t="s">
        <v>4173</v>
      </c>
      <c r="B815" t="s">
        <v>2666</v>
      </c>
      <c r="C815" t="s">
        <v>1353</v>
      </c>
      <c r="D815" t="s">
        <v>4174</v>
      </c>
      <c r="E815" t="s">
        <v>4175</v>
      </c>
      <c r="F815" t="s">
        <v>1294</v>
      </c>
      <c r="G815">
        <v>970</v>
      </c>
      <c r="I815" t="s">
        <v>30</v>
      </c>
      <c r="J815" t="s">
        <v>1281</v>
      </c>
      <c r="K815">
        <v>67</v>
      </c>
      <c r="L815" t="s">
        <v>2601</v>
      </c>
      <c r="M815" t="s">
        <v>2618</v>
      </c>
      <c r="N815" t="s">
        <v>82</v>
      </c>
      <c r="O815" s="12">
        <v>45334.463194444441</v>
      </c>
      <c r="Q815" s="12">
        <v>45334.676388888889</v>
      </c>
      <c r="R815" s="12">
        <v>45334.817361111112</v>
      </c>
      <c r="T815" t="s">
        <v>2933</v>
      </c>
      <c r="U815" t="b">
        <v>0</v>
      </c>
    </row>
    <row r="816" spans="1:21">
      <c r="A816" t="s">
        <v>4176</v>
      </c>
      <c r="B816" t="s">
        <v>1190</v>
      </c>
      <c r="C816" t="s">
        <v>1541</v>
      </c>
      <c r="D816" t="s">
        <v>4177</v>
      </c>
      <c r="E816" t="s">
        <v>4178</v>
      </c>
      <c r="F816" t="s">
        <v>2709</v>
      </c>
      <c r="G816">
        <v>80</v>
      </c>
      <c r="H816" t="s">
        <v>64</v>
      </c>
      <c r="I816" t="s">
        <v>24</v>
      </c>
      <c r="J816" t="s">
        <v>1288</v>
      </c>
      <c r="K816">
        <v>62</v>
      </c>
      <c r="L816" t="s">
        <v>2592</v>
      </c>
      <c r="M816" t="s">
        <v>2593</v>
      </c>
      <c r="N816" t="s">
        <v>69</v>
      </c>
      <c r="O816" s="12">
        <v>45781.216666666667</v>
      </c>
      <c r="P816" s="12">
        <v>45783.466666666667</v>
      </c>
      <c r="Q816" s="12">
        <v>45781.452777777777</v>
      </c>
      <c r="R816" s="12">
        <v>45781.544444444444</v>
      </c>
      <c r="U816" t="b">
        <v>0</v>
      </c>
    </row>
    <row r="817" spans="1:21">
      <c r="A817" t="s">
        <v>4179</v>
      </c>
      <c r="B817" t="s">
        <v>2611</v>
      </c>
      <c r="C817" t="s">
        <v>1197</v>
      </c>
      <c r="D817" t="s">
        <v>4180</v>
      </c>
      <c r="E817" t="s">
        <v>4181</v>
      </c>
      <c r="F817" t="s">
        <v>2755</v>
      </c>
      <c r="G817">
        <v>711</v>
      </c>
      <c r="H817" t="s">
        <v>81</v>
      </c>
      <c r="I817" t="s">
        <v>30</v>
      </c>
      <c r="J817" t="s">
        <v>1413</v>
      </c>
      <c r="K817">
        <v>51</v>
      </c>
      <c r="L817" t="s">
        <v>2592</v>
      </c>
      <c r="M817" t="s">
        <v>2605</v>
      </c>
      <c r="N817" t="s">
        <v>82</v>
      </c>
      <c r="O817" s="12">
        <v>45317.12777777778</v>
      </c>
      <c r="P817" s="12">
        <v>45320.00277777778</v>
      </c>
      <c r="Q817" s="12">
        <v>45317.177083333336</v>
      </c>
      <c r="R817" s="12">
        <v>45317.1875</v>
      </c>
      <c r="U817" t="b">
        <v>0</v>
      </c>
    </row>
    <row r="818" spans="1:21">
      <c r="A818" t="s">
        <v>4182</v>
      </c>
      <c r="B818" t="s">
        <v>1179</v>
      </c>
      <c r="C818" t="s">
        <v>1119</v>
      </c>
      <c r="D818" t="s">
        <v>4183</v>
      </c>
      <c r="E818" t="s">
        <v>4184</v>
      </c>
      <c r="F818" t="s">
        <v>2660</v>
      </c>
      <c r="G818">
        <v>185</v>
      </c>
      <c r="H818" t="s">
        <v>171</v>
      </c>
      <c r="I818" t="s">
        <v>24</v>
      </c>
      <c r="J818" t="s">
        <v>1413</v>
      </c>
      <c r="K818">
        <v>69</v>
      </c>
      <c r="L818" t="s">
        <v>2592</v>
      </c>
      <c r="M818" t="s">
        <v>2593</v>
      </c>
      <c r="N818" t="s">
        <v>91</v>
      </c>
      <c r="O818" s="12">
        <v>46166.078472222223</v>
      </c>
      <c r="P818" s="12">
        <v>46166.911805555559</v>
      </c>
      <c r="Q818" s="12">
        <v>46166.091666666667</v>
      </c>
      <c r="R818" s="12">
        <v>46166.112500000003</v>
      </c>
      <c r="U818" t="b">
        <v>0</v>
      </c>
    </row>
    <row r="819" spans="1:21">
      <c r="A819" t="s">
        <v>4185</v>
      </c>
      <c r="B819" t="s">
        <v>1167</v>
      </c>
      <c r="C819" t="s">
        <v>1337</v>
      </c>
      <c r="D819" t="s">
        <v>4186</v>
      </c>
      <c r="E819" t="s">
        <v>4187</v>
      </c>
      <c r="F819" t="s">
        <v>1517</v>
      </c>
      <c r="G819">
        <v>532</v>
      </c>
      <c r="H819" t="s">
        <v>366</v>
      </c>
      <c r="I819" t="s">
        <v>30</v>
      </c>
      <c r="J819" t="s">
        <v>1271</v>
      </c>
      <c r="K819">
        <v>44</v>
      </c>
      <c r="L819" t="s">
        <v>2601</v>
      </c>
      <c r="M819" t="s">
        <v>2618</v>
      </c>
      <c r="N819" t="s">
        <v>18</v>
      </c>
      <c r="O819" s="12">
        <v>45916.670138888891</v>
      </c>
      <c r="Q819" s="12">
        <v>45916.861111111109</v>
      </c>
      <c r="R819" s="12">
        <v>45916.96875</v>
      </c>
      <c r="T819" t="s">
        <v>2685</v>
      </c>
      <c r="U819" t="b">
        <v>0</v>
      </c>
    </row>
    <row r="820" spans="1:21">
      <c r="A820" t="s">
        <v>4188</v>
      </c>
      <c r="B820" t="s">
        <v>1221</v>
      </c>
      <c r="C820" t="s">
        <v>1152</v>
      </c>
      <c r="D820" t="s">
        <v>4189</v>
      </c>
      <c r="E820" t="s">
        <v>4190</v>
      </c>
      <c r="F820" t="s">
        <v>1487</v>
      </c>
      <c r="G820">
        <v>1301</v>
      </c>
      <c r="H820" t="s">
        <v>16</v>
      </c>
      <c r="I820" t="s">
        <v>24</v>
      </c>
      <c r="J820" t="s">
        <v>1271</v>
      </c>
      <c r="K820">
        <v>38</v>
      </c>
      <c r="L820" t="s">
        <v>2601</v>
      </c>
      <c r="M820" t="s">
        <v>2618</v>
      </c>
      <c r="N820" t="s">
        <v>18</v>
      </c>
      <c r="O820" s="12">
        <v>46021.679166666669</v>
      </c>
      <c r="Q820" s="12">
        <v>46021.910416666666</v>
      </c>
      <c r="R820" s="12">
        <v>46021.921527777777</v>
      </c>
      <c r="T820" t="s">
        <v>2739</v>
      </c>
      <c r="U820" t="b">
        <v>0</v>
      </c>
    </row>
    <row r="821" spans="1:21">
      <c r="A821" t="s">
        <v>4191</v>
      </c>
      <c r="B821" t="s">
        <v>1898</v>
      </c>
      <c r="C821" t="s">
        <v>1898</v>
      </c>
      <c r="D821" t="s">
        <v>4192</v>
      </c>
      <c r="E821" t="s">
        <v>4193</v>
      </c>
      <c r="F821" t="s">
        <v>2617</v>
      </c>
      <c r="G821">
        <v>143</v>
      </c>
      <c r="H821" t="s">
        <v>23</v>
      </c>
      <c r="I821" t="s">
        <v>24</v>
      </c>
      <c r="J821" t="s">
        <v>1271</v>
      </c>
      <c r="K821">
        <v>61</v>
      </c>
      <c r="L821" t="s">
        <v>2642</v>
      </c>
      <c r="M821" t="s">
        <v>2597</v>
      </c>
      <c r="N821" t="s">
        <v>25</v>
      </c>
      <c r="O821" s="12">
        <v>45519.65</v>
      </c>
      <c r="P821" s="12">
        <v>45521.48333333333</v>
      </c>
      <c r="Q821" s="12">
        <v>45519.713194444441</v>
      </c>
      <c r="R821" s="12">
        <v>45519.752083333333</v>
      </c>
      <c r="S821" s="12">
        <v>45524.9</v>
      </c>
      <c r="U821" t="b">
        <v>0</v>
      </c>
    </row>
    <row r="822" spans="1:21">
      <c r="A822" t="s">
        <v>4194</v>
      </c>
      <c r="B822" t="s">
        <v>2706</v>
      </c>
      <c r="C822" t="s">
        <v>1436</v>
      </c>
      <c r="D822" t="s">
        <v>4195</v>
      </c>
      <c r="E822" t="s">
        <v>4196</v>
      </c>
      <c r="F822" t="s">
        <v>2680</v>
      </c>
      <c r="G822">
        <v>60</v>
      </c>
      <c r="H822" t="s">
        <v>638</v>
      </c>
      <c r="I822" t="s">
        <v>24</v>
      </c>
      <c r="J822" t="s">
        <v>1271</v>
      </c>
      <c r="K822">
        <v>42</v>
      </c>
      <c r="L822" t="s">
        <v>2601</v>
      </c>
      <c r="M822" t="s">
        <v>2593</v>
      </c>
      <c r="N822" t="s">
        <v>69</v>
      </c>
      <c r="O822" s="12">
        <v>45385.844444444447</v>
      </c>
      <c r="Q822" s="12">
        <v>45385.943055555559</v>
      </c>
      <c r="R822" s="12">
        <v>45385.987500000003</v>
      </c>
      <c r="U822" t="b">
        <v>0</v>
      </c>
    </row>
    <row r="823" spans="1:21">
      <c r="A823" t="s">
        <v>4197</v>
      </c>
      <c r="B823" t="s">
        <v>1898</v>
      </c>
      <c r="C823" t="s">
        <v>1162</v>
      </c>
      <c r="D823" t="s">
        <v>4198</v>
      </c>
      <c r="E823" t="s">
        <v>4199</v>
      </c>
      <c r="F823" t="s">
        <v>1309</v>
      </c>
      <c r="G823">
        <v>864</v>
      </c>
      <c r="H823" t="s">
        <v>154</v>
      </c>
      <c r="I823" t="s">
        <v>30</v>
      </c>
      <c r="J823" t="s">
        <v>1281</v>
      </c>
      <c r="K823">
        <v>69</v>
      </c>
      <c r="L823" t="s">
        <v>2592</v>
      </c>
      <c r="M823" t="s">
        <v>2597</v>
      </c>
      <c r="N823" t="s">
        <v>82</v>
      </c>
      <c r="O823" s="12">
        <v>45787.042361111111</v>
      </c>
      <c r="P823" s="12">
        <v>45791.875694444447</v>
      </c>
      <c r="Q823" s="12">
        <v>45787.05</v>
      </c>
      <c r="R823" s="12">
        <v>45787.195138888892</v>
      </c>
      <c r="U823" t="b">
        <v>0</v>
      </c>
    </row>
    <row r="824" spans="1:21">
      <c r="A824" t="s">
        <v>4200</v>
      </c>
      <c r="B824" t="s">
        <v>2645</v>
      </c>
      <c r="C824" t="s">
        <v>1130</v>
      </c>
      <c r="D824" t="s">
        <v>4201</v>
      </c>
      <c r="E824" t="s">
        <v>4202</v>
      </c>
      <c r="F824" t="s">
        <v>1471</v>
      </c>
      <c r="G824">
        <v>191</v>
      </c>
      <c r="H824" t="s">
        <v>50</v>
      </c>
      <c r="I824" t="s">
        <v>24</v>
      </c>
      <c r="J824" t="s">
        <v>1295</v>
      </c>
      <c r="K824">
        <v>89</v>
      </c>
      <c r="L824" t="s">
        <v>2592</v>
      </c>
      <c r="M824" t="s">
        <v>2593</v>
      </c>
      <c r="N824" t="s">
        <v>59</v>
      </c>
      <c r="O824" s="12">
        <v>46078.879166666666</v>
      </c>
      <c r="P824" s="12">
        <v>46079.04583333333</v>
      </c>
      <c r="Q824" s="12">
        <v>46079.093055555553</v>
      </c>
      <c r="R824" s="12">
        <v>46079.234027777777</v>
      </c>
      <c r="U824" t="b">
        <v>0</v>
      </c>
    </row>
    <row r="825" spans="1:21">
      <c r="A825" t="s">
        <v>4203</v>
      </c>
      <c r="B825" t="s">
        <v>1176</v>
      </c>
      <c r="C825" t="s">
        <v>1721</v>
      </c>
      <c r="D825" t="s">
        <v>4204</v>
      </c>
      <c r="E825" t="s">
        <v>4205</v>
      </c>
      <c r="F825" t="s">
        <v>2660</v>
      </c>
      <c r="G825">
        <v>71</v>
      </c>
      <c r="H825" t="s">
        <v>366</v>
      </c>
      <c r="I825" t="s">
        <v>24</v>
      </c>
      <c r="J825" t="s">
        <v>1317</v>
      </c>
      <c r="K825">
        <v>59</v>
      </c>
      <c r="L825" t="s">
        <v>2642</v>
      </c>
      <c r="M825" t="s">
        <v>2643</v>
      </c>
      <c r="O825" s="12">
        <v>46262.427777777775</v>
      </c>
      <c r="P825" s="12">
        <v>46264.094444444447</v>
      </c>
      <c r="S825" s="12">
        <v>46265.677777777775</v>
      </c>
      <c r="U825" t="b">
        <v>0</v>
      </c>
    </row>
    <row r="826" spans="1:21">
      <c r="A826" t="s">
        <v>4206</v>
      </c>
      <c r="B826" t="s">
        <v>2834</v>
      </c>
      <c r="C826" t="s">
        <v>2033</v>
      </c>
      <c r="D826" t="s">
        <v>4207</v>
      </c>
      <c r="E826" t="s">
        <v>4208</v>
      </c>
      <c r="F826" t="s">
        <v>1182</v>
      </c>
      <c r="G826">
        <v>1576</v>
      </c>
      <c r="H826" t="s">
        <v>212</v>
      </c>
      <c r="I826" t="s">
        <v>17</v>
      </c>
      <c r="J826" t="s">
        <v>1413</v>
      </c>
      <c r="K826">
        <v>48</v>
      </c>
      <c r="L826" t="s">
        <v>2592</v>
      </c>
      <c r="M826" t="s">
        <v>2593</v>
      </c>
      <c r="N826" t="s">
        <v>55</v>
      </c>
      <c r="O826" s="12">
        <v>46102.982638888891</v>
      </c>
      <c r="P826" s="12">
        <v>46107.732638888891</v>
      </c>
      <c r="Q826" s="12">
        <v>46103.066666666666</v>
      </c>
      <c r="R826" s="12">
        <v>46103.186111111114</v>
      </c>
      <c r="U826" t="b">
        <v>0</v>
      </c>
    </row>
    <row r="827" spans="1:21">
      <c r="A827" t="s">
        <v>4209</v>
      </c>
      <c r="B827" t="s">
        <v>1161</v>
      </c>
      <c r="C827" t="s">
        <v>1135</v>
      </c>
      <c r="D827" t="s">
        <v>4210</v>
      </c>
      <c r="E827" t="s">
        <v>4211</v>
      </c>
      <c r="F827" t="s">
        <v>1471</v>
      </c>
      <c r="G827">
        <v>223</v>
      </c>
      <c r="H827" t="s">
        <v>140</v>
      </c>
      <c r="I827" t="s">
        <v>30</v>
      </c>
      <c r="J827" t="s">
        <v>4212</v>
      </c>
      <c r="K827">
        <v>95</v>
      </c>
      <c r="L827" t="s">
        <v>2642</v>
      </c>
      <c r="M827" t="s">
        <v>2643</v>
      </c>
      <c r="N827" t="s">
        <v>82</v>
      </c>
      <c r="O827" s="12">
        <v>45575.484722222223</v>
      </c>
      <c r="P827" s="12">
        <v>45577.359722222223</v>
      </c>
      <c r="Q827" s="12">
        <v>45575.593055555553</v>
      </c>
      <c r="R827" s="12">
        <v>45576.176388888889</v>
      </c>
      <c r="S827" s="12">
        <v>45581.776388888888</v>
      </c>
      <c r="U827" t="b">
        <v>0</v>
      </c>
    </row>
    <row r="828" spans="1:21">
      <c r="A828" t="s">
        <v>4213</v>
      </c>
      <c r="B828" t="s">
        <v>1202</v>
      </c>
      <c r="C828" t="s">
        <v>1307</v>
      </c>
      <c r="D828" t="s">
        <v>4214</v>
      </c>
      <c r="E828" t="s">
        <v>4215</v>
      </c>
      <c r="F828" t="s">
        <v>1471</v>
      </c>
      <c r="G828">
        <v>104</v>
      </c>
      <c r="H828" t="s">
        <v>323</v>
      </c>
      <c r="I828" t="s">
        <v>24</v>
      </c>
      <c r="J828" t="s">
        <v>1339</v>
      </c>
      <c r="K828">
        <v>72</v>
      </c>
      <c r="L828" t="s">
        <v>2642</v>
      </c>
      <c r="M828" t="s">
        <v>2643</v>
      </c>
      <c r="N828" t="s">
        <v>25</v>
      </c>
      <c r="O828" s="12">
        <v>46229.130555555559</v>
      </c>
      <c r="P828" s="12">
        <v>46229.963888888888</v>
      </c>
      <c r="Q828" s="12">
        <v>46229.238194444442</v>
      </c>
      <c r="R828" s="12">
        <v>46229.293749999997</v>
      </c>
      <c r="S828" s="12">
        <v>46234.338888888888</v>
      </c>
      <c r="U828" t="b">
        <v>0</v>
      </c>
    </row>
    <row r="829" spans="1:21">
      <c r="A829" t="s">
        <v>4216</v>
      </c>
      <c r="B829" t="s">
        <v>2682</v>
      </c>
      <c r="C829" t="s">
        <v>1320</v>
      </c>
      <c r="D829" t="s">
        <v>4217</v>
      </c>
      <c r="E829" t="s">
        <v>4218</v>
      </c>
      <c r="F829" t="s">
        <v>2271</v>
      </c>
      <c r="G829">
        <v>37</v>
      </c>
      <c r="H829" t="s">
        <v>154</v>
      </c>
      <c r="I829" t="s">
        <v>24</v>
      </c>
      <c r="J829" t="s">
        <v>1413</v>
      </c>
      <c r="K829">
        <v>50</v>
      </c>
      <c r="L829" t="s">
        <v>2592</v>
      </c>
      <c r="M829" t="s">
        <v>2597</v>
      </c>
      <c r="N829" t="s">
        <v>25</v>
      </c>
      <c r="O829" s="12">
        <v>45919.467361111114</v>
      </c>
      <c r="P829" s="12">
        <v>45922.175694444442</v>
      </c>
      <c r="Q829" s="12">
        <v>45919.474305555559</v>
      </c>
      <c r="R829" s="12">
        <v>45919.526388888888</v>
      </c>
      <c r="U829" t="b">
        <v>0</v>
      </c>
    </row>
    <row r="830" spans="1:21">
      <c r="A830" t="s">
        <v>4219</v>
      </c>
      <c r="B830" t="s">
        <v>2693</v>
      </c>
      <c r="C830" t="s">
        <v>1291</v>
      </c>
      <c r="D830" t="s">
        <v>4220</v>
      </c>
      <c r="E830" t="s">
        <v>4221</v>
      </c>
      <c r="F830" t="s">
        <v>1471</v>
      </c>
      <c r="G830">
        <v>111</v>
      </c>
      <c r="H830" t="s">
        <v>226</v>
      </c>
      <c r="I830" t="s">
        <v>24</v>
      </c>
      <c r="J830" t="s">
        <v>1355</v>
      </c>
      <c r="K830">
        <v>57</v>
      </c>
      <c r="L830" t="s">
        <v>2601</v>
      </c>
      <c r="M830" t="s">
        <v>2655</v>
      </c>
      <c r="N830" t="s">
        <v>69</v>
      </c>
      <c r="O830" s="12">
        <v>45888.944444444445</v>
      </c>
      <c r="Q830" s="12">
        <v>45889.140972222223</v>
      </c>
      <c r="U830" t="b">
        <v>0</v>
      </c>
    </row>
    <row r="831" spans="1:21">
      <c r="A831" t="s">
        <v>4222</v>
      </c>
      <c r="B831" t="s">
        <v>1207</v>
      </c>
      <c r="C831" t="s">
        <v>1162</v>
      </c>
      <c r="D831" t="s">
        <v>4223</v>
      </c>
      <c r="E831" t="s">
        <v>4224</v>
      </c>
      <c r="F831" t="s">
        <v>1448</v>
      </c>
      <c r="G831">
        <v>1344</v>
      </c>
      <c r="H831" t="s">
        <v>161</v>
      </c>
      <c r="I831" t="s">
        <v>17</v>
      </c>
      <c r="J831" t="s">
        <v>1355</v>
      </c>
      <c r="K831">
        <v>65</v>
      </c>
      <c r="L831" t="s">
        <v>2592</v>
      </c>
      <c r="M831" t="s">
        <v>2597</v>
      </c>
      <c r="N831" t="s">
        <v>36</v>
      </c>
      <c r="O831" s="12">
        <v>45701.678472222222</v>
      </c>
      <c r="P831" s="12">
        <v>45705.095138888886</v>
      </c>
      <c r="Q831" s="12">
        <v>45701.909722222219</v>
      </c>
      <c r="U831" t="b">
        <v>0</v>
      </c>
    </row>
    <row r="832" spans="1:21">
      <c r="A832" t="s">
        <v>4225</v>
      </c>
      <c r="B832" t="s">
        <v>1185</v>
      </c>
      <c r="C832" t="s">
        <v>1278</v>
      </c>
      <c r="D832" t="s">
        <v>4226</v>
      </c>
      <c r="E832" t="s">
        <v>4227</v>
      </c>
      <c r="F832" t="s">
        <v>1511</v>
      </c>
      <c r="G832">
        <v>732</v>
      </c>
      <c r="H832" t="s">
        <v>140</v>
      </c>
      <c r="I832" t="s">
        <v>30</v>
      </c>
      <c r="J832" t="s">
        <v>1317</v>
      </c>
      <c r="K832">
        <v>54</v>
      </c>
      <c r="L832" t="s">
        <v>2601</v>
      </c>
      <c r="M832" t="s">
        <v>2618</v>
      </c>
      <c r="N832" t="s">
        <v>82</v>
      </c>
      <c r="O832" s="12">
        <v>46014.750694444447</v>
      </c>
      <c r="Q832" s="12">
        <v>46014.820138888892</v>
      </c>
      <c r="R832" s="12">
        <v>46014.959722222222</v>
      </c>
      <c r="T832" t="s">
        <v>2631</v>
      </c>
      <c r="U832" t="b">
        <v>0</v>
      </c>
    </row>
    <row r="833" spans="1:21">
      <c r="A833" t="s">
        <v>4228</v>
      </c>
      <c r="B833" t="s">
        <v>1161</v>
      </c>
      <c r="C833" t="s">
        <v>1180</v>
      </c>
      <c r="D833" t="s">
        <v>4229</v>
      </c>
      <c r="E833" t="s">
        <v>4230</v>
      </c>
      <c r="F833" t="s">
        <v>1517</v>
      </c>
      <c r="G833">
        <v>73</v>
      </c>
      <c r="H833" t="s">
        <v>50</v>
      </c>
      <c r="I833" t="s">
        <v>24</v>
      </c>
      <c r="J833" t="s">
        <v>1295</v>
      </c>
      <c r="K833">
        <v>76</v>
      </c>
      <c r="L833" t="s">
        <v>2592</v>
      </c>
      <c r="M833" t="s">
        <v>2605</v>
      </c>
      <c r="N833" t="s">
        <v>59</v>
      </c>
      <c r="O833" s="12">
        <v>45377.115972222222</v>
      </c>
      <c r="P833" s="12">
        <v>45380.407638888886</v>
      </c>
      <c r="Q833" s="12">
        <v>45377.229166666664</v>
      </c>
      <c r="R833" s="12">
        <v>45377.291666666664</v>
      </c>
      <c r="U833" t="b">
        <v>0</v>
      </c>
    </row>
    <row r="834" spans="1:21">
      <c r="A834" t="s">
        <v>4231</v>
      </c>
      <c r="B834" t="s">
        <v>2657</v>
      </c>
      <c r="C834" t="s">
        <v>1148</v>
      </c>
      <c r="D834" t="s">
        <v>4232</v>
      </c>
      <c r="E834" t="s">
        <v>4233</v>
      </c>
      <c r="F834" t="s">
        <v>2709</v>
      </c>
      <c r="G834">
        <v>1429</v>
      </c>
      <c r="H834" t="s">
        <v>81</v>
      </c>
      <c r="I834" t="s">
        <v>17</v>
      </c>
      <c r="J834" t="s">
        <v>1413</v>
      </c>
      <c r="K834">
        <v>70</v>
      </c>
      <c r="L834" t="s">
        <v>2592</v>
      </c>
      <c r="M834" t="s">
        <v>2605</v>
      </c>
      <c r="N834" t="s">
        <v>36</v>
      </c>
      <c r="O834" s="12">
        <v>46086.428472222222</v>
      </c>
      <c r="P834" s="12">
        <v>46089.095138888886</v>
      </c>
      <c r="Q834" s="12">
        <v>46086.567361111112</v>
      </c>
      <c r="R834" s="12">
        <v>46086.597916666666</v>
      </c>
      <c r="U834" t="b">
        <v>0</v>
      </c>
    </row>
    <row r="835" spans="1:21">
      <c r="A835" t="s">
        <v>4234</v>
      </c>
      <c r="B835" t="s">
        <v>1485</v>
      </c>
      <c r="C835" t="s">
        <v>1655</v>
      </c>
      <c r="D835" t="s">
        <v>4235</v>
      </c>
      <c r="E835" t="s">
        <v>4236</v>
      </c>
      <c r="F835" t="s">
        <v>1182</v>
      </c>
      <c r="G835">
        <v>17</v>
      </c>
      <c r="H835" t="s">
        <v>285</v>
      </c>
      <c r="J835" t="s">
        <v>1271</v>
      </c>
      <c r="K835">
        <v>69</v>
      </c>
      <c r="L835" t="s">
        <v>2601</v>
      </c>
      <c r="M835" t="s">
        <v>2655</v>
      </c>
      <c r="O835" s="12">
        <v>45331.299305555556</v>
      </c>
      <c r="U835" t="b">
        <v>0</v>
      </c>
    </row>
    <row r="836" spans="1:21">
      <c r="A836" t="s">
        <v>4237</v>
      </c>
      <c r="B836" t="s">
        <v>2578</v>
      </c>
      <c r="C836" t="s">
        <v>1125</v>
      </c>
      <c r="D836" t="s">
        <v>4238</v>
      </c>
      <c r="E836" t="s">
        <v>4239</v>
      </c>
      <c r="F836" t="s">
        <v>1294</v>
      </c>
      <c r="G836">
        <v>606</v>
      </c>
      <c r="H836" t="s">
        <v>212</v>
      </c>
      <c r="I836" t="s">
        <v>30</v>
      </c>
      <c r="J836" t="s">
        <v>1355</v>
      </c>
      <c r="K836">
        <v>68</v>
      </c>
      <c r="L836" t="s">
        <v>2592</v>
      </c>
      <c r="M836" t="s">
        <v>2597</v>
      </c>
      <c r="N836" t="s">
        <v>55</v>
      </c>
      <c r="O836" s="12">
        <v>46281.094444444447</v>
      </c>
      <c r="P836" s="12">
        <v>46285.469444444447</v>
      </c>
      <c r="Q836" s="12">
        <v>46281.11041666667</v>
      </c>
      <c r="R836" s="12">
        <v>46281.226388888892</v>
      </c>
      <c r="U836" t="b">
        <v>0</v>
      </c>
    </row>
    <row r="837" spans="1:21">
      <c r="A837" t="s">
        <v>4240</v>
      </c>
      <c r="B837" t="s">
        <v>1521</v>
      </c>
      <c r="C837" t="s">
        <v>1898</v>
      </c>
      <c r="D837" t="s">
        <v>4241</v>
      </c>
      <c r="E837" t="s">
        <v>4242</v>
      </c>
      <c r="F837" t="s">
        <v>1309</v>
      </c>
      <c r="G837">
        <v>695</v>
      </c>
      <c r="H837" t="s">
        <v>16</v>
      </c>
      <c r="I837" t="s">
        <v>30</v>
      </c>
      <c r="J837" t="s">
        <v>1413</v>
      </c>
      <c r="K837">
        <v>76</v>
      </c>
      <c r="L837" t="s">
        <v>2601</v>
      </c>
      <c r="M837" t="s">
        <v>2605</v>
      </c>
      <c r="N837" t="s">
        <v>18</v>
      </c>
      <c r="O837" s="12">
        <v>46258.623611111114</v>
      </c>
      <c r="Q837" s="12">
        <v>46258.816666666666</v>
      </c>
      <c r="R837" s="12">
        <v>46259.691666666666</v>
      </c>
      <c r="U837" t="b">
        <v>0</v>
      </c>
    </row>
    <row r="838" spans="1:21">
      <c r="A838" t="s">
        <v>4243</v>
      </c>
      <c r="B838" t="s">
        <v>1485</v>
      </c>
      <c r="C838" t="s">
        <v>1579</v>
      </c>
      <c r="D838" t="s">
        <v>4244</v>
      </c>
      <c r="E838" t="s">
        <v>4245</v>
      </c>
      <c r="F838" t="s">
        <v>2709</v>
      </c>
      <c r="G838">
        <v>1659</v>
      </c>
      <c r="H838" t="s">
        <v>95</v>
      </c>
      <c r="I838" t="s">
        <v>17</v>
      </c>
      <c r="J838" t="s">
        <v>1339</v>
      </c>
      <c r="K838">
        <v>71</v>
      </c>
      <c r="L838" t="s">
        <v>2601</v>
      </c>
      <c r="M838" t="s">
        <v>2618</v>
      </c>
      <c r="N838" t="s">
        <v>18</v>
      </c>
      <c r="O838" s="12">
        <v>45510.490972222222</v>
      </c>
      <c r="Q838" s="12">
        <v>45510.630555555559</v>
      </c>
      <c r="R838" s="12">
        <v>45510.688194444447</v>
      </c>
      <c r="T838" t="s">
        <v>2763</v>
      </c>
      <c r="U838" t="b">
        <v>0</v>
      </c>
    </row>
    <row r="839" spans="1:21">
      <c r="A839" t="s">
        <v>4246</v>
      </c>
      <c r="B839" t="s">
        <v>1176</v>
      </c>
      <c r="C839" t="s">
        <v>1307</v>
      </c>
      <c r="D839" t="s">
        <v>4247</v>
      </c>
      <c r="E839" t="s">
        <v>4248</v>
      </c>
      <c r="F839" t="s">
        <v>1182</v>
      </c>
      <c r="G839">
        <v>868</v>
      </c>
      <c r="H839" t="s">
        <v>23</v>
      </c>
      <c r="I839" t="s">
        <v>30</v>
      </c>
      <c r="J839" t="s">
        <v>1271</v>
      </c>
      <c r="K839">
        <v>66</v>
      </c>
      <c r="L839" t="s">
        <v>2601</v>
      </c>
      <c r="M839" t="s">
        <v>2593</v>
      </c>
      <c r="N839" t="s">
        <v>82</v>
      </c>
      <c r="O839" s="12">
        <v>45870.261111111111</v>
      </c>
      <c r="Q839" s="12">
        <v>45870.311805555553</v>
      </c>
      <c r="R839" s="12">
        <v>45870.331250000003</v>
      </c>
      <c r="U839" t="b">
        <v>0</v>
      </c>
    </row>
    <row r="840" spans="1:21">
      <c r="A840" t="s">
        <v>4249</v>
      </c>
      <c r="B840" t="s">
        <v>1267</v>
      </c>
      <c r="C840" t="s">
        <v>1650</v>
      </c>
      <c r="D840" t="s">
        <v>4250</v>
      </c>
      <c r="E840" t="s">
        <v>4251</v>
      </c>
      <c r="F840" t="s">
        <v>2709</v>
      </c>
      <c r="G840">
        <v>828</v>
      </c>
      <c r="H840" t="s">
        <v>95</v>
      </c>
      <c r="I840" t="s">
        <v>30</v>
      </c>
      <c r="J840" t="s">
        <v>1355</v>
      </c>
      <c r="K840">
        <v>69</v>
      </c>
      <c r="L840" t="s">
        <v>2601</v>
      </c>
      <c r="M840" t="s">
        <v>2593</v>
      </c>
      <c r="N840" t="s">
        <v>18</v>
      </c>
      <c r="O840" s="12">
        <v>46029.658333333333</v>
      </c>
      <c r="Q840" s="12">
        <v>46029.868055555555</v>
      </c>
      <c r="R840" s="12">
        <v>46029.900694444441</v>
      </c>
      <c r="U840" t="b">
        <v>0</v>
      </c>
    </row>
    <row r="841" spans="1:21">
      <c r="A841" t="s">
        <v>4252</v>
      </c>
      <c r="B841" t="s">
        <v>2874</v>
      </c>
      <c r="C841" t="s">
        <v>1597</v>
      </c>
      <c r="D841" t="s">
        <v>4253</v>
      </c>
      <c r="E841" t="s">
        <v>4254</v>
      </c>
      <c r="F841" t="s">
        <v>1511</v>
      </c>
      <c r="G841">
        <v>912</v>
      </c>
      <c r="H841" t="s">
        <v>178</v>
      </c>
      <c r="I841" t="s">
        <v>30</v>
      </c>
      <c r="J841" t="s">
        <v>1413</v>
      </c>
      <c r="K841">
        <v>66</v>
      </c>
      <c r="L841" t="s">
        <v>2592</v>
      </c>
      <c r="M841" t="s">
        <v>2597</v>
      </c>
      <c r="N841" t="s">
        <v>36</v>
      </c>
      <c r="O841" s="12">
        <v>46055.587500000001</v>
      </c>
      <c r="P841" s="12">
        <v>46060.04583333333</v>
      </c>
      <c r="Q841" s="12">
        <v>46055.741666666669</v>
      </c>
      <c r="R841" s="12">
        <v>46055.886111111111</v>
      </c>
      <c r="U841" t="b">
        <v>0</v>
      </c>
    </row>
    <row r="842" spans="1:21">
      <c r="A842" t="s">
        <v>4255</v>
      </c>
      <c r="B842" t="s">
        <v>2847</v>
      </c>
      <c r="C842" t="s">
        <v>2033</v>
      </c>
      <c r="D842" t="s">
        <v>4256</v>
      </c>
      <c r="E842" t="s">
        <v>4257</v>
      </c>
      <c r="F842" t="s">
        <v>2617</v>
      </c>
      <c r="G842">
        <v>141</v>
      </c>
      <c r="H842" t="s">
        <v>50</v>
      </c>
      <c r="I842" t="s">
        <v>24</v>
      </c>
      <c r="J842" t="s">
        <v>1271</v>
      </c>
      <c r="K842">
        <v>63</v>
      </c>
      <c r="L842" t="s">
        <v>2592</v>
      </c>
      <c r="M842" t="s">
        <v>2593</v>
      </c>
      <c r="N842" t="s">
        <v>59</v>
      </c>
      <c r="O842" s="12">
        <v>45828.418055555558</v>
      </c>
      <c r="P842" s="12">
        <v>45828.876388888886</v>
      </c>
      <c r="Q842" s="12">
        <v>45828.630555555559</v>
      </c>
      <c r="R842" s="12">
        <v>45828.738888888889</v>
      </c>
      <c r="U842" t="b">
        <v>0</v>
      </c>
    </row>
    <row r="843" spans="1:21">
      <c r="A843" t="s">
        <v>4258</v>
      </c>
      <c r="B843" t="s">
        <v>1267</v>
      </c>
      <c r="C843" t="s">
        <v>1597</v>
      </c>
      <c r="D843" t="s">
        <v>4259</v>
      </c>
      <c r="E843" t="s">
        <v>4260</v>
      </c>
      <c r="F843" t="s">
        <v>2271</v>
      </c>
      <c r="G843">
        <v>1937</v>
      </c>
      <c r="H843" t="s">
        <v>95</v>
      </c>
      <c r="I843" t="s">
        <v>17</v>
      </c>
      <c r="J843" t="s">
        <v>1271</v>
      </c>
      <c r="K843">
        <v>49</v>
      </c>
      <c r="L843" t="s">
        <v>2601</v>
      </c>
      <c r="M843" t="s">
        <v>2605</v>
      </c>
      <c r="N843" t="s">
        <v>18</v>
      </c>
      <c r="O843" s="12">
        <v>45813.472222222219</v>
      </c>
      <c r="Q843" s="12">
        <v>45813.679166666669</v>
      </c>
      <c r="R843" s="12">
        <v>45813.79791666667</v>
      </c>
      <c r="U843" t="b">
        <v>0</v>
      </c>
    </row>
    <row r="844" spans="1:21">
      <c r="A844" t="s">
        <v>4261</v>
      </c>
      <c r="B844" t="s">
        <v>2834</v>
      </c>
      <c r="C844" t="s">
        <v>1462</v>
      </c>
      <c r="D844" t="s">
        <v>4262</v>
      </c>
      <c r="E844" t="s">
        <v>4263</v>
      </c>
      <c r="F844" t="s">
        <v>1487</v>
      </c>
      <c r="G844">
        <v>21</v>
      </c>
      <c r="H844" t="s">
        <v>408</v>
      </c>
      <c r="I844" t="s">
        <v>24</v>
      </c>
      <c r="J844" t="s">
        <v>1271</v>
      </c>
      <c r="K844">
        <v>46</v>
      </c>
      <c r="L844" t="s">
        <v>2601</v>
      </c>
      <c r="M844" t="s">
        <v>2593</v>
      </c>
      <c r="N844" t="s">
        <v>69</v>
      </c>
      <c r="O844" s="12">
        <v>46064.968055555553</v>
      </c>
      <c r="Q844" s="12">
        <v>46065.046527777777</v>
      </c>
      <c r="R844" s="12">
        <v>46065.15625</v>
      </c>
      <c r="U844" t="b">
        <v>0</v>
      </c>
    </row>
    <row r="845" spans="1:21">
      <c r="A845" t="s">
        <v>4264</v>
      </c>
      <c r="B845" t="s">
        <v>2645</v>
      </c>
      <c r="C845" t="s">
        <v>1191</v>
      </c>
      <c r="D845" t="s">
        <v>4265</v>
      </c>
      <c r="E845" t="s">
        <v>4266</v>
      </c>
      <c r="F845" t="s">
        <v>1448</v>
      </c>
      <c r="G845">
        <v>27</v>
      </c>
      <c r="H845" t="s">
        <v>154</v>
      </c>
      <c r="I845" t="s">
        <v>24</v>
      </c>
      <c r="J845" t="s">
        <v>1339</v>
      </c>
      <c r="K845">
        <v>73</v>
      </c>
      <c r="L845" t="s">
        <v>2642</v>
      </c>
      <c r="M845" t="s">
        <v>2643</v>
      </c>
      <c r="N845" t="s">
        <v>25</v>
      </c>
      <c r="O845" s="12">
        <v>45607.324999999997</v>
      </c>
      <c r="P845" s="12">
        <v>45609.45</v>
      </c>
      <c r="Q845" s="12">
        <v>45607.393750000003</v>
      </c>
      <c r="R845" s="12">
        <v>45607.413194444445</v>
      </c>
      <c r="S845" s="12">
        <v>45618.533333333333</v>
      </c>
      <c r="U845" t="b">
        <v>0</v>
      </c>
    </row>
    <row r="846" spans="1:21">
      <c r="A846" t="s">
        <v>4267</v>
      </c>
      <c r="B846" t="s">
        <v>1521</v>
      </c>
      <c r="C846" t="s">
        <v>1197</v>
      </c>
      <c r="D846" t="s">
        <v>4268</v>
      </c>
      <c r="E846" t="s">
        <v>4269</v>
      </c>
      <c r="F846" t="s">
        <v>2084</v>
      </c>
      <c r="G846">
        <v>98</v>
      </c>
      <c r="H846" t="s">
        <v>46</v>
      </c>
      <c r="I846" t="s">
        <v>24</v>
      </c>
      <c r="J846" t="s">
        <v>1288</v>
      </c>
      <c r="K846">
        <v>37</v>
      </c>
      <c r="L846" t="s">
        <v>2592</v>
      </c>
      <c r="M846" t="s">
        <v>2593</v>
      </c>
      <c r="N846" t="s">
        <v>91</v>
      </c>
      <c r="O846" s="12">
        <v>46057.898611111108</v>
      </c>
      <c r="P846" s="12">
        <v>46061.19027777778</v>
      </c>
      <c r="Q846" s="12">
        <v>46058.011111111111</v>
      </c>
      <c r="R846" s="12">
        <v>46058.1</v>
      </c>
      <c r="U846" t="b">
        <v>0</v>
      </c>
    </row>
    <row r="847" spans="1:21">
      <c r="A847" t="s">
        <v>4270</v>
      </c>
      <c r="B847" t="s">
        <v>2628</v>
      </c>
      <c r="C847" t="s">
        <v>1404</v>
      </c>
      <c r="D847" t="s">
        <v>4271</v>
      </c>
      <c r="E847" t="s">
        <v>4272</v>
      </c>
      <c r="F847" t="s">
        <v>1182</v>
      </c>
      <c r="G847">
        <v>626</v>
      </c>
      <c r="H847" t="s">
        <v>216</v>
      </c>
      <c r="I847" t="s">
        <v>30</v>
      </c>
      <c r="J847" t="s">
        <v>1355</v>
      </c>
      <c r="K847">
        <v>66</v>
      </c>
      <c r="L847" t="s">
        <v>2601</v>
      </c>
      <c r="M847" t="s">
        <v>2618</v>
      </c>
      <c r="N847" t="s">
        <v>18</v>
      </c>
      <c r="O847" s="12">
        <v>45581.626388888886</v>
      </c>
      <c r="Q847" s="12">
        <v>45581.636805555558</v>
      </c>
      <c r="R847" s="12">
        <v>45581.886805555558</v>
      </c>
      <c r="T847" t="s">
        <v>2763</v>
      </c>
      <c r="U847" t="b">
        <v>0</v>
      </c>
    </row>
    <row r="848" spans="1:21">
      <c r="A848" t="s">
        <v>4273</v>
      </c>
      <c r="B848" t="s">
        <v>1320</v>
      </c>
      <c r="C848" t="s">
        <v>1139</v>
      </c>
      <c r="D848" t="s">
        <v>4274</v>
      </c>
      <c r="E848" t="s">
        <v>4275</v>
      </c>
      <c r="F848" t="s">
        <v>2709</v>
      </c>
      <c r="G848">
        <v>97</v>
      </c>
      <c r="H848" t="s">
        <v>404</v>
      </c>
      <c r="I848" t="s">
        <v>24</v>
      </c>
      <c r="J848" t="s">
        <v>1295</v>
      </c>
      <c r="K848">
        <v>86</v>
      </c>
      <c r="L848" t="s">
        <v>2592</v>
      </c>
      <c r="M848" t="s">
        <v>2618</v>
      </c>
      <c r="N848" t="s">
        <v>25</v>
      </c>
      <c r="O848" s="12">
        <v>45784.48541666667</v>
      </c>
      <c r="P848" s="12">
        <v>45786.23541666667</v>
      </c>
      <c r="Q848" s="12">
        <v>45784.611805555556</v>
      </c>
      <c r="R848" s="12">
        <v>45784.751388888886</v>
      </c>
      <c r="T848" t="s">
        <v>2673</v>
      </c>
      <c r="U848" t="b">
        <v>0</v>
      </c>
    </row>
    <row r="849" spans="1:21">
      <c r="A849" t="s">
        <v>4276</v>
      </c>
      <c r="B849" t="s">
        <v>2733</v>
      </c>
      <c r="C849" t="s">
        <v>1650</v>
      </c>
      <c r="D849" t="s">
        <v>4277</v>
      </c>
      <c r="E849" t="s">
        <v>4278</v>
      </c>
      <c r="F849" t="s">
        <v>2755</v>
      </c>
      <c r="G849">
        <v>115</v>
      </c>
      <c r="H849" t="s">
        <v>638</v>
      </c>
      <c r="I849" t="s">
        <v>24</v>
      </c>
      <c r="J849" t="s">
        <v>1413</v>
      </c>
      <c r="K849">
        <v>48</v>
      </c>
      <c r="L849" t="s">
        <v>2592</v>
      </c>
      <c r="M849" t="s">
        <v>2597</v>
      </c>
      <c r="N849" t="s">
        <v>69</v>
      </c>
      <c r="O849" s="12">
        <v>45423.941666666666</v>
      </c>
      <c r="P849" s="12">
        <v>45428.191666666666</v>
      </c>
      <c r="Q849" s="12">
        <v>45423.972916666666</v>
      </c>
      <c r="R849" s="12">
        <v>45424.060416666667</v>
      </c>
      <c r="U849" t="b">
        <v>0</v>
      </c>
    </row>
    <row r="850" spans="1:21">
      <c r="A850" t="s">
        <v>4279</v>
      </c>
      <c r="B850" t="s">
        <v>1202</v>
      </c>
      <c r="C850" t="s">
        <v>1152</v>
      </c>
      <c r="D850" t="s">
        <v>4280</v>
      </c>
      <c r="E850" t="s">
        <v>4281</v>
      </c>
      <c r="F850" t="s">
        <v>1843</v>
      </c>
      <c r="G850">
        <v>480</v>
      </c>
      <c r="H850" t="s">
        <v>23</v>
      </c>
      <c r="I850" t="s">
        <v>30</v>
      </c>
      <c r="J850" t="s">
        <v>1355</v>
      </c>
      <c r="K850">
        <v>67</v>
      </c>
      <c r="L850" t="s">
        <v>2592</v>
      </c>
      <c r="M850" t="s">
        <v>2597</v>
      </c>
      <c r="N850" t="s">
        <v>82</v>
      </c>
      <c r="O850" s="12">
        <v>46028.239583333336</v>
      </c>
      <c r="P850" s="12">
        <v>46029.90625</v>
      </c>
      <c r="Q850" s="12">
        <v>46028.374305555553</v>
      </c>
      <c r="R850" s="12">
        <v>46028.401388888888</v>
      </c>
      <c r="U850" t="b">
        <v>0</v>
      </c>
    </row>
    <row r="851" spans="1:21">
      <c r="A851" t="s">
        <v>4282</v>
      </c>
      <c r="B851" t="s">
        <v>2760</v>
      </c>
      <c r="C851" t="s">
        <v>2100</v>
      </c>
      <c r="D851" t="s">
        <v>4283</v>
      </c>
      <c r="E851" t="s">
        <v>4284</v>
      </c>
      <c r="F851" t="s">
        <v>1294</v>
      </c>
      <c r="G851">
        <v>612</v>
      </c>
      <c r="H851" t="s">
        <v>23</v>
      </c>
      <c r="I851" t="s">
        <v>30</v>
      </c>
      <c r="J851" t="s">
        <v>1281</v>
      </c>
      <c r="K851">
        <v>88</v>
      </c>
      <c r="L851" t="s">
        <v>2642</v>
      </c>
      <c r="M851" t="s">
        <v>2643</v>
      </c>
      <c r="N851" t="s">
        <v>82</v>
      </c>
      <c r="O851" s="12">
        <v>45559.017361111109</v>
      </c>
      <c r="P851" s="12">
        <v>45563.392361111109</v>
      </c>
      <c r="Q851" s="12">
        <v>45559.243055555555</v>
      </c>
      <c r="R851" s="12">
        <v>45559.315972222219</v>
      </c>
      <c r="S851" s="12">
        <v>45566.225694444445</v>
      </c>
      <c r="U851" t="b">
        <v>0</v>
      </c>
    </row>
    <row r="852" spans="1:21">
      <c r="A852" t="s">
        <v>4285</v>
      </c>
      <c r="B852" t="s">
        <v>1138</v>
      </c>
      <c r="C852" t="s">
        <v>1168</v>
      </c>
      <c r="D852" t="s">
        <v>4286</v>
      </c>
      <c r="E852" t="s">
        <v>4287</v>
      </c>
      <c r="F852" t="s">
        <v>1448</v>
      </c>
      <c r="G852">
        <v>364</v>
      </c>
      <c r="H852" t="s">
        <v>54</v>
      </c>
      <c r="I852" t="s">
        <v>30</v>
      </c>
      <c r="J852" t="s">
        <v>1295</v>
      </c>
      <c r="K852">
        <v>96</v>
      </c>
      <c r="L852" t="s">
        <v>2642</v>
      </c>
      <c r="M852" t="s">
        <v>2643</v>
      </c>
      <c r="N852" t="s">
        <v>55</v>
      </c>
      <c r="O852" s="12">
        <v>45828.256944444445</v>
      </c>
      <c r="P852" s="12">
        <v>45832.131944444445</v>
      </c>
      <c r="Q852" s="12">
        <v>45828.323611111111</v>
      </c>
      <c r="R852" s="12">
        <v>45829.531944444447</v>
      </c>
      <c r="S852" s="12">
        <v>45840.590277777781</v>
      </c>
      <c r="U852" t="b">
        <v>0</v>
      </c>
    </row>
    <row r="853" spans="1:21">
      <c r="A853" t="s">
        <v>4288</v>
      </c>
      <c r="B853" t="s">
        <v>2834</v>
      </c>
      <c r="C853" t="s">
        <v>1378</v>
      </c>
      <c r="D853" t="s">
        <v>4289</v>
      </c>
      <c r="E853" t="s">
        <v>4290</v>
      </c>
      <c r="F853" t="s">
        <v>1511</v>
      </c>
      <c r="G853">
        <v>347</v>
      </c>
      <c r="H853" t="s">
        <v>68</v>
      </c>
      <c r="I853" t="s">
        <v>30</v>
      </c>
      <c r="J853" t="s">
        <v>1281</v>
      </c>
      <c r="K853">
        <v>80</v>
      </c>
      <c r="L853" t="s">
        <v>2601</v>
      </c>
      <c r="M853" t="s">
        <v>2655</v>
      </c>
      <c r="N853" t="s">
        <v>55</v>
      </c>
      <c r="O853" s="12">
        <v>45381.950694444444</v>
      </c>
      <c r="Q853" s="12">
        <v>45382.047222222223</v>
      </c>
      <c r="U853" t="b">
        <v>0</v>
      </c>
    </row>
    <row r="854" spans="1:21">
      <c r="A854" t="s">
        <v>4291</v>
      </c>
      <c r="B854" t="s">
        <v>2682</v>
      </c>
      <c r="C854" t="s">
        <v>1125</v>
      </c>
      <c r="D854" t="s">
        <v>4292</v>
      </c>
      <c r="E854" t="s">
        <v>4293</v>
      </c>
      <c r="F854" t="s">
        <v>1784</v>
      </c>
      <c r="G854">
        <v>2389</v>
      </c>
      <c r="H854" t="s">
        <v>408</v>
      </c>
      <c r="I854" t="s">
        <v>17</v>
      </c>
      <c r="J854" t="s">
        <v>1295</v>
      </c>
      <c r="K854">
        <v>75</v>
      </c>
      <c r="L854" t="s">
        <v>2601</v>
      </c>
      <c r="M854" t="s">
        <v>2605</v>
      </c>
      <c r="N854" t="s">
        <v>55</v>
      </c>
      <c r="O854" s="12">
        <v>45358.98541666667</v>
      </c>
      <c r="Q854" s="12">
        <v>45359.161805555559</v>
      </c>
      <c r="R854" s="12">
        <v>45359.244444444441</v>
      </c>
      <c r="U854" t="b">
        <v>0</v>
      </c>
    </row>
    <row r="855" spans="1:21">
      <c r="A855" t="s">
        <v>4294</v>
      </c>
      <c r="B855" t="s">
        <v>2706</v>
      </c>
      <c r="C855" t="s">
        <v>1130</v>
      </c>
      <c r="D855" t="s">
        <v>4295</v>
      </c>
      <c r="E855" t="s">
        <v>4296</v>
      </c>
      <c r="F855" t="s">
        <v>1420</v>
      </c>
      <c r="G855">
        <v>550</v>
      </c>
      <c r="H855" t="s">
        <v>127</v>
      </c>
      <c r="I855" t="s">
        <v>30</v>
      </c>
      <c r="J855" t="s">
        <v>1288</v>
      </c>
      <c r="K855">
        <v>75</v>
      </c>
      <c r="L855" t="s">
        <v>2592</v>
      </c>
      <c r="M855" t="s">
        <v>2597</v>
      </c>
      <c r="N855" t="s">
        <v>82</v>
      </c>
      <c r="O855" s="12">
        <v>45828.429861111108</v>
      </c>
      <c r="P855" s="12">
        <v>45830.388194444444</v>
      </c>
      <c r="Q855" s="12">
        <v>45828.523611111108</v>
      </c>
      <c r="R855" s="12">
        <v>45828.67083333333</v>
      </c>
      <c r="U855" t="b">
        <v>0</v>
      </c>
    </row>
    <row r="856" spans="1:21">
      <c r="A856" t="s">
        <v>4297</v>
      </c>
      <c r="B856" t="s">
        <v>2662</v>
      </c>
      <c r="C856" t="s">
        <v>1418</v>
      </c>
      <c r="D856" t="s">
        <v>4298</v>
      </c>
      <c r="E856" t="s">
        <v>4299</v>
      </c>
      <c r="F856" t="s">
        <v>1843</v>
      </c>
      <c r="G856">
        <v>184</v>
      </c>
      <c r="H856" t="s">
        <v>140</v>
      </c>
      <c r="I856" t="s">
        <v>24</v>
      </c>
      <c r="J856" t="s">
        <v>1295</v>
      </c>
      <c r="K856">
        <v>80</v>
      </c>
      <c r="L856" t="s">
        <v>2642</v>
      </c>
      <c r="M856" t="s">
        <v>2643</v>
      </c>
      <c r="N856" t="s">
        <v>25</v>
      </c>
      <c r="O856" s="12">
        <v>46207.238888888889</v>
      </c>
      <c r="P856" s="12">
        <v>46211.155555555553</v>
      </c>
      <c r="Q856" s="12">
        <v>46207.270138888889</v>
      </c>
      <c r="R856" s="12">
        <v>46208.561805555553</v>
      </c>
      <c r="S856" s="12">
        <v>46212.863888888889</v>
      </c>
      <c r="U856" t="b">
        <v>0</v>
      </c>
    </row>
    <row r="857" spans="1:21">
      <c r="A857" t="s">
        <v>4300</v>
      </c>
      <c r="B857" t="s">
        <v>2760</v>
      </c>
      <c r="C857" t="s">
        <v>1291</v>
      </c>
      <c r="D857" t="s">
        <v>4301</v>
      </c>
      <c r="E857" t="s">
        <v>4302</v>
      </c>
      <c r="F857" t="s">
        <v>1182</v>
      </c>
      <c r="G857">
        <v>125</v>
      </c>
      <c r="H857" t="s">
        <v>54</v>
      </c>
      <c r="I857" t="s">
        <v>24</v>
      </c>
      <c r="J857" t="s">
        <v>1281</v>
      </c>
      <c r="K857">
        <v>68</v>
      </c>
      <c r="L857" t="s">
        <v>2642</v>
      </c>
      <c r="M857" t="s">
        <v>2597</v>
      </c>
      <c r="N857" t="s">
        <v>69</v>
      </c>
      <c r="O857" s="12">
        <v>45814.455555555556</v>
      </c>
      <c r="P857" s="12">
        <v>45818.413888888892</v>
      </c>
      <c r="Q857" s="12">
        <v>45814.620138888888</v>
      </c>
      <c r="R857" s="12">
        <v>45814.688194444447</v>
      </c>
      <c r="S857" s="12">
        <v>45821.74722222222</v>
      </c>
      <c r="U857" t="b">
        <v>0</v>
      </c>
    </row>
    <row r="858" spans="1:21">
      <c r="A858" t="s">
        <v>4303</v>
      </c>
      <c r="B858" t="s">
        <v>2847</v>
      </c>
      <c r="C858" t="s">
        <v>1655</v>
      </c>
      <c r="D858" t="s">
        <v>4304</v>
      </c>
      <c r="E858" t="s">
        <v>4305</v>
      </c>
      <c r="F858" t="s">
        <v>2680</v>
      </c>
      <c r="G858">
        <v>149</v>
      </c>
      <c r="H858" t="s">
        <v>54</v>
      </c>
      <c r="I858" t="s">
        <v>24</v>
      </c>
      <c r="J858" t="s">
        <v>1413</v>
      </c>
      <c r="K858">
        <v>50</v>
      </c>
      <c r="L858" t="s">
        <v>2601</v>
      </c>
      <c r="M858" t="s">
        <v>2655</v>
      </c>
      <c r="N858" t="s">
        <v>69</v>
      </c>
      <c r="O858" s="12">
        <v>45970.647222222222</v>
      </c>
      <c r="Q858" s="12">
        <v>45970.695138888892</v>
      </c>
      <c r="U858" t="b">
        <v>0</v>
      </c>
    </row>
    <row r="859" spans="1:21">
      <c r="A859" t="s">
        <v>4306</v>
      </c>
      <c r="B859" t="s">
        <v>1185</v>
      </c>
      <c r="C859" t="s">
        <v>2059</v>
      </c>
      <c r="D859" t="s">
        <v>4307</v>
      </c>
      <c r="E859" t="s">
        <v>4308</v>
      </c>
      <c r="F859" t="s">
        <v>1511</v>
      </c>
      <c r="G859">
        <v>178</v>
      </c>
      <c r="H859" t="s">
        <v>1079</v>
      </c>
      <c r="I859" t="s">
        <v>24</v>
      </c>
      <c r="J859" t="s">
        <v>1355</v>
      </c>
      <c r="K859">
        <v>78</v>
      </c>
      <c r="L859" t="s">
        <v>2592</v>
      </c>
      <c r="M859" t="s">
        <v>2605</v>
      </c>
      <c r="N859" t="s">
        <v>69</v>
      </c>
      <c r="O859" s="12">
        <v>45409.15902777778</v>
      </c>
      <c r="P859" s="12">
        <v>45412.575694444444</v>
      </c>
      <c r="Q859" s="12">
        <v>45409.385416666664</v>
      </c>
      <c r="R859" s="12">
        <v>45409.431944444441</v>
      </c>
      <c r="U859" t="b">
        <v>0</v>
      </c>
    </row>
    <row r="860" spans="1:21">
      <c r="A860" t="s">
        <v>4309</v>
      </c>
      <c r="B860" t="s">
        <v>2662</v>
      </c>
      <c r="C860" t="s">
        <v>1208</v>
      </c>
      <c r="D860" t="s">
        <v>4310</v>
      </c>
      <c r="E860" t="s">
        <v>4311</v>
      </c>
      <c r="F860" t="s">
        <v>2660</v>
      </c>
      <c r="G860">
        <v>187</v>
      </c>
      <c r="H860" t="s">
        <v>50</v>
      </c>
      <c r="I860" t="s">
        <v>24</v>
      </c>
      <c r="J860" t="s">
        <v>1413</v>
      </c>
      <c r="K860">
        <v>65</v>
      </c>
      <c r="L860" t="s">
        <v>2601</v>
      </c>
      <c r="M860" t="s">
        <v>2605</v>
      </c>
      <c r="N860" t="s">
        <v>59</v>
      </c>
      <c r="O860" s="12">
        <v>46267.568749999999</v>
      </c>
      <c r="Q860" s="12">
        <v>46267.786111111112</v>
      </c>
      <c r="R860" s="12">
        <v>46267.886111111111</v>
      </c>
      <c r="U860" t="b">
        <v>0</v>
      </c>
    </row>
    <row r="861" spans="1:21">
      <c r="A861" t="s">
        <v>4312</v>
      </c>
      <c r="B861" t="s">
        <v>2882</v>
      </c>
      <c r="C861" t="s">
        <v>1320</v>
      </c>
      <c r="D861" t="s">
        <v>4313</v>
      </c>
      <c r="E861" t="s">
        <v>4314</v>
      </c>
      <c r="F861" t="s">
        <v>2709</v>
      </c>
      <c r="G861">
        <v>138</v>
      </c>
      <c r="I861" t="s">
        <v>24</v>
      </c>
      <c r="J861" t="s">
        <v>1355</v>
      </c>
      <c r="K861">
        <v>67</v>
      </c>
      <c r="L861" t="s">
        <v>2592</v>
      </c>
      <c r="M861" t="s">
        <v>2593</v>
      </c>
      <c r="N861" t="s">
        <v>59</v>
      </c>
      <c r="O861" s="12">
        <v>45744.133333333331</v>
      </c>
      <c r="P861" s="12">
        <v>45748.258333333331</v>
      </c>
      <c r="Q861" s="12">
        <v>45744.14166666667</v>
      </c>
      <c r="R861" s="12">
        <v>45744.279166666667</v>
      </c>
      <c r="U861" t="b">
        <v>0</v>
      </c>
    </row>
    <row r="862" spans="1:21">
      <c r="A862" t="s">
        <v>4315</v>
      </c>
      <c r="B862" t="s">
        <v>2882</v>
      </c>
      <c r="C862" t="s">
        <v>1172</v>
      </c>
      <c r="D862" t="s">
        <v>4316</v>
      </c>
      <c r="E862" t="s">
        <v>4317</v>
      </c>
      <c r="F862" t="s">
        <v>1843</v>
      </c>
      <c r="G862">
        <v>137</v>
      </c>
      <c r="H862" t="s">
        <v>81</v>
      </c>
      <c r="I862" t="s">
        <v>24</v>
      </c>
      <c r="J862" t="s">
        <v>1413</v>
      </c>
      <c r="K862">
        <v>47</v>
      </c>
      <c r="L862" t="s">
        <v>2601</v>
      </c>
      <c r="M862" t="s">
        <v>2605</v>
      </c>
      <c r="N862" t="s">
        <v>25</v>
      </c>
      <c r="O862" s="12">
        <v>45934.959722222222</v>
      </c>
      <c r="Q862" s="12">
        <v>45935.174305555556</v>
      </c>
      <c r="R862" s="12">
        <v>45935.206944444442</v>
      </c>
      <c r="U862" t="b">
        <v>0</v>
      </c>
    </row>
    <row r="863" spans="1:21">
      <c r="A863" t="s">
        <v>4318</v>
      </c>
      <c r="B863" t="s">
        <v>2847</v>
      </c>
      <c r="C863" t="s">
        <v>1186</v>
      </c>
      <c r="D863" t="s">
        <v>4319</v>
      </c>
      <c r="E863" t="s">
        <v>4320</v>
      </c>
      <c r="F863" t="s">
        <v>1412</v>
      </c>
      <c r="G863">
        <v>238</v>
      </c>
      <c r="H863" t="s">
        <v>50</v>
      </c>
      <c r="I863" t="s">
        <v>30</v>
      </c>
      <c r="J863" t="s">
        <v>1355</v>
      </c>
      <c r="K863">
        <v>74</v>
      </c>
      <c r="L863" t="s">
        <v>2592</v>
      </c>
      <c r="M863" t="s">
        <v>2605</v>
      </c>
      <c r="N863" t="s">
        <v>36</v>
      </c>
      <c r="O863" s="12">
        <v>45914.597222222219</v>
      </c>
      <c r="P863" s="12">
        <v>45919.347222222219</v>
      </c>
      <c r="Q863" s="12">
        <v>45914.643750000003</v>
      </c>
      <c r="R863" s="12">
        <v>45916.060416666667</v>
      </c>
      <c r="U863" t="b">
        <v>0</v>
      </c>
    </row>
    <row r="864" spans="1:21">
      <c r="A864" t="s">
        <v>4321</v>
      </c>
      <c r="B864" t="s">
        <v>2874</v>
      </c>
      <c r="C864" t="s">
        <v>1432</v>
      </c>
      <c r="D864" t="s">
        <v>4322</v>
      </c>
      <c r="E864" t="s">
        <v>4323</v>
      </c>
      <c r="F864" t="s">
        <v>2660</v>
      </c>
      <c r="G864">
        <v>1973</v>
      </c>
      <c r="H864" t="s">
        <v>1077</v>
      </c>
      <c r="I864" t="s">
        <v>17</v>
      </c>
      <c r="J864" t="s">
        <v>1295</v>
      </c>
      <c r="K864">
        <v>87</v>
      </c>
      <c r="L864" t="s">
        <v>2592</v>
      </c>
      <c r="M864" t="s">
        <v>2593</v>
      </c>
      <c r="N864" t="s">
        <v>55</v>
      </c>
      <c r="O864" s="12">
        <v>46038.777777777781</v>
      </c>
      <c r="P864" s="12">
        <v>46041.611111111109</v>
      </c>
      <c r="Q864" s="12">
        <v>46038.822916666664</v>
      </c>
      <c r="R864" s="12">
        <v>46038.955555555556</v>
      </c>
      <c r="U864" t="b">
        <v>0</v>
      </c>
    </row>
    <row r="865" spans="1:21">
      <c r="A865" t="s">
        <v>4324</v>
      </c>
      <c r="B865" t="s">
        <v>1157</v>
      </c>
      <c r="C865" t="s">
        <v>1650</v>
      </c>
      <c r="D865" t="s">
        <v>4325</v>
      </c>
      <c r="E865" t="s">
        <v>4326</v>
      </c>
      <c r="F865" t="s">
        <v>1471</v>
      </c>
      <c r="G865">
        <v>189</v>
      </c>
      <c r="H865" t="s">
        <v>41</v>
      </c>
      <c r="I865" t="s">
        <v>24</v>
      </c>
      <c r="J865" t="s">
        <v>1413</v>
      </c>
      <c r="K865">
        <v>45</v>
      </c>
      <c r="L865" t="s">
        <v>2601</v>
      </c>
      <c r="M865" t="s">
        <v>2593</v>
      </c>
      <c r="N865" t="s">
        <v>25</v>
      </c>
      <c r="O865" s="12">
        <v>45817.87777777778</v>
      </c>
      <c r="Q865" s="12">
        <v>45818.033333333333</v>
      </c>
      <c r="R865" s="12">
        <v>45819.408333333333</v>
      </c>
      <c r="U865" t="b">
        <v>0</v>
      </c>
    </row>
    <row r="866" spans="1:21">
      <c r="A866" t="s">
        <v>4327</v>
      </c>
      <c r="B866" t="s">
        <v>2666</v>
      </c>
      <c r="C866" t="s">
        <v>1771</v>
      </c>
      <c r="D866" t="s">
        <v>4328</v>
      </c>
      <c r="E866" t="s">
        <v>4329</v>
      </c>
      <c r="F866" t="s">
        <v>1309</v>
      </c>
      <c r="G866">
        <v>569</v>
      </c>
      <c r="H866" t="s">
        <v>81</v>
      </c>
      <c r="I866" t="s">
        <v>30</v>
      </c>
      <c r="J866" t="s">
        <v>1355</v>
      </c>
      <c r="K866">
        <v>69</v>
      </c>
      <c r="L866" t="s">
        <v>2592</v>
      </c>
      <c r="M866" t="s">
        <v>2597</v>
      </c>
      <c r="N866" t="s">
        <v>82</v>
      </c>
      <c r="O866" s="12">
        <v>46144.05</v>
      </c>
      <c r="P866" s="12">
        <v>46145.675000000003</v>
      </c>
      <c r="Q866" s="12">
        <v>46144.131944444445</v>
      </c>
      <c r="R866" s="12">
        <v>46144.21875</v>
      </c>
      <c r="U866" t="b">
        <v>0</v>
      </c>
    </row>
    <row r="867" spans="1:21">
      <c r="A867" t="s">
        <v>4330</v>
      </c>
      <c r="B867" t="s">
        <v>1185</v>
      </c>
      <c r="C867" t="s">
        <v>1139</v>
      </c>
      <c r="D867" t="s">
        <v>4331</v>
      </c>
      <c r="E867" t="s">
        <v>4332</v>
      </c>
      <c r="F867" t="s">
        <v>1294</v>
      </c>
      <c r="G867">
        <v>869</v>
      </c>
      <c r="H867" t="s">
        <v>154</v>
      </c>
      <c r="I867" t="s">
        <v>30</v>
      </c>
      <c r="J867" t="s">
        <v>1288</v>
      </c>
      <c r="K867">
        <v>62</v>
      </c>
      <c r="L867" t="s">
        <v>2592</v>
      </c>
      <c r="M867" t="s">
        <v>2597</v>
      </c>
      <c r="N867" t="s">
        <v>82</v>
      </c>
      <c r="O867" s="12">
        <v>45721.084027777775</v>
      </c>
      <c r="P867" s="12">
        <v>45724.500694444447</v>
      </c>
      <c r="Q867" s="12">
        <v>45721.328472222223</v>
      </c>
      <c r="R867" s="12">
        <v>45721.396527777775</v>
      </c>
      <c r="U867" t="b">
        <v>0</v>
      </c>
    </row>
    <row r="868" spans="1:21">
      <c r="A868" t="s">
        <v>4333</v>
      </c>
      <c r="B868" t="s">
        <v>1138</v>
      </c>
      <c r="C868" t="s">
        <v>1212</v>
      </c>
      <c r="D868" t="s">
        <v>4334</v>
      </c>
      <c r="E868" t="s">
        <v>4335</v>
      </c>
      <c r="F868" t="s">
        <v>2709</v>
      </c>
      <c r="G868">
        <v>1843</v>
      </c>
      <c r="H868" t="s">
        <v>81</v>
      </c>
      <c r="I868" t="s">
        <v>17</v>
      </c>
      <c r="J868" t="s">
        <v>1413</v>
      </c>
      <c r="K868">
        <v>61</v>
      </c>
      <c r="L868" t="s">
        <v>2592</v>
      </c>
      <c r="M868" t="s">
        <v>2605</v>
      </c>
      <c r="N868" t="s">
        <v>55</v>
      </c>
      <c r="O868" s="12">
        <v>45954.365277777775</v>
      </c>
      <c r="P868" s="12">
        <v>45955.490277777775</v>
      </c>
      <c r="Q868" s="12">
        <v>45954.507638888892</v>
      </c>
      <c r="R868" s="12">
        <v>45954.631249999999</v>
      </c>
      <c r="U868" t="b">
        <v>0</v>
      </c>
    </row>
    <row r="869" spans="1:21">
      <c r="A869" t="s">
        <v>4336</v>
      </c>
      <c r="B869" t="s">
        <v>2878</v>
      </c>
      <c r="C869" t="s">
        <v>1152</v>
      </c>
      <c r="D869" t="s">
        <v>4337</v>
      </c>
      <c r="E869" t="s">
        <v>4338</v>
      </c>
      <c r="F869" t="s">
        <v>1843</v>
      </c>
      <c r="G869">
        <v>754</v>
      </c>
      <c r="H869" t="s">
        <v>178</v>
      </c>
      <c r="I869" t="s">
        <v>30</v>
      </c>
      <c r="J869" t="s">
        <v>1271</v>
      </c>
      <c r="K869">
        <v>56</v>
      </c>
      <c r="L869" t="s">
        <v>2592</v>
      </c>
      <c r="M869" t="s">
        <v>2597</v>
      </c>
      <c r="N869" t="s">
        <v>36</v>
      </c>
      <c r="O869" s="12">
        <v>45393.053472222222</v>
      </c>
      <c r="P869" s="12">
        <v>45394.886805555558</v>
      </c>
      <c r="Q869" s="12">
        <v>45393.267361111109</v>
      </c>
      <c r="R869" s="12">
        <v>45393.284722222219</v>
      </c>
      <c r="U869" t="b">
        <v>0</v>
      </c>
    </row>
    <row r="870" spans="1:21">
      <c r="A870" t="s">
        <v>4339</v>
      </c>
      <c r="B870" t="s">
        <v>2639</v>
      </c>
      <c r="C870" t="s">
        <v>2059</v>
      </c>
      <c r="D870" t="s">
        <v>4340</v>
      </c>
      <c r="E870" t="s">
        <v>4341</v>
      </c>
      <c r="F870" t="s">
        <v>1182</v>
      </c>
      <c r="G870">
        <v>171</v>
      </c>
      <c r="H870" t="s">
        <v>81</v>
      </c>
      <c r="I870" t="s">
        <v>24</v>
      </c>
      <c r="J870" t="s">
        <v>1271</v>
      </c>
      <c r="K870">
        <v>37</v>
      </c>
      <c r="L870" t="s">
        <v>2601</v>
      </c>
      <c r="M870" t="s">
        <v>2618</v>
      </c>
      <c r="N870" t="s">
        <v>25</v>
      </c>
      <c r="O870" s="12">
        <v>46151.160416666666</v>
      </c>
      <c r="Q870" s="12">
        <v>46151.400694444441</v>
      </c>
      <c r="R870" s="12">
        <v>46151.53402777778</v>
      </c>
      <c r="T870" t="s">
        <v>2648</v>
      </c>
      <c r="U870" t="b">
        <v>0</v>
      </c>
    </row>
    <row r="871" spans="1:21">
      <c r="A871" t="s">
        <v>4342</v>
      </c>
      <c r="B871" t="s">
        <v>2811</v>
      </c>
      <c r="C871" t="s">
        <v>1365</v>
      </c>
      <c r="D871" t="s">
        <v>4343</v>
      </c>
      <c r="E871" t="s">
        <v>4344</v>
      </c>
      <c r="F871" t="s">
        <v>1412</v>
      </c>
      <c r="G871">
        <v>134</v>
      </c>
      <c r="H871" t="s">
        <v>216</v>
      </c>
      <c r="I871" t="s">
        <v>24</v>
      </c>
      <c r="J871" t="s">
        <v>1413</v>
      </c>
      <c r="K871">
        <v>77</v>
      </c>
      <c r="L871" t="s">
        <v>2592</v>
      </c>
      <c r="M871" t="s">
        <v>2618</v>
      </c>
      <c r="N871" t="s">
        <v>91</v>
      </c>
      <c r="O871" s="12">
        <v>45838.224305555559</v>
      </c>
      <c r="P871" s="12">
        <v>45839.099305555559</v>
      </c>
      <c r="Q871" s="12">
        <v>45838.257638888892</v>
      </c>
      <c r="R871" s="12">
        <v>45839.59097222222</v>
      </c>
      <c r="T871" t="s">
        <v>2739</v>
      </c>
      <c r="U871" t="b">
        <v>0</v>
      </c>
    </row>
    <row r="872" spans="1:21">
      <c r="A872" t="s">
        <v>4345</v>
      </c>
      <c r="B872" t="s">
        <v>1521</v>
      </c>
      <c r="C872" t="s">
        <v>1176</v>
      </c>
      <c r="D872" t="s">
        <v>4346</v>
      </c>
      <c r="E872" t="s">
        <v>4347</v>
      </c>
      <c r="F872" t="s">
        <v>1367</v>
      </c>
      <c r="G872">
        <v>680</v>
      </c>
      <c r="H872" t="s">
        <v>366</v>
      </c>
      <c r="I872" t="s">
        <v>30</v>
      </c>
      <c r="J872" t="s">
        <v>1339</v>
      </c>
      <c r="K872">
        <v>83</v>
      </c>
      <c r="L872" t="s">
        <v>2642</v>
      </c>
      <c r="M872" t="s">
        <v>2643</v>
      </c>
      <c r="N872" t="s">
        <v>18</v>
      </c>
      <c r="O872" s="12">
        <v>45752.359027777777</v>
      </c>
      <c r="P872" s="12">
        <v>45756.025694444441</v>
      </c>
      <c r="Q872" s="12">
        <v>45752.432638888888</v>
      </c>
      <c r="R872" s="12">
        <v>45752.510416666664</v>
      </c>
      <c r="S872" s="12">
        <v>45759.317361111112</v>
      </c>
      <c r="U872" t="b">
        <v>0</v>
      </c>
    </row>
    <row r="873" spans="1:21">
      <c r="A873" t="s">
        <v>4348</v>
      </c>
      <c r="B873" t="s">
        <v>2882</v>
      </c>
      <c r="C873" t="s">
        <v>1898</v>
      </c>
      <c r="D873" t="s">
        <v>4349</v>
      </c>
      <c r="E873" t="s">
        <v>4350</v>
      </c>
      <c r="F873" t="s">
        <v>2617</v>
      </c>
      <c r="G873">
        <v>6</v>
      </c>
      <c r="H873" t="s">
        <v>1077</v>
      </c>
      <c r="J873" t="s">
        <v>1413</v>
      </c>
      <c r="K873">
        <v>66</v>
      </c>
      <c r="L873" t="s">
        <v>2592</v>
      </c>
      <c r="M873" t="s">
        <v>2593</v>
      </c>
      <c r="O873" s="12">
        <v>45401.740277777775</v>
      </c>
      <c r="P873" s="12">
        <v>45405.281944444447</v>
      </c>
      <c r="U873" t="b">
        <v>0</v>
      </c>
    </row>
    <row r="874" spans="1:21">
      <c r="A874" t="s">
        <v>4351</v>
      </c>
      <c r="B874" t="s">
        <v>1202</v>
      </c>
      <c r="C874" t="s">
        <v>1142</v>
      </c>
      <c r="D874" t="s">
        <v>4352</v>
      </c>
      <c r="E874" t="s">
        <v>4353</v>
      </c>
      <c r="F874" t="s">
        <v>1367</v>
      </c>
      <c r="G874">
        <v>151</v>
      </c>
      <c r="H874" t="s">
        <v>216</v>
      </c>
      <c r="I874" t="s">
        <v>24</v>
      </c>
      <c r="J874" t="s">
        <v>1295</v>
      </c>
      <c r="K874">
        <v>82</v>
      </c>
      <c r="L874" t="s">
        <v>2642</v>
      </c>
      <c r="M874" t="s">
        <v>2597</v>
      </c>
      <c r="N874" t="s">
        <v>91</v>
      </c>
      <c r="O874" s="12">
        <v>45631.472222222219</v>
      </c>
      <c r="P874" s="12">
        <v>45635.555555555555</v>
      </c>
      <c r="Q874" s="12">
        <v>45631.600694444445</v>
      </c>
      <c r="R874" s="12">
        <v>45631.617361111108</v>
      </c>
      <c r="S874" s="12">
        <v>45644.222222222219</v>
      </c>
      <c r="U874" t="b">
        <v>0</v>
      </c>
    </row>
    <row r="875" spans="1:21">
      <c r="A875" t="s">
        <v>4354</v>
      </c>
      <c r="B875" t="s">
        <v>1485</v>
      </c>
      <c r="C875" t="s">
        <v>1119</v>
      </c>
      <c r="D875" t="s">
        <v>4355</v>
      </c>
      <c r="E875" t="s">
        <v>4356</v>
      </c>
      <c r="F875" t="s">
        <v>1487</v>
      </c>
      <c r="G875">
        <v>87</v>
      </c>
      <c r="H875" t="s">
        <v>154</v>
      </c>
      <c r="I875" t="s">
        <v>24</v>
      </c>
      <c r="J875" t="s">
        <v>1317</v>
      </c>
      <c r="K875">
        <v>72</v>
      </c>
      <c r="L875" t="s">
        <v>2601</v>
      </c>
      <c r="M875" t="s">
        <v>2618</v>
      </c>
      <c r="N875" t="s">
        <v>25</v>
      </c>
      <c r="O875" s="12">
        <v>45801.257638888892</v>
      </c>
      <c r="Q875" s="12">
        <v>45801.388194444444</v>
      </c>
      <c r="R875" s="12">
        <v>45801.517361111109</v>
      </c>
      <c r="T875" t="s">
        <v>2739</v>
      </c>
      <c r="U875" t="b">
        <v>0</v>
      </c>
    </row>
    <row r="876" spans="1:21">
      <c r="A876" t="s">
        <v>4357</v>
      </c>
      <c r="B876" t="s">
        <v>2760</v>
      </c>
      <c r="C876" t="s">
        <v>1158</v>
      </c>
      <c r="D876" t="s">
        <v>4358</v>
      </c>
      <c r="E876" t="s">
        <v>4359</v>
      </c>
      <c r="F876" t="s">
        <v>2084</v>
      </c>
      <c r="G876">
        <v>125</v>
      </c>
      <c r="H876" t="s">
        <v>249</v>
      </c>
      <c r="I876" t="s">
        <v>24</v>
      </c>
      <c r="J876" t="s">
        <v>1355</v>
      </c>
      <c r="K876">
        <v>49</v>
      </c>
      <c r="L876" t="s">
        <v>2601</v>
      </c>
      <c r="M876" t="s">
        <v>2618</v>
      </c>
      <c r="N876" t="s">
        <v>59</v>
      </c>
      <c r="O876" s="12">
        <v>46068.154861111114</v>
      </c>
      <c r="Q876" s="12">
        <v>46068.25</v>
      </c>
      <c r="R876" s="12">
        <v>46068.350694444445</v>
      </c>
      <c r="T876" t="s">
        <v>2673</v>
      </c>
      <c r="U876" t="b">
        <v>0</v>
      </c>
    </row>
    <row r="877" spans="1:21">
      <c r="A877" t="s">
        <v>4360</v>
      </c>
      <c r="B877" t="s">
        <v>1649</v>
      </c>
      <c r="C877" t="s">
        <v>1208</v>
      </c>
      <c r="D877" t="s">
        <v>4361</v>
      </c>
      <c r="E877" t="s">
        <v>4362</v>
      </c>
      <c r="F877" t="s">
        <v>1448</v>
      </c>
      <c r="G877">
        <v>25</v>
      </c>
      <c r="H877" t="s">
        <v>41</v>
      </c>
      <c r="I877" t="s">
        <v>24</v>
      </c>
      <c r="J877" t="s">
        <v>1317</v>
      </c>
      <c r="K877">
        <v>58</v>
      </c>
      <c r="L877" t="s">
        <v>2601</v>
      </c>
      <c r="M877" t="s">
        <v>2618</v>
      </c>
      <c r="N877" t="s">
        <v>25</v>
      </c>
      <c r="O877" s="12">
        <v>45383.474999999999</v>
      </c>
      <c r="Q877" s="12">
        <v>45383.669444444444</v>
      </c>
      <c r="R877" s="12">
        <v>45383.792361111111</v>
      </c>
      <c r="T877" t="s">
        <v>2739</v>
      </c>
      <c r="U877" t="b">
        <v>0</v>
      </c>
    </row>
    <row r="878" spans="1:21">
      <c r="A878" t="s">
        <v>4363</v>
      </c>
      <c r="B878" t="s">
        <v>2882</v>
      </c>
      <c r="C878" t="s">
        <v>2005</v>
      </c>
      <c r="D878" t="s">
        <v>4364</v>
      </c>
      <c r="E878" t="s">
        <v>4365</v>
      </c>
      <c r="F878" t="s">
        <v>1487</v>
      </c>
      <c r="G878">
        <v>116</v>
      </c>
      <c r="H878" t="s">
        <v>81</v>
      </c>
      <c r="I878" t="s">
        <v>17</v>
      </c>
      <c r="J878" t="s">
        <v>1339</v>
      </c>
      <c r="K878">
        <v>74</v>
      </c>
      <c r="L878" t="s">
        <v>2592</v>
      </c>
      <c r="M878" t="s">
        <v>2605</v>
      </c>
      <c r="N878" t="s">
        <v>25</v>
      </c>
      <c r="O878" s="12">
        <v>46278.569444444445</v>
      </c>
      <c r="P878" s="12">
        <v>46281.444444444445</v>
      </c>
      <c r="Q878" s="12">
        <v>46278.592361111114</v>
      </c>
      <c r="R878" s="12">
        <v>46278.728472222225</v>
      </c>
      <c r="U878" t="b">
        <v>0</v>
      </c>
    </row>
    <row r="879" spans="1:21">
      <c r="A879" t="s">
        <v>4366</v>
      </c>
      <c r="B879" t="s">
        <v>2878</v>
      </c>
      <c r="C879" t="s">
        <v>1469</v>
      </c>
      <c r="D879" t="s">
        <v>4367</v>
      </c>
      <c r="E879" t="s">
        <v>4368</v>
      </c>
      <c r="F879" t="s">
        <v>1517</v>
      </c>
      <c r="G879">
        <v>74</v>
      </c>
      <c r="H879" t="s">
        <v>54</v>
      </c>
      <c r="I879" t="s">
        <v>24</v>
      </c>
      <c r="J879" t="s">
        <v>1413</v>
      </c>
      <c r="K879">
        <v>52</v>
      </c>
      <c r="L879" t="s">
        <v>2592</v>
      </c>
      <c r="M879" t="s">
        <v>2597</v>
      </c>
      <c r="N879" t="s">
        <v>69</v>
      </c>
      <c r="O879" s="12">
        <v>45517.89166666667</v>
      </c>
      <c r="P879" s="12">
        <v>45521.599999999999</v>
      </c>
      <c r="Q879" s="12">
        <v>45517.970138888886</v>
      </c>
      <c r="R879" s="12">
        <v>45518.020138888889</v>
      </c>
      <c r="U879" t="b">
        <v>0</v>
      </c>
    </row>
    <row r="880" spans="1:21">
      <c r="A880" t="s">
        <v>4369</v>
      </c>
      <c r="B880" t="s">
        <v>2670</v>
      </c>
      <c r="C880" t="s">
        <v>1125</v>
      </c>
      <c r="D880" t="s">
        <v>4370</v>
      </c>
      <c r="E880" t="s">
        <v>4371</v>
      </c>
      <c r="F880" t="s">
        <v>1517</v>
      </c>
      <c r="G880">
        <v>124</v>
      </c>
      <c r="H880" t="s">
        <v>216</v>
      </c>
      <c r="I880" t="s">
        <v>24</v>
      </c>
      <c r="J880" t="s">
        <v>1281</v>
      </c>
      <c r="K880">
        <v>89</v>
      </c>
      <c r="L880" t="s">
        <v>2642</v>
      </c>
      <c r="M880" t="s">
        <v>2643</v>
      </c>
      <c r="N880" t="s">
        <v>91</v>
      </c>
      <c r="O880" s="12">
        <v>45679.589583333334</v>
      </c>
      <c r="P880" s="12">
        <v>45680.214583333334</v>
      </c>
      <c r="Q880" s="12">
        <v>45679.67083333333</v>
      </c>
      <c r="R880" s="12">
        <v>45679.797222222223</v>
      </c>
      <c r="S880" s="12">
        <v>45681.42291666667</v>
      </c>
      <c r="U880" t="b">
        <v>0</v>
      </c>
    </row>
    <row r="881" spans="1:21">
      <c r="A881" t="s">
        <v>4372</v>
      </c>
      <c r="B881" t="s">
        <v>2662</v>
      </c>
      <c r="C881" t="s">
        <v>1898</v>
      </c>
      <c r="D881" t="s">
        <v>4373</v>
      </c>
      <c r="E881" t="s">
        <v>4374</v>
      </c>
      <c r="F881" t="s">
        <v>1487</v>
      </c>
      <c r="G881">
        <v>29</v>
      </c>
      <c r="H881" t="s">
        <v>140</v>
      </c>
      <c r="I881" t="s">
        <v>24</v>
      </c>
      <c r="J881" t="s">
        <v>1413</v>
      </c>
      <c r="K881">
        <v>66</v>
      </c>
      <c r="L881" t="s">
        <v>2592</v>
      </c>
      <c r="M881" t="s">
        <v>2597</v>
      </c>
      <c r="N881" t="s">
        <v>25</v>
      </c>
      <c r="O881" s="12">
        <v>46236.527083333334</v>
      </c>
      <c r="P881" s="12">
        <v>46236.652083333334</v>
      </c>
      <c r="Q881" s="12">
        <v>46236.689583333333</v>
      </c>
      <c r="R881" s="12">
        <v>46236.789583333331</v>
      </c>
      <c r="U881" t="b">
        <v>0</v>
      </c>
    </row>
    <row r="882" spans="1:21">
      <c r="A882" t="s">
        <v>4375</v>
      </c>
      <c r="B882" t="s">
        <v>2607</v>
      </c>
      <c r="C882" t="s">
        <v>1186</v>
      </c>
      <c r="D882" t="s">
        <v>4376</v>
      </c>
      <c r="E882" t="s">
        <v>4377</v>
      </c>
      <c r="F882" t="s">
        <v>1182</v>
      </c>
      <c r="G882">
        <v>808</v>
      </c>
      <c r="H882" t="s">
        <v>81</v>
      </c>
      <c r="I882" t="s">
        <v>30</v>
      </c>
      <c r="J882" t="s">
        <v>1271</v>
      </c>
      <c r="K882">
        <v>53</v>
      </c>
      <c r="L882" t="s">
        <v>2601</v>
      </c>
      <c r="M882" t="s">
        <v>2618</v>
      </c>
      <c r="N882" t="s">
        <v>82</v>
      </c>
      <c r="O882" s="12">
        <v>45467.828472222223</v>
      </c>
      <c r="Q882" s="12">
        <v>45467.863194444442</v>
      </c>
      <c r="R882" s="12">
        <v>45467.9375</v>
      </c>
      <c r="T882" t="s">
        <v>2631</v>
      </c>
      <c r="U882" t="b">
        <v>0</v>
      </c>
    </row>
    <row r="883" spans="1:21">
      <c r="A883" t="s">
        <v>4378</v>
      </c>
      <c r="B883" t="s">
        <v>2693</v>
      </c>
      <c r="C883" t="s">
        <v>1152</v>
      </c>
      <c r="D883" t="s">
        <v>4379</v>
      </c>
      <c r="E883" t="s">
        <v>4380</v>
      </c>
      <c r="F883" t="s">
        <v>2680</v>
      </c>
      <c r="G883">
        <v>969</v>
      </c>
      <c r="H883" t="s">
        <v>192</v>
      </c>
      <c r="I883" t="s">
        <v>30</v>
      </c>
      <c r="J883" t="s">
        <v>1355</v>
      </c>
      <c r="K883">
        <v>62</v>
      </c>
      <c r="L883" t="s">
        <v>2592</v>
      </c>
      <c r="M883" t="s">
        <v>2605</v>
      </c>
      <c r="N883" t="s">
        <v>18</v>
      </c>
      <c r="O883" s="12">
        <v>45402.410416666666</v>
      </c>
      <c r="P883" s="12">
        <v>45404.993750000001</v>
      </c>
      <c r="Q883" s="12">
        <v>45402.525000000001</v>
      </c>
      <c r="R883" s="12">
        <v>45402.539583333331</v>
      </c>
      <c r="U883" t="b">
        <v>0</v>
      </c>
    </row>
    <row r="884" spans="1:21">
      <c r="A884" t="s">
        <v>4381</v>
      </c>
      <c r="B884" t="s">
        <v>1138</v>
      </c>
      <c r="C884" t="s">
        <v>1222</v>
      </c>
      <c r="D884" t="s">
        <v>4382</v>
      </c>
      <c r="E884" t="s">
        <v>4383</v>
      </c>
      <c r="F884" t="s">
        <v>1784</v>
      </c>
      <c r="G884">
        <v>664</v>
      </c>
      <c r="H884" t="s">
        <v>171</v>
      </c>
      <c r="I884" t="s">
        <v>30</v>
      </c>
      <c r="J884" t="s">
        <v>1288</v>
      </c>
      <c r="K884">
        <v>43</v>
      </c>
      <c r="L884" t="s">
        <v>2592</v>
      </c>
      <c r="M884" t="s">
        <v>2605</v>
      </c>
      <c r="N884" t="s">
        <v>18</v>
      </c>
      <c r="O884" s="12">
        <v>45785.09652777778</v>
      </c>
      <c r="P884" s="12">
        <v>45787.763194444444</v>
      </c>
      <c r="Q884" s="12">
        <v>45785.112500000003</v>
      </c>
      <c r="R884" s="12">
        <v>45786.070833333331</v>
      </c>
      <c r="U884" t="b">
        <v>0</v>
      </c>
    </row>
    <row r="885" spans="1:21">
      <c r="A885" t="s">
        <v>4384</v>
      </c>
      <c r="B885" t="s">
        <v>1267</v>
      </c>
      <c r="C885" t="s">
        <v>1212</v>
      </c>
      <c r="D885" t="s">
        <v>4385</v>
      </c>
      <c r="E885" t="s">
        <v>4386</v>
      </c>
      <c r="F885" t="s">
        <v>1487</v>
      </c>
      <c r="G885">
        <v>662</v>
      </c>
      <c r="H885" t="s">
        <v>339</v>
      </c>
      <c r="I885" t="s">
        <v>30</v>
      </c>
      <c r="J885" t="s">
        <v>1355</v>
      </c>
      <c r="K885">
        <v>60</v>
      </c>
      <c r="L885" t="s">
        <v>2642</v>
      </c>
      <c r="M885" t="s">
        <v>2597</v>
      </c>
      <c r="N885" t="s">
        <v>55</v>
      </c>
      <c r="O885" s="12">
        <v>46221.220833333333</v>
      </c>
      <c r="P885" s="12">
        <v>46224.429166666669</v>
      </c>
      <c r="Q885" s="12">
        <v>46221.245833333334</v>
      </c>
      <c r="R885" s="12">
        <v>46221.386805555558</v>
      </c>
      <c r="S885" s="12">
        <v>46234.137499999997</v>
      </c>
      <c r="U885" t="b">
        <v>0</v>
      </c>
    </row>
    <row r="886" spans="1:21">
      <c r="A886" t="s">
        <v>4387</v>
      </c>
      <c r="B886" t="s">
        <v>2834</v>
      </c>
      <c r="C886" t="s">
        <v>1168</v>
      </c>
      <c r="D886" t="s">
        <v>4388</v>
      </c>
      <c r="E886" t="s">
        <v>4389</v>
      </c>
      <c r="F886" t="s">
        <v>2617</v>
      </c>
      <c r="G886">
        <v>915</v>
      </c>
      <c r="H886" t="s">
        <v>95</v>
      </c>
      <c r="I886" t="s">
        <v>30</v>
      </c>
      <c r="J886" t="s">
        <v>1317</v>
      </c>
      <c r="K886">
        <v>79</v>
      </c>
      <c r="L886" t="s">
        <v>2642</v>
      </c>
      <c r="M886" t="s">
        <v>2643</v>
      </c>
      <c r="N886" t="s">
        <v>18</v>
      </c>
      <c r="O886" s="12">
        <v>46001.734027777777</v>
      </c>
      <c r="P886" s="12">
        <v>46003.025694444441</v>
      </c>
      <c r="Q886" s="12">
        <v>46001.842361111114</v>
      </c>
      <c r="S886" s="12">
        <v>46011.525694444441</v>
      </c>
      <c r="U886" t="b">
        <v>0</v>
      </c>
    </row>
    <row r="887" spans="1:21">
      <c r="A887" t="s">
        <v>4390</v>
      </c>
      <c r="B887" t="s">
        <v>2611</v>
      </c>
      <c r="C887" t="s">
        <v>1475</v>
      </c>
      <c r="D887" t="s">
        <v>4391</v>
      </c>
      <c r="E887" t="s">
        <v>4392</v>
      </c>
      <c r="F887" t="s">
        <v>1412</v>
      </c>
      <c r="G887">
        <v>120</v>
      </c>
      <c r="H887" t="s">
        <v>205</v>
      </c>
      <c r="I887" t="s">
        <v>24</v>
      </c>
      <c r="J887" t="s">
        <v>1413</v>
      </c>
      <c r="K887">
        <v>51</v>
      </c>
      <c r="L887" t="s">
        <v>2592</v>
      </c>
      <c r="M887" t="s">
        <v>2593</v>
      </c>
      <c r="N887" t="s">
        <v>59</v>
      </c>
      <c r="O887" s="12">
        <v>46018.286805555559</v>
      </c>
      <c r="P887" s="12">
        <v>46022.120138888888</v>
      </c>
      <c r="Q887" s="12">
        <v>46018.418749999997</v>
      </c>
      <c r="R887" s="12">
        <v>46018.558333333334</v>
      </c>
      <c r="U887" t="b">
        <v>0</v>
      </c>
    </row>
    <row r="888" spans="1:21">
      <c r="A888" t="s">
        <v>4393</v>
      </c>
      <c r="B888" t="s">
        <v>2733</v>
      </c>
      <c r="C888" t="s">
        <v>2033</v>
      </c>
      <c r="D888" t="s">
        <v>4394</v>
      </c>
      <c r="E888" t="s">
        <v>4395</v>
      </c>
      <c r="F888" t="s">
        <v>2271</v>
      </c>
      <c r="G888">
        <v>129</v>
      </c>
      <c r="H888" t="s">
        <v>68</v>
      </c>
      <c r="I888" t="s">
        <v>24</v>
      </c>
      <c r="J888" t="s">
        <v>1317</v>
      </c>
      <c r="K888">
        <v>76</v>
      </c>
      <c r="L888" t="s">
        <v>2592</v>
      </c>
      <c r="M888" t="s">
        <v>2597</v>
      </c>
      <c r="N888" t="s">
        <v>69</v>
      </c>
      <c r="O888" s="12">
        <v>45777.425694444442</v>
      </c>
      <c r="P888" s="12">
        <v>45781.009027777778</v>
      </c>
      <c r="Q888" s="12">
        <v>45777.570833333331</v>
      </c>
      <c r="R888" s="12">
        <v>45778.737500000003</v>
      </c>
      <c r="U888" t="b">
        <v>0</v>
      </c>
    </row>
    <row r="889" spans="1:21">
      <c r="A889" t="s">
        <v>4396</v>
      </c>
      <c r="B889" t="s">
        <v>2789</v>
      </c>
      <c r="C889" t="s">
        <v>1172</v>
      </c>
      <c r="D889" t="s">
        <v>4397</v>
      </c>
      <c r="E889" t="s">
        <v>4398</v>
      </c>
      <c r="F889" t="s">
        <v>1784</v>
      </c>
      <c r="G889">
        <v>118</v>
      </c>
      <c r="H889" t="s">
        <v>140</v>
      </c>
      <c r="I889" t="s">
        <v>24</v>
      </c>
      <c r="J889" t="s">
        <v>1339</v>
      </c>
      <c r="K889">
        <v>84</v>
      </c>
      <c r="L889" t="s">
        <v>2592</v>
      </c>
      <c r="M889" t="s">
        <v>2593</v>
      </c>
      <c r="N889" t="s">
        <v>25</v>
      </c>
      <c r="O889" s="12">
        <v>45620.5625</v>
      </c>
      <c r="P889" s="12">
        <v>45625.395833333336</v>
      </c>
      <c r="Q889" s="12">
        <v>45620.630555555559</v>
      </c>
      <c r="R889" s="12">
        <v>45620.652777777781</v>
      </c>
      <c r="U889" t="b">
        <v>0</v>
      </c>
    </row>
    <row r="890" spans="1:21">
      <c r="A890" t="s">
        <v>4399</v>
      </c>
      <c r="B890" t="s">
        <v>1161</v>
      </c>
      <c r="C890" t="s">
        <v>1475</v>
      </c>
      <c r="D890" t="s">
        <v>4400</v>
      </c>
      <c r="E890" t="s">
        <v>4401</v>
      </c>
      <c r="F890" t="s">
        <v>1309</v>
      </c>
      <c r="G890">
        <v>889</v>
      </c>
      <c r="H890" t="s">
        <v>50</v>
      </c>
      <c r="I890" t="s">
        <v>30</v>
      </c>
      <c r="J890" t="s">
        <v>1288</v>
      </c>
      <c r="K890">
        <v>69</v>
      </c>
      <c r="L890" t="s">
        <v>2601</v>
      </c>
      <c r="M890" t="s">
        <v>2618</v>
      </c>
      <c r="N890" t="s">
        <v>82</v>
      </c>
      <c r="O890" s="12">
        <v>46267.093055555553</v>
      </c>
      <c r="Q890" s="12">
        <v>46267.295138888891</v>
      </c>
      <c r="R890" s="12">
        <v>46267.424305555556</v>
      </c>
      <c r="T890" t="s">
        <v>2619</v>
      </c>
      <c r="U890" t="b">
        <v>0</v>
      </c>
    </row>
    <row r="891" spans="1:21">
      <c r="A891" t="s">
        <v>4402</v>
      </c>
      <c r="B891" t="s">
        <v>2706</v>
      </c>
      <c r="C891" t="s">
        <v>1418</v>
      </c>
      <c r="D891" t="s">
        <v>4403</v>
      </c>
      <c r="E891" t="s">
        <v>4404</v>
      </c>
      <c r="F891" t="s">
        <v>1448</v>
      </c>
      <c r="G891">
        <v>934</v>
      </c>
      <c r="H891" t="s">
        <v>50</v>
      </c>
      <c r="I891" t="s">
        <v>30</v>
      </c>
      <c r="J891" t="s">
        <v>1295</v>
      </c>
      <c r="K891">
        <v>78</v>
      </c>
      <c r="L891" t="s">
        <v>2601</v>
      </c>
      <c r="M891" t="s">
        <v>2655</v>
      </c>
      <c r="N891" t="s">
        <v>18</v>
      </c>
      <c r="O891" s="12">
        <v>45567.337500000001</v>
      </c>
      <c r="Q891" s="12">
        <v>45567.570833333331</v>
      </c>
      <c r="U891" t="b">
        <v>0</v>
      </c>
    </row>
    <row r="892" spans="1:21">
      <c r="A892" t="s">
        <v>4405</v>
      </c>
      <c r="B892" t="s">
        <v>2711</v>
      </c>
      <c r="C892" t="s">
        <v>1135</v>
      </c>
      <c r="D892" t="s">
        <v>4406</v>
      </c>
      <c r="E892" t="s">
        <v>4407</v>
      </c>
      <c r="F892" t="s">
        <v>1784</v>
      </c>
      <c r="G892">
        <v>103</v>
      </c>
      <c r="H892" t="s">
        <v>81</v>
      </c>
      <c r="I892" t="s">
        <v>24</v>
      </c>
      <c r="J892" t="s">
        <v>1271</v>
      </c>
      <c r="K892">
        <v>70</v>
      </c>
      <c r="L892" t="s">
        <v>2601</v>
      </c>
      <c r="M892" t="s">
        <v>2655</v>
      </c>
      <c r="N892" t="s">
        <v>25</v>
      </c>
      <c r="O892" s="12">
        <v>45758.534722222219</v>
      </c>
      <c r="Q892" s="12">
        <v>45758.554166666669</v>
      </c>
      <c r="U892" t="b">
        <v>0</v>
      </c>
    </row>
    <row r="893" spans="1:21">
      <c r="A893" t="s">
        <v>4408</v>
      </c>
      <c r="B893" t="s">
        <v>2760</v>
      </c>
      <c r="C893" t="s">
        <v>1475</v>
      </c>
      <c r="D893" t="s">
        <v>4409</v>
      </c>
      <c r="E893" t="s">
        <v>4410</v>
      </c>
      <c r="F893" t="s">
        <v>1784</v>
      </c>
      <c r="G893">
        <v>148</v>
      </c>
      <c r="H893" t="s">
        <v>23</v>
      </c>
      <c r="I893" t="s">
        <v>24</v>
      </c>
      <c r="J893" t="s">
        <v>1271</v>
      </c>
      <c r="K893">
        <v>52</v>
      </c>
      <c r="L893" t="s">
        <v>2601</v>
      </c>
      <c r="M893" t="s">
        <v>2605</v>
      </c>
      <c r="N893" t="s">
        <v>25</v>
      </c>
      <c r="O893" s="12">
        <v>45761.920138888891</v>
      </c>
      <c r="Q893" s="12">
        <v>45761.958333333336</v>
      </c>
      <c r="R893" s="12">
        <v>45761.975694444445</v>
      </c>
      <c r="U893" t="b">
        <v>0</v>
      </c>
    </row>
    <row r="894" spans="1:21">
      <c r="A894" t="s">
        <v>4411</v>
      </c>
      <c r="B894" t="s">
        <v>3169</v>
      </c>
      <c r="C894" t="s">
        <v>1172</v>
      </c>
      <c r="D894" t="s">
        <v>4412</v>
      </c>
      <c r="E894" t="s">
        <v>4413</v>
      </c>
      <c r="F894" t="s">
        <v>2755</v>
      </c>
      <c r="G894">
        <v>12</v>
      </c>
      <c r="H894" t="s">
        <v>81</v>
      </c>
      <c r="J894" t="s">
        <v>1295</v>
      </c>
      <c r="K894">
        <v>73</v>
      </c>
      <c r="L894" t="s">
        <v>2601</v>
      </c>
      <c r="M894" t="s">
        <v>2618</v>
      </c>
      <c r="O894" s="12">
        <v>45527.102083333331</v>
      </c>
      <c r="T894" t="s">
        <v>2763</v>
      </c>
      <c r="U894" t="b">
        <v>0</v>
      </c>
    </row>
    <row r="895" spans="1:21">
      <c r="A895" t="s">
        <v>4414</v>
      </c>
      <c r="B895" t="s">
        <v>1176</v>
      </c>
      <c r="C895" t="s">
        <v>1145</v>
      </c>
      <c r="D895" t="s">
        <v>4415</v>
      </c>
      <c r="E895" t="s">
        <v>4416</v>
      </c>
      <c r="F895" t="s">
        <v>2660</v>
      </c>
      <c r="G895">
        <v>254</v>
      </c>
      <c r="H895" t="s">
        <v>140</v>
      </c>
      <c r="I895" t="s">
        <v>30</v>
      </c>
      <c r="J895" t="s">
        <v>1271</v>
      </c>
      <c r="K895">
        <v>54</v>
      </c>
      <c r="L895" t="s">
        <v>2601</v>
      </c>
      <c r="M895" t="s">
        <v>2593</v>
      </c>
      <c r="N895" t="s">
        <v>82</v>
      </c>
      <c r="O895" s="12">
        <v>46192.718055555553</v>
      </c>
      <c r="Q895" s="12">
        <v>46192.85</v>
      </c>
      <c r="R895" s="12">
        <v>46192.943749999999</v>
      </c>
      <c r="U895" t="b">
        <v>0</v>
      </c>
    </row>
    <row r="896" spans="1:21">
      <c r="A896" t="s">
        <v>4417</v>
      </c>
      <c r="B896" t="s">
        <v>2657</v>
      </c>
      <c r="C896" t="s">
        <v>1418</v>
      </c>
      <c r="D896" t="s">
        <v>4418</v>
      </c>
      <c r="E896" t="s">
        <v>4419</v>
      </c>
      <c r="F896" t="s">
        <v>2755</v>
      </c>
      <c r="G896">
        <v>95</v>
      </c>
      <c r="H896" t="s">
        <v>81</v>
      </c>
      <c r="I896" t="s">
        <v>24</v>
      </c>
      <c r="J896" t="s">
        <v>1355</v>
      </c>
      <c r="K896">
        <v>80</v>
      </c>
      <c r="L896" t="s">
        <v>2592</v>
      </c>
      <c r="M896" t="s">
        <v>2593</v>
      </c>
      <c r="N896" t="s">
        <v>25</v>
      </c>
      <c r="O896" s="12">
        <v>45551.70208333333</v>
      </c>
      <c r="P896" s="12">
        <v>45553.32708333333</v>
      </c>
      <c r="Q896" s="12">
        <v>45551.76666666667</v>
      </c>
      <c r="R896" s="12">
        <v>45551.904861111114</v>
      </c>
      <c r="U896" t="b">
        <v>0</v>
      </c>
    </row>
    <row r="897" spans="1:21">
      <c r="A897" t="s">
        <v>4420</v>
      </c>
      <c r="B897" t="s">
        <v>1584</v>
      </c>
      <c r="C897" t="s">
        <v>1168</v>
      </c>
      <c r="D897" t="s">
        <v>4421</v>
      </c>
      <c r="E897" t="s">
        <v>4422</v>
      </c>
      <c r="F897" t="s">
        <v>2617</v>
      </c>
      <c r="G897">
        <v>962</v>
      </c>
      <c r="I897" t="s">
        <v>30</v>
      </c>
      <c r="J897" t="s">
        <v>1413</v>
      </c>
      <c r="K897">
        <v>58</v>
      </c>
      <c r="L897" t="s">
        <v>2601</v>
      </c>
      <c r="M897" t="s">
        <v>2593</v>
      </c>
      <c r="N897" t="s">
        <v>18</v>
      </c>
      <c r="O897" s="12">
        <v>46043.284722222219</v>
      </c>
      <c r="Q897" s="12">
        <v>46043.363194444442</v>
      </c>
      <c r="R897" s="12">
        <v>46044.696527777778</v>
      </c>
      <c r="U897" t="b">
        <v>0</v>
      </c>
    </row>
    <row r="898" spans="1:21">
      <c r="A898" t="s">
        <v>4423</v>
      </c>
      <c r="B898" t="s">
        <v>2611</v>
      </c>
      <c r="C898" t="s">
        <v>1162</v>
      </c>
      <c r="D898" t="s">
        <v>4424</v>
      </c>
      <c r="E898" t="s">
        <v>4425</v>
      </c>
      <c r="F898" t="s">
        <v>1182</v>
      </c>
      <c r="G898">
        <v>21</v>
      </c>
      <c r="H898" t="s">
        <v>120</v>
      </c>
      <c r="I898" t="s">
        <v>24</v>
      </c>
      <c r="J898" t="s">
        <v>1271</v>
      </c>
      <c r="K898">
        <v>42</v>
      </c>
      <c r="L898" t="s">
        <v>2601</v>
      </c>
      <c r="M898" t="s">
        <v>2655</v>
      </c>
      <c r="N898" t="s">
        <v>25</v>
      </c>
      <c r="O898" s="12">
        <v>45364.049305555556</v>
      </c>
      <c r="Q898" s="12">
        <v>45364.111111111109</v>
      </c>
      <c r="U898" t="b">
        <v>0</v>
      </c>
    </row>
    <row r="899" spans="1:21">
      <c r="A899" t="s">
        <v>4426</v>
      </c>
      <c r="B899" t="s">
        <v>2733</v>
      </c>
      <c r="C899" t="s">
        <v>1597</v>
      </c>
      <c r="D899" t="s">
        <v>4427</v>
      </c>
      <c r="E899" t="s">
        <v>4428</v>
      </c>
      <c r="F899" t="s">
        <v>2709</v>
      </c>
      <c r="G899">
        <v>160</v>
      </c>
      <c r="H899" t="s">
        <v>140</v>
      </c>
      <c r="I899" t="s">
        <v>24</v>
      </c>
      <c r="J899" t="s">
        <v>1271</v>
      </c>
      <c r="K899">
        <v>53</v>
      </c>
      <c r="L899" t="s">
        <v>2601</v>
      </c>
      <c r="M899" t="s">
        <v>2593</v>
      </c>
      <c r="N899" t="s">
        <v>59</v>
      </c>
      <c r="O899" s="12">
        <v>45901.951388888891</v>
      </c>
      <c r="Q899" s="12">
        <v>45902.099305555559</v>
      </c>
      <c r="R899" s="12">
        <v>45902.15347222222</v>
      </c>
      <c r="U899" t="b">
        <v>0</v>
      </c>
    </row>
    <row r="900" spans="1:21">
      <c r="A900" t="s">
        <v>4429</v>
      </c>
      <c r="B900" t="s">
        <v>1161</v>
      </c>
      <c r="C900" t="s">
        <v>1291</v>
      </c>
      <c r="D900" t="s">
        <v>4430</v>
      </c>
      <c r="E900" t="s">
        <v>4431</v>
      </c>
      <c r="F900" t="s">
        <v>1367</v>
      </c>
      <c r="G900">
        <v>690</v>
      </c>
      <c r="H900" t="s">
        <v>23</v>
      </c>
      <c r="I900" t="s">
        <v>30</v>
      </c>
      <c r="J900" t="s">
        <v>1288</v>
      </c>
      <c r="K900">
        <v>66</v>
      </c>
      <c r="L900" t="s">
        <v>2601</v>
      </c>
      <c r="M900" t="s">
        <v>2605</v>
      </c>
      <c r="N900" t="s">
        <v>82</v>
      </c>
      <c r="O900" s="12">
        <v>45815.859722222223</v>
      </c>
      <c r="Q900" s="12">
        <v>45816.090277777781</v>
      </c>
      <c r="R900" s="12">
        <v>45816.840277777781</v>
      </c>
      <c r="U900" t="b">
        <v>0</v>
      </c>
    </row>
    <row r="901" spans="1:21">
      <c r="A901" t="s">
        <v>4432</v>
      </c>
      <c r="B901" t="s">
        <v>2693</v>
      </c>
      <c r="C901" t="s">
        <v>1176</v>
      </c>
      <c r="D901" t="s">
        <v>2730</v>
      </c>
      <c r="E901" t="s">
        <v>4433</v>
      </c>
      <c r="F901" t="s">
        <v>1182</v>
      </c>
      <c r="G901">
        <v>40</v>
      </c>
      <c r="H901" t="s">
        <v>99</v>
      </c>
      <c r="I901" t="s">
        <v>24</v>
      </c>
      <c r="J901" t="s">
        <v>1317</v>
      </c>
      <c r="K901">
        <v>51</v>
      </c>
      <c r="L901" t="s">
        <v>2592</v>
      </c>
      <c r="M901" t="s">
        <v>2593</v>
      </c>
      <c r="N901" t="s">
        <v>59</v>
      </c>
      <c r="O901" s="12">
        <v>46071.711111111108</v>
      </c>
      <c r="P901" s="12">
        <v>46073.37777777778</v>
      </c>
      <c r="Q901" s="12">
        <v>46071.847916666666</v>
      </c>
      <c r="R901" s="12">
        <v>46071.959027777775</v>
      </c>
      <c r="U901" t="b">
        <v>0</v>
      </c>
    </row>
    <row r="902" spans="1:21">
      <c r="A902" t="s">
        <v>4434</v>
      </c>
      <c r="B902" t="s">
        <v>1202</v>
      </c>
      <c r="C902" t="s">
        <v>1631</v>
      </c>
      <c r="D902" t="s">
        <v>4435</v>
      </c>
      <c r="E902" t="s">
        <v>4436</v>
      </c>
      <c r="F902" t="s">
        <v>2271</v>
      </c>
      <c r="G902">
        <v>177</v>
      </c>
      <c r="H902" t="s">
        <v>178</v>
      </c>
      <c r="I902" t="s">
        <v>24</v>
      </c>
      <c r="J902" t="s">
        <v>1281</v>
      </c>
      <c r="K902">
        <v>89</v>
      </c>
      <c r="L902" t="s">
        <v>2592</v>
      </c>
      <c r="M902" t="s">
        <v>2593</v>
      </c>
      <c r="N902" t="s">
        <v>59</v>
      </c>
      <c r="O902" s="12">
        <v>45662.732638888891</v>
      </c>
      <c r="P902" s="12">
        <v>45666.649305555555</v>
      </c>
      <c r="Q902" s="12">
        <v>45662.813888888886</v>
      </c>
      <c r="R902" s="12">
        <v>45663.563888888886</v>
      </c>
      <c r="U902" t="b">
        <v>0</v>
      </c>
    </row>
    <row r="903" spans="1:21">
      <c r="A903" t="s">
        <v>4437</v>
      </c>
      <c r="B903" t="s">
        <v>1584</v>
      </c>
      <c r="C903" t="s">
        <v>1320</v>
      </c>
      <c r="D903" t="s">
        <v>4438</v>
      </c>
      <c r="E903" t="s">
        <v>4439</v>
      </c>
      <c r="F903" t="s">
        <v>1843</v>
      </c>
      <c r="G903">
        <v>148</v>
      </c>
      <c r="H903" t="s">
        <v>68</v>
      </c>
      <c r="I903" t="s">
        <v>24</v>
      </c>
      <c r="J903" t="s">
        <v>1413</v>
      </c>
      <c r="K903">
        <v>70</v>
      </c>
      <c r="L903" t="s">
        <v>2601</v>
      </c>
      <c r="M903" t="s">
        <v>2605</v>
      </c>
      <c r="N903" t="s">
        <v>59</v>
      </c>
      <c r="O903" s="12">
        <v>45308.280555555553</v>
      </c>
      <c r="Q903" s="12">
        <v>45308.330555555556</v>
      </c>
      <c r="R903" s="12">
        <v>45308.447916666664</v>
      </c>
      <c r="U903" t="b">
        <v>0</v>
      </c>
    </row>
    <row r="904" spans="1:21">
      <c r="A904" t="s">
        <v>4440</v>
      </c>
      <c r="B904" t="s">
        <v>2607</v>
      </c>
      <c r="C904" t="s">
        <v>1655</v>
      </c>
      <c r="D904" t="s">
        <v>4441</v>
      </c>
      <c r="E904" t="s">
        <v>4442</v>
      </c>
      <c r="F904" t="s">
        <v>1420</v>
      </c>
      <c r="G904">
        <v>75</v>
      </c>
      <c r="H904" t="s">
        <v>249</v>
      </c>
      <c r="I904" t="s">
        <v>24</v>
      </c>
      <c r="J904" t="s">
        <v>1413</v>
      </c>
      <c r="K904">
        <v>43</v>
      </c>
      <c r="L904" t="s">
        <v>2601</v>
      </c>
      <c r="M904" t="s">
        <v>2605</v>
      </c>
      <c r="N904" t="s">
        <v>59</v>
      </c>
      <c r="O904" s="12">
        <v>45518.57708333333</v>
      </c>
      <c r="Q904" s="12">
        <v>45518.593055555553</v>
      </c>
      <c r="R904" s="12">
        <v>45518.613888888889</v>
      </c>
      <c r="U904" t="b">
        <v>0</v>
      </c>
    </row>
    <row r="905" spans="1:21">
      <c r="A905" t="s">
        <v>4443</v>
      </c>
      <c r="B905" t="s">
        <v>1221</v>
      </c>
      <c r="C905" t="s">
        <v>1418</v>
      </c>
      <c r="D905" t="s">
        <v>4444</v>
      </c>
      <c r="E905" t="s">
        <v>4445</v>
      </c>
      <c r="F905" t="s">
        <v>2660</v>
      </c>
      <c r="G905">
        <v>46</v>
      </c>
      <c r="H905" t="s">
        <v>50</v>
      </c>
      <c r="I905" t="s">
        <v>24</v>
      </c>
      <c r="J905" t="s">
        <v>1355</v>
      </c>
      <c r="K905">
        <v>70</v>
      </c>
      <c r="L905" t="s">
        <v>2592</v>
      </c>
      <c r="M905" t="s">
        <v>2593</v>
      </c>
      <c r="N905" t="s">
        <v>59</v>
      </c>
      <c r="O905" s="12">
        <v>46206.509722222225</v>
      </c>
      <c r="P905" s="12">
        <v>46207.843055555553</v>
      </c>
      <c r="Q905" s="12">
        <v>46206.561111111114</v>
      </c>
      <c r="R905" s="12">
        <v>46207.061111111114</v>
      </c>
      <c r="U905" t="b">
        <v>0</v>
      </c>
    </row>
    <row r="906" spans="1:21">
      <c r="A906" t="s">
        <v>4446</v>
      </c>
      <c r="B906" t="s">
        <v>1202</v>
      </c>
      <c r="C906" t="s">
        <v>2033</v>
      </c>
      <c r="D906" t="s">
        <v>4447</v>
      </c>
      <c r="E906" t="s">
        <v>4448</v>
      </c>
      <c r="F906" t="s">
        <v>1843</v>
      </c>
      <c r="G906">
        <v>2426</v>
      </c>
      <c r="H906" t="s">
        <v>366</v>
      </c>
      <c r="I906" t="s">
        <v>17</v>
      </c>
      <c r="J906" t="s">
        <v>1339</v>
      </c>
      <c r="K906">
        <v>89</v>
      </c>
      <c r="L906" t="s">
        <v>2642</v>
      </c>
      <c r="M906" t="s">
        <v>2643</v>
      </c>
      <c r="N906" t="s">
        <v>18</v>
      </c>
      <c r="O906" s="12">
        <v>46063.526388888888</v>
      </c>
      <c r="P906" s="12">
        <v>46068.484722222223</v>
      </c>
      <c r="Q906" s="12">
        <v>46063.555555555555</v>
      </c>
      <c r="R906" s="12">
        <v>46064.513888888891</v>
      </c>
      <c r="S906" s="12">
        <v>46072.901388888888</v>
      </c>
      <c r="U906" t="b">
        <v>0</v>
      </c>
    </row>
    <row r="907" spans="1:21">
      <c r="A907" t="s">
        <v>4449</v>
      </c>
      <c r="B907" t="s">
        <v>1898</v>
      </c>
      <c r="C907" t="s">
        <v>1203</v>
      </c>
      <c r="D907" t="s">
        <v>2815</v>
      </c>
      <c r="E907" t="s">
        <v>4450</v>
      </c>
      <c r="F907" t="s">
        <v>1471</v>
      </c>
      <c r="G907">
        <v>126</v>
      </c>
      <c r="H907" t="s">
        <v>95</v>
      </c>
      <c r="I907" t="s">
        <v>24</v>
      </c>
      <c r="J907" t="s">
        <v>1317</v>
      </c>
      <c r="K907">
        <v>69</v>
      </c>
      <c r="L907" t="s">
        <v>2642</v>
      </c>
      <c r="M907" t="s">
        <v>2643</v>
      </c>
      <c r="N907" t="s">
        <v>91</v>
      </c>
      <c r="O907" s="12">
        <v>46056.14166666667</v>
      </c>
      <c r="P907" s="12">
        <v>46060.224999999999</v>
      </c>
      <c r="Q907" s="12">
        <v>46056.378472222219</v>
      </c>
      <c r="S907" s="12">
        <v>46064.058333333334</v>
      </c>
      <c r="U907" t="b">
        <v>0</v>
      </c>
    </row>
    <row r="908" spans="1:21">
      <c r="A908" t="s">
        <v>4451</v>
      </c>
      <c r="B908" t="s">
        <v>2760</v>
      </c>
      <c r="C908" t="s">
        <v>1432</v>
      </c>
      <c r="D908" t="s">
        <v>4452</v>
      </c>
      <c r="E908" t="s">
        <v>4453</v>
      </c>
      <c r="F908" t="s">
        <v>2660</v>
      </c>
      <c r="G908">
        <v>57</v>
      </c>
      <c r="H908" t="s">
        <v>120</v>
      </c>
      <c r="I908" t="s">
        <v>24</v>
      </c>
      <c r="J908" t="s">
        <v>1355</v>
      </c>
      <c r="K908">
        <v>64</v>
      </c>
      <c r="L908" t="s">
        <v>2642</v>
      </c>
      <c r="M908" t="s">
        <v>2643</v>
      </c>
      <c r="N908" t="s">
        <v>25</v>
      </c>
      <c r="O908" s="12">
        <v>46063.868750000001</v>
      </c>
      <c r="P908" s="12">
        <v>46065.20208333333</v>
      </c>
      <c r="Q908" s="12">
        <v>46064.04791666667</v>
      </c>
      <c r="R908" s="12">
        <v>46064.089583333334</v>
      </c>
      <c r="S908" s="12">
        <v>46071.243750000001</v>
      </c>
      <c r="U908" t="b">
        <v>0</v>
      </c>
    </row>
    <row r="909" spans="1:21">
      <c r="A909" t="s">
        <v>4454</v>
      </c>
      <c r="B909" t="s">
        <v>1185</v>
      </c>
      <c r="C909" t="s">
        <v>1191</v>
      </c>
      <c r="D909" t="s">
        <v>4455</v>
      </c>
      <c r="E909" t="s">
        <v>4456</v>
      </c>
      <c r="F909" t="s">
        <v>2709</v>
      </c>
      <c r="G909">
        <v>63</v>
      </c>
      <c r="H909" t="s">
        <v>1039</v>
      </c>
      <c r="I909" t="s">
        <v>24</v>
      </c>
      <c r="J909" t="s">
        <v>1271</v>
      </c>
      <c r="K909">
        <v>69</v>
      </c>
      <c r="L909" t="s">
        <v>2601</v>
      </c>
      <c r="M909" t="s">
        <v>2655</v>
      </c>
      <c r="N909" t="s">
        <v>91</v>
      </c>
      <c r="O909" s="12">
        <v>46026.479166666664</v>
      </c>
      <c r="Q909" s="12">
        <v>46026.555555555555</v>
      </c>
      <c r="U909" t="b">
        <v>0</v>
      </c>
    </row>
    <row r="910" spans="1:21">
      <c r="A910" t="s">
        <v>4457</v>
      </c>
      <c r="B910" t="s">
        <v>1157</v>
      </c>
      <c r="C910" t="s">
        <v>1721</v>
      </c>
      <c r="D910" t="s">
        <v>4458</v>
      </c>
      <c r="E910" t="s">
        <v>4459</v>
      </c>
      <c r="F910" t="s">
        <v>1309</v>
      </c>
      <c r="G910">
        <v>455</v>
      </c>
      <c r="H910" t="s">
        <v>50</v>
      </c>
      <c r="I910" t="s">
        <v>30</v>
      </c>
      <c r="J910" t="s">
        <v>1295</v>
      </c>
      <c r="K910">
        <v>81</v>
      </c>
      <c r="L910" t="s">
        <v>2642</v>
      </c>
      <c r="M910" t="s">
        <v>2643</v>
      </c>
      <c r="N910" t="s">
        <v>36</v>
      </c>
      <c r="O910" s="12">
        <v>45948.271527777775</v>
      </c>
      <c r="P910" s="12">
        <v>45952.396527777775</v>
      </c>
      <c r="Q910" s="12">
        <v>45948.284722222219</v>
      </c>
      <c r="R910" s="12">
        <v>45948.310416666667</v>
      </c>
      <c r="S910" s="12">
        <v>45956.396527777775</v>
      </c>
      <c r="U910" t="b">
        <v>0</v>
      </c>
    </row>
    <row r="911" spans="1:21">
      <c r="A911" t="s">
        <v>4460</v>
      </c>
      <c r="B911" t="s">
        <v>1221</v>
      </c>
      <c r="C911" t="s">
        <v>2621</v>
      </c>
      <c r="D911" t="s">
        <v>4461</v>
      </c>
      <c r="E911" t="s">
        <v>4462</v>
      </c>
      <c r="F911" t="s">
        <v>1448</v>
      </c>
      <c r="G911">
        <v>674</v>
      </c>
      <c r="H911" t="s">
        <v>366</v>
      </c>
      <c r="I911" t="s">
        <v>30</v>
      </c>
      <c r="J911" t="s">
        <v>1295</v>
      </c>
      <c r="K911">
        <v>83</v>
      </c>
      <c r="L911" t="s">
        <v>2642</v>
      </c>
      <c r="M911" t="s">
        <v>2597</v>
      </c>
      <c r="N911" t="s">
        <v>18</v>
      </c>
      <c r="O911" s="12">
        <v>45636.104166666664</v>
      </c>
      <c r="P911" s="12">
        <v>45637.854166666664</v>
      </c>
      <c r="Q911" s="12">
        <v>45636.283333333333</v>
      </c>
      <c r="R911" s="12">
        <v>45636.290277777778</v>
      </c>
      <c r="S911" s="12">
        <v>45640.1875</v>
      </c>
      <c r="U911" t="b">
        <v>0</v>
      </c>
    </row>
    <row r="912" spans="1:21">
      <c r="A912" t="s">
        <v>4463</v>
      </c>
      <c r="B912" t="s">
        <v>2693</v>
      </c>
      <c r="C912" t="s">
        <v>1365</v>
      </c>
      <c r="D912" t="s">
        <v>4464</v>
      </c>
      <c r="E912" t="s">
        <v>4465</v>
      </c>
      <c r="F912" t="s">
        <v>1471</v>
      </c>
      <c r="G912">
        <v>564</v>
      </c>
      <c r="H912" t="s">
        <v>216</v>
      </c>
      <c r="I912" t="s">
        <v>30</v>
      </c>
      <c r="J912" t="s">
        <v>1355</v>
      </c>
      <c r="K912">
        <v>52</v>
      </c>
      <c r="L912" t="s">
        <v>2601</v>
      </c>
      <c r="M912" t="s">
        <v>2605</v>
      </c>
      <c r="N912" t="s">
        <v>18</v>
      </c>
      <c r="O912" s="12">
        <v>46158.348611111112</v>
      </c>
      <c r="Q912" s="12">
        <v>46158.352777777778</v>
      </c>
      <c r="R912" s="12">
        <v>46158.480555555558</v>
      </c>
      <c r="U912" t="b">
        <v>0</v>
      </c>
    </row>
    <row r="913" spans="1:21">
      <c r="A913" t="s">
        <v>4466</v>
      </c>
      <c r="B913" t="s">
        <v>1176</v>
      </c>
      <c r="C913" t="s">
        <v>1176</v>
      </c>
      <c r="D913" t="s">
        <v>4467</v>
      </c>
      <c r="E913" t="s">
        <v>4468</v>
      </c>
      <c r="F913" t="s">
        <v>1471</v>
      </c>
      <c r="G913">
        <v>670</v>
      </c>
      <c r="H913" t="s">
        <v>182</v>
      </c>
      <c r="I913" t="s">
        <v>30</v>
      </c>
      <c r="J913" t="s">
        <v>1355</v>
      </c>
      <c r="K913">
        <v>52</v>
      </c>
      <c r="L913" t="s">
        <v>2601</v>
      </c>
      <c r="M913" t="s">
        <v>2655</v>
      </c>
      <c r="N913" t="s">
        <v>36</v>
      </c>
      <c r="O913" s="12">
        <v>45664.129861111112</v>
      </c>
      <c r="Q913" s="12">
        <v>45664.331250000003</v>
      </c>
      <c r="U913" t="b">
        <v>0</v>
      </c>
    </row>
    <row r="914" spans="1:21">
      <c r="A914" t="s">
        <v>4469</v>
      </c>
      <c r="B914" t="s">
        <v>1584</v>
      </c>
      <c r="C914" t="s">
        <v>1660</v>
      </c>
      <c r="D914" t="s">
        <v>4470</v>
      </c>
      <c r="E914" t="s">
        <v>4471</v>
      </c>
      <c r="F914" t="s">
        <v>1367</v>
      </c>
      <c r="G914">
        <v>194</v>
      </c>
      <c r="H914" t="s">
        <v>140</v>
      </c>
      <c r="I914" t="s">
        <v>24</v>
      </c>
      <c r="J914" t="s">
        <v>1413</v>
      </c>
      <c r="K914">
        <v>43</v>
      </c>
      <c r="L914" t="s">
        <v>2601</v>
      </c>
      <c r="M914" t="s">
        <v>2618</v>
      </c>
      <c r="N914" t="s">
        <v>25</v>
      </c>
      <c r="O914" s="12">
        <v>45338.755555555559</v>
      </c>
      <c r="Q914" s="12">
        <v>45338.931250000001</v>
      </c>
      <c r="R914" s="12">
        <v>45339.049305555556</v>
      </c>
      <c r="T914" t="s">
        <v>2763</v>
      </c>
      <c r="U914" t="b">
        <v>0</v>
      </c>
    </row>
    <row r="915" spans="1:21">
      <c r="A915" t="s">
        <v>4472</v>
      </c>
      <c r="B915" t="s">
        <v>1157</v>
      </c>
      <c r="C915" t="s">
        <v>1343</v>
      </c>
      <c r="D915" t="s">
        <v>4473</v>
      </c>
      <c r="E915" t="s">
        <v>4474</v>
      </c>
      <c r="F915" t="s">
        <v>2271</v>
      </c>
      <c r="G915">
        <v>26</v>
      </c>
      <c r="H915" t="s">
        <v>154</v>
      </c>
      <c r="I915" t="s">
        <v>24</v>
      </c>
      <c r="J915" t="s">
        <v>1295</v>
      </c>
      <c r="K915">
        <v>90</v>
      </c>
      <c r="L915" t="s">
        <v>2592</v>
      </c>
      <c r="M915" t="s">
        <v>2593</v>
      </c>
      <c r="N915" t="s">
        <v>59</v>
      </c>
      <c r="O915" s="12">
        <v>45563.568749999999</v>
      </c>
      <c r="P915" s="12">
        <v>45563.86041666667</v>
      </c>
      <c r="Q915" s="12">
        <v>45563.79583333333</v>
      </c>
      <c r="R915" s="12">
        <v>45563.893750000003</v>
      </c>
      <c r="U915" t="b">
        <v>0</v>
      </c>
    </row>
    <row r="916" spans="1:21">
      <c r="A916" t="s">
        <v>4475</v>
      </c>
      <c r="B916" t="s">
        <v>2666</v>
      </c>
      <c r="C916" t="s">
        <v>1125</v>
      </c>
      <c r="D916" t="s">
        <v>4476</v>
      </c>
      <c r="E916" t="s">
        <v>4477</v>
      </c>
      <c r="F916" t="s">
        <v>1367</v>
      </c>
      <c r="G916">
        <v>64</v>
      </c>
      <c r="H916" t="s">
        <v>16</v>
      </c>
      <c r="I916" t="s">
        <v>24</v>
      </c>
      <c r="J916" t="s">
        <v>1295</v>
      </c>
      <c r="K916">
        <v>80</v>
      </c>
      <c r="L916" t="s">
        <v>2592</v>
      </c>
      <c r="M916" t="s">
        <v>2593</v>
      </c>
      <c r="N916" t="s">
        <v>91</v>
      </c>
      <c r="O916" s="12">
        <v>45308.041666666664</v>
      </c>
      <c r="P916" s="12">
        <v>45310.833333333336</v>
      </c>
      <c r="Q916" s="12">
        <v>45308.086111111108</v>
      </c>
      <c r="R916" s="12">
        <v>45308.15902777778</v>
      </c>
      <c r="U916" t="b">
        <v>0</v>
      </c>
    </row>
    <row r="917" spans="1:21">
      <c r="A917" t="s">
        <v>4478</v>
      </c>
      <c r="B917" t="s">
        <v>1267</v>
      </c>
      <c r="C917" t="s">
        <v>1278</v>
      </c>
      <c r="D917" t="s">
        <v>4479</v>
      </c>
      <c r="E917" t="s">
        <v>4480</v>
      </c>
      <c r="F917" t="s">
        <v>1420</v>
      </c>
      <c r="G917">
        <v>642</v>
      </c>
      <c r="H917" t="s">
        <v>339</v>
      </c>
      <c r="I917" t="s">
        <v>30</v>
      </c>
      <c r="J917" t="s">
        <v>1295</v>
      </c>
      <c r="K917">
        <v>80</v>
      </c>
      <c r="L917" t="s">
        <v>2642</v>
      </c>
      <c r="M917" t="s">
        <v>2643</v>
      </c>
      <c r="N917" t="s">
        <v>55</v>
      </c>
      <c r="O917" s="12">
        <v>45975.719444444447</v>
      </c>
      <c r="P917" s="12">
        <v>45976.969444444447</v>
      </c>
      <c r="Q917" s="12">
        <v>45975.908333333333</v>
      </c>
      <c r="R917" s="12">
        <v>45975.943749999999</v>
      </c>
      <c r="S917" s="12">
        <v>45983.969444444447</v>
      </c>
      <c r="U917" t="b">
        <v>0</v>
      </c>
    </row>
    <row r="918" spans="1:21">
      <c r="A918" t="s">
        <v>4481</v>
      </c>
      <c r="B918" t="s">
        <v>2847</v>
      </c>
      <c r="C918" t="s">
        <v>2005</v>
      </c>
      <c r="D918" t="s">
        <v>4482</v>
      </c>
      <c r="E918" t="s">
        <v>4483</v>
      </c>
      <c r="F918" t="s">
        <v>1448</v>
      </c>
      <c r="G918">
        <v>26</v>
      </c>
      <c r="H918" t="s">
        <v>140</v>
      </c>
      <c r="I918" t="s">
        <v>24</v>
      </c>
      <c r="J918" t="s">
        <v>1355</v>
      </c>
      <c r="K918">
        <v>74</v>
      </c>
      <c r="L918" t="s">
        <v>2642</v>
      </c>
      <c r="M918" t="s">
        <v>2643</v>
      </c>
      <c r="N918" t="s">
        <v>25</v>
      </c>
      <c r="O918" s="12">
        <v>45846.634027777778</v>
      </c>
      <c r="P918" s="12">
        <v>45848.592361111114</v>
      </c>
      <c r="Q918" s="12">
        <v>45846.872916666667</v>
      </c>
      <c r="S918" s="12">
        <v>45854.884027777778</v>
      </c>
      <c r="U918" t="b">
        <v>0</v>
      </c>
    </row>
    <row r="919" spans="1:21">
      <c r="A919" t="s">
        <v>4484</v>
      </c>
      <c r="B919" t="s">
        <v>2882</v>
      </c>
      <c r="C919" t="s">
        <v>1365</v>
      </c>
      <c r="D919" t="s">
        <v>4485</v>
      </c>
      <c r="E919" t="s">
        <v>4486</v>
      </c>
      <c r="F919" t="s">
        <v>1367</v>
      </c>
      <c r="G919">
        <v>128</v>
      </c>
      <c r="H919" t="s">
        <v>68</v>
      </c>
      <c r="I919" t="s">
        <v>24</v>
      </c>
      <c r="J919" t="s">
        <v>1413</v>
      </c>
      <c r="K919">
        <v>69</v>
      </c>
      <c r="L919" t="s">
        <v>2592</v>
      </c>
      <c r="M919" t="s">
        <v>2593</v>
      </c>
      <c r="N919" t="s">
        <v>69</v>
      </c>
      <c r="O919" s="12">
        <v>45536.738888888889</v>
      </c>
      <c r="P919" s="12">
        <v>45538.947222222225</v>
      </c>
      <c r="Q919" s="12">
        <v>45536.825694444444</v>
      </c>
      <c r="R919" s="12">
        <v>45536.890277777777</v>
      </c>
      <c r="U919" t="b">
        <v>0</v>
      </c>
    </row>
    <row r="920" spans="1:21">
      <c r="A920" t="s">
        <v>4487</v>
      </c>
      <c r="B920" t="s">
        <v>2662</v>
      </c>
      <c r="C920" t="s">
        <v>1155</v>
      </c>
      <c r="D920" t="s">
        <v>2730</v>
      </c>
      <c r="E920" t="s">
        <v>4488</v>
      </c>
      <c r="F920" t="s">
        <v>2271</v>
      </c>
      <c r="G920">
        <v>181</v>
      </c>
      <c r="H920" t="s">
        <v>95</v>
      </c>
      <c r="I920" t="s">
        <v>24</v>
      </c>
      <c r="J920" t="s">
        <v>1295</v>
      </c>
      <c r="K920">
        <v>80</v>
      </c>
      <c r="L920" t="s">
        <v>2642</v>
      </c>
      <c r="M920" t="s">
        <v>2597</v>
      </c>
      <c r="N920" t="s">
        <v>91</v>
      </c>
      <c r="O920" s="12">
        <v>46243.863194444442</v>
      </c>
      <c r="P920" s="12">
        <v>46245.446527777778</v>
      </c>
      <c r="Q920" s="12">
        <v>46243.917361111111</v>
      </c>
      <c r="R920" s="12">
        <v>46243.952777777777</v>
      </c>
      <c r="S920" s="12">
        <v>46247.904861111114</v>
      </c>
      <c r="U920" t="b">
        <v>0</v>
      </c>
    </row>
    <row r="921" spans="1:21">
      <c r="A921" t="s">
        <v>4489</v>
      </c>
      <c r="B921" t="s">
        <v>2628</v>
      </c>
      <c r="C921" t="s">
        <v>1898</v>
      </c>
      <c r="D921" t="s">
        <v>4490</v>
      </c>
      <c r="E921" t="s">
        <v>4491</v>
      </c>
      <c r="F921" t="s">
        <v>2271</v>
      </c>
      <c r="G921">
        <v>1776</v>
      </c>
      <c r="H921" t="s">
        <v>140</v>
      </c>
      <c r="I921" t="s">
        <v>30</v>
      </c>
      <c r="J921" t="s">
        <v>1295</v>
      </c>
      <c r="K921">
        <v>79</v>
      </c>
      <c r="L921" t="s">
        <v>2592</v>
      </c>
      <c r="M921" t="s">
        <v>2655</v>
      </c>
      <c r="N921" t="s">
        <v>82</v>
      </c>
      <c r="O921" s="12">
        <v>45511.00277777778</v>
      </c>
      <c r="P921" s="12">
        <v>45514.294444444444</v>
      </c>
      <c r="Q921" s="12">
        <v>45511.052083333336</v>
      </c>
      <c r="R921" s="12">
        <v>45511.12777777778</v>
      </c>
      <c r="U921" t="b">
        <v>0</v>
      </c>
    </row>
    <row r="922" spans="1:21">
      <c r="A922" t="s">
        <v>4492</v>
      </c>
      <c r="B922" t="s">
        <v>1431</v>
      </c>
      <c r="C922" t="s">
        <v>1191</v>
      </c>
      <c r="D922" t="s">
        <v>4493</v>
      </c>
      <c r="E922" t="s">
        <v>4494</v>
      </c>
      <c r="F922" t="s">
        <v>1448</v>
      </c>
      <c r="G922">
        <v>735</v>
      </c>
      <c r="H922" t="s">
        <v>81</v>
      </c>
      <c r="I922" t="s">
        <v>30</v>
      </c>
      <c r="J922" t="s">
        <v>1317</v>
      </c>
      <c r="K922">
        <v>62</v>
      </c>
      <c r="L922" t="s">
        <v>2592</v>
      </c>
      <c r="M922" t="s">
        <v>2605</v>
      </c>
      <c r="N922" t="s">
        <v>82</v>
      </c>
      <c r="O922" s="12">
        <v>46273.669444444444</v>
      </c>
      <c r="P922" s="12">
        <v>46278.544444444444</v>
      </c>
      <c r="Q922" s="12">
        <v>46273.84375</v>
      </c>
      <c r="U922" t="b">
        <v>0</v>
      </c>
    </row>
    <row r="923" spans="1:21">
      <c r="A923" t="s">
        <v>4495</v>
      </c>
      <c r="B923" t="s">
        <v>2733</v>
      </c>
      <c r="C923" t="s">
        <v>1660</v>
      </c>
      <c r="D923" t="s">
        <v>4496</v>
      </c>
      <c r="E923" t="s">
        <v>4497</v>
      </c>
      <c r="F923" t="s">
        <v>1784</v>
      </c>
      <c r="G923">
        <v>170</v>
      </c>
      <c r="H923" t="s">
        <v>154</v>
      </c>
      <c r="I923" t="s">
        <v>24</v>
      </c>
      <c r="J923" t="s">
        <v>1288</v>
      </c>
      <c r="K923">
        <v>45</v>
      </c>
      <c r="L923" t="s">
        <v>2592</v>
      </c>
      <c r="M923" t="s">
        <v>2593</v>
      </c>
      <c r="N923" t="s">
        <v>25</v>
      </c>
      <c r="O923" s="12">
        <v>45976.42291666667</v>
      </c>
      <c r="P923" s="12">
        <v>45980.42291666667</v>
      </c>
      <c r="Q923" s="12">
        <v>45976.556250000001</v>
      </c>
      <c r="R923" s="12">
        <v>45976.671527777777</v>
      </c>
      <c r="U923" t="b">
        <v>0</v>
      </c>
    </row>
    <row r="924" spans="1:21">
      <c r="A924" t="s">
        <v>4498</v>
      </c>
      <c r="B924" t="s">
        <v>3169</v>
      </c>
      <c r="C924" t="s">
        <v>2033</v>
      </c>
      <c r="D924" t="s">
        <v>4499</v>
      </c>
      <c r="E924" t="s">
        <v>4500</v>
      </c>
      <c r="F924" t="s">
        <v>2755</v>
      </c>
      <c r="G924">
        <v>992</v>
      </c>
      <c r="H924" t="s">
        <v>171</v>
      </c>
      <c r="I924" t="s">
        <v>30</v>
      </c>
      <c r="J924" t="s">
        <v>1355</v>
      </c>
      <c r="K924">
        <v>59</v>
      </c>
      <c r="L924" t="s">
        <v>2592</v>
      </c>
      <c r="M924" t="s">
        <v>2597</v>
      </c>
      <c r="N924" t="s">
        <v>18</v>
      </c>
      <c r="O924" s="12">
        <v>45809.59097222222</v>
      </c>
      <c r="P924" s="12">
        <v>45813.757638888892</v>
      </c>
      <c r="Q924" s="12">
        <v>45809.727083333331</v>
      </c>
      <c r="R924" s="12">
        <v>45809.804166666669</v>
      </c>
      <c r="U924" t="b">
        <v>0</v>
      </c>
    </row>
    <row r="925" spans="1:21">
      <c r="A925" t="s">
        <v>4501</v>
      </c>
      <c r="B925" t="s">
        <v>1207</v>
      </c>
      <c r="C925" t="s">
        <v>1291</v>
      </c>
      <c r="D925" t="s">
        <v>4502</v>
      </c>
      <c r="E925" t="s">
        <v>4503</v>
      </c>
      <c r="F925" t="s">
        <v>1843</v>
      </c>
      <c r="G925">
        <v>880</v>
      </c>
      <c r="H925" t="s">
        <v>171</v>
      </c>
      <c r="I925" t="s">
        <v>30</v>
      </c>
      <c r="J925" t="s">
        <v>1355</v>
      </c>
      <c r="K925">
        <v>77</v>
      </c>
      <c r="L925" t="s">
        <v>2592</v>
      </c>
      <c r="M925" t="s">
        <v>2593</v>
      </c>
      <c r="O925" s="12">
        <v>45761.582638888889</v>
      </c>
      <c r="P925" s="12">
        <v>45764.249305555553</v>
      </c>
      <c r="U925" t="b">
        <v>0</v>
      </c>
    </row>
    <row r="926" spans="1:21">
      <c r="A926" t="s">
        <v>4504</v>
      </c>
      <c r="B926" t="s">
        <v>1202</v>
      </c>
      <c r="C926" t="s">
        <v>1203</v>
      </c>
      <c r="D926" t="s">
        <v>4505</v>
      </c>
      <c r="E926" t="s">
        <v>4506</v>
      </c>
      <c r="F926" t="s">
        <v>2617</v>
      </c>
      <c r="G926">
        <v>3001</v>
      </c>
      <c r="H926" t="s">
        <v>182</v>
      </c>
      <c r="J926" t="s">
        <v>1271</v>
      </c>
      <c r="K926">
        <v>48</v>
      </c>
      <c r="L926" t="s">
        <v>2601</v>
      </c>
      <c r="M926" t="s">
        <v>2618</v>
      </c>
      <c r="O926" s="12">
        <v>45304.015972222223</v>
      </c>
      <c r="T926" t="s">
        <v>2648</v>
      </c>
      <c r="U926" t="b">
        <v>0</v>
      </c>
    </row>
    <row r="927" spans="1:21">
      <c r="A927" t="s">
        <v>4507</v>
      </c>
      <c r="B927" t="s">
        <v>1111</v>
      </c>
      <c r="C927" t="s">
        <v>1162</v>
      </c>
      <c r="D927" t="s">
        <v>4508</v>
      </c>
      <c r="E927" t="s">
        <v>4509</v>
      </c>
      <c r="F927" t="s">
        <v>1784</v>
      </c>
      <c r="G927">
        <v>77</v>
      </c>
      <c r="H927" t="s">
        <v>41</v>
      </c>
      <c r="I927" t="s">
        <v>24</v>
      </c>
      <c r="J927" t="s">
        <v>1281</v>
      </c>
      <c r="K927">
        <v>67</v>
      </c>
      <c r="L927" t="s">
        <v>2642</v>
      </c>
      <c r="M927" t="s">
        <v>2643</v>
      </c>
      <c r="N927" t="s">
        <v>25</v>
      </c>
      <c r="O927" s="12">
        <v>45892.182638888888</v>
      </c>
      <c r="P927" s="12">
        <v>45894.057638888888</v>
      </c>
      <c r="Q927" s="12">
        <v>45892.258333333331</v>
      </c>
      <c r="R927" s="12">
        <v>45892.268055555556</v>
      </c>
      <c r="S927" s="12">
        <v>45896.724305555559</v>
      </c>
      <c r="U927" t="b">
        <v>0</v>
      </c>
    </row>
    <row r="928" spans="1:21">
      <c r="A928" t="s">
        <v>4510</v>
      </c>
      <c r="B928" t="s">
        <v>1320</v>
      </c>
      <c r="C928" t="s">
        <v>1436</v>
      </c>
      <c r="D928" t="s">
        <v>4511</v>
      </c>
      <c r="E928" t="s">
        <v>4512</v>
      </c>
      <c r="F928" t="s">
        <v>1511</v>
      </c>
      <c r="G928">
        <v>85</v>
      </c>
      <c r="H928" t="s">
        <v>140</v>
      </c>
      <c r="I928" t="s">
        <v>24</v>
      </c>
      <c r="J928" t="s">
        <v>3373</v>
      </c>
      <c r="K928">
        <v>90</v>
      </c>
      <c r="L928" t="s">
        <v>2642</v>
      </c>
      <c r="M928" t="s">
        <v>2597</v>
      </c>
      <c r="N928" t="s">
        <v>25</v>
      </c>
      <c r="O928" s="12">
        <v>45293.446527777778</v>
      </c>
      <c r="P928" s="12">
        <v>45294.321527777778</v>
      </c>
      <c r="Q928" s="12">
        <v>45293.586805555555</v>
      </c>
      <c r="R928" s="12">
        <v>45293.725694444445</v>
      </c>
      <c r="S928" s="12">
        <v>45301.279861111114</v>
      </c>
      <c r="U928" t="b">
        <v>0</v>
      </c>
    </row>
    <row r="929" spans="1:21">
      <c r="A929" t="s">
        <v>4513</v>
      </c>
      <c r="B929" t="s">
        <v>2906</v>
      </c>
      <c r="C929" t="s">
        <v>1180</v>
      </c>
      <c r="D929" t="s">
        <v>4514</v>
      </c>
      <c r="E929" t="s">
        <v>4515</v>
      </c>
      <c r="F929" t="s">
        <v>1843</v>
      </c>
      <c r="G929">
        <v>156</v>
      </c>
      <c r="H929" t="s">
        <v>68</v>
      </c>
      <c r="I929" t="s">
        <v>24</v>
      </c>
      <c r="J929" t="s">
        <v>1413</v>
      </c>
      <c r="K929">
        <v>65</v>
      </c>
      <c r="L929" t="s">
        <v>2592</v>
      </c>
      <c r="M929" t="s">
        <v>2593</v>
      </c>
      <c r="N929" t="s">
        <v>69</v>
      </c>
      <c r="O929" s="12">
        <v>46272.960416666669</v>
      </c>
      <c r="P929" s="12">
        <v>46277.210416666669</v>
      </c>
      <c r="Q929" s="12">
        <v>46272.98333333333</v>
      </c>
      <c r="U929" t="b">
        <v>0</v>
      </c>
    </row>
    <row r="930" spans="1:21">
      <c r="A930" t="s">
        <v>4516</v>
      </c>
      <c r="B930" t="s">
        <v>2811</v>
      </c>
      <c r="C930" t="s">
        <v>1541</v>
      </c>
      <c r="D930" t="s">
        <v>4517</v>
      </c>
      <c r="E930" t="s">
        <v>4518</v>
      </c>
      <c r="F930" t="s">
        <v>2709</v>
      </c>
      <c r="G930">
        <v>2451</v>
      </c>
      <c r="H930" t="s">
        <v>120</v>
      </c>
      <c r="I930" t="s">
        <v>17</v>
      </c>
      <c r="J930" t="s">
        <v>1413</v>
      </c>
      <c r="K930">
        <v>66</v>
      </c>
      <c r="L930" t="s">
        <v>2642</v>
      </c>
      <c r="M930" t="s">
        <v>2643</v>
      </c>
      <c r="N930" t="s">
        <v>82</v>
      </c>
      <c r="O930" s="12">
        <v>45359.821527777778</v>
      </c>
      <c r="P930" s="12">
        <v>45360.488194444442</v>
      </c>
      <c r="Q930" s="12">
        <v>45360.071527777778</v>
      </c>
      <c r="R930" s="12">
        <v>45360.224305555559</v>
      </c>
      <c r="S930" s="12">
        <v>45364.821527777778</v>
      </c>
      <c r="U930" t="b">
        <v>0</v>
      </c>
    </row>
    <row r="931" spans="1:21">
      <c r="A931" t="s">
        <v>4519</v>
      </c>
      <c r="B931" t="s">
        <v>2878</v>
      </c>
      <c r="C931" t="s">
        <v>1462</v>
      </c>
      <c r="D931" t="s">
        <v>4520</v>
      </c>
      <c r="E931" t="s">
        <v>4521</v>
      </c>
      <c r="F931" t="s">
        <v>1784</v>
      </c>
      <c r="G931">
        <v>87</v>
      </c>
      <c r="H931" t="s">
        <v>140</v>
      </c>
      <c r="I931" t="s">
        <v>24</v>
      </c>
      <c r="J931" t="s">
        <v>1288</v>
      </c>
      <c r="K931">
        <v>54</v>
      </c>
      <c r="L931" t="s">
        <v>2601</v>
      </c>
      <c r="M931" t="s">
        <v>2618</v>
      </c>
      <c r="N931" t="s">
        <v>25</v>
      </c>
      <c r="O931" s="12">
        <v>45666.3</v>
      </c>
      <c r="Q931" s="12">
        <v>45666.318749999999</v>
      </c>
      <c r="R931" s="12">
        <v>45666.347222222219</v>
      </c>
      <c r="T931" t="s">
        <v>2619</v>
      </c>
      <c r="U931" t="b">
        <v>0</v>
      </c>
    </row>
    <row r="932" spans="1:21">
      <c r="A932" t="s">
        <v>4522</v>
      </c>
      <c r="B932" t="s">
        <v>2711</v>
      </c>
      <c r="C932" t="s">
        <v>1291</v>
      </c>
      <c r="D932" t="s">
        <v>4523</v>
      </c>
      <c r="E932" t="s">
        <v>4524</v>
      </c>
      <c r="F932" t="s">
        <v>2660</v>
      </c>
      <c r="G932">
        <v>176</v>
      </c>
      <c r="H932" t="s">
        <v>50</v>
      </c>
      <c r="I932" t="s">
        <v>24</v>
      </c>
      <c r="J932" t="s">
        <v>1271</v>
      </c>
      <c r="K932">
        <v>48</v>
      </c>
      <c r="L932" t="s">
        <v>2601</v>
      </c>
      <c r="M932" t="s">
        <v>2618</v>
      </c>
      <c r="N932" t="s">
        <v>59</v>
      </c>
      <c r="O932" s="12">
        <v>45747.525694444441</v>
      </c>
      <c r="Q932" s="12">
        <v>45747.711805555555</v>
      </c>
      <c r="T932" t="s">
        <v>2685</v>
      </c>
      <c r="U932" t="b">
        <v>0</v>
      </c>
    </row>
    <row r="933" spans="1:21">
      <c r="A933" t="s">
        <v>4525</v>
      </c>
      <c r="B933" t="s">
        <v>1521</v>
      </c>
      <c r="C933" t="s">
        <v>1385</v>
      </c>
      <c r="D933" t="s">
        <v>4526</v>
      </c>
      <c r="E933" t="s">
        <v>4527</v>
      </c>
      <c r="F933" t="s">
        <v>2660</v>
      </c>
      <c r="G933">
        <v>172</v>
      </c>
      <c r="H933" t="s">
        <v>120</v>
      </c>
      <c r="I933" t="s">
        <v>24</v>
      </c>
      <c r="J933" t="s">
        <v>1355</v>
      </c>
      <c r="K933">
        <v>52</v>
      </c>
      <c r="L933" t="s">
        <v>2592</v>
      </c>
      <c r="M933" t="s">
        <v>2593</v>
      </c>
      <c r="O933" s="12">
        <v>45643.809027777781</v>
      </c>
      <c r="P933" s="12">
        <v>45643.892361111109</v>
      </c>
      <c r="U933" t="b">
        <v>0</v>
      </c>
    </row>
    <row r="934" spans="1:21">
      <c r="A934" t="s">
        <v>4528</v>
      </c>
      <c r="B934" t="s">
        <v>1649</v>
      </c>
      <c r="C934" t="s">
        <v>1203</v>
      </c>
      <c r="D934" t="s">
        <v>4529</v>
      </c>
      <c r="E934" t="s">
        <v>4530</v>
      </c>
      <c r="F934" t="s">
        <v>2271</v>
      </c>
      <c r="G934">
        <v>118</v>
      </c>
      <c r="H934" t="s">
        <v>205</v>
      </c>
      <c r="I934" t="s">
        <v>24</v>
      </c>
      <c r="J934" t="s">
        <v>1413</v>
      </c>
      <c r="K934">
        <v>63</v>
      </c>
      <c r="L934" t="s">
        <v>2592</v>
      </c>
      <c r="M934" t="s">
        <v>2593</v>
      </c>
      <c r="N934" t="s">
        <v>25</v>
      </c>
      <c r="O934" s="12">
        <v>45704.754861111112</v>
      </c>
      <c r="P934" s="12">
        <v>45707.296527777777</v>
      </c>
      <c r="Q934" s="12">
        <v>45704.857638888891</v>
      </c>
      <c r="R934" s="12">
        <v>45705.399305555555</v>
      </c>
      <c r="U934" t="b">
        <v>0</v>
      </c>
    </row>
    <row r="935" spans="1:21">
      <c r="A935" t="s">
        <v>4531</v>
      </c>
      <c r="B935" t="s">
        <v>1485</v>
      </c>
      <c r="C935" t="s">
        <v>1186</v>
      </c>
      <c r="D935" t="s">
        <v>4532</v>
      </c>
      <c r="E935" t="s">
        <v>4533</v>
      </c>
      <c r="F935" t="s">
        <v>2660</v>
      </c>
      <c r="G935">
        <v>186</v>
      </c>
      <c r="H935" t="s">
        <v>560</v>
      </c>
      <c r="I935" t="s">
        <v>24</v>
      </c>
      <c r="J935" t="s">
        <v>1339</v>
      </c>
      <c r="K935">
        <v>78</v>
      </c>
      <c r="L935" t="s">
        <v>2642</v>
      </c>
      <c r="M935" t="s">
        <v>2643</v>
      </c>
      <c r="N935" t="s">
        <v>25</v>
      </c>
      <c r="O935" s="12">
        <v>46000.342361111114</v>
      </c>
      <c r="P935" s="12">
        <v>46003.009027777778</v>
      </c>
      <c r="Q935" s="12">
        <v>46000.386805555558</v>
      </c>
      <c r="R935" s="12">
        <v>46000.515277777777</v>
      </c>
      <c r="S935" s="12">
        <v>46005.259027777778</v>
      </c>
      <c r="U935" t="b">
        <v>0</v>
      </c>
    </row>
    <row r="936" spans="1:21">
      <c r="A936" t="s">
        <v>4534</v>
      </c>
      <c r="B936" t="s">
        <v>2878</v>
      </c>
      <c r="C936" t="s">
        <v>1197</v>
      </c>
      <c r="D936" t="s">
        <v>4535</v>
      </c>
      <c r="E936" t="s">
        <v>4536</v>
      </c>
      <c r="F936" t="s">
        <v>1294</v>
      </c>
      <c r="G936">
        <v>688</v>
      </c>
      <c r="H936" t="s">
        <v>41</v>
      </c>
      <c r="I936" t="s">
        <v>30</v>
      </c>
      <c r="K936">
        <v>77</v>
      </c>
      <c r="L936" t="s">
        <v>2592</v>
      </c>
      <c r="M936" t="s">
        <v>2605</v>
      </c>
      <c r="N936" t="s">
        <v>18</v>
      </c>
      <c r="O936" s="12">
        <v>45426.318055555559</v>
      </c>
      <c r="P936" s="12">
        <v>45426.484722222223</v>
      </c>
      <c r="Q936" s="12">
        <v>45426.42083333333</v>
      </c>
      <c r="R936" s="12">
        <v>45426.522222222222</v>
      </c>
      <c r="U936" t="b">
        <v>0</v>
      </c>
    </row>
    <row r="937" spans="1:21">
      <c r="A937" t="s">
        <v>4537</v>
      </c>
      <c r="B937" t="s">
        <v>2874</v>
      </c>
      <c r="C937" t="s">
        <v>1353</v>
      </c>
      <c r="D937" t="s">
        <v>4538</v>
      </c>
      <c r="E937" t="s">
        <v>4539</v>
      </c>
      <c r="F937" t="s">
        <v>1511</v>
      </c>
      <c r="G937">
        <v>644</v>
      </c>
      <c r="H937" t="s">
        <v>50</v>
      </c>
      <c r="I937" t="s">
        <v>30</v>
      </c>
      <c r="J937" t="s">
        <v>1355</v>
      </c>
      <c r="K937">
        <v>56</v>
      </c>
      <c r="L937" t="s">
        <v>2601</v>
      </c>
      <c r="M937" t="s">
        <v>2593</v>
      </c>
      <c r="N937" t="s">
        <v>36</v>
      </c>
      <c r="O937" s="12">
        <v>45347.466666666667</v>
      </c>
      <c r="Q937" s="12">
        <v>45347.713194444441</v>
      </c>
      <c r="R937" s="12">
        <v>45347.864583333336</v>
      </c>
      <c r="U937" t="b">
        <v>0</v>
      </c>
    </row>
    <row r="938" spans="1:21">
      <c r="A938" t="s">
        <v>4540</v>
      </c>
      <c r="B938" t="s">
        <v>2811</v>
      </c>
      <c r="C938" t="s">
        <v>1168</v>
      </c>
      <c r="D938" t="s">
        <v>4541</v>
      </c>
      <c r="E938" t="s">
        <v>4542</v>
      </c>
      <c r="F938" t="s">
        <v>1471</v>
      </c>
      <c r="G938">
        <v>527</v>
      </c>
      <c r="H938" t="s">
        <v>178</v>
      </c>
      <c r="I938" t="s">
        <v>30</v>
      </c>
      <c r="J938" t="s">
        <v>1413</v>
      </c>
      <c r="K938">
        <v>53</v>
      </c>
      <c r="L938" t="s">
        <v>2592</v>
      </c>
      <c r="M938" t="s">
        <v>2593</v>
      </c>
      <c r="N938" t="s">
        <v>36</v>
      </c>
      <c r="O938" s="12">
        <v>45502.28125</v>
      </c>
      <c r="P938" s="12">
        <v>45505.78125</v>
      </c>
      <c r="Q938" s="12">
        <v>45502.441666666666</v>
      </c>
      <c r="R938" s="12">
        <v>45502.50277777778</v>
      </c>
      <c r="U938" t="b">
        <v>0</v>
      </c>
    </row>
    <row r="939" spans="1:21">
      <c r="A939" t="s">
        <v>4543</v>
      </c>
      <c r="B939" t="s">
        <v>1211</v>
      </c>
      <c r="C939" t="s">
        <v>1152</v>
      </c>
      <c r="D939" t="s">
        <v>4544</v>
      </c>
      <c r="E939" t="s">
        <v>4545</v>
      </c>
      <c r="F939" t="s">
        <v>2271</v>
      </c>
      <c r="G939">
        <v>171</v>
      </c>
      <c r="H939" t="s">
        <v>323</v>
      </c>
      <c r="I939" t="s">
        <v>24</v>
      </c>
      <c r="J939" t="s">
        <v>1413</v>
      </c>
      <c r="K939">
        <v>62</v>
      </c>
      <c r="L939" t="s">
        <v>2601</v>
      </c>
      <c r="M939" t="s">
        <v>2618</v>
      </c>
      <c r="N939" t="s">
        <v>25</v>
      </c>
      <c r="O939" s="12">
        <v>45598.630555555559</v>
      </c>
      <c r="Q939" s="12">
        <v>45598.855555555558</v>
      </c>
      <c r="R939" s="12">
        <v>45598.906944444447</v>
      </c>
      <c r="T939" t="s">
        <v>2933</v>
      </c>
      <c r="U939" t="b">
        <v>0</v>
      </c>
    </row>
    <row r="940" spans="1:21">
      <c r="A940" t="s">
        <v>4546</v>
      </c>
      <c r="B940" t="s">
        <v>2811</v>
      </c>
      <c r="C940" t="s">
        <v>1337</v>
      </c>
      <c r="D940" t="s">
        <v>4547</v>
      </c>
      <c r="E940" t="s">
        <v>4548</v>
      </c>
      <c r="F940" t="s">
        <v>1412</v>
      </c>
      <c r="G940">
        <v>1801</v>
      </c>
      <c r="H940" t="s">
        <v>339</v>
      </c>
      <c r="I940" t="s">
        <v>17</v>
      </c>
      <c r="J940" t="s">
        <v>1288</v>
      </c>
      <c r="K940">
        <v>61</v>
      </c>
      <c r="L940" t="s">
        <v>2592</v>
      </c>
      <c r="M940" t="s">
        <v>2593</v>
      </c>
      <c r="N940" t="s">
        <v>55</v>
      </c>
      <c r="O940" s="12">
        <v>45685.030555555553</v>
      </c>
      <c r="P940" s="12">
        <v>45686.113888888889</v>
      </c>
      <c r="Q940" s="12">
        <v>45685.205555555556</v>
      </c>
      <c r="R940" s="12">
        <v>45685.254861111112</v>
      </c>
      <c r="U940" t="b">
        <v>0</v>
      </c>
    </row>
    <row r="941" spans="1:21">
      <c r="A941" t="s">
        <v>4549</v>
      </c>
      <c r="B941" t="s">
        <v>2578</v>
      </c>
      <c r="C941" t="s">
        <v>2283</v>
      </c>
      <c r="D941" t="s">
        <v>4550</v>
      </c>
      <c r="E941" t="s">
        <v>4551</v>
      </c>
      <c r="F941" t="s">
        <v>1367</v>
      </c>
      <c r="G941">
        <v>865</v>
      </c>
      <c r="H941" t="s">
        <v>295</v>
      </c>
      <c r="I941" t="s">
        <v>30</v>
      </c>
      <c r="J941" t="s">
        <v>1355</v>
      </c>
      <c r="K941">
        <v>65</v>
      </c>
      <c r="L941" t="s">
        <v>2601</v>
      </c>
      <c r="M941" t="s">
        <v>2618</v>
      </c>
      <c r="N941" t="s">
        <v>82</v>
      </c>
      <c r="O941" s="12">
        <v>45843.67083333333</v>
      </c>
      <c r="Q941" s="12">
        <v>45843.772916666669</v>
      </c>
      <c r="R941" s="12">
        <v>45843.82708333333</v>
      </c>
      <c r="T941" t="s">
        <v>2739</v>
      </c>
      <c r="U941" t="b">
        <v>0</v>
      </c>
    </row>
    <row r="942" spans="1:21">
      <c r="A942" t="s">
        <v>4552</v>
      </c>
      <c r="B942" t="s">
        <v>2733</v>
      </c>
      <c r="C942" t="s">
        <v>1462</v>
      </c>
      <c r="D942" t="s">
        <v>4553</v>
      </c>
      <c r="E942" t="s">
        <v>4554</v>
      </c>
      <c r="F942" t="s">
        <v>1309</v>
      </c>
      <c r="G942">
        <v>4204</v>
      </c>
      <c r="H942" t="s">
        <v>178</v>
      </c>
      <c r="J942" t="s">
        <v>1413</v>
      </c>
      <c r="K942">
        <v>53</v>
      </c>
      <c r="L942" t="s">
        <v>2601</v>
      </c>
      <c r="M942" t="s">
        <v>2618</v>
      </c>
      <c r="O942" s="12">
        <v>45711.176388888889</v>
      </c>
      <c r="T942" t="s">
        <v>2648</v>
      </c>
      <c r="U942" t="b">
        <v>0</v>
      </c>
    </row>
    <row r="943" spans="1:21">
      <c r="A943" t="s">
        <v>4555</v>
      </c>
      <c r="B943" t="s">
        <v>1320</v>
      </c>
      <c r="C943" t="s">
        <v>1660</v>
      </c>
      <c r="D943" t="s">
        <v>4556</v>
      </c>
      <c r="E943" t="s">
        <v>4557</v>
      </c>
      <c r="F943" t="s">
        <v>1487</v>
      </c>
      <c r="G943">
        <v>161</v>
      </c>
      <c r="H943" t="s">
        <v>140</v>
      </c>
      <c r="I943" t="s">
        <v>24</v>
      </c>
      <c r="J943" t="s">
        <v>1317</v>
      </c>
      <c r="K943">
        <v>54</v>
      </c>
      <c r="L943" t="s">
        <v>2592</v>
      </c>
      <c r="M943" t="s">
        <v>2597</v>
      </c>
      <c r="N943" t="s">
        <v>25</v>
      </c>
      <c r="O943" s="12">
        <v>46002.084722222222</v>
      </c>
      <c r="P943" s="12">
        <v>46005.126388888886</v>
      </c>
      <c r="Q943" s="12">
        <v>46002.196527777778</v>
      </c>
      <c r="R943" s="12">
        <v>46002.696527777778</v>
      </c>
      <c r="U943" t="b">
        <v>0</v>
      </c>
    </row>
    <row r="944" spans="1:21">
      <c r="A944" t="s">
        <v>4558</v>
      </c>
      <c r="B944" t="s">
        <v>2662</v>
      </c>
      <c r="C944" t="s">
        <v>1162</v>
      </c>
      <c r="D944" t="s">
        <v>4559</v>
      </c>
      <c r="E944" t="s">
        <v>4560</v>
      </c>
      <c r="F944" t="s">
        <v>1784</v>
      </c>
      <c r="G944">
        <v>83</v>
      </c>
      <c r="H944" t="s">
        <v>116</v>
      </c>
      <c r="I944" t="s">
        <v>24</v>
      </c>
      <c r="J944" t="s">
        <v>1413</v>
      </c>
      <c r="K944">
        <v>76</v>
      </c>
      <c r="L944" t="s">
        <v>2642</v>
      </c>
      <c r="M944" t="s">
        <v>2643</v>
      </c>
      <c r="N944" t="s">
        <v>25</v>
      </c>
      <c r="O944" s="12">
        <v>45762.999305555553</v>
      </c>
      <c r="P944" s="12">
        <v>45763.749305555553</v>
      </c>
      <c r="Q944" s="12">
        <v>45763.04791666667</v>
      </c>
      <c r="R944" s="12">
        <v>45763.134722222225</v>
      </c>
      <c r="S944" s="12">
        <v>45764.665972222225</v>
      </c>
      <c r="U944" t="b">
        <v>0</v>
      </c>
    </row>
    <row r="945" spans="1:21">
      <c r="A945" t="s">
        <v>4561</v>
      </c>
      <c r="B945" t="s">
        <v>2789</v>
      </c>
      <c r="C945" t="s">
        <v>1650</v>
      </c>
      <c r="D945" t="s">
        <v>4562</v>
      </c>
      <c r="E945" t="s">
        <v>4563</v>
      </c>
      <c r="F945" t="s">
        <v>1471</v>
      </c>
      <c r="G945">
        <v>858</v>
      </c>
      <c r="H945" t="s">
        <v>140</v>
      </c>
      <c r="I945" t="s">
        <v>30</v>
      </c>
      <c r="J945" t="s">
        <v>1281</v>
      </c>
      <c r="K945">
        <v>87</v>
      </c>
      <c r="L945" t="s">
        <v>2592</v>
      </c>
      <c r="M945" t="s">
        <v>2593</v>
      </c>
      <c r="N945" t="s">
        <v>82</v>
      </c>
      <c r="O945" s="12">
        <v>45839.990972222222</v>
      </c>
      <c r="P945" s="12">
        <v>45844.615972222222</v>
      </c>
      <c r="Q945" s="12">
        <v>45840.081944444442</v>
      </c>
      <c r="R945" s="12">
        <v>45840.193749999999</v>
      </c>
      <c r="U945" t="b">
        <v>0</v>
      </c>
    </row>
    <row r="946" spans="1:21">
      <c r="A946" t="s">
        <v>4564</v>
      </c>
      <c r="B946" t="s">
        <v>1521</v>
      </c>
      <c r="C946" t="s">
        <v>1490</v>
      </c>
      <c r="D946" t="s">
        <v>4565</v>
      </c>
      <c r="E946" t="s">
        <v>4566</v>
      </c>
      <c r="F946" t="s">
        <v>2660</v>
      </c>
      <c r="G946">
        <v>543</v>
      </c>
      <c r="H946" t="s">
        <v>323</v>
      </c>
      <c r="I946" t="s">
        <v>30</v>
      </c>
      <c r="J946" t="s">
        <v>1355</v>
      </c>
      <c r="K946">
        <v>57</v>
      </c>
      <c r="L946" t="s">
        <v>2601</v>
      </c>
      <c r="M946" t="s">
        <v>2655</v>
      </c>
      <c r="N946" t="s">
        <v>82</v>
      </c>
      <c r="O946" s="12">
        <v>45696.711111111108</v>
      </c>
      <c r="Q946" s="12">
        <v>45696.95</v>
      </c>
      <c r="U946" t="b">
        <v>0</v>
      </c>
    </row>
    <row r="947" spans="1:21">
      <c r="A947" t="s">
        <v>4567</v>
      </c>
      <c r="B947" t="s">
        <v>1267</v>
      </c>
      <c r="C947" t="s">
        <v>2033</v>
      </c>
      <c r="D947" t="s">
        <v>4568</v>
      </c>
      <c r="E947" t="s">
        <v>4569</v>
      </c>
      <c r="F947" t="s">
        <v>2709</v>
      </c>
      <c r="G947">
        <v>314</v>
      </c>
      <c r="H947" t="s">
        <v>50</v>
      </c>
      <c r="I947" t="s">
        <v>30</v>
      </c>
      <c r="J947" t="s">
        <v>1355</v>
      </c>
      <c r="K947">
        <v>63</v>
      </c>
      <c r="L947" t="s">
        <v>2601</v>
      </c>
      <c r="M947" t="s">
        <v>2605</v>
      </c>
      <c r="N947" t="s">
        <v>36</v>
      </c>
      <c r="O947" s="12">
        <v>45507.105555555558</v>
      </c>
      <c r="Q947" s="12">
        <v>45507.243750000001</v>
      </c>
      <c r="R947" s="12">
        <v>45507.395138888889</v>
      </c>
      <c r="U947" t="b">
        <v>0</v>
      </c>
    </row>
    <row r="948" spans="1:21">
      <c r="A948" t="s">
        <v>4570</v>
      </c>
      <c r="B948" t="s">
        <v>2657</v>
      </c>
      <c r="C948" t="s">
        <v>1365</v>
      </c>
      <c r="D948" t="s">
        <v>4571</v>
      </c>
      <c r="E948" t="s">
        <v>4572</v>
      </c>
      <c r="F948" t="s">
        <v>1294</v>
      </c>
      <c r="G948">
        <v>488</v>
      </c>
      <c r="H948" t="s">
        <v>440</v>
      </c>
      <c r="I948" t="s">
        <v>30</v>
      </c>
      <c r="J948" t="s">
        <v>1317</v>
      </c>
      <c r="K948">
        <v>74</v>
      </c>
      <c r="L948" t="s">
        <v>2592</v>
      </c>
      <c r="M948" t="s">
        <v>2605</v>
      </c>
      <c r="N948" t="s">
        <v>55</v>
      </c>
      <c r="O948" s="12">
        <v>45800.348611111112</v>
      </c>
      <c r="P948" s="12">
        <v>45801.806944444441</v>
      </c>
      <c r="Q948" s="12">
        <v>45800.579861111109</v>
      </c>
      <c r="R948" s="12">
        <v>45802.038194444445</v>
      </c>
      <c r="U948" t="b">
        <v>0</v>
      </c>
    </row>
    <row r="949" spans="1:21">
      <c r="A949" t="s">
        <v>4573</v>
      </c>
      <c r="B949" t="s">
        <v>1431</v>
      </c>
      <c r="C949" t="s">
        <v>1186</v>
      </c>
      <c r="D949" t="s">
        <v>4574</v>
      </c>
      <c r="E949" t="s">
        <v>4575</v>
      </c>
      <c r="F949" t="s">
        <v>1309</v>
      </c>
      <c r="G949">
        <v>194</v>
      </c>
      <c r="H949" t="s">
        <v>68</v>
      </c>
      <c r="I949" t="s">
        <v>24</v>
      </c>
      <c r="J949" t="s">
        <v>1317</v>
      </c>
      <c r="K949">
        <v>60</v>
      </c>
      <c r="L949" t="s">
        <v>2601</v>
      </c>
      <c r="M949" t="s">
        <v>2618</v>
      </c>
      <c r="N949" t="s">
        <v>69</v>
      </c>
      <c r="O949" s="12">
        <v>45414.177083333336</v>
      </c>
      <c r="Q949" s="12">
        <v>45414.263888888891</v>
      </c>
      <c r="R949" s="12">
        <v>45414.308333333334</v>
      </c>
      <c r="T949" t="s">
        <v>2763</v>
      </c>
      <c r="U949" t="b">
        <v>0</v>
      </c>
    </row>
    <row r="950" spans="1:21">
      <c r="A950" t="s">
        <v>4576</v>
      </c>
      <c r="B950" t="s">
        <v>2611</v>
      </c>
      <c r="C950" t="s">
        <v>1191</v>
      </c>
      <c r="D950" t="s">
        <v>4577</v>
      </c>
      <c r="E950" t="s">
        <v>4578</v>
      </c>
      <c r="F950" t="s">
        <v>1420</v>
      </c>
      <c r="G950">
        <v>453</v>
      </c>
      <c r="H950" t="s">
        <v>576</v>
      </c>
      <c r="I950" t="s">
        <v>30</v>
      </c>
      <c r="J950" t="s">
        <v>1281</v>
      </c>
      <c r="K950">
        <v>72</v>
      </c>
      <c r="L950" t="s">
        <v>2601</v>
      </c>
      <c r="M950" t="s">
        <v>2655</v>
      </c>
      <c r="N950" t="s">
        <v>82</v>
      </c>
      <c r="O950" s="12">
        <v>46027.95208333333</v>
      </c>
      <c r="Q950" s="12">
        <v>46028.063194444447</v>
      </c>
      <c r="U950" t="b">
        <v>0</v>
      </c>
    </row>
    <row r="951" spans="1:21">
      <c r="A951" t="s">
        <v>4579</v>
      </c>
      <c r="B951" t="s">
        <v>1157</v>
      </c>
      <c r="C951" t="s">
        <v>1119</v>
      </c>
      <c r="D951" t="s">
        <v>4580</v>
      </c>
      <c r="E951" t="s">
        <v>4581</v>
      </c>
      <c r="F951" t="s">
        <v>1294</v>
      </c>
      <c r="G951">
        <v>666</v>
      </c>
      <c r="H951" t="s">
        <v>127</v>
      </c>
      <c r="I951" t="s">
        <v>30</v>
      </c>
      <c r="J951" t="s">
        <v>1317</v>
      </c>
      <c r="K951">
        <v>82</v>
      </c>
      <c r="L951" t="s">
        <v>2592</v>
      </c>
      <c r="M951" t="s">
        <v>2597</v>
      </c>
      <c r="N951" t="s">
        <v>82</v>
      </c>
      <c r="O951" s="12">
        <v>46024.713888888888</v>
      </c>
      <c r="P951" s="12">
        <v>46028.713888888888</v>
      </c>
      <c r="Q951" s="12">
        <v>46024.82916666667</v>
      </c>
      <c r="R951" s="12">
        <v>46024.887499999997</v>
      </c>
      <c r="U951" t="b">
        <v>0</v>
      </c>
    </row>
    <row r="952" spans="1:21">
      <c r="A952" t="s">
        <v>4582</v>
      </c>
      <c r="B952" t="s">
        <v>2711</v>
      </c>
      <c r="C952" t="s">
        <v>1291</v>
      </c>
      <c r="D952" t="s">
        <v>4583</v>
      </c>
      <c r="E952" t="s">
        <v>4584</v>
      </c>
      <c r="F952" t="s">
        <v>2755</v>
      </c>
      <c r="G952">
        <v>135</v>
      </c>
      <c r="H952" t="s">
        <v>46</v>
      </c>
      <c r="I952" t="s">
        <v>24</v>
      </c>
      <c r="J952" t="s">
        <v>1288</v>
      </c>
      <c r="K952">
        <v>76</v>
      </c>
      <c r="L952" t="s">
        <v>2592</v>
      </c>
      <c r="M952" t="s">
        <v>2593</v>
      </c>
      <c r="N952" t="s">
        <v>91</v>
      </c>
      <c r="O952" s="12">
        <v>46145.741666666669</v>
      </c>
      <c r="P952" s="12">
        <v>46147.199999999997</v>
      </c>
      <c r="Q952" s="12">
        <v>46145.947916666664</v>
      </c>
      <c r="R952" s="12">
        <v>46147.447916666664</v>
      </c>
      <c r="U952" t="b">
        <v>0</v>
      </c>
    </row>
    <row r="953" spans="1:21">
      <c r="A953" t="s">
        <v>4585</v>
      </c>
      <c r="B953" t="s">
        <v>2874</v>
      </c>
      <c r="C953" t="s">
        <v>1158</v>
      </c>
      <c r="D953" t="s">
        <v>4586</v>
      </c>
      <c r="E953" t="s">
        <v>4587</v>
      </c>
      <c r="F953" t="s">
        <v>1420</v>
      </c>
      <c r="G953">
        <v>370</v>
      </c>
      <c r="H953" t="s">
        <v>205</v>
      </c>
      <c r="I953" t="s">
        <v>30</v>
      </c>
      <c r="J953" t="s">
        <v>1413</v>
      </c>
      <c r="K953">
        <v>51</v>
      </c>
      <c r="L953" t="s">
        <v>2601</v>
      </c>
      <c r="M953" t="s">
        <v>2593</v>
      </c>
      <c r="N953" t="s">
        <v>36</v>
      </c>
      <c r="O953" s="12">
        <v>45847.72152777778</v>
      </c>
      <c r="Q953" s="12">
        <v>45847.95416666667</v>
      </c>
      <c r="R953" s="12">
        <v>45847.970138888886</v>
      </c>
      <c r="U953" t="b">
        <v>0</v>
      </c>
    </row>
    <row r="954" spans="1:21">
      <c r="A954" t="s">
        <v>4588</v>
      </c>
      <c r="B954" t="s">
        <v>1161</v>
      </c>
      <c r="C954" t="s">
        <v>1172</v>
      </c>
      <c r="D954" t="s">
        <v>4589</v>
      </c>
      <c r="E954" t="s">
        <v>4590</v>
      </c>
      <c r="F954" t="s">
        <v>1843</v>
      </c>
      <c r="G954">
        <v>159</v>
      </c>
      <c r="H954" t="s">
        <v>140</v>
      </c>
      <c r="I954" t="s">
        <v>24</v>
      </c>
      <c r="J954" t="s">
        <v>1288</v>
      </c>
      <c r="K954">
        <v>48</v>
      </c>
      <c r="L954" t="s">
        <v>2601</v>
      </c>
      <c r="M954" t="s">
        <v>2618</v>
      </c>
      <c r="N954" t="s">
        <v>25</v>
      </c>
      <c r="O954" s="12">
        <v>45772.693749999999</v>
      </c>
      <c r="Q954" s="12">
        <v>45772.767361111109</v>
      </c>
      <c r="R954" s="12">
        <v>45772.902777777781</v>
      </c>
      <c r="T954" t="s">
        <v>2685</v>
      </c>
      <c r="U954" t="b">
        <v>0</v>
      </c>
    </row>
    <row r="955" spans="1:21">
      <c r="A955" t="s">
        <v>4591</v>
      </c>
      <c r="B955" t="s">
        <v>1161</v>
      </c>
      <c r="C955" t="s">
        <v>1365</v>
      </c>
      <c r="D955" t="s">
        <v>4592</v>
      </c>
      <c r="E955" t="s">
        <v>4593</v>
      </c>
      <c r="F955" t="s">
        <v>1487</v>
      </c>
      <c r="G955">
        <v>204</v>
      </c>
      <c r="H955" t="s">
        <v>16</v>
      </c>
      <c r="I955" t="s">
        <v>30</v>
      </c>
      <c r="J955" t="s">
        <v>1271</v>
      </c>
      <c r="K955">
        <v>47</v>
      </c>
      <c r="L955" t="s">
        <v>2592</v>
      </c>
      <c r="M955" t="s">
        <v>2597</v>
      </c>
      <c r="N955" t="s">
        <v>18</v>
      </c>
      <c r="O955" s="12">
        <v>46102.593055555553</v>
      </c>
      <c r="P955" s="12">
        <v>46106.259722222225</v>
      </c>
      <c r="Q955" s="12">
        <v>46102.652083333334</v>
      </c>
      <c r="R955" s="12">
        <v>46102.777777777781</v>
      </c>
      <c r="U955" t="b">
        <v>0</v>
      </c>
    </row>
    <row r="956" spans="1:21">
      <c r="A956" t="s">
        <v>4594</v>
      </c>
      <c r="B956" t="s">
        <v>1221</v>
      </c>
      <c r="C956" t="s">
        <v>1172</v>
      </c>
      <c r="D956" t="s">
        <v>4595</v>
      </c>
      <c r="E956" t="s">
        <v>4596</v>
      </c>
      <c r="F956" t="s">
        <v>1517</v>
      </c>
      <c r="G956">
        <v>112</v>
      </c>
      <c r="H956" t="s">
        <v>223</v>
      </c>
      <c r="I956" t="s">
        <v>24</v>
      </c>
      <c r="J956" t="s">
        <v>1355</v>
      </c>
      <c r="K956">
        <v>45</v>
      </c>
      <c r="L956" t="s">
        <v>2601</v>
      </c>
      <c r="M956" t="s">
        <v>2655</v>
      </c>
      <c r="N956" t="s">
        <v>91</v>
      </c>
      <c r="O956" s="12">
        <v>46273.209722222222</v>
      </c>
      <c r="Q956" s="12">
        <v>46273.373611111114</v>
      </c>
      <c r="U956" t="b">
        <v>0</v>
      </c>
    </row>
    <row r="957" spans="1:21">
      <c r="A957" t="s">
        <v>4597</v>
      </c>
      <c r="B957" t="s">
        <v>1320</v>
      </c>
      <c r="C957" t="s">
        <v>1631</v>
      </c>
      <c r="D957" t="s">
        <v>4598</v>
      </c>
      <c r="E957" t="s">
        <v>4599</v>
      </c>
      <c r="F957" t="s">
        <v>1517</v>
      </c>
      <c r="G957">
        <v>65</v>
      </c>
      <c r="H957" t="s">
        <v>339</v>
      </c>
      <c r="I957" t="s">
        <v>24</v>
      </c>
      <c r="J957" t="s">
        <v>1413</v>
      </c>
      <c r="K957">
        <v>48</v>
      </c>
      <c r="L957" t="s">
        <v>2601</v>
      </c>
      <c r="M957" t="s">
        <v>2655</v>
      </c>
      <c r="N957" t="s">
        <v>69</v>
      </c>
      <c r="O957" s="12">
        <v>45869.039583333331</v>
      </c>
      <c r="Q957" s="12">
        <v>45869.248611111114</v>
      </c>
      <c r="U957" t="b">
        <v>0</v>
      </c>
    </row>
    <row r="958" spans="1:21">
      <c r="A958" t="s">
        <v>4600</v>
      </c>
      <c r="B958" t="s">
        <v>2628</v>
      </c>
      <c r="C958" t="s">
        <v>1597</v>
      </c>
      <c r="D958" t="s">
        <v>4601</v>
      </c>
      <c r="E958" t="s">
        <v>4602</v>
      </c>
      <c r="F958" t="s">
        <v>2660</v>
      </c>
      <c r="G958">
        <v>98</v>
      </c>
      <c r="H958" t="s">
        <v>226</v>
      </c>
      <c r="I958" t="s">
        <v>24</v>
      </c>
      <c r="J958" t="s">
        <v>1271</v>
      </c>
      <c r="K958">
        <v>62</v>
      </c>
      <c r="L958" t="s">
        <v>2601</v>
      </c>
      <c r="M958" t="s">
        <v>2655</v>
      </c>
      <c r="O958" s="12">
        <v>45814.368055555555</v>
      </c>
      <c r="U958" t="b">
        <v>0</v>
      </c>
    </row>
    <row r="959" spans="1:21">
      <c r="A959" t="s">
        <v>4603</v>
      </c>
      <c r="B959" t="s">
        <v>1138</v>
      </c>
      <c r="C959" t="s">
        <v>1168</v>
      </c>
      <c r="D959" t="s">
        <v>3303</v>
      </c>
      <c r="E959" t="s">
        <v>4604</v>
      </c>
      <c r="F959" t="s">
        <v>1511</v>
      </c>
      <c r="G959">
        <v>33</v>
      </c>
      <c r="H959" t="s">
        <v>216</v>
      </c>
      <c r="I959" t="s">
        <v>24</v>
      </c>
      <c r="J959" t="s">
        <v>1413</v>
      </c>
      <c r="K959">
        <v>52</v>
      </c>
      <c r="L959" t="s">
        <v>2601</v>
      </c>
      <c r="M959" t="s">
        <v>2605</v>
      </c>
      <c r="N959" t="s">
        <v>25</v>
      </c>
      <c r="O959" s="12">
        <v>45861.75</v>
      </c>
      <c r="Q959" s="12">
        <v>45861.988194444442</v>
      </c>
      <c r="R959" s="12">
        <v>45863.113194444442</v>
      </c>
      <c r="U959" t="b">
        <v>0</v>
      </c>
    </row>
    <row r="960" spans="1:21">
      <c r="A960" t="s">
        <v>4605</v>
      </c>
      <c r="B960" t="s">
        <v>2657</v>
      </c>
      <c r="C960" t="s">
        <v>1771</v>
      </c>
      <c r="D960" t="s">
        <v>4606</v>
      </c>
      <c r="E960" t="s">
        <v>4607</v>
      </c>
      <c r="F960" t="s">
        <v>2680</v>
      </c>
      <c r="G960">
        <v>26</v>
      </c>
      <c r="H960" t="s">
        <v>140</v>
      </c>
      <c r="I960" t="s">
        <v>24</v>
      </c>
      <c r="J960" t="s">
        <v>1355</v>
      </c>
      <c r="K960">
        <v>68</v>
      </c>
      <c r="L960" t="s">
        <v>2592</v>
      </c>
      <c r="M960" t="s">
        <v>2605</v>
      </c>
      <c r="N960" t="s">
        <v>25</v>
      </c>
      <c r="O960" s="12">
        <v>45466.262499999997</v>
      </c>
      <c r="P960" s="12">
        <v>45469.137499999997</v>
      </c>
      <c r="Q960" s="12">
        <v>45466.415972222225</v>
      </c>
      <c r="R960" s="12">
        <v>45467.790972222225</v>
      </c>
      <c r="U960" t="b">
        <v>0</v>
      </c>
    </row>
    <row r="961" spans="1:21">
      <c r="A961" t="s">
        <v>4608</v>
      </c>
      <c r="B961" t="s">
        <v>2811</v>
      </c>
      <c r="C961" t="s">
        <v>1155</v>
      </c>
      <c r="D961" t="s">
        <v>4609</v>
      </c>
      <c r="E961" t="s">
        <v>4610</v>
      </c>
      <c r="F961" t="s">
        <v>2755</v>
      </c>
      <c r="G961">
        <v>7</v>
      </c>
      <c r="H961" t="s">
        <v>440</v>
      </c>
      <c r="J961" t="s">
        <v>1271</v>
      </c>
      <c r="K961">
        <v>60</v>
      </c>
      <c r="L961" t="s">
        <v>2601</v>
      </c>
      <c r="M961" t="s">
        <v>2618</v>
      </c>
      <c r="O961" s="12">
        <v>45777.286111111112</v>
      </c>
      <c r="T961" t="s">
        <v>2933</v>
      </c>
      <c r="U961" t="b">
        <v>0</v>
      </c>
    </row>
    <row r="962" spans="1:21">
      <c r="A962" t="s">
        <v>4611</v>
      </c>
      <c r="B962" t="s">
        <v>2662</v>
      </c>
      <c r="C962" t="s">
        <v>1385</v>
      </c>
      <c r="D962" t="s">
        <v>4612</v>
      </c>
      <c r="E962" t="s">
        <v>4613</v>
      </c>
      <c r="F962" t="s">
        <v>1843</v>
      </c>
      <c r="G962">
        <v>59</v>
      </c>
      <c r="H962" t="s">
        <v>140</v>
      </c>
      <c r="I962" t="s">
        <v>24</v>
      </c>
      <c r="J962" t="s">
        <v>1339</v>
      </c>
      <c r="K962">
        <v>73</v>
      </c>
      <c r="L962" t="s">
        <v>2601</v>
      </c>
      <c r="M962" t="s">
        <v>2605</v>
      </c>
      <c r="N962" t="s">
        <v>25</v>
      </c>
      <c r="O962" s="12">
        <v>45665.834722222222</v>
      </c>
      <c r="Q962" s="12">
        <v>45665.947916666664</v>
      </c>
      <c r="R962" s="12">
        <v>45666.095138888886</v>
      </c>
      <c r="U962" t="b">
        <v>0</v>
      </c>
    </row>
    <row r="963" spans="1:21">
      <c r="A963" t="s">
        <v>4614</v>
      </c>
      <c r="B963" t="s">
        <v>2874</v>
      </c>
      <c r="C963" t="s">
        <v>1343</v>
      </c>
      <c r="D963" t="s">
        <v>4615</v>
      </c>
      <c r="E963" t="s">
        <v>4616</v>
      </c>
      <c r="F963" t="s">
        <v>1294</v>
      </c>
      <c r="G963">
        <v>80</v>
      </c>
      <c r="H963" t="s">
        <v>54</v>
      </c>
      <c r="I963" t="s">
        <v>24</v>
      </c>
      <c r="J963" t="s">
        <v>1355</v>
      </c>
      <c r="K963">
        <v>62</v>
      </c>
      <c r="L963" t="s">
        <v>2642</v>
      </c>
      <c r="M963" t="s">
        <v>2643</v>
      </c>
      <c r="N963" t="s">
        <v>69</v>
      </c>
      <c r="O963" s="12">
        <v>46051.207638888889</v>
      </c>
      <c r="P963" s="12">
        <v>46056.040972222225</v>
      </c>
      <c r="Q963" s="12">
        <v>46051.293749999997</v>
      </c>
      <c r="R963" s="12">
        <v>46051.315972222219</v>
      </c>
      <c r="S963" s="12">
        <v>46062.290972222225</v>
      </c>
      <c r="U963" t="b">
        <v>0</v>
      </c>
    </row>
    <row r="964" spans="1:21">
      <c r="A964" t="s">
        <v>4617</v>
      </c>
      <c r="B964" t="s">
        <v>1320</v>
      </c>
      <c r="C964" t="s">
        <v>1469</v>
      </c>
      <c r="D964" t="s">
        <v>4618</v>
      </c>
      <c r="E964" t="s">
        <v>4619</v>
      </c>
      <c r="F964" t="s">
        <v>2084</v>
      </c>
      <c r="G964">
        <v>621</v>
      </c>
      <c r="H964" t="s">
        <v>236</v>
      </c>
      <c r="I964" t="s">
        <v>17</v>
      </c>
      <c r="J964" t="s">
        <v>1355</v>
      </c>
      <c r="K964">
        <v>68</v>
      </c>
      <c r="L964" t="s">
        <v>2601</v>
      </c>
      <c r="M964" t="s">
        <v>2593</v>
      </c>
      <c r="N964" t="s">
        <v>18</v>
      </c>
      <c r="O964" s="12">
        <v>45690.89166666667</v>
      </c>
      <c r="Q964" s="12">
        <v>45691.136111111111</v>
      </c>
      <c r="R964" s="12">
        <v>45691.552777777775</v>
      </c>
      <c r="U964" t="b">
        <v>0</v>
      </c>
    </row>
    <row r="965" spans="1:21">
      <c r="A965" t="s">
        <v>4620</v>
      </c>
      <c r="B965" t="s">
        <v>1521</v>
      </c>
      <c r="C965" t="s">
        <v>1631</v>
      </c>
      <c r="D965" t="s">
        <v>4621</v>
      </c>
      <c r="E965" t="s">
        <v>4622</v>
      </c>
      <c r="F965" t="s">
        <v>1511</v>
      </c>
      <c r="G965">
        <v>138</v>
      </c>
      <c r="H965" t="s">
        <v>50</v>
      </c>
      <c r="I965" t="s">
        <v>24</v>
      </c>
      <c r="J965" t="s">
        <v>1281</v>
      </c>
      <c r="K965">
        <v>89</v>
      </c>
      <c r="L965" t="s">
        <v>2642</v>
      </c>
      <c r="M965" t="s">
        <v>2643</v>
      </c>
      <c r="N965" t="s">
        <v>59</v>
      </c>
      <c r="O965" s="12">
        <v>46003.611805555556</v>
      </c>
      <c r="P965" s="12">
        <v>46005.820138888892</v>
      </c>
      <c r="Q965" s="12">
        <v>46003.680555555555</v>
      </c>
      <c r="R965" s="12">
        <v>46004.680555555555</v>
      </c>
      <c r="S965" s="12">
        <v>46010.90347222222</v>
      </c>
      <c r="U965" t="b">
        <v>0</v>
      </c>
    </row>
    <row r="966" spans="1:21">
      <c r="A966" t="s">
        <v>4623</v>
      </c>
      <c r="B966" t="s">
        <v>1111</v>
      </c>
      <c r="C966" t="s">
        <v>2283</v>
      </c>
      <c r="D966" t="s">
        <v>4624</v>
      </c>
      <c r="E966" t="s">
        <v>4625</v>
      </c>
      <c r="F966" t="s">
        <v>1843</v>
      </c>
      <c r="G966">
        <v>64</v>
      </c>
      <c r="H966" t="s">
        <v>50</v>
      </c>
      <c r="I966" t="s">
        <v>24</v>
      </c>
      <c r="J966" t="s">
        <v>1413</v>
      </c>
      <c r="K966">
        <v>59</v>
      </c>
      <c r="L966" t="s">
        <v>2592</v>
      </c>
      <c r="M966" t="s">
        <v>2597</v>
      </c>
      <c r="N966" t="s">
        <v>59</v>
      </c>
      <c r="O966" s="12">
        <v>45614.964583333334</v>
      </c>
      <c r="P966" s="12">
        <v>45619.17291666667</v>
      </c>
      <c r="Q966" s="12">
        <v>45615.03402777778</v>
      </c>
      <c r="R966" s="12">
        <v>45615.07708333333</v>
      </c>
      <c r="U966" t="b">
        <v>0</v>
      </c>
    </row>
    <row r="967" spans="1:21">
      <c r="A967" t="s">
        <v>4626</v>
      </c>
      <c r="B967" t="s">
        <v>2662</v>
      </c>
      <c r="C967" t="s">
        <v>1130</v>
      </c>
      <c r="D967" t="s">
        <v>4627</v>
      </c>
      <c r="E967" t="s">
        <v>4628</v>
      </c>
      <c r="F967" t="s">
        <v>1517</v>
      </c>
      <c r="G967">
        <v>245</v>
      </c>
      <c r="H967" t="s">
        <v>366</v>
      </c>
      <c r="I967" t="s">
        <v>30</v>
      </c>
      <c r="J967" t="s">
        <v>1295</v>
      </c>
      <c r="K967">
        <v>75</v>
      </c>
      <c r="L967" t="s">
        <v>2642</v>
      </c>
      <c r="M967" t="s">
        <v>2643</v>
      </c>
      <c r="N967" t="s">
        <v>18</v>
      </c>
      <c r="O967" s="12">
        <v>46247.448611111111</v>
      </c>
      <c r="P967" s="12">
        <v>46248.781944444447</v>
      </c>
      <c r="Q967" s="12">
        <v>46247.477777777778</v>
      </c>
      <c r="R967" s="12">
        <v>46247.589583333334</v>
      </c>
      <c r="S967" s="12">
        <v>46257.240277777775</v>
      </c>
      <c r="U967" t="b">
        <v>0</v>
      </c>
    </row>
    <row r="968" spans="1:21">
      <c r="A968" t="s">
        <v>4629</v>
      </c>
      <c r="B968" t="s">
        <v>1175</v>
      </c>
      <c r="C968" t="s">
        <v>1176</v>
      </c>
      <c r="D968" t="s">
        <v>4630</v>
      </c>
      <c r="E968" t="s">
        <v>4631</v>
      </c>
      <c r="F968" t="s">
        <v>1471</v>
      </c>
      <c r="G968">
        <v>1051</v>
      </c>
      <c r="H968" t="s">
        <v>140</v>
      </c>
      <c r="I968" t="s">
        <v>17</v>
      </c>
      <c r="J968" t="s">
        <v>1317</v>
      </c>
      <c r="K968">
        <v>58</v>
      </c>
      <c r="L968" t="s">
        <v>2592</v>
      </c>
      <c r="M968" t="s">
        <v>2618</v>
      </c>
      <c r="N968" t="s">
        <v>82</v>
      </c>
      <c r="O968" s="12">
        <v>46274.602083333331</v>
      </c>
      <c r="P968" s="12">
        <v>46275.060416666667</v>
      </c>
      <c r="Q968" s="12">
        <v>46274.614583333336</v>
      </c>
      <c r="T968" t="s">
        <v>2763</v>
      </c>
      <c r="U968" t="b">
        <v>0</v>
      </c>
    </row>
    <row r="969" spans="1:21">
      <c r="A969" t="s">
        <v>4632</v>
      </c>
      <c r="B969" t="s">
        <v>1138</v>
      </c>
      <c r="C969" t="s">
        <v>1172</v>
      </c>
      <c r="D969" t="s">
        <v>4633</v>
      </c>
      <c r="E969" t="s">
        <v>4634</v>
      </c>
      <c r="F969" t="s">
        <v>2680</v>
      </c>
      <c r="G969">
        <v>107</v>
      </c>
      <c r="H969" t="s">
        <v>249</v>
      </c>
      <c r="I969" t="s">
        <v>24</v>
      </c>
      <c r="J969" t="s">
        <v>4212</v>
      </c>
      <c r="K969">
        <v>79</v>
      </c>
      <c r="L969" t="s">
        <v>2592</v>
      </c>
      <c r="M969" t="s">
        <v>2593</v>
      </c>
      <c r="N969" t="s">
        <v>59</v>
      </c>
      <c r="O969" s="12">
        <v>45404.342361111114</v>
      </c>
      <c r="P969" s="12">
        <v>45408.592361111114</v>
      </c>
      <c r="Q969" s="12">
        <v>45404.572222222225</v>
      </c>
      <c r="R969" s="12">
        <v>45404.67291666667</v>
      </c>
      <c r="U969" t="b">
        <v>0</v>
      </c>
    </row>
    <row r="970" spans="1:21">
      <c r="A970" t="s">
        <v>4635</v>
      </c>
      <c r="B970" t="s">
        <v>3169</v>
      </c>
      <c r="C970" t="s">
        <v>2033</v>
      </c>
      <c r="D970" t="s">
        <v>2633</v>
      </c>
      <c r="E970" t="s">
        <v>4636</v>
      </c>
      <c r="F970" t="s">
        <v>2084</v>
      </c>
      <c r="G970">
        <v>1293</v>
      </c>
      <c r="H970" t="s">
        <v>140</v>
      </c>
      <c r="I970" t="s">
        <v>17</v>
      </c>
      <c r="J970" t="s">
        <v>1295</v>
      </c>
      <c r="K970">
        <v>95</v>
      </c>
      <c r="L970" t="s">
        <v>2592</v>
      </c>
      <c r="M970" t="s">
        <v>2593</v>
      </c>
      <c r="N970" t="s">
        <v>82</v>
      </c>
      <c r="O970" s="12">
        <v>45311.123611111114</v>
      </c>
      <c r="P970" s="12">
        <v>45313.831944444442</v>
      </c>
      <c r="Q970" s="12">
        <v>45311.271527777775</v>
      </c>
      <c r="R970" s="12">
        <v>45311.345138888886</v>
      </c>
      <c r="U970" t="b">
        <v>0</v>
      </c>
    </row>
    <row r="971" spans="1:21">
      <c r="A971" t="s">
        <v>4637</v>
      </c>
      <c r="B971" t="s">
        <v>1157</v>
      </c>
      <c r="C971" t="s">
        <v>1125</v>
      </c>
      <c r="D971" t="s">
        <v>4638</v>
      </c>
      <c r="E971" t="s">
        <v>4639</v>
      </c>
      <c r="F971" t="s">
        <v>1784</v>
      </c>
      <c r="G971">
        <v>68</v>
      </c>
      <c r="H971" t="s">
        <v>576</v>
      </c>
      <c r="I971" t="s">
        <v>24</v>
      </c>
      <c r="J971" t="s">
        <v>1317</v>
      </c>
      <c r="K971">
        <v>64</v>
      </c>
      <c r="L971" t="s">
        <v>2592</v>
      </c>
      <c r="M971" t="s">
        <v>2605</v>
      </c>
      <c r="N971" t="s">
        <v>25</v>
      </c>
      <c r="O971" s="12">
        <v>45342.90625</v>
      </c>
      <c r="P971" s="12">
        <v>45343.322916666664</v>
      </c>
      <c r="Q971" s="12">
        <v>45342.95208333333</v>
      </c>
      <c r="R971" s="12">
        <v>45343.618750000001</v>
      </c>
      <c r="U971" t="b">
        <v>0</v>
      </c>
    </row>
    <row r="972" spans="1:21">
      <c r="A972" t="s">
        <v>4640</v>
      </c>
      <c r="B972" t="s">
        <v>1202</v>
      </c>
      <c r="C972" t="s">
        <v>1721</v>
      </c>
      <c r="D972" t="s">
        <v>4641</v>
      </c>
      <c r="E972" t="s">
        <v>4642</v>
      </c>
      <c r="F972" t="s">
        <v>1487</v>
      </c>
      <c r="G972">
        <v>422</v>
      </c>
      <c r="H972" t="s">
        <v>95</v>
      </c>
      <c r="I972" t="s">
        <v>30</v>
      </c>
      <c r="J972" t="s">
        <v>1271</v>
      </c>
      <c r="K972">
        <v>45</v>
      </c>
      <c r="L972" t="s">
        <v>2601</v>
      </c>
      <c r="M972" t="s">
        <v>2593</v>
      </c>
      <c r="N972" t="s">
        <v>18</v>
      </c>
      <c r="O972" s="12">
        <v>46225.350694444445</v>
      </c>
      <c r="Q972" s="12">
        <v>46225.558333333334</v>
      </c>
      <c r="R972" s="12">
        <v>46225.595833333333</v>
      </c>
      <c r="U972" t="b">
        <v>0</v>
      </c>
    </row>
    <row r="973" spans="1:21">
      <c r="A973" t="s">
        <v>4643</v>
      </c>
      <c r="B973" t="s">
        <v>2789</v>
      </c>
      <c r="C973" t="s">
        <v>1307</v>
      </c>
      <c r="D973" t="s">
        <v>4644</v>
      </c>
      <c r="E973" t="s">
        <v>4645</v>
      </c>
      <c r="F973" t="s">
        <v>1511</v>
      </c>
      <c r="G973">
        <v>32</v>
      </c>
      <c r="H973" t="s">
        <v>366</v>
      </c>
      <c r="I973" t="s">
        <v>24</v>
      </c>
      <c r="J973" t="s">
        <v>1413</v>
      </c>
      <c r="K973">
        <v>63</v>
      </c>
      <c r="L973" t="s">
        <v>2601</v>
      </c>
      <c r="M973" t="s">
        <v>2605</v>
      </c>
      <c r="N973" t="s">
        <v>91</v>
      </c>
      <c r="O973" s="12">
        <v>45615.283333333333</v>
      </c>
      <c r="Q973" s="12">
        <v>45615.425694444442</v>
      </c>
      <c r="R973" s="12">
        <v>45616.175694444442</v>
      </c>
      <c r="U973" t="b">
        <v>0</v>
      </c>
    </row>
    <row r="974" spans="1:21">
      <c r="A974" t="s">
        <v>4646</v>
      </c>
      <c r="B974" t="s">
        <v>1221</v>
      </c>
      <c r="C974" t="s">
        <v>1898</v>
      </c>
      <c r="D974" t="s">
        <v>4647</v>
      </c>
      <c r="E974" t="s">
        <v>4648</v>
      </c>
      <c r="F974" t="s">
        <v>2660</v>
      </c>
      <c r="G974">
        <v>35</v>
      </c>
      <c r="H974" t="s">
        <v>178</v>
      </c>
      <c r="I974" t="s">
        <v>24</v>
      </c>
      <c r="J974" t="s">
        <v>1355</v>
      </c>
      <c r="K974">
        <v>70</v>
      </c>
      <c r="L974" t="s">
        <v>2601</v>
      </c>
      <c r="M974" t="s">
        <v>2618</v>
      </c>
      <c r="N974" t="s">
        <v>69</v>
      </c>
      <c r="O974" s="12">
        <v>45895.894444444442</v>
      </c>
      <c r="Q974" s="12">
        <v>45896.079861111109</v>
      </c>
      <c r="R974" s="12">
        <v>45896.188888888886</v>
      </c>
      <c r="T974" t="s">
        <v>2631</v>
      </c>
      <c r="U974" t="b">
        <v>0</v>
      </c>
    </row>
    <row r="975" spans="1:21">
      <c r="A975" t="s">
        <v>4649</v>
      </c>
      <c r="B975" t="s">
        <v>1161</v>
      </c>
      <c r="C975" t="s">
        <v>1404</v>
      </c>
      <c r="D975" t="s">
        <v>4650</v>
      </c>
      <c r="E975" t="s">
        <v>4651</v>
      </c>
      <c r="F975" t="s">
        <v>1367</v>
      </c>
      <c r="G975">
        <v>582</v>
      </c>
      <c r="H975" t="s">
        <v>41</v>
      </c>
      <c r="I975" t="s">
        <v>30</v>
      </c>
      <c r="J975" t="s">
        <v>1271</v>
      </c>
      <c r="K975">
        <v>42</v>
      </c>
      <c r="L975" t="s">
        <v>2592</v>
      </c>
      <c r="M975" t="s">
        <v>2618</v>
      </c>
      <c r="N975" t="s">
        <v>82</v>
      </c>
      <c r="O975" s="12">
        <v>45351.885416666664</v>
      </c>
      <c r="P975" s="12">
        <v>45353.260416666664</v>
      </c>
      <c r="Q975" s="12">
        <v>45352.052777777775</v>
      </c>
      <c r="R975" s="12">
        <v>45352.186805555553</v>
      </c>
      <c r="T975" t="s">
        <v>2739</v>
      </c>
      <c r="U975" t="b">
        <v>0</v>
      </c>
    </row>
    <row r="976" spans="1:21">
      <c r="A976" t="s">
        <v>4652</v>
      </c>
      <c r="B976" t="s">
        <v>2693</v>
      </c>
      <c r="C976" t="s">
        <v>1142</v>
      </c>
      <c r="D976" t="s">
        <v>4653</v>
      </c>
      <c r="E976" t="s">
        <v>4654</v>
      </c>
      <c r="F976" t="s">
        <v>2617</v>
      </c>
      <c r="G976">
        <v>723</v>
      </c>
      <c r="H976" t="s">
        <v>23</v>
      </c>
      <c r="I976" t="s">
        <v>30</v>
      </c>
      <c r="J976" t="s">
        <v>1295</v>
      </c>
      <c r="K976">
        <v>82</v>
      </c>
      <c r="L976" t="s">
        <v>2592</v>
      </c>
      <c r="M976" t="s">
        <v>2593</v>
      </c>
      <c r="N976" t="s">
        <v>82</v>
      </c>
      <c r="O976" s="12">
        <v>45686.731249999997</v>
      </c>
      <c r="P976" s="12">
        <v>45686.981249999997</v>
      </c>
      <c r="Q976" s="12">
        <v>45686.746527777781</v>
      </c>
      <c r="R976" s="12">
        <v>45686.845833333333</v>
      </c>
      <c r="U976" t="b">
        <v>0</v>
      </c>
    </row>
    <row r="977" spans="1:21">
      <c r="A977" t="s">
        <v>4655</v>
      </c>
      <c r="B977" t="s">
        <v>2657</v>
      </c>
      <c r="C977" t="s">
        <v>1158</v>
      </c>
      <c r="D977" t="s">
        <v>4656</v>
      </c>
      <c r="E977" t="s">
        <v>4657</v>
      </c>
      <c r="F977" t="s">
        <v>2709</v>
      </c>
      <c r="G977">
        <v>678</v>
      </c>
      <c r="H977" t="s">
        <v>140</v>
      </c>
      <c r="I977" t="s">
        <v>30</v>
      </c>
      <c r="J977" t="s">
        <v>1355</v>
      </c>
      <c r="K977">
        <v>66</v>
      </c>
      <c r="L977" t="s">
        <v>2601</v>
      </c>
      <c r="M977" t="s">
        <v>2618</v>
      </c>
      <c r="N977" t="s">
        <v>82</v>
      </c>
      <c r="O977" s="12">
        <v>46180.304861111108</v>
      </c>
      <c r="Q977" s="12">
        <v>46180.445138888892</v>
      </c>
      <c r="R977" s="12">
        <v>46180.481944444444</v>
      </c>
      <c r="T977" t="s">
        <v>2739</v>
      </c>
      <c r="U977" t="b">
        <v>0</v>
      </c>
    </row>
    <row r="978" spans="1:21">
      <c r="A978" t="s">
        <v>4658</v>
      </c>
      <c r="B978" t="s">
        <v>1207</v>
      </c>
      <c r="C978" t="s">
        <v>1130</v>
      </c>
      <c r="D978" t="s">
        <v>4659</v>
      </c>
      <c r="E978" t="s">
        <v>4660</v>
      </c>
      <c r="F978" t="s">
        <v>1420</v>
      </c>
      <c r="G978">
        <v>24</v>
      </c>
      <c r="H978" t="s">
        <v>1039</v>
      </c>
      <c r="I978" t="s">
        <v>24</v>
      </c>
      <c r="J978" t="s">
        <v>1281</v>
      </c>
      <c r="K978">
        <v>63</v>
      </c>
      <c r="L978" t="s">
        <v>2592</v>
      </c>
      <c r="M978" t="s">
        <v>2593</v>
      </c>
      <c r="N978" t="s">
        <v>91</v>
      </c>
      <c r="O978" s="12">
        <v>46120.99722222222</v>
      </c>
      <c r="P978" s="12">
        <v>46121.99722222222</v>
      </c>
      <c r="Q978" s="12">
        <v>46121.128472222219</v>
      </c>
      <c r="R978" s="12">
        <v>46121.241666666669</v>
      </c>
      <c r="U978" t="b">
        <v>0</v>
      </c>
    </row>
    <row r="979" spans="1:21">
      <c r="A979" t="s">
        <v>4661</v>
      </c>
      <c r="B979" t="s">
        <v>2733</v>
      </c>
      <c r="C979" t="s">
        <v>1432</v>
      </c>
      <c r="D979" t="s">
        <v>4662</v>
      </c>
      <c r="E979" t="s">
        <v>4663</v>
      </c>
      <c r="F979" t="s">
        <v>1471</v>
      </c>
      <c r="G979">
        <v>346</v>
      </c>
      <c r="H979" t="s">
        <v>366</v>
      </c>
      <c r="I979" t="s">
        <v>30</v>
      </c>
      <c r="J979" t="s">
        <v>1413</v>
      </c>
      <c r="K979">
        <v>75</v>
      </c>
      <c r="L979" t="s">
        <v>2592</v>
      </c>
      <c r="M979" t="s">
        <v>2593</v>
      </c>
      <c r="N979" t="s">
        <v>18</v>
      </c>
      <c r="O979" s="12">
        <v>45895.864583333336</v>
      </c>
      <c r="P979" s="12">
        <v>45896.114583333336</v>
      </c>
      <c r="Q979" s="12">
        <v>45896.043749999997</v>
      </c>
      <c r="R979" s="12">
        <v>45896.089583333334</v>
      </c>
      <c r="U979" t="b">
        <v>0</v>
      </c>
    </row>
    <row r="980" spans="1:21">
      <c r="A980" t="s">
        <v>4664</v>
      </c>
      <c r="B980" t="s">
        <v>1521</v>
      </c>
      <c r="C980" t="s">
        <v>1650</v>
      </c>
      <c r="D980" t="s">
        <v>4665</v>
      </c>
      <c r="E980" t="s">
        <v>4666</v>
      </c>
      <c r="F980" t="s">
        <v>1182</v>
      </c>
      <c r="G980">
        <v>842</v>
      </c>
      <c r="H980" t="s">
        <v>216</v>
      </c>
      <c r="I980" t="s">
        <v>30</v>
      </c>
      <c r="J980" t="s">
        <v>1413</v>
      </c>
      <c r="K980">
        <v>63</v>
      </c>
      <c r="L980" t="s">
        <v>2601</v>
      </c>
      <c r="M980" t="s">
        <v>2655</v>
      </c>
      <c r="N980" t="s">
        <v>18</v>
      </c>
      <c r="O980" s="12">
        <v>46026.283333333333</v>
      </c>
      <c r="Q980" s="12">
        <v>46026.42291666667</v>
      </c>
      <c r="U980" t="b">
        <v>0</v>
      </c>
    </row>
    <row r="981" spans="1:21">
      <c r="A981" t="s">
        <v>4667</v>
      </c>
      <c r="B981" t="s">
        <v>2789</v>
      </c>
      <c r="C981" t="s">
        <v>1197</v>
      </c>
      <c r="D981" t="s">
        <v>4668</v>
      </c>
      <c r="E981" t="s">
        <v>4669</v>
      </c>
      <c r="F981" t="s">
        <v>1448</v>
      </c>
      <c r="G981">
        <v>131</v>
      </c>
      <c r="H981" t="s">
        <v>366</v>
      </c>
      <c r="I981" t="s">
        <v>17</v>
      </c>
      <c r="J981" t="s">
        <v>1413</v>
      </c>
      <c r="K981">
        <v>45</v>
      </c>
      <c r="L981" t="s">
        <v>2601</v>
      </c>
      <c r="M981" t="s">
        <v>2655</v>
      </c>
      <c r="N981" t="s">
        <v>91</v>
      </c>
      <c r="O981" s="12">
        <v>45819.758333333331</v>
      </c>
      <c r="Q981" s="12">
        <v>45819.811111111114</v>
      </c>
      <c r="U981" t="b">
        <v>0</v>
      </c>
    </row>
    <row r="982" spans="1:21">
      <c r="A982" t="s">
        <v>4670</v>
      </c>
      <c r="B982" t="s">
        <v>1111</v>
      </c>
      <c r="C982" t="s">
        <v>1148</v>
      </c>
      <c r="D982" t="s">
        <v>4671</v>
      </c>
      <c r="E982" t="s">
        <v>4672</v>
      </c>
      <c r="F982" t="s">
        <v>2680</v>
      </c>
      <c r="G982">
        <v>23</v>
      </c>
      <c r="H982" t="s">
        <v>50</v>
      </c>
      <c r="I982" t="s">
        <v>24</v>
      </c>
      <c r="J982" t="s">
        <v>1339</v>
      </c>
      <c r="K982">
        <v>88</v>
      </c>
      <c r="L982" t="s">
        <v>2642</v>
      </c>
      <c r="M982" t="s">
        <v>2643</v>
      </c>
      <c r="N982" t="s">
        <v>59</v>
      </c>
      <c r="O982" s="12">
        <v>45392.508333333331</v>
      </c>
      <c r="P982" s="12">
        <v>45396.008333333331</v>
      </c>
      <c r="Q982" s="12">
        <v>45392.634722222225</v>
      </c>
      <c r="R982" s="12">
        <v>45392.698611111111</v>
      </c>
      <c r="S982" s="12">
        <v>45404.383333333331</v>
      </c>
      <c r="U982" t="b">
        <v>0</v>
      </c>
    </row>
    <row r="983" spans="1:21">
      <c r="A983" t="s">
        <v>4673</v>
      </c>
      <c r="B983" t="s">
        <v>2628</v>
      </c>
      <c r="C983" t="s">
        <v>1172</v>
      </c>
      <c r="D983" t="s">
        <v>4674</v>
      </c>
      <c r="E983" t="s">
        <v>4675</v>
      </c>
      <c r="F983" t="s">
        <v>1294</v>
      </c>
      <c r="G983">
        <v>104</v>
      </c>
      <c r="H983" t="s">
        <v>16</v>
      </c>
      <c r="I983" t="s">
        <v>24</v>
      </c>
      <c r="J983" t="s">
        <v>1413</v>
      </c>
      <c r="K983">
        <v>42</v>
      </c>
      <c r="L983" t="s">
        <v>2601</v>
      </c>
      <c r="M983" t="s">
        <v>2605</v>
      </c>
      <c r="N983" t="s">
        <v>91</v>
      </c>
      <c r="O983" s="12">
        <v>45949.068749999999</v>
      </c>
      <c r="Q983" s="12">
        <v>45949.212500000001</v>
      </c>
      <c r="R983" s="12">
        <v>45949.318749999999</v>
      </c>
      <c r="U983" t="b">
        <v>0</v>
      </c>
    </row>
    <row r="984" spans="1:21">
      <c r="A984" t="s">
        <v>4676</v>
      </c>
      <c r="B984" t="s">
        <v>1157</v>
      </c>
      <c r="C984" t="s">
        <v>1771</v>
      </c>
      <c r="D984" t="s">
        <v>4677</v>
      </c>
      <c r="E984" t="s">
        <v>4678</v>
      </c>
      <c r="F984" t="s">
        <v>2680</v>
      </c>
      <c r="G984">
        <v>208</v>
      </c>
      <c r="H984" t="s">
        <v>95</v>
      </c>
      <c r="I984" t="s">
        <v>30</v>
      </c>
      <c r="J984" t="s">
        <v>1271</v>
      </c>
      <c r="K984">
        <v>51</v>
      </c>
      <c r="L984" t="s">
        <v>2601</v>
      </c>
      <c r="M984" t="s">
        <v>2618</v>
      </c>
      <c r="N984" t="s">
        <v>18</v>
      </c>
      <c r="O984" s="12">
        <v>45699.318749999999</v>
      </c>
      <c r="Q984" s="12">
        <v>45699.493750000001</v>
      </c>
      <c r="R984" s="12">
        <v>45699.513194444444</v>
      </c>
      <c r="T984" t="s">
        <v>2685</v>
      </c>
      <c r="U984" t="b">
        <v>0</v>
      </c>
    </row>
    <row r="985" spans="1:21">
      <c r="A985" t="s">
        <v>4679</v>
      </c>
      <c r="B985" t="s">
        <v>1157</v>
      </c>
      <c r="C985" t="s">
        <v>1180</v>
      </c>
      <c r="D985" t="s">
        <v>4680</v>
      </c>
      <c r="E985" t="s">
        <v>4681</v>
      </c>
      <c r="F985" t="s">
        <v>1784</v>
      </c>
      <c r="G985">
        <v>161</v>
      </c>
      <c r="H985" t="s">
        <v>366</v>
      </c>
      <c r="I985" t="s">
        <v>24</v>
      </c>
      <c r="J985" t="s">
        <v>1355</v>
      </c>
      <c r="K985">
        <v>68</v>
      </c>
      <c r="L985" t="s">
        <v>2601</v>
      </c>
      <c r="M985" t="s">
        <v>2655</v>
      </c>
      <c r="N985" t="s">
        <v>91</v>
      </c>
      <c r="O985" s="12">
        <v>45628.117361111108</v>
      </c>
      <c r="Q985" s="12">
        <v>45628.329861111109</v>
      </c>
      <c r="U985" t="b">
        <v>0</v>
      </c>
    </row>
    <row r="986" spans="1:21">
      <c r="A986" t="s">
        <v>4682</v>
      </c>
      <c r="B986" t="s">
        <v>2645</v>
      </c>
      <c r="C986" t="s">
        <v>1208</v>
      </c>
      <c r="D986" t="s">
        <v>4683</v>
      </c>
      <c r="E986" t="s">
        <v>4684</v>
      </c>
      <c r="F986" t="s">
        <v>1182</v>
      </c>
      <c r="G986">
        <v>527</v>
      </c>
      <c r="H986" t="s">
        <v>212</v>
      </c>
      <c r="I986" t="s">
        <v>30</v>
      </c>
      <c r="J986" t="s">
        <v>1355</v>
      </c>
      <c r="K986">
        <v>61</v>
      </c>
      <c r="L986" t="s">
        <v>2592</v>
      </c>
      <c r="M986" t="s">
        <v>2605</v>
      </c>
      <c r="N986" t="s">
        <v>55</v>
      </c>
      <c r="O986" s="12">
        <v>45819.120138888888</v>
      </c>
      <c r="P986" s="12">
        <v>45821.078472222223</v>
      </c>
      <c r="Q986" s="12">
        <v>45819.254861111112</v>
      </c>
      <c r="U986" t="b">
        <v>0</v>
      </c>
    </row>
    <row r="987" spans="1:21">
      <c r="A987" t="s">
        <v>4685</v>
      </c>
      <c r="B987" t="s">
        <v>2874</v>
      </c>
      <c r="C987" t="s">
        <v>2059</v>
      </c>
      <c r="D987" t="s">
        <v>4686</v>
      </c>
      <c r="E987" t="s">
        <v>4687</v>
      </c>
      <c r="F987" t="s">
        <v>2660</v>
      </c>
      <c r="G987">
        <v>64</v>
      </c>
      <c r="H987" t="s">
        <v>68</v>
      </c>
      <c r="I987" t="s">
        <v>24</v>
      </c>
      <c r="J987" t="s">
        <v>1295</v>
      </c>
      <c r="K987">
        <v>89</v>
      </c>
      <c r="L987" t="s">
        <v>2642</v>
      </c>
      <c r="M987" t="s">
        <v>2597</v>
      </c>
      <c r="N987" t="s">
        <v>69</v>
      </c>
      <c r="O987" s="12">
        <v>46283.415972222225</v>
      </c>
      <c r="P987" s="12">
        <v>46285.707638888889</v>
      </c>
      <c r="Q987" s="12">
        <v>46283.54791666667</v>
      </c>
      <c r="R987" s="12">
        <v>46283.697916666664</v>
      </c>
      <c r="S987" s="12">
        <v>46291.332638888889</v>
      </c>
      <c r="U987" t="b">
        <v>0</v>
      </c>
    </row>
    <row r="988" spans="1:21">
      <c r="A988" t="s">
        <v>4688</v>
      </c>
      <c r="B988" t="s">
        <v>1898</v>
      </c>
      <c r="C988" t="s">
        <v>1418</v>
      </c>
      <c r="D988" t="s">
        <v>4689</v>
      </c>
      <c r="E988" t="s">
        <v>4690</v>
      </c>
      <c r="F988" t="s">
        <v>1309</v>
      </c>
      <c r="G988">
        <v>53</v>
      </c>
      <c r="H988" t="s">
        <v>140</v>
      </c>
      <c r="I988" t="s">
        <v>24</v>
      </c>
      <c r="J988" t="s">
        <v>2894</v>
      </c>
      <c r="K988">
        <v>68</v>
      </c>
      <c r="L988" t="s">
        <v>2601</v>
      </c>
      <c r="M988" t="s">
        <v>2655</v>
      </c>
      <c r="N988" t="s">
        <v>25</v>
      </c>
      <c r="O988" s="12">
        <v>45947.87777777778</v>
      </c>
      <c r="Q988" s="12">
        <v>45948.037499999999</v>
      </c>
      <c r="U988" t="b">
        <v>0</v>
      </c>
    </row>
    <row r="989" spans="1:21">
      <c r="A989" t="s">
        <v>4691</v>
      </c>
      <c r="B989" t="s">
        <v>2874</v>
      </c>
      <c r="C989" t="s">
        <v>1320</v>
      </c>
      <c r="D989" t="s">
        <v>4692</v>
      </c>
      <c r="E989" t="s">
        <v>4693</v>
      </c>
      <c r="F989" t="s">
        <v>2709</v>
      </c>
      <c r="G989">
        <v>176</v>
      </c>
      <c r="H989" t="s">
        <v>226</v>
      </c>
      <c r="I989" t="s">
        <v>17</v>
      </c>
      <c r="J989" t="s">
        <v>1413</v>
      </c>
      <c r="K989">
        <v>56</v>
      </c>
      <c r="L989" t="s">
        <v>2601</v>
      </c>
      <c r="M989" t="s">
        <v>2593</v>
      </c>
      <c r="N989" t="s">
        <v>69</v>
      </c>
      <c r="O989" s="12">
        <v>45517.365277777775</v>
      </c>
      <c r="Q989" s="12">
        <v>45517.55972222222</v>
      </c>
      <c r="R989" s="12">
        <v>45517.640277777777</v>
      </c>
      <c r="U989" t="b">
        <v>0</v>
      </c>
    </row>
    <row r="990" spans="1:21">
      <c r="A990" t="s">
        <v>4694</v>
      </c>
      <c r="B990" t="s">
        <v>1161</v>
      </c>
      <c r="C990" t="s">
        <v>1145</v>
      </c>
      <c r="D990" t="s">
        <v>4695</v>
      </c>
      <c r="E990" t="s">
        <v>4696</v>
      </c>
      <c r="F990" t="s">
        <v>1517</v>
      </c>
      <c r="G990">
        <v>187</v>
      </c>
      <c r="H990" t="s">
        <v>50</v>
      </c>
      <c r="I990" t="s">
        <v>24</v>
      </c>
      <c r="J990" t="s">
        <v>1413</v>
      </c>
      <c r="K990">
        <v>63</v>
      </c>
      <c r="L990" t="s">
        <v>2592</v>
      </c>
      <c r="M990" t="s">
        <v>2597</v>
      </c>
      <c r="N990" t="s">
        <v>59</v>
      </c>
      <c r="O990" s="12">
        <v>46116.474999999999</v>
      </c>
      <c r="P990" s="12">
        <v>46121.224999999999</v>
      </c>
      <c r="Q990" s="12">
        <v>46116.521527777775</v>
      </c>
      <c r="R990" s="12">
        <v>46116.635416666664</v>
      </c>
      <c r="U990" t="b">
        <v>0</v>
      </c>
    </row>
    <row r="991" spans="1:21">
      <c r="A991" t="s">
        <v>4697</v>
      </c>
      <c r="B991" t="s">
        <v>1320</v>
      </c>
      <c r="C991" t="s">
        <v>1203</v>
      </c>
      <c r="D991" t="s">
        <v>4698</v>
      </c>
      <c r="E991" t="s">
        <v>4699</v>
      </c>
      <c r="F991" t="s">
        <v>1367</v>
      </c>
      <c r="G991">
        <v>851</v>
      </c>
      <c r="H991" t="s">
        <v>23</v>
      </c>
      <c r="I991" t="s">
        <v>30</v>
      </c>
      <c r="J991" t="s">
        <v>1271</v>
      </c>
      <c r="K991">
        <v>52</v>
      </c>
      <c r="L991" t="s">
        <v>2601</v>
      </c>
      <c r="M991" t="s">
        <v>2655</v>
      </c>
      <c r="N991" t="s">
        <v>82</v>
      </c>
      <c r="O991" s="12">
        <v>45885.755555555559</v>
      </c>
      <c r="Q991" s="12">
        <v>45885.979166666664</v>
      </c>
      <c r="U991" t="b">
        <v>0</v>
      </c>
    </row>
    <row r="992" spans="1:21">
      <c r="A992" t="s">
        <v>4700</v>
      </c>
      <c r="B992" t="s">
        <v>1320</v>
      </c>
      <c r="C992" t="s">
        <v>2621</v>
      </c>
      <c r="D992" t="s">
        <v>4701</v>
      </c>
      <c r="E992" t="s">
        <v>4702</v>
      </c>
      <c r="F992" t="s">
        <v>1367</v>
      </c>
      <c r="G992">
        <v>184</v>
      </c>
      <c r="H992" t="s">
        <v>68</v>
      </c>
      <c r="I992" t="s">
        <v>24</v>
      </c>
      <c r="J992" t="s">
        <v>1413</v>
      </c>
      <c r="K992">
        <v>42</v>
      </c>
      <c r="L992" t="s">
        <v>2601</v>
      </c>
      <c r="M992" t="s">
        <v>2605</v>
      </c>
      <c r="N992" t="s">
        <v>69</v>
      </c>
      <c r="O992" s="12">
        <v>45938.843055555553</v>
      </c>
      <c r="Q992" s="12">
        <v>45938.856944444444</v>
      </c>
      <c r="R992" s="12">
        <v>45938.963888888888</v>
      </c>
      <c r="U992" t="b">
        <v>0</v>
      </c>
    </row>
    <row r="993" spans="1:21">
      <c r="A993" t="s">
        <v>4703</v>
      </c>
      <c r="B993" t="s">
        <v>2693</v>
      </c>
      <c r="C993" t="s">
        <v>1898</v>
      </c>
      <c r="D993" t="s">
        <v>4704</v>
      </c>
      <c r="E993" t="s">
        <v>4705</v>
      </c>
      <c r="F993" t="s">
        <v>2709</v>
      </c>
      <c r="G993">
        <v>1203</v>
      </c>
      <c r="H993" t="s">
        <v>41</v>
      </c>
      <c r="I993" t="s">
        <v>17</v>
      </c>
      <c r="J993" t="s">
        <v>1281</v>
      </c>
      <c r="K993">
        <v>74</v>
      </c>
      <c r="L993" t="s">
        <v>2601</v>
      </c>
      <c r="M993" t="s">
        <v>2618</v>
      </c>
      <c r="N993" t="s">
        <v>82</v>
      </c>
      <c r="O993" s="12">
        <v>45978.750694444447</v>
      </c>
      <c r="Q993" s="12">
        <v>45978.93472222222</v>
      </c>
      <c r="R993" s="12">
        <v>45979.268055555556</v>
      </c>
      <c r="T993" t="s">
        <v>2619</v>
      </c>
      <c r="U993" t="b">
        <v>0</v>
      </c>
    </row>
    <row r="994" spans="1:21">
      <c r="A994" t="s">
        <v>4706</v>
      </c>
      <c r="B994" t="s">
        <v>2834</v>
      </c>
      <c r="C994" t="s">
        <v>1135</v>
      </c>
      <c r="D994" t="s">
        <v>4707</v>
      </c>
      <c r="E994" t="s">
        <v>4708</v>
      </c>
      <c r="F994" t="s">
        <v>1309</v>
      </c>
      <c r="G994">
        <v>666</v>
      </c>
      <c r="H994" t="s">
        <v>140</v>
      </c>
      <c r="I994" t="s">
        <v>30</v>
      </c>
      <c r="J994" t="s">
        <v>1288</v>
      </c>
      <c r="K994">
        <v>74</v>
      </c>
      <c r="L994" t="s">
        <v>2592</v>
      </c>
      <c r="M994" t="s">
        <v>2618</v>
      </c>
      <c r="O994" s="12">
        <v>45300.823611111111</v>
      </c>
      <c r="P994" s="12">
        <v>45302.365277777775</v>
      </c>
      <c r="T994" t="s">
        <v>2685</v>
      </c>
      <c r="U994" t="b">
        <v>0</v>
      </c>
    </row>
    <row r="995" spans="1:21">
      <c r="A995" t="s">
        <v>4709</v>
      </c>
      <c r="B995" t="s">
        <v>1320</v>
      </c>
      <c r="C995" t="s">
        <v>2283</v>
      </c>
      <c r="D995" t="s">
        <v>4710</v>
      </c>
      <c r="E995" t="s">
        <v>4711</v>
      </c>
      <c r="F995" t="s">
        <v>1294</v>
      </c>
      <c r="G995">
        <v>69</v>
      </c>
      <c r="H995" t="s">
        <v>68</v>
      </c>
      <c r="I995" t="s">
        <v>24</v>
      </c>
      <c r="J995" t="s">
        <v>1339</v>
      </c>
      <c r="K995">
        <v>94</v>
      </c>
      <c r="L995" t="s">
        <v>2592</v>
      </c>
      <c r="M995" t="s">
        <v>2593</v>
      </c>
      <c r="N995" t="s">
        <v>69</v>
      </c>
      <c r="O995" s="12">
        <v>46037.288194444445</v>
      </c>
      <c r="P995" s="12">
        <v>46038.038194444445</v>
      </c>
      <c r="Q995" s="12">
        <v>46037.361111111109</v>
      </c>
      <c r="R995" s="12">
        <v>46037.404166666667</v>
      </c>
      <c r="U995" t="b">
        <v>0</v>
      </c>
    </row>
    <row r="996" spans="1:21">
      <c r="A996" t="s">
        <v>4712</v>
      </c>
      <c r="B996" t="s">
        <v>1521</v>
      </c>
      <c r="C996" t="s">
        <v>1307</v>
      </c>
      <c r="D996" t="s">
        <v>4713</v>
      </c>
      <c r="E996" t="s">
        <v>4714</v>
      </c>
      <c r="F996" t="s">
        <v>2680</v>
      </c>
      <c r="G996">
        <v>454</v>
      </c>
      <c r="H996" t="s">
        <v>366</v>
      </c>
      <c r="I996" t="s">
        <v>30</v>
      </c>
      <c r="J996" t="s">
        <v>1295</v>
      </c>
      <c r="K996">
        <v>90</v>
      </c>
      <c r="L996" t="s">
        <v>2642</v>
      </c>
      <c r="M996" t="s">
        <v>2643</v>
      </c>
      <c r="N996" t="s">
        <v>18</v>
      </c>
      <c r="O996" s="12">
        <v>45630.125694444447</v>
      </c>
      <c r="P996" s="12">
        <v>45633.334027777775</v>
      </c>
      <c r="Q996" s="12">
        <v>45630.304861111108</v>
      </c>
      <c r="R996" s="12">
        <v>45630.431944444441</v>
      </c>
      <c r="S996" s="12">
        <v>45634.792361111111</v>
      </c>
      <c r="U996" t="b">
        <v>0</v>
      </c>
    </row>
    <row r="997" spans="1:21">
      <c r="A997" t="s">
        <v>4715</v>
      </c>
      <c r="B997" t="s">
        <v>1320</v>
      </c>
      <c r="C997" t="s">
        <v>1176</v>
      </c>
      <c r="D997" t="s">
        <v>4716</v>
      </c>
      <c r="E997" t="s">
        <v>4717</v>
      </c>
      <c r="F997" t="s">
        <v>1843</v>
      </c>
      <c r="G997">
        <v>688</v>
      </c>
      <c r="H997" t="s">
        <v>249</v>
      </c>
      <c r="I997" t="s">
        <v>30</v>
      </c>
      <c r="J997" t="s">
        <v>1288</v>
      </c>
      <c r="K997">
        <v>53</v>
      </c>
      <c r="L997" t="s">
        <v>2601</v>
      </c>
      <c r="M997" t="s">
        <v>2593</v>
      </c>
      <c r="N997" t="s">
        <v>36</v>
      </c>
      <c r="O997" s="12">
        <v>45622.056944444441</v>
      </c>
      <c r="Q997" s="12">
        <v>45622.265277777777</v>
      </c>
      <c r="R997" s="12">
        <v>45622.37222222222</v>
      </c>
      <c r="U997" t="b">
        <v>0</v>
      </c>
    </row>
    <row r="998" spans="1:21">
      <c r="A998" t="s">
        <v>4718</v>
      </c>
      <c r="B998" t="s">
        <v>2657</v>
      </c>
      <c r="C998" t="s">
        <v>1475</v>
      </c>
      <c r="D998" t="s">
        <v>4719</v>
      </c>
      <c r="E998" t="s">
        <v>4720</v>
      </c>
      <c r="F998" t="s">
        <v>1412</v>
      </c>
      <c r="G998">
        <v>126</v>
      </c>
      <c r="H998" t="s">
        <v>90</v>
      </c>
      <c r="I998" t="s">
        <v>24</v>
      </c>
      <c r="J998" t="s">
        <v>1271</v>
      </c>
      <c r="K998">
        <v>62</v>
      </c>
      <c r="L998" t="s">
        <v>2592</v>
      </c>
      <c r="M998" t="s">
        <v>2593</v>
      </c>
      <c r="N998" t="s">
        <v>91</v>
      </c>
      <c r="O998" s="12">
        <v>46139.427083333336</v>
      </c>
      <c r="P998" s="12">
        <v>46142.385416666664</v>
      </c>
      <c r="Q998" s="12">
        <v>46139.55972222222</v>
      </c>
      <c r="R998" s="12">
        <v>46139.630555555559</v>
      </c>
      <c r="U998" t="b">
        <v>0</v>
      </c>
    </row>
    <row r="999" spans="1:21">
      <c r="A999" t="s">
        <v>4721</v>
      </c>
      <c r="B999" t="s">
        <v>1111</v>
      </c>
      <c r="C999" t="s">
        <v>1469</v>
      </c>
      <c r="D999" t="s">
        <v>4722</v>
      </c>
      <c r="E999" t="s">
        <v>4723</v>
      </c>
      <c r="F999" t="s">
        <v>2709</v>
      </c>
      <c r="G999">
        <v>76</v>
      </c>
      <c r="H999" t="s">
        <v>178</v>
      </c>
      <c r="I999" t="s">
        <v>24</v>
      </c>
      <c r="J999" t="s">
        <v>1271</v>
      </c>
      <c r="K999">
        <v>40</v>
      </c>
      <c r="L999" t="s">
        <v>2601</v>
      </c>
      <c r="M999" t="s">
        <v>2655</v>
      </c>
      <c r="N999" t="s">
        <v>59</v>
      </c>
      <c r="O999" s="12">
        <v>45365.927777777775</v>
      </c>
      <c r="Q999" s="12">
        <v>45366.05</v>
      </c>
      <c r="U999" t="b">
        <v>0</v>
      </c>
    </row>
    <row r="1000" spans="1:21">
      <c r="A1000" t="s">
        <v>4724</v>
      </c>
      <c r="B1000" t="s">
        <v>2628</v>
      </c>
      <c r="C1000" t="s">
        <v>1307</v>
      </c>
      <c r="D1000" t="s">
        <v>4725</v>
      </c>
      <c r="E1000" t="s">
        <v>4726</v>
      </c>
      <c r="F1000" t="s">
        <v>1309</v>
      </c>
      <c r="G1000">
        <v>1586</v>
      </c>
      <c r="H1000" t="s">
        <v>81</v>
      </c>
      <c r="I1000" t="s">
        <v>17</v>
      </c>
      <c r="J1000" t="s">
        <v>1288</v>
      </c>
      <c r="K1000">
        <v>50</v>
      </c>
      <c r="L1000" t="s">
        <v>2601</v>
      </c>
      <c r="M1000" t="s">
        <v>2605</v>
      </c>
      <c r="N1000" t="s">
        <v>82</v>
      </c>
      <c r="O1000" s="12">
        <v>45443.34097222222</v>
      </c>
      <c r="Q1000" s="12">
        <v>45443.393750000003</v>
      </c>
      <c r="U1000" t="b">
        <v>0</v>
      </c>
    </row>
    <row r="1001" spans="1:21">
      <c r="A1001" t="s">
        <v>4727</v>
      </c>
      <c r="B1001" t="s">
        <v>2874</v>
      </c>
      <c r="C1001" t="s">
        <v>1145</v>
      </c>
      <c r="D1001" t="s">
        <v>4728</v>
      </c>
      <c r="E1001" t="s">
        <v>4729</v>
      </c>
      <c r="F1001" t="s">
        <v>1182</v>
      </c>
      <c r="G1001">
        <v>22</v>
      </c>
      <c r="H1001" t="s">
        <v>635</v>
      </c>
      <c r="I1001" t="s">
        <v>24</v>
      </c>
      <c r="J1001" t="s">
        <v>1413</v>
      </c>
      <c r="K1001">
        <v>61</v>
      </c>
      <c r="L1001" t="s">
        <v>2592</v>
      </c>
      <c r="M1001" t="s">
        <v>2593</v>
      </c>
      <c r="N1001" t="s">
        <v>59</v>
      </c>
      <c r="O1001" s="12">
        <v>45962.896527777775</v>
      </c>
      <c r="P1001" s="12">
        <v>45966.813194444447</v>
      </c>
      <c r="Q1001" s="12">
        <v>45963.076388888891</v>
      </c>
      <c r="R1001" s="12">
        <v>45963.200694444444</v>
      </c>
      <c r="U1001" t="b">
        <v>0</v>
      </c>
    </row>
    <row r="1002" spans="1:21">
      <c r="A1002" t="s">
        <v>4730</v>
      </c>
      <c r="B1002" t="s">
        <v>1138</v>
      </c>
      <c r="C1002" t="s">
        <v>1162</v>
      </c>
      <c r="D1002" t="s">
        <v>4731</v>
      </c>
      <c r="E1002" t="s">
        <v>4732</v>
      </c>
      <c r="F1002" t="s">
        <v>1367</v>
      </c>
      <c r="G1002">
        <v>113</v>
      </c>
      <c r="H1002" t="s">
        <v>216</v>
      </c>
      <c r="I1002" t="s">
        <v>24</v>
      </c>
      <c r="J1002" t="s">
        <v>1413</v>
      </c>
      <c r="K1002">
        <v>61</v>
      </c>
      <c r="L1002" t="s">
        <v>2592</v>
      </c>
      <c r="M1002" t="s">
        <v>2593</v>
      </c>
      <c r="N1002" t="s">
        <v>59</v>
      </c>
      <c r="O1002" s="12">
        <v>45452.75</v>
      </c>
      <c r="P1002" s="12">
        <v>45457.5</v>
      </c>
      <c r="Q1002" s="12">
        <v>45452.938194444447</v>
      </c>
      <c r="R1002" s="12">
        <v>45453.049305555556</v>
      </c>
      <c r="U1002" t="b">
        <v>0</v>
      </c>
    </row>
    <row r="1003" spans="1:21">
      <c r="A1003" t="s">
        <v>4733</v>
      </c>
      <c r="B1003" t="s">
        <v>1898</v>
      </c>
      <c r="C1003" t="s">
        <v>1337</v>
      </c>
      <c r="D1003" t="s">
        <v>4734</v>
      </c>
      <c r="E1003" t="s">
        <v>4735</v>
      </c>
      <c r="F1003" t="s">
        <v>1420</v>
      </c>
      <c r="G1003">
        <v>856</v>
      </c>
      <c r="H1003" t="s">
        <v>16</v>
      </c>
      <c r="I1003" t="s">
        <v>30</v>
      </c>
      <c r="J1003" t="s">
        <v>1413</v>
      </c>
      <c r="K1003">
        <v>70</v>
      </c>
      <c r="L1003" t="s">
        <v>2592</v>
      </c>
      <c r="M1003" t="s">
        <v>2593</v>
      </c>
      <c r="N1003" t="s">
        <v>18</v>
      </c>
      <c r="O1003" s="12">
        <v>45510.359027777777</v>
      </c>
      <c r="P1003" s="12">
        <v>45512.317361111112</v>
      </c>
      <c r="Q1003" s="12">
        <v>45510.510416666664</v>
      </c>
      <c r="R1003" s="12">
        <v>45511.927083333336</v>
      </c>
      <c r="U1003" t="b">
        <v>0</v>
      </c>
    </row>
    <row r="1004" spans="1:21">
      <c r="A1004" t="s">
        <v>4736</v>
      </c>
      <c r="B1004" t="s">
        <v>2662</v>
      </c>
      <c r="C1004" t="s">
        <v>1898</v>
      </c>
      <c r="D1004" t="s">
        <v>4737</v>
      </c>
      <c r="E1004" t="s">
        <v>4738</v>
      </c>
      <c r="F1004" t="s">
        <v>1309</v>
      </c>
      <c r="G1004">
        <v>25</v>
      </c>
      <c r="H1004" t="s">
        <v>50</v>
      </c>
      <c r="I1004" t="s">
        <v>17</v>
      </c>
      <c r="J1004" t="s">
        <v>1317</v>
      </c>
      <c r="K1004">
        <v>82</v>
      </c>
      <c r="L1004" t="s">
        <v>2642</v>
      </c>
      <c r="M1004" t="s">
        <v>2643</v>
      </c>
      <c r="N1004" t="s">
        <v>59</v>
      </c>
      <c r="O1004" s="12">
        <v>45368.599305555559</v>
      </c>
      <c r="P1004" s="12">
        <v>45371.557638888888</v>
      </c>
      <c r="Q1004" s="12">
        <v>45368.829861111109</v>
      </c>
      <c r="R1004" s="12">
        <v>45368.863888888889</v>
      </c>
      <c r="S1004" s="12">
        <v>45376.390972222223</v>
      </c>
      <c r="U1004" t="b">
        <v>0</v>
      </c>
    </row>
    <row r="1005" spans="1:21">
      <c r="A1005" t="s">
        <v>4739</v>
      </c>
      <c r="B1005" t="s">
        <v>1649</v>
      </c>
      <c r="C1005" t="s">
        <v>2005</v>
      </c>
      <c r="D1005" t="s">
        <v>4740</v>
      </c>
      <c r="E1005" t="s">
        <v>4741</v>
      </c>
      <c r="F1005" t="s">
        <v>1517</v>
      </c>
      <c r="G1005">
        <v>115</v>
      </c>
      <c r="H1005" t="s">
        <v>68</v>
      </c>
      <c r="I1005" t="s">
        <v>24</v>
      </c>
      <c r="J1005" t="s">
        <v>1317</v>
      </c>
      <c r="K1005">
        <v>73</v>
      </c>
      <c r="L1005" t="s">
        <v>2592</v>
      </c>
      <c r="M1005" t="s">
        <v>2597</v>
      </c>
      <c r="N1005" t="s">
        <v>25</v>
      </c>
      <c r="O1005" s="12">
        <v>45504.521527777775</v>
      </c>
      <c r="P1005" s="12">
        <v>45508.896527777775</v>
      </c>
      <c r="Q1005" s="12">
        <v>45504.73541666667</v>
      </c>
      <c r="R1005" s="12">
        <v>45506.11041666667</v>
      </c>
      <c r="U1005" t="b">
        <v>0</v>
      </c>
    </row>
    <row r="1006" spans="1:21">
      <c r="A1006" t="s">
        <v>4742</v>
      </c>
      <c r="B1006" t="s">
        <v>2834</v>
      </c>
      <c r="C1006" t="s">
        <v>1490</v>
      </c>
      <c r="D1006" t="s">
        <v>4743</v>
      </c>
      <c r="E1006" t="s">
        <v>4744</v>
      </c>
      <c r="F1006" t="s">
        <v>2660</v>
      </c>
      <c r="G1006">
        <v>151</v>
      </c>
      <c r="H1006" t="s">
        <v>64</v>
      </c>
      <c r="I1006" t="s">
        <v>24</v>
      </c>
      <c r="J1006" t="s">
        <v>1317</v>
      </c>
      <c r="K1006">
        <v>60</v>
      </c>
      <c r="L1006" t="s">
        <v>2642</v>
      </c>
      <c r="M1006" t="s">
        <v>2643</v>
      </c>
      <c r="N1006" t="s">
        <v>69</v>
      </c>
      <c r="O1006" s="12">
        <v>45504.945833333331</v>
      </c>
      <c r="P1006" s="12">
        <v>45506.945833333331</v>
      </c>
      <c r="Q1006" s="12">
        <v>45505.104861111111</v>
      </c>
      <c r="R1006" s="12">
        <v>45505.688194444447</v>
      </c>
      <c r="S1006" s="12">
        <v>45507.279166666667</v>
      </c>
      <c r="U1006" t="b">
        <v>0</v>
      </c>
    </row>
    <row r="1007" spans="1:21">
      <c r="A1007" t="s">
        <v>4745</v>
      </c>
      <c r="B1007" t="s">
        <v>2733</v>
      </c>
      <c r="C1007" t="s">
        <v>1490</v>
      </c>
      <c r="D1007" t="s">
        <v>4746</v>
      </c>
      <c r="E1007" t="s">
        <v>4747</v>
      </c>
      <c r="F1007" t="s">
        <v>1471</v>
      </c>
      <c r="G1007">
        <v>666</v>
      </c>
      <c r="H1007" t="s">
        <v>81</v>
      </c>
      <c r="I1007" t="s">
        <v>30</v>
      </c>
      <c r="J1007" t="s">
        <v>1317</v>
      </c>
      <c r="K1007">
        <v>74</v>
      </c>
      <c r="L1007" t="s">
        <v>2592</v>
      </c>
      <c r="M1007" t="s">
        <v>2605</v>
      </c>
      <c r="N1007" t="s">
        <v>18</v>
      </c>
      <c r="O1007" s="12">
        <v>45961.179166666669</v>
      </c>
      <c r="P1007" s="12">
        <v>45965.554166666669</v>
      </c>
      <c r="Q1007" s="12">
        <v>45961.227777777778</v>
      </c>
      <c r="R1007" s="12">
        <v>45962.186111111114</v>
      </c>
      <c r="U1007" t="b">
        <v>0</v>
      </c>
    </row>
    <row r="1008" spans="1:21">
      <c r="A1008" t="s">
        <v>4748</v>
      </c>
      <c r="B1008" t="s">
        <v>1138</v>
      </c>
      <c r="C1008" t="s">
        <v>1208</v>
      </c>
      <c r="D1008" t="s">
        <v>4096</v>
      </c>
      <c r="E1008" t="s">
        <v>4749</v>
      </c>
      <c r="F1008" t="s">
        <v>1367</v>
      </c>
      <c r="G1008">
        <v>397</v>
      </c>
      <c r="H1008" t="s">
        <v>41</v>
      </c>
      <c r="I1008" t="s">
        <v>30</v>
      </c>
      <c r="J1008" t="s">
        <v>1413</v>
      </c>
      <c r="K1008">
        <v>69</v>
      </c>
      <c r="L1008" t="s">
        <v>2601</v>
      </c>
      <c r="M1008" t="s">
        <v>2593</v>
      </c>
      <c r="N1008" t="s">
        <v>82</v>
      </c>
      <c r="O1008" s="12">
        <v>45860.578472222223</v>
      </c>
      <c r="Q1008" s="12">
        <v>45860.6</v>
      </c>
      <c r="R1008" s="12">
        <v>45860.738888888889</v>
      </c>
      <c r="U1008" t="b">
        <v>0</v>
      </c>
    </row>
    <row r="1009" spans="1:21">
      <c r="A1009" t="s">
        <v>4750</v>
      </c>
      <c r="B1009" t="s">
        <v>2906</v>
      </c>
      <c r="C1009" t="s">
        <v>1135</v>
      </c>
      <c r="D1009" t="s">
        <v>4751</v>
      </c>
      <c r="E1009" t="s">
        <v>4752</v>
      </c>
      <c r="F1009" t="s">
        <v>1511</v>
      </c>
      <c r="G1009">
        <v>23</v>
      </c>
      <c r="H1009" t="s">
        <v>16</v>
      </c>
      <c r="I1009" t="s">
        <v>24</v>
      </c>
      <c r="J1009" t="s">
        <v>1295</v>
      </c>
      <c r="K1009">
        <v>96</v>
      </c>
      <c r="L1009" t="s">
        <v>2642</v>
      </c>
      <c r="M1009" t="s">
        <v>2643</v>
      </c>
      <c r="N1009" t="s">
        <v>91</v>
      </c>
      <c r="O1009" s="12">
        <v>46230.112500000003</v>
      </c>
      <c r="P1009" s="12">
        <v>46232.237500000003</v>
      </c>
      <c r="Q1009" s="12">
        <v>46230.15347222222</v>
      </c>
      <c r="R1009" s="12">
        <v>46231.070138888892</v>
      </c>
      <c r="S1009" s="12">
        <v>46242.112500000003</v>
      </c>
      <c r="U1009" t="b">
        <v>0</v>
      </c>
    </row>
    <row r="1010" spans="1:21">
      <c r="A1010" t="s">
        <v>4753</v>
      </c>
      <c r="B1010" t="s">
        <v>2834</v>
      </c>
      <c r="C1010" t="s">
        <v>1212</v>
      </c>
      <c r="D1010" t="s">
        <v>4754</v>
      </c>
      <c r="E1010" t="s">
        <v>4755</v>
      </c>
      <c r="F1010" t="s">
        <v>1182</v>
      </c>
      <c r="G1010">
        <v>477</v>
      </c>
      <c r="H1010" t="s">
        <v>192</v>
      </c>
      <c r="I1010" t="s">
        <v>30</v>
      </c>
      <c r="J1010" t="s">
        <v>1288</v>
      </c>
      <c r="K1010">
        <v>50</v>
      </c>
      <c r="L1010" t="s">
        <v>2601</v>
      </c>
      <c r="M1010" t="s">
        <v>2655</v>
      </c>
      <c r="N1010" t="s">
        <v>18</v>
      </c>
      <c r="O1010" s="12">
        <v>45721.796527777777</v>
      </c>
      <c r="Q1010" s="12">
        <v>45721.856944444444</v>
      </c>
      <c r="U1010" t="b">
        <v>0</v>
      </c>
    </row>
    <row r="1011" spans="1:21">
      <c r="A1011" t="s">
        <v>4756</v>
      </c>
      <c r="B1011" t="s">
        <v>3169</v>
      </c>
      <c r="C1011" t="s">
        <v>1404</v>
      </c>
      <c r="D1011" t="s">
        <v>4757</v>
      </c>
      <c r="E1011" t="s">
        <v>4758</v>
      </c>
      <c r="F1011" t="s">
        <v>2271</v>
      </c>
      <c r="G1011">
        <v>192</v>
      </c>
      <c r="H1011" t="s">
        <v>154</v>
      </c>
      <c r="I1011" t="s">
        <v>24</v>
      </c>
      <c r="J1011" t="s">
        <v>1295</v>
      </c>
      <c r="K1011">
        <v>91</v>
      </c>
      <c r="L1011" t="s">
        <v>2642</v>
      </c>
      <c r="M1011" t="s">
        <v>2643</v>
      </c>
      <c r="N1011" t="s">
        <v>25</v>
      </c>
      <c r="O1011" s="12">
        <v>45769.263888888891</v>
      </c>
      <c r="P1011" s="12">
        <v>45769.763888888891</v>
      </c>
      <c r="Q1011" s="12">
        <v>45769.267361111109</v>
      </c>
      <c r="R1011" s="12">
        <v>45769.767361111109</v>
      </c>
      <c r="S1011" s="12">
        <v>45777.763888888891</v>
      </c>
      <c r="U1011" t="b">
        <v>0</v>
      </c>
    </row>
    <row r="1012" spans="1:21">
      <c r="A1012" t="s">
        <v>4759</v>
      </c>
      <c r="B1012" t="s">
        <v>1267</v>
      </c>
      <c r="C1012" t="s">
        <v>2100</v>
      </c>
      <c r="D1012" t="s">
        <v>4760</v>
      </c>
      <c r="E1012" t="s">
        <v>4761</v>
      </c>
      <c r="F1012" t="s">
        <v>2680</v>
      </c>
      <c r="G1012">
        <v>88</v>
      </c>
      <c r="H1012" t="s">
        <v>635</v>
      </c>
      <c r="I1012" t="s">
        <v>24</v>
      </c>
      <c r="J1012" t="s">
        <v>1288</v>
      </c>
      <c r="K1012">
        <v>63</v>
      </c>
      <c r="L1012" t="s">
        <v>2592</v>
      </c>
      <c r="M1012" t="s">
        <v>2593</v>
      </c>
      <c r="N1012" t="s">
        <v>59</v>
      </c>
      <c r="O1012" s="12">
        <v>45753.26666666667</v>
      </c>
      <c r="P1012" s="12">
        <v>45754.933333333334</v>
      </c>
      <c r="Q1012" s="12">
        <v>45753.447916666664</v>
      </c>
      <c r="R1012" s="12">
        <v>45753.49722222222</v>
      </c>
      <c r="U1012" t="b">
        <v>0</v>
      </c>
    </row>
    <row r="1013" spans="1:21">
      <c r="A1013" t="s">
        <v>4762</v>
      </c>
      <c r="B1013" t="s">
        <v>3169</v>
      </c>
      <c r="C1013" t="s">
        <v>1152</v>
      </c>
      <c r="D1013" t="s">
        <v>4763</v>
      </c>
      <c r="E1013" t="s">
        <v>4764</v>
      </c>
      <c r="F1013" t="s">
        <v>2709</v>
      </c>
      <c r="G1013">
        <v>116</v>
      </c>
      <c r="H1013" t="s">
        <v>50</v>
      </c>
      <c r="I1013" t="s">
        <v>24</v>
      </c>
      <c r="J1013" t="s">
        <v>1413</v>
      </c>
      <c r="K1013">
        <v>62</v>
      </c>
      <c r="L1013" t="s">
        <v>2592</v>
      </c>
      <c r="M1013" t="s">
        <v>2593</v>
      </c>
      <c r="N1013" t="s">
        <v>59</v>
      </c>
      <c r="O1013" s="12">
        <v>45808.513194444444</v>
      </c>
      <c r="P1013" s="12">
        <v>45808.97152777778</v>
      </c>
      <c r="Q1013" s="12">
        <v>45808.711805555555</v>
      </c>
      <c r="R1013" s="12">
        <v>45808.787499999999</v>
      </c>
      <c r="U1013" t="b">
        <v>0</v>
      </c>
    </row>
    <row r="1014" spans="1:21">
      <c r="A1014" t="s">
        <v>4765</v>
      </c>
      <c r="B1014" t="s">
        <v>1179</v>
      </c>
      <c r="C1014" t="s">
        <v>2283</v>
      </c>
      <c r="D1014" t="s">
        <v>4766</v>
      </c>
      <c r="E1014" t="s">
        <v>4767</v>
      </c>
      <c r="F1014" t="s">
        <v>1367</v>
      </c>
      <c r="G1014">
        <v>480</v>
      </c>
      <c r="H1014" t="s">
        <v>212</v>
      </c>
      <c r="I1014" t="s">
        <v>30</v>
      </c>
      <c r="J1014" t="s">
        <v>1271</v>
      </c>
      <c r="K1014">
        <v>37</v>
      </c>
      <c r="L1014" t="s">
        <v>2601</v>
      </c>
      <c r="M1014" t="s">
        <v>2593</v>
      </c>
      <c r="N1014" t="s">
        <v>55</v>
      </c>
      <c r="O1014" s="12">
        <v>45593.21875</v>
      </c>
      <c r="Q1014" s="12">
        <v>45593.45</v>
      </c>
      <c r="R1014" s="12">
        <v>45593.515277777777</v>
      </c>
      <c r="U1014" t="b">
        <v>0</v>
      </c>
    </row>
    <row r="1015" spans="1:21">
      <c r="A1015" t="s">
        <v>4768</v>
      </c>
      <c r="B1015" t="s">
        <v>1202</v>
      </c>
      <c r="C1015" t="s">
        <v>1142</v>
      </c>
      <c r="D1015" t="s">
        <v>4769</v>
      </c>
      <c r="E1015" t="s">
        <v>4770</v>
      </c>
      <c r="F1015" t="s">
        <v>1182</v>
      </c>
      <c r="G1015">
        <v>137</v>
      </c>
      <c r="H1015" t="s">
        <v>81</v>
      </c>
      <c r="I1015" t="s">
        <v>24</v>
      </c>
      <c r="J1015" t="s">
        <v>1271</v>
      </c>
      <c r="K1015">
        <v>46</v>
      </c>
      <c r="L1015" t="s">
        <v>2601</v>
      </c>
      <c r="M1015" t="s">
        <v>2655</v>
      </c>
      <c r="N1015" t="s">
        <v>25</v>
      </c>
      <c r="O1015" s="12">
        <v>45898.482638888891</v>
      </c>
      <c r="Q1015" s="12">
        <v>45898.573611111111</v>
      </c>
      <c r="U1015" t="b">
        <v>0</v>
      </c>
    </row>
    <row r="1016" spans="1:21">
      <c r="A1016" t="s">
        <v>4771</v>
      </c>
      <c r="B1016" t="s">
        <v>1185</v>
      </c>
      <c r="C1016" t="s">
        <v>1771</v>
      </c>
      <c r="D1016" t="s">
        <v>4772</v>
      </c>
      <c r="E1016" t="s">
        <v>4773</v>
      </c>
      <c r="F1016" t="s">
        <v>1843</v>
      </c>
      <c r="G1016">
        <v>163</v>
      </c>
      <c r="H1016" t="s">
        <v>171</v>
      </c>
      <c r="I1016" t="s">
        <v>24</v>
      </c>
      <c r="J1016" t="s">
        <v>1271</v>
      </c>
      <c r="K1016">
        <v>67</v>
      </c>
      <c r="L1016" t="s">
        <v>2592</v>
      </c>
      <c r="M1016" t="s">
        <v>2618</v>
      </c>
      <c r="N1016" t="s">
        <v>91</v>
      </c>
      <c r="O1016" s="12">
        <v>46261.771527777775</v>
      </c>
      <c r="P1016" s="12">
        <v>46262.354861111111</v>
      </c>
      <c r="Q1016" s="12">
        <v>46261.788888888892</v>
      </c>
      <c r="R1016" s="12">
        <v>46261.870138888888</v>
      </c>
      <c r="T1016" t="s">
        <v>2933</v>
      </c>
      <c r="U1016" t="b">
        <v>0</v>
      </c>
    </row>
    <row r="1017" spans="1:21">
      <c r="A1017" t="s">
        <v>4774</v>
      </c>
      <c r="B1017" t="s">
        <v>2607</v>
      </c>
      <c r="C1017" t="s">
        <v>1655</v>
      </c>
      <c r="D1017" t="s">
        <v>4775</v>
      </c>
      <c r="E1017" t="s">
        <v>4776</v>
      </c>
      <c r="F1017" t="s">
        <v>2709</v>
      </c>
      <c r="G1017">
        <v>144</v>
      </c>
      <c r="H1017" t="s">
        <v>81</v>
      </c>
      <c r="I1017" t="s">
        <v>24</v>
      </c>
      <c r="J1017" t="s">
        <v>1281</v>
      </c>
      <c r="K1017">
        <v>69</v>
      </c>
      <c r="L1017" t="s">
        <v>2592</v>
      </c>
      <c r="M1017" t="s">
        <v>2593</v>
      </c>
      <c r="N1017" t="s">
        <v>25</v>
      </c>
      <c r="O1017" s="12">
        <v>45936.064583333333</v>
      </c>
      <c r="P1017" s="12">
        <v>45939.981249999997</v>
      </c>
      <c r="Q1017" s="12">
        <v>45936.277083333334</v>
      </c>
      <c r="R1017" s="12">
        <v>45936.311805555553</v>
      </c>
      <c r="U1017" t="b">
        <v>0</v>
      </c>
    </row>
    <row r="1018" spans="1:21">
      <c r="A1018" t="s">
        <v>4777</v>
      </c>
      <c r="B1018" t="s">
        <v>2607</v>
      </c>
      <c r="C1018" t="s">
        <v>1291</v>
      </c>
      <c r="D1018" t="s">
        <v>4778</v>
      </c>
      <c r="E1018" t="s">
        <v>4779</v>
      </c>
      <c r="F1018" t="s">
        <v>2755</v>
      </c>
      <c r="G1018">
        <v>646</v>
      </c>
      <c r="H1018" t="s">
        <v>140</v>
      </c>
      <c r="I1018" t="s">
        <v>30</v>
      </c>
      <c r="J1018" t="s">
        <v>1413</v>
      </c>
      <c r="K1018">
        <v>55</v>
      </c>
      <c r="L1018" t="s">
        <v>2601</v>
      </c>
      <c r="M1018" t="s">
        <v>2593</v>
      </c>
      <c r="N1018" t="s">
        <v>82</v>
      </c>
      <c r="O1018" s="12">
        <v>45367.048611111109</v>
      </c>
      <c r="Q1018" s="12">
        <v>45367.297222222223</v>
      </c>
      <c r="R1018" s="12">
        <v>45368.505555555559</v>
      </c>
      <c r="U1018" t="b">
        <v>0</v>
      </c>
    </row>
    <row r="1019" spans="1:21">
      <c r="A1019" t="s">
        <v>4780</v>
      </c>
      <c r="B1019" t="s">
        <v>1185</v>
      </c>
      <c r="C1019" t="s">
        <v>1208</v>
      </c>
      <c r="D1019" t="s">
        <v>4781</v>
      </c>
      <c r="E1019" t="s">
        <v>4782</v>
      </c>
      <c r="F1019" t="s">
        <v>1309</v>
      </c>
      <c r="G1019">
        <v>127</v>
      </c>
      <c r="H1019" t="s">
        <v>1034</v>
      </c>
      <c r="I1019" t="s">
        <v>24</v>
      </c>
      <c r="J1019" t="s">
        <v>1271</v>
      </c>
      <c r="K1019">
        <v>61</v>
      </c>
      <c r="L1019" t="s">
        <v>2601</v>
      </c>
      <c r="M1019" t="s">
        <v>2593</v>
      </c>
      <c r="N1019" t="s">
        <v>59</v>
      </c>
      <c r="O1019" s="12">
        <v>45915.219444444447</v>
      </c>
      <c r="Q1019" s="12">
        <v>45915.301388888889</v>
      </c>
      <c r="R1019" s="12">
        <v>45915.320138888892</v>
      </c>
      <c r="U1019" t="b">
        <v>0</v>
      </c>
    </row>
    <row r="1020" spans="1:21">
      <c r="A1020" t="s">
        <v>4783</v>
      </c>
      <c r="B1020" t="s">
        <v>1190</v>
      </c>
      <c r="C1020" t="s">
        <v>1721</v>
      </c>
      <c r="D1020" t="s">
        <v>4784</v>
      </c>
      <c r="E1020" t="s">
        <v>4785</v>
      </c>
      <c r="F1020" t="s">
        <v>1367</v>
      </c>
      <c r="G1020">
        <v>2415</v>
      </c>
      <c r="H1020" t="s">
        <v>54</v>
      </c>
      <c r="I1020" t="s">
        <v>17</v>
      </c>
      <c r="J1020" t="s">
        <v>1317</v>
      </c>
      <c r="K1020">
        <v>67</v>
      </c>
      <c r="L1020" t="s">
        <v>2592</v>
      </c>
      <c r="M1020" t="s">
        <v>2605</v>
      </c>
      <c r="N1020" t="s">
        <v>55</v>
      </c>
      <c r="O1020" s="12">
        <v>46105.249305555553</v>
      </c>
      <c r="P1020" s="12">
        <v>46107.415972222225</v>
      </c>
      <c r="Q1020" s="12">
        <v>46105.46875</v>
      </c>
      <c r="R1020" s="12">
        <v>46106.510416666664</v>
      </c>
      <c r="U1020" t="b">
        <v>0</v>
      </c>
    </row>
    <row r="1021" spans="1:21">
      <c r="A1021" t="s">
        <v>4786</v>
      </c>
      <c r="B1021" t="s">
        <v>1521</v>
      </c>
      <c r="C1021" t="s">
        <v>2005</v>
      </c>
      <c r="D1021" t="s">
        <v>4787</v>
      </c>
      <c r="E1021" t="s">
        <v>4788</v>
      </c>
      <c r="F1021" t="s">
        <v>2084</v>
      </c>
      <c r="G1021">
        <v>146</v>
      </c>
      <c r="H1021" t="s">
        <v>127</v>
      </c>
      <c r="I1021" t="s">
        <v>24</v>
      </c>
      <c r="J1021" t="s">
        <v>1281</v>
      </c>
      <c r="K1021">
        <v>68</v>
      </c>
      <c r="L1021" t="s">
        <v>2601</v>
      </c>
      <c r="M1021" t="s">
        <v>2643</v>
      </c>
      <c r="N1021" t="s">
        <v>25</v>
      </c>
      <c r="O1021" s="12">
        <v>45792.997916666667</v>
      </c>
      <c r="Q1021" s="12">
        <v>45793.025000000001</v>
      </c>
      <c r="R1021" s="12">
        <v>45793.071527777778</v>
      </c>
      <c r="T1021" t="s">
        <v>2685</v>
      </c>
      <c r="U1021" t="b">
        <v>0</v>
      </c>
    </row>
    <row r="1022" spans="1:21">
      <c r="A1022" t="s">
        <v>4789</v>
      </c>
      <c r="B1022" t="s">
        <v>2693</v>
      </c>
      <c r="C1022" t="s">
        <v>1197</v>
      </c>
      <c r="D1022" t="s">
        <v>4790</v>
      </c>
      <c r="E1022" t="s">
        <v>4791</v>
      </c>
      <c r="F1022" t="s">
        <v>2271</v>
      </c>
      <c r="G1022">
        <v>1502</v>
      </c>
      <c r="H1022" t="s">
        <v>68</v>
      </c>
      <c r="I1022" t="s">
        <v>17</v>
      </c>
      <c r="J1022" t="s">
        <v>1288</v>
      </c>
      <c r="K1022">
        <v>44</v>
      </c>
      <c r="L1022" t="s">
        <v>2601</v>
      </c>
      <c r="M1022" t="s">
        <v>2655</v>
      </c>
      <c r="N1022" t="s">
        <v>55</v>
      </c>
      <c r="O1022" s="12">
        <v>45903.46597222222</v>
      </c>
      <c r="Q1022" s="12">
        <v>45903.518750000003</v>
      </c>
      <c r="U1022" t="b">
        <v>0</v>
      </c>
    </row>
    <row r="1023" spans="1:21">
      <c r="A1023" t="s">
        <v>4792</v>
      </c>
      <c r="B1023" t="s">
        <v>1521</v>
      </c>
      <c r="C1023" t="s">
        <v>1365</v>
      </c>
      <c r="D1023" t="s">
        <v>4793</v>
      </c>
      <c r="E1023" t="s">
        <v>4794</v>
      </c>
      <c r="F1023" t="s">
        <v>1511</v>
      </c>
      <c r="G1023">
        <v>2302</v>
      </c>
      <c r="H1023" t="s">
        <v>16</v>
      </c>
      <c r="I1023" t="s">
        <v>17</v>
      </c>
      <c r="J1023" t="s">
        <v>1413</v>
      </c>
      <c r="K1023">
        <v>71</v>
      </c>
      <c r="L1023" t="s">
        <v>2601</v>
      </c>
      <c r="M1023" t="s">
        <v>2605</v>
      </c>
      <c r="N1023" t="s">
        <v>18</v>
      </c>
      <c r="O1023" s="12">
        <v>45680.595138888886</v>
      </c>
      <c r="Q1023" s="12">
        <v>45680.785416666666</v>
      </c>
      <c r="R1023" s="12">
        <v>45680.938194444447</v>
      </c>
      <c r="U1023" t="b">
        <v>0</v>
      </c>
    </row>
    <row r="1024" spans="1:21">
      <c r="A1024" t="s">
        <v>4795</v>
      </c>
      <c r="B1024" t="s">
        <v>2611</v>
      </c>
      <c r="C1024" t="s">
        <v>1418</v>
      </c>
      <c r="D1024" t="s">
        <v>4796</v>
      </c>
      <c r="E1024" t="s">
        <v>4797</v>
      </c>
      <c r="F1024" t="s">
        <v>1471</v>
      </c>
      <c r="G1024">
        <v>149</v>
      </c>
      <c r="H1024" t="s">
        <v>576</v>
      </c>
      <c r="I1024" t="s">
        <v>24</v>
      </c>
      <c r="J1024" t="s">
        <v>1295</v>
      </c>
      <c r="K1024">
        <v>88</v>
      </c>
      <c r="L1024" t="s">
        <v>2642</v>
      </c>
      <c r="M1024" t="s">
        <v>2643</v>
      </c>
      <c r="N1024" t="s">
        <v>25</v>
      </c>
      <c r="O1024" s="12">
        <v>46069.330555555556</v>
      </c>
      <c r="P1024" s="12">
        <v>46071.62222222222</v>
      </c>
      <c r="Q1024" s="12">
        <v>46069.408333333333</v>
      </c>
      <c r="R1024" s="12">
        <v>46069.908333333333</v>
      </c>
      <c r="S1024" s="12">
        <v>46076.99722222222</v>
      </c>
      <c r="U1024" t="b">
        <v>0</v>
      </c>
    </row>
    <row r="1025" spans="1:21">
      <c r="A1025" t="s">
        <v>4798</v>
      </c>
      <c r="B1025" t="s">
        <v>2878</v>
      </c>
      <c r="C1025" t="s">
        <v>1145</v>
      </c>
      <c r="D1025" t="s">
        <v>4799</v>
      </c>
      <c r="E1025" t="s">
        <v>4800</v>
      </c>
      <c r="F1025" t="s">
        <v>1784</v>
      </c>
      <c r="G1025">
        <v>2062</v>
      </c>
      <c r="I1025" t="s">
        <v>17</v>
      </c>
      <c r="J1025" t="s">
        <v>1288</v>
      </c>
      <c r="K1025">
        <v>40</v>
      </c>
      <c r="L1025" t="s">
        <v>2601</v>
      </c>
      <c r="M1025" t="s">
        <v>2605</v>
      </c>
      <c r="N1025" t="s">
        <v>55</v>
      </c>
      <c r="O1025" s="12">
        <v>45844.638888888891</v>
      </c>
      <c r="Q1025" s="12">
        <v>45844.788194444445</v>
      </c>
      <c r="R1025" s="12">
        <v>45844.850694444445</v>
      </c>
      <c r="U1025" t="b">
        <v>0</v>
      </c>
    </row>
    <row r="1026" spans="1:21">
      <c r="A1026" t="s">
        <v>4801</v>
      </c>
      <c r="B1026" t="s">
        <v>1898</v>
      </c>
      <c r="C1026" t="s">
        <v>1142</v>
      </c>
      <c r="D1026" t="s">
        <v>4802</v>
      </c>
      <c r="E1026" t="s">
        <v>4803</v>
      </c>
      <c r="F1026" t="s">
        <v>2660</v>
      </c>
      <c r="G1026">
        <v>102</v>
      </c>
      <c r="H1026" t="s">
        <v>1034</v>
      </c>
      <c r="I1026" t="s">
        <v>24</v>
      </c>
      <c r="J1026" t="s">
        <v>1339</v>
      </c>
      <c r="K1026">
        <v>84</v>
      </c>
      <c r="L1026" t="s">
        <v>2642</v>
      </c>
      <c r="M1026" t="s">
        <v>2643</v>
      </c>
      <c r="N1026" t="s">
        <v>59</v>
      </c>
      <c r="O1026" s="12">
        <v>45487.060416666667</v>
      </c>
      <c r="P1026" s="12">
        <v>45489.143750000003</v>
      </c>
      <c r="Q1026" s="12">
        <v>45487.12222222222</v>
      </c>
      <c r="S1026" s="12">
        <v>45490.018750000003</v>
      </c>
      <c r="U1026" t="b">
        <v>0</v>
      </c>
    </row>
    <row r="1027" spans="1:21">
      <c r="A1027" t="s">
        <v>4804</v>
      </c>
      <c r="B1027" t="s">
        <v>1649</v>
      </c>
      <c r="C1027" t="s">
        <v>1208</v>
      </c>
      <c r="D1027" t="s">
        <v>4805</v>
      </c>
      <c r="E1027" t="s">
        <v>4806</v>
      </c>
      <c r="F1027" t="s">
        <v>1309</v>
      </c>
      <c r="G1027">
        <v>105</v>
      </c>
      <c r="H1027" t="s">
        <v>116</v>
      </c>
      <c r="I1027" t="s">
        <v>24</v>
      </c>
      <c r="J1027" t="s">
        <v>1288</v>
      </c>
      <c r="K1027">
        <v>73</v>
      </c>
      <c r="L1027" t="s">
        <v>2642</v>
      </c>
      <c r="M1027" t="s">
        <v>2643</v>
      </c>
      <c r="N1027" t="s">
        <v>69</v>
      </c>
      <c r="O1027" s="12">
        <v>45832.402777777781</v>
      </c>
      <c r="P1027" s="12">
        <v>45835.694444444445</v>
      </c>
      <c r="Q1027" s="12">
        <v>45832.645833333336</v>
      </c>
      <c r="R1027" s="12">
        <v>45832.71597222222</v>
      </c>
      <c r="S1027" s="12">
        <v>45838.694444444445</v>
      </c>
      <c r="U1027" t="b">
        <v>0</v>
      </c>
    </row>
    <row r="1028" spans="1:21">
      <c r="A1028" t="s">
        <v>4807</v>
      </c>
      <c r="B1028" t="s">
        <v>2733</v>
      </c>
      <c r="C1028" t="s">
        <v>1158</v>
      </c>
      <c r="D1028" t="s">
        <v>4808</v>
      </c>
      <c r="E1028" t="s">
        <v>4809</v>
      </c>
      <c r="F1028" t="s">
        <v>1309</v>
      </c>
      <c r="G1028">
        <v>1890</v>
      </c>
      <c r="H1028" t="s">
        <v>178</v>
      </c>
      <c r="I1028" t="s">
        <v>17</v>
      </c>
      <c r="J1028" t="s">
        <v>1288</v>
      </c>
      <c r="K1028">
        <v>48</v>
      </c>
      <c r="L1028" t="s">
        <v>2601</v>
      </c>
      <c r="M1028" t="s">
        <v>2605</v>
      </c>
      <c r="N1028" t="s">
        <v>36</v>
      </c>
      <c r="O1028" s="12">
        <v>45849.586111111108</v>
      </c>
      <c r="Q1028" s="12">
        <v>45849.621527777781</v>
      </c>
      <c r="R1028" s="12">
        <v>45850.746527777781</v>
      </c>
      <c r="U1028" t="b">
        <v>0</v>
      </c>
    </row>
    <row r="1029" spans="1:21">
      <c r="A1029" t="s">
        <v>4810</v>
      </c>
      <c r="B1029" t="s">
        <v>1202</v>
      </c>
      <c r="C1029" t="s">
        <v>1152</v>
      </c>
      <c r="D1029" t="s">
        <v>4811</v>
      </c>
      <c r="E1029" t="s">
        <v>4812</v>
      </c>
      <c r="F1029" t="s">
        <v>1412</v>
      </c>
      <c r="G1029">
        <v>667</v>
      </c>
      <c r="H1029" t="s">
        <v>35</v>
      </c>
      <c r="I1029" t="s">
        <v>30</v>
      </c>
      <c r="J1029" t="s">
        <v>1295</v>
      </c>
      <c r="K1029">
        <v>75</v>
      </c>
      <c r="L1029" t="s">
        <v>2642</v>
      </c>
      <c r="M1029" t="s">
        <v>2597</v>
      </c>
      <c r="N1029" t="s">
        <v>36</v>
      </c>
      <c r="O1029" s="12">
        <v>46102.07916666667</v>
      </c>
      <c r="P1029" s="12">
        <v>46104.537499999999</v>
      </c>
      <c r="Q1029" s="12">
        <v>46102.097222222219</v>
      </c>
      <c r="R1029" s="12">
        <v>46102.638888888891</v>
      </c>
      <c r="S1029" s="12">
        <v>46109.95416666667</v>
      </c>
      <c r="U1029" t="b">
        <v>0</v>
      </c>
    </row>
    <row r="1030" spans="1:21">
      <c r="A1030" t="s">
        <v>4813</v>
      </c>
      <c r="B1030" t="s">
        <v>2611</v>
      </c>
      <c r="C1030" t="s">
        <v>1631</v>
      </c>
      <c r="D1030" t="s">
        <v>4814</v>
      </c>
      <c r="E1030" t="s">
        <v>4815</v>
      </c>
      <c r="F1030" t="s">
        <v>1517</v>
      </c>
      <c r="G1030">
        <v>727</v>
      </c>
      <c r="H1030" t="s">
        <v>178</v>
      </c>
      <c r="I1030" t="s">
        <v>30</v>
      </c>
      <c r="J1030" t="s">
        <v>1413</v>
      </c>
      <c r="K1030">
        <v>63</v>
      </c>
      <c r="L1030" t="s">
        <v>2642</v>
      </c>
      <c r="M1030" t="s">
        <v>2643</v>
      </c>
      <c r="N1030" t="s">
        <v>36</v>
      </c>
      <c r="O1030" s="12">
        <v>45453.52847222222</v>
      </c>
      <c r="P1030" s="12">
        <v>45458.111805555556</v>
      </c>
      <c r="Q1030" s="12">
        <v>45453.6875</v>
      </c>
      <c r="R1030" s="12">
        <v>45454.9375</v>
      </c>
      <c r="S1030" s="12">
        <v>45465.445138888892</v>
      </c>
      <c r="U1030" t="b">
        <v>0</v>
      </c>
    </row>
    <row r="1031" spans="1:21">
      <c r="A1031" t="s">
        <v>4816</v>
      </c>
      <c r="B1031" t="s">
        <v>2906</v>
      </c>
      <c r="C1031" t="s">
        <v>1721</v>
      </c>
      <c r="D1031" t="s">
        <v>4223</v>
      </c>
      <c r="E1031" t="s">
        <v>4817</v>
      </c>
      <c r="F1031" t="s">
        <v>2271</v>
      </c>
      <c r="G1031">
        <v>238</v>
      </c>
      <c r="H1031" t="s">
        <v>366</v>
      </c>
      <c r="I1031" t="s">
        <v>30</v>
      </c>
      <c r="J1031" t="s">
        <v>1413</v>
      </c>
      <c r="K1031">
        <v>49</v>
      </c>
      <c r="L1031" t="s">
        <v>2592</v>
      </c>
      <c r="M1031" t="s">
        <v>2593</v>
      </c>
      <c r="N1031" t="s">
        <v>55</v>
      </c>
      <c r="O1031" s="12">
        <v>46255.672222222223</v>
      </c>
      <c r="P1031" s="12">
        <v>46256.838888888888</v>
      </c>
      <c r="Q1031" s="12">
        <v>46255.82916666667</v>
      </c>
      <c r="R1031" s="12">
        <v>46256.120833333334</v>
      </c>
      <c r="U1031" t="b">
        <v>0</v>
      </c>
    </row>
    <row r="1032" spans="1:21">
      <c r="A1032" t="s">
        <v>4818</v>
      </c>
      <c r="B1032" t="s">
        <v>1175</v>
      </c>
      <c r="C1032" t="s">
        <v>1475</v>
      </c>
      <c r="D1032" t="s">
        <v>4819</v>
      </c>
      <c r="E1032" t="s">
        <v>4820</v>
      </c>
      <c r="F1032" t="s">
        <v>1784</v>
      </c>
      <c r="G1032">
        <v>464</v>
      </c>
      <c r="H1032" t="s">
        <v>68</v>
      </c>
      <c r="I1032" t="s">
        <v>30</v>
      </c>
      <c r="J1032" t="s">
        <v>1413</v>
      </c>
      <c r="K1032">
        <v>60</v>
      </c>
      <c r="L1032" t="s">
        <v>2601</v>
      </c>
      <c r="M1032" t="s">
        <v>2655</v>
      </c>
      <c r="N1032" t="s">
        <v>55</v>
      </c>
      <c r="O1032" s="12">
        <v>45750.203472222223</v>
      </c>
      <c r="Q1032" s="12">
        <v>45750.275000000001</v>
      </c>
      <c r="U1032" t="b">
        <v>0</v>
      </c>
    </row>
    <row r="1033" spans="1:21">
      <c r="A1033" t="s">
        <v>4821</v>
      </c>
      <c r="B1033" t="s">
        <v>1111</v>
      </c>
      <c r="C1033" t="s">
        <v>2283</v>
      </c>
      <c r="D1033" t="s">
        <v>4822</v>
      </c>
      <c r="E1033" t="s">
        <v>4823</v>
      </c>
      <c r="F1033" t="s">
        <v>1367</v>
      </c>
      <c r="G1033">
        <v>427</v>
      </c>
      <c r="H1033" t="s">
        <v>95</v>
      </c>
      <c r="I1033" t="s">
        <v>30</v>
      </c>
      <c r="J1033" t="s">
        <v>1317</v>
      </c>
      <c r="K1033">
        <v>82</v>
      </c>
      <c r="L1033" t="s">
        <v>2592</v>
      </c>
      <c r="M1033" t="s">
        <v>2605</v>
      </c>
      <c r="N1033" t="s">
        <v>18</v>
      </c>
      <c r="O1033" s="12">
        <v>46267.587500000001</v>
      </c>
      <c r="P1033" s="12">
        <v>46270.54583333333</v>
      </c>
      <c r="Q1033" s="12">
        <v>46267.617361111108</v>
      </c>
      <c r="R1033" s="12">
        <v>46267.703472222223</v>
      </c>
      <c r="U1033" t="b">
        <v>0</v>
      </c>
    </row>
    <row r="1034" spans="1:21">
      <c r="A1034" t="s">
        <v>4824</v>
      </c>
      <c r="B1034" t="s">
        <v>3169</v>
      </c>
      <c r="C1034" t="s">
        <v>1142</v>
      </c>
      <c r="D1034" t="s">
        <v>4825</v>
      </c>
      <c r="E1034" t="s">
        <v>4826</v>
      </c>
      <c r="F1034" t="s">
        <v>2709</v>
      </c>
      <c r="G1034">
        <v>183</v>
      </c>
      <c r="H1034" t="s">
        <v>50</v>
      </c>
      <c r="I1034" t="s">
        <v>24</v>
      </c>
      <c r="J1034" t="s">
        <v>1355</v>
      </c>
      <c r="K1034">
        <v>78</v>
      </c>
      <c r="L1034" t="s">
        <v>2592</v>
      </c>
      <c r="M1034" t="s">
        <v>2597</v>
      </c>
      <c r="N1034" t="s">
        <v>59</v>
      </c>
      <c r="O1034" s="12">
        <v>45340.05</v>
      </c>
      <c r="P1034" s="12">
        <v>45340.175000000003</v>
      </c>
      <c r="Q1034" s="12">
        <v>45340.268055555556</v>
      </c>
      <c r="R1034" s="12">
        <v>45340.375</v>
      </c>
      <c r="U1034" t="b">
        <v>0</v>
      </c>
    </row>
    <row r="1035" spans="1:21">
      <c r="A1035" t="s">
        <v>4827</v>
      </c>
      <c r="B1035" t="s">
        <v>2670</v>
      </c>
      <c r="C1035" t="s">
        <v>1771</v>
      </c>
      <c r="D1035" t="s">
        <v>4828</v>
      </c>
      <c r="E1035" t="s">
        <v>4829</v>
      </c>
      <c r="F1035" t="s">
        <v>2755</v>
      </c>
      <c r="G1035">
        <v>177</v>
      </c>
      <c r="H1035" t="s">
        <v>285</v>
      </c>
      <c r="I1035" t="s">
        <v>24</v>
      </c>
      <c r="J1035" t="s">
        <v>1288</v>
      </c>
      <c r="K1035">
        <v>77</v>
      </c>
      <c r="L1035" t="s">
        <v>2601</v>
      </c>
      <c r="M1035" t="s">
        <v>2655</v>
      </c>
      <c r="N1035" t="s">
        <v>59</v>
      </c>
      <c r="O1035" s="12">
        <v>45446.938194444447</v>
      </c>
      <c r="Q1035" s="12">
        <v>45447.09097222222</v>
      </c>
      <c r="U1035" t="b">
        <v>0</v>
      </c>
    </row>
    <row r="1036" spans="1:21">
      <c r="A1036" t="s">
        <v>4830</v>
      </c>
      <c r="B1036" t="s">
        <v>2662</v>
      </c>
      <c r="C1036" t="s">
        <v>1148</v>
      </c>
      <c r="D1036" t="s">
        <v>4831</v>
      </c>
      <c r="E1036" t="s">
        <v>4832</v>
      </c>
      <c r="F1036" t="s">
        <v>1843</v>
      </c>
      <c r="G1036">
        <v>248</v>
      </c>
      <c r="H1036" t="s">
        <v>81</v>
      </c>
      <c r="I1036" t="s">
        <v>30</v>
      </c>
      <c r="J1036" t="s">
        <v>1288</v>
      </c>
      <c r="K1036">
        <v>38</v>
      </c>
      <c r="L1036" t="s">
        <v>2601</v>
      </c>
      <c r="M1036" t="s">
        <v>2618</v>
      </c>
      <c r="N1036" t="s">
        <v>82</v>
      </c>
      <c r="O1036" s="12">
        <v>45327.275000000001</v>
      </c>
      <c r="Q1036" s="12">
        <v>45327.385416666664</v>
      </c>
      <c r="R1036" s="12">
        <v>45327.393055555556</v>
      </c>
      <c r="T1036" t="s">
        <v>2673</v>
      </c>
      <c r="U1036" t="b">
        <v>0</v>
      </c>
    </row>
    <row r="1037" spans="1:21">
      <c r="A1037" t="s">
        <v>4833</v>
      </c>
      <c r="B1037" t="s">
        <v>1521</v>
      </c>
      <c r="C1037" t="s">
        <v>2033</v>
      </c>
      <c r="D1037" t="s">
        <v>4834</v>
      </c>
      <c r="E1037" t="s">
        <v>4835</v>
      </c>
      <c r="F1037" t="s">
        <v>1182</v>
      </c>
      <c r="G1037">
        <v>29</v>
      </c>
      <c r="H1037" t="s">
        <v>16</v>
      </c>
      <c r="I1037" t="s">
        <v>24</v>
      </c>
      <c r="J1037" t="s">
        <v>1355</v>
      </c>
      <c r="K1037">
        <v>63</v>
      </c>
      <c r="L1037" t="s">
        <v>2601</v>
      </c>
      <c r="M1037" t="s">
        <v>2605</v>
      </c>
      <c r="N1037" t="s">
        <v>91</v>
      </c>
      <c r="O1037" s="12">
        <v>45512.725694444445</v>
      </c>
      <c r="Q1037" s="12">
        <v>45512.758333333331</v>
      </c>
      <c r="R1037" s="12">
        <v>45512.772222222222</v>
      </c>
      <c r="U1037" t="b">
        <v>0</v>
      </c>
    </row>
    <row r="1038" spans="1:21">
      <c r="A1038" t="s">
        <v>4836</v>
      </c>
      <c r="B1038" t="s">
        <v>2847</v>
      </c>
      <c r="C1038" t="s">
        <v>2033</v>
      </c>
      <c r="D1038" t="s">
        <v>4837</v>
      </c>
      <c r="E1038" t="s">
        <v>4838</v>
      </c>
      <c r="F1038" t="s">
        <v>1412</v>
      </c>
      <c r="G1038">
        <v>152</v>
      </c>
      <c r="H1038" t="s">
        <v>81</v>
      </c>
      <c r="I1038" t="s">
        <v>24</v>
      </c>
      <c r="J1038" t="s">
        <v>1295</v>
      </c>
      <c r="K1038">
        <v>86</v>
      </c>
      <c r="L1038" t="s">
        <v>2592</v>
      </c>
      <c r="M1038" t="s">
        <v>2605</v>
      </c>
      <c r="N1038" t="s">
        <v>25</v>
      </c>
      <c r="O1038" s="12">
        <v>45618.760416666664</v>
      </c>
      <c r="P1038" s="12">
        <v>45622.135416666664</v>
      </c>
      <c r="Q1038" s="12">
        <v>45618.819444444445</v>
      </c>
      <c r="R1038" s="12">
        <v>45618.931944444441</v>
      </c>
      <c r="U1038" t="b">
        <v>0</v>
      </c>
    </row>
    <row r="1039" spans="1:21">
      <c r="A1039" t="s">
        <v>4839</v>
      </c>
      <c r="B1039" t="s">
        <v>1111</v>
      </c>
      <c r="C1039" t="s">
        <v>1650</v>
      </c>
      <c r="D1039" t="s">
        <v>4840</v>
      </c>
      <c r="E1039" t="s">
        <v>4841</v>
      </c>
      <c r="F1039" t="s">
        <v>1511</v>
      </c>
      <c r="G1039">
        <v>94</v>
      </c>
      <c r="H1039" t="s">
        <v>440</v>
      </c>
      <c r="I1039" t="s">
        <v>24</v>
      </c>
      <c r="J1039" t="s">
        <v>1288</v>
      </c>
      <c r="K1039">
        <v>48</v>
      </c>
      <c r="L1039" t="s">
        <v>2592</v>
      </c>
      <c r="M1039" t="s">
        <v>2605</v>
      </c>
      <c r="N1039" t="s">
        <v>69</v>
      </c>
      <c r="O1039" s="12">
        <v>46094.520833333336</v>
      </c>
      <c r="P1039" s="12">
        <v>46096.645833333336</v>
      </c>
      <c r="Q1039" s="12">
        <v>46094.548611111109</v>
      </c>
      <c r="R1039" s="12">
        <v>46094.636111111111</v>
      </c>
      <c r="U1039" t="b">
        <v>0</v>
      </c>
    </row>
    <row r="1040" spans="1:21">
      <c r="A1040" t="s">
        <v>4842</v>
      </c>
      <c r="B1040" t="s">
        <v>1649</v>
      </c>
      <c r="C1040" t="s">
        <v>1660</v>
      </c>
      <c r="D1040" t="s">
        <v>4843</v>
      </c>
      <c r="E1040" t="s">
        <v>4844</v>
      </c>
      <c r="F1040" t="s">
        <v>1511</v>
      </c>
      <c r="G1040">
        <v>72</v>
      </c>
      <c r="H1040" t="s">
        <v>23</v>
      </c>
      <c r="I1040" t="s">
        <v>24</v>
      </c>
      <c r="J1040" t="s">
        <v>1413</v>
      </c>
      <c r="K1040">
        <v>45</v>
      </c>
      <c r="L1040" t="s">
        <v>2601</v>
      </c>
      <c r="M1040" t="s">
        <v>2618</v>
      </c>
      <c r="N1040" t="s">
        <v>25</v>
      </c>
      <c r="O1040" s="12">
        <v>45798.763194444444</v>
      </c>
      <c r="Q1040" s="12">
        <v>45798.842361111114</v>
      </c>
      <c r="R1040" s="12">
        <v>45798.901388888888</v>
      </c>
      <c r="T1040" t="s">
        <v>2933</v>
      </c>
      <c r="U1040" t="b">
        <v>0</v>
      </c>
    </row>
    <row r="1041" spans="1:21">
      <c r="A1041" t="s">
        <v>4845</v>
      </c>
      <c r="B1041" t="s">
        <v>1179</v>
      </c>
      <c r="C1041" t="s">
        <v>2283</v>
      </c>
      <c r="D1041" t="s">
        <v>4846</v>
      </c>
      <c r="E1041" t="s">
        <v>4847</v>
      </c>
      <c r="F1041" t="s">
        <v>2660</v>
      </c>
      <c r="G1041">
        <v>130</v>
      </c>
      <c r="H1041" t="s">
        <v>408</v>
      </c>
      <c r="I1041" t="s">
        <v>24</v>
      </c>
      <c r="J1041" t="s">
        <v>1288</v>
      </c>
      <c r="K1041">
        <v>68</v>
      </c>
      <c r="L1041" t="s">
        <v>2601</v>
      </c>
      <c r="M1041" t="s">
        <v>2605</v>
      </c>
      <c r="N1041" t="s">
        <v>69</v>
      </c>
      <c r="O1041" s="12">
        <v>45432.979166666664</v>
      </c>
      <c r="Q1041" s="12">
        <v>45433.072222222225</v>
      </c>
      <c r="R1041" s="12">
        <v>45433.197916666664</v>
      </c>
      <c r="U1041" t="b">
        <v>0</v>
      </c>
    </row>
    <row r="1042" spans="1:21">
      <c r="A1042" t="s">
        <v>4848</v>
      </c>
      <c r="B1042" t="s">
        <v>2847</v>
      </c>
      <c r="C1042" t="s">
        <v>1145</v>
      </c>
      <c r="D1042" t="s">
        <v>4849</v>
      </c>
      <c r="E1042" t="s">
        <v>4850</v>
      </c>
      <c r="F1042" t="s">
        <v>1784</v>
      </c>
      <c r="G1042">
        <v>651</v>
      </c>
      <c r="H1042" t="s">
        <v>154</v>
      </c>
      <c r="I1042" t="s">
        <v>30</v>
      </c>
      <c r="J1042" t="s">
        <v>1295</v>
      </c>
      <c r="K1042">
        <v>94</v>
      </c>
      <c r="L1042" t="s">
        <v>2592</v>
      </c>
      <c r="M1042" t="s">
        <v>2593</v>
      </c>
      <c r="N1042" t="s">
        <v>82</v>
      </c>
      <c r="O1042" s="12">
        <v>45476.287499999999</v>
      </c>
      <c r="P1042" s="12">
        <v>45481.037499999999</v>
      </c>
      <c r="Q1042" s="12">
        <v>45476.509027777778</v>
      </c>
      <c r="R1042" s="12">
        <v>45477.717361111114</v>
      </c>
      <c r="U1042" t="b">
        <v>0</v>
      </c>
    </row>
    <row r="1043" spans="1:21">
      <c r="A1043" t="s">
        <v>4851</v>
      </c>
      <c r="B1043" t="s">
        <v>2706</v>
      </c>
      <c r="C1043" t="s">
        <v>1168</v>
      </c>
      <c r="D1043" t="s">
        <v>4852</v>
      </c>
      <c r="E1043" t="s">
        <v>4853</v>
      </c>
      <c r="F1043" t="s">
        <v>1294</v>
      </c>
      <c r="G1043">
        <v>17</v>
      </c>
      <c r="H1043" t="s">
        <v>323</v>
      </c>
      <c r="J1043" t="s">
        <v>1295</v>
      </c>
      <c r="K1043">
        <v>72</v>
      </c>
      <c r="L1043" t="s">
        <v>2601</v>
      </c>
      <c r="M1043" t="s">
        <v>2618</v>
      </c>
      <c r="O1043" s="12">
        <v>45550.177083333336</v>
      </c>
      <c r="T1043" t="s">
        <v>2933</v>
      </c>
      <c r="U1043" t="b">
        <v>0</v>
      </c>
    </row>
    <row r="1044" spans="1:21">
      <c r="A1044" t="s">
        <v>4854</v>
      </c>
      <c r="B1044" t="s">
        <v>2693</v>
      </c>
      <c r="C1044" t="s">
        <v>1145</v>
      </c>
      <c r="D1044" t="s">
        <v>4855</v>
      </c>
      <c r="E1044" t="s">
        <v>4856</v>
      </c>
      <c r="F1044" t="s">
        <v>2680</v>
      </c>
      <c r="G1044">
        <v>47</v>
      </c>
      <c r="H1044" t="s">
        <v>323</v>
      </c>
      <c r="I1044" t="s">
        <v>24</v>
      </c>
      <c r="J1044" t="s">
        <v>1355</v>
      </c>
      <c r="K1044">
        <v>74</v>
      </c>
      <c r="L1044" t="s">
        <v>2601</v>
      </c>
      <c r="M1044" t="s">
        <v>2605</v>
      </c>
      <c r="N1044" t="s">
        <v>25</v>
      </c>
      <c r="O1044" s="12">
        <v>46137.663888888892</v>
      </c>
      <c r="Q1044" s="12">
        <v>46137.859722222223</v>
      </c>
      <c r="R1044" s="12">
        <v>46137.989583333336</v>
      </c>
      <c r="U1044" t="b">
        <v>0</v>
      </c>
    </row>
    <row r="1045" spans="1:21">
      <c r="A1045" t="s">
        <v>4857</v>
      </c>
      <c r="B1045" t="s">
        <v>1138</v>
      </c>
      <c r="C1045" t="s">
        <v>1130</v>
      </c>
      <c r="D1045" t="s">
        <v>4858</v>
      </c>
      <c r="E1045" t="s">
        <v>4859</v>
      </c>
      <c r="F1045" t="s">
        <v>1309</v>
      </c>
      <c r="G1045">
        <v>81</v>
      </c>
      <c r="H1045" t="s">
        <v>99</v>
      </c>
      <c r="I1045" t="s">
        <v>24</v>
      </c>
      <c r="J1045" t="s">
        <v>1288</v>
      </c>
      <c r="K1045">
        <v>54</v>
      </c>
      <c r="L1045" t="s">
        <v>2601</v>
      </c>
      <c r="M1045" t="s">
        <v>2655</v>
      </c>
      <c r="N1045" t="s">
        <v>59</v>
      </c>
      <c r="O1045" s="12">
        <v>45756.80972222222</v>
      </c>
      <c r="Q1045" s="12">
        <v>45756.956944444442</v>
      </c>
      <c r="U1045" t="b">
        <v>0</v>
      </c>
    </row>
    <row r="1046" spans="1:21">
      <c r="A1046" t="s">
        <v>4860</v>
      </c>
      <c r="B1046" t="s">
        <v>1649</v>
      </c>
      <c r="C1046" t="s">
        <v>1579</v>
      </c>
      <c r="D1046" t="s">
        <v>4861</v>
      </c>
      <c r="E1046" t="s">
        <v>4862</v>
      </c>
      <c r="F1046" t="s">
        <v>2660</v>
      </c>
      <c r="G1046">
        <v>5</v>
      </c>
      <c r="H1046" t="s">
        <v>171</v>
      </c>
      <c r="J1046" t="s">
        <v>1413</v>
      </c>
      <c r="K1046">
        <v>47</v>
      </c>
      <c r="L1046" t="s">
        <v>2601</v>
      </c>
      <c r="M1046" t="s">
        <v>2618</v>
      </c>
      <c r="O1046" s="12">
        <v>45593.111111111109</v>
      </c>
      <c r="T1046" t="s">
        <v>2933</v>
      </c>
      <c r="U1046" t="b">
        <v>0</v>
      </c>
    </row>
    <row r="1047" spans="1:21">
      <c r="A1047" t="s">
        <v>4863</v>
      </c>
      <c r="B1047" t="s">
        <v>2645</v>
      </c>
      <c r="C1047" t="s">
        <v>1378</v>
      </c>
      <c r="D1047" t="s">
        <v>4864</v>
      </c>
      <c r="E1047" t="s">
        <v>4865</v>
      </c>
      <c r="F1047" t="s">
        <v>2271</v>
      </c>
      <c r="G1047">
        <v>727</v>
      </c>
      <c r="H1047" t="s">
        <v>54</v>
      </c>
      <c r="I1047" t="s">
        <v>30</v>
      </c>
      <c r="J1047" t="s">
        <v>1271</v>
      </c>
      <c r="K1047">
        <v>52</v>
      </c>
      <c r="L1047" t="s">
        <v>2592</v>
      </c>
      <c r="M1047" t="s">
        <v>2597</v>
      </c>
      <c r="N1047" t="s">
        <v>55</v>
      </c>
      <c r="O1047" s="12">
        <v>45328.42083333333</v>
      </c>
      <c r="P1047" s="12">
        <v>45332.879166666666</v>
      </c>
      <c r="Q1047" s="12">
        <v>45328.450694444444</v>
      </c>
      <c r="R1047" s="12">
        <v>45328.867361111108</v>
      </c>
      <c r="U1047" t="b">
        <v>0</v>
      </c>
    </row>
    <row r="1048" spans="1:21">
      <c r="A1048" t="s">
        <v>4866</v>
      </c>
      <c r="B1048" t="s">
        <v>1111</v>
      </c>
      <c r="C1048" t="s">
        <v>2621</v>
      </c>
      <c r="D1048" t="s">
        <v>4867</v>
      </c>
      <c r="E1048" t="s">
        <v>4868</v>
      </c>
      <c r="F1048" t="s">
        <v>1487</v>
      </c>
      <c r="G1048">
        <v>1699</v>
      </c>
      <c r="H1048" t="s">
        <v>295</v>
      </c>
      <c r="I1048" t="s">
        <v>17</v>
      </c>
      <c r="J1048" t="s">
        <v>1355</v>
      </c>
      <c r="K1048">
        <v>70</v>
      </c>
      <c r="L1048" t="s">
        <v>2592</v>
      </c>
      <c r="M1048" t="s">
        <v>2618</v>
      </c>
      <c r="N1048" t="s">
        <v>82</v>
      </c>
      <c r="O1048" s="12">
        <v>45383.440972222219</v>
      </c>
      <c r="P1048" s="12">
        <v>45387.982638888891</v>
      </c>
      <c r="Q1048" s="12">
        <v>45383.490972222222</v>
      </c>
      <c r="T1048" t="s">
        <v>2933</v>
      </c>
      <c r="U1048" t="b">
        <v>0</v>
      </c>
    </row>
    <row r="1049" spans="1:21">
      <c r="A1049" t="s">
        <v>4869</v>
      </c>
      <c r="B1049" t="s">
        <v>2693</v>
      </c>
      <c r="C1049" t="s">
        <v>1130</v>
      </c>
      <c r="D1049" t="s">
        <v>4870</v>
      </c>
      <c r="E1049" t="s">
        <v>4871</v>
      </c>
      <c r="F1049" t="s">
        <v>1784</v>
      </c>
      <c r="G1049">
        <v>704</v>
      </c>
      <c r="H1049" t="s">
        <v>216</v>
      </c>
      <c r="I1049" t="s">
        <v>30</v>
      </c>
      <c r="J1049" t="s">
        <v>1295</v>
      </c>
      <c r="K1049">
        <v>82</v>
      </c>
      <c r="L1049" t="s">
        <v>2642</v>
      </c>
      <c r="M1049" t="s">
        <v>2597</v>
      </c>
      <c r="N1049" t="s">
        <v>18</v>
      </c>
      <c r="O1049" s="12">
        <v>45744.995833333334</v>
      </c>
      <c r="P1049" s="12">
        <v>45749.662499999999</v>
      </c>
      <c r="Q1049" s="12">
        <v>45745.193749999999</v>
      </c>
      <c r="R1049" s="12">
        <v>45745.902083333334</v>
      </c>
      <c r="S1049" s="12">
        <v>45753.620833333334</v>
      </c>
      <c r="U1049" t="b">
        <v>0</v>
      </c>
    </row>
    <row r="1050" spans="1:21">
      <c r="A1050" t="s">
        <v>4872</v>
      </c>
      <c r="B1050" t="s">
        <v>1202</v>
      </c>
      <c r="C1050" t="s">
        <v>1176</v>
      </c>
      <c r="D1050" t="s">
        <v>4873</v>
      </c>
      <c r="E1050" t="s">
        <v>4874</v>
      </c>
      <c r="F1050" t="s">
        <v>2680</v>
      </c>
      <c r="G1050">
        <v>418</v>
      </c>
      <c r="H1050" t="s">
        <v>50</v>
      </c>
      <c r="I1050" t="s">
        <v>30</v>
      </c>
      <c r="J1050" t="s">
        <v>1295</v>
      </c>
      <c r="K1050">
        <v>76</v>
      </c>
      <c r="L1050" t="s">
        <v>2592</v>
      </c>
      <c r="M1050" t="s">
        <v>2605</v>
      </c>
      <c r="N1050" t="s">
        <v>36</v>
      </c>
      <c r="O1050" s="12">
        <v>46253.3125</v>
      </c>
      <c r="P1050" s="12">
        <v>46254.229166666664</v>
      </c>
      <c r="Q1050" s="12">
        <v>46253.554861111108</v>
      </c>
      <c r="R1050" s="12">
        <v>46254.638194444444</v>
      </c>
      <c r="U1050" t="b">
        <v>0</v>
      </c>
    </row>
    <row r="1051" spans="1:21">
      <c r="A1051" t="s">
        <v>4875</v>
      </c>
      <c r="B1051" t="s">
        <v>2682</v>
      </c>
      <c r="C1051" t="s">
        <v>1721</v>
      </c>
      <c r="D1051" t="s">
        <v>4876</v>
      </c>
      <c r="E1051" t="s">
        <v>4877</v>
      </c>
      <c r="F1051" t="s">
        <v>1843</v>
      </c>
      <c r="G1051">
        <v>359</v>
      </c>
      <c r="H1051" t="s">
        <v>140</v>
      </c>
      <c r="I1051" t="s">
        <v>30</v>
      </c>
      <c r="J1051" t="s">
        <v>1271</v>
      </c>
      <c r="K1051">
        <v>64</v>
      </c>
      <c r="L1051" t="s">
        <v>2592</v>
      </c>
      <c r="M1051" t="s">
        <v>2593</v>
      </c>
      <c r="N1051" t="s">
        <v>82</v>
      </c>
      <c r="O1051" s="12">
        <v>45678.706250000003</v>
      </c>
      <c r="P1051" s="12">
        <v>45678.872916666667</v>
      </c>
      <c r="Q1051" s="12">
        <v>45678.777083333334</v>
      </c>
      <c r="R1051" s="12">
        <v>45678.915972222225</v>
      </c>
      <c r="U1051" t="b">
        <v>0</v>
      </c>
    </row>
    <row r="1052" spans="1:21">
      <c r="A1052" t="s">
        <v>4878</v>
      </c>
      <c r="B1052" t="s">
        <v>1485</v>
      </c>
      <c r="C1052" t="s">
        <v>1130</v>
      </c>
      <c r="D1052" t="s">
        <v>4879</v>
      </c>
      <c r="E1052" t="s">
        <v>4880</v>
      </c>
      <c r="F1052" t="s">
        <v>2660</v>
      </c>
      <c r="G1052">
        <v>1572</v>
      </c>
      <c r="H1052" t="s">
        <v>171</v>
      </c>
      <c r="I1052" t="s">
        <v>17</v>
      </c>
      <c r="J1052" t="s">
        <v>1339</v>
      </c>
      <c r="K1052">
        <v>86</v>
      </c>
      <c r="L1052" t="s">
        <v>2592</v>
      </c>
      <c r="M1052" t="s">
        <v>2593</v>
      </c>
      <c r="N1052" t="s">
        <v>82</v>
      </c>
      <c r="O1052" s="12">
        <v>45658.215277777781</v>
      </c>
      <c r="P1052" s="12">
        <v>45662.298611111109</v>
      </c>
      <c r="Q1052" s="12">
        <v>45658.260416666664</v>
      </c>
      <c r="R1052" s="12">
        <v>45658.36041666667</v>
      </c>
      <c r="U1052" t="b">
        <v>0</v>
      </c>
    </row>
    <row r="1053" spans="1:21">
      <c r="A1053" t="s">
        <v>4881</v>
      </c>
      <c r="B1053" t="s">
        <v>1176</v>
      </c>
      <c r="C1053" t="s">
        <v>1343</v>
      </c>
      <c r="D1053" t="s">
        <v>4882</v>
      </c>
      <c r="E1053" t="s">
        <v>4883</v>
      </c>
      <c r="F1053" t="s">
        <v>1182</v>
      </c>
      <c r="G1053">
        <v>16</v>
      </c>
      <c r="H1053" t="s">
        <v>50</v>
      </c>
      <c r="J1053" t="s">
        <v>1355</v>
      </c>
      <c r="K1053">
        <v>61</v>
      </c>
      <c r="L1053" t="s">
        <v>2601</v>
      </c>
      <c r="M1053" t="s">
        <v>2618</v>
      </c>
      <c r="O1053" s="12">
        <v>45841.905555555553</v>
      </c>
      <c r="T1053" t="s">
        <v>2685</v>
      </c>
      <c r="U1053" t="b">
        <v>0</v>
      </c>
    </row>
    <row r="1054" spans="1:21">
      <c r="A1054" t="s">
        <v>4884</v>
      </c>
      <c r="B1054" t="s">
        <v>2760</v>
      </c>
      <c r="C1054" t="s">
        <v>1597</v>
      </c>
      <c r="D1054" t="s">
        <v>4885</v>
      </c>
      <c r="E1054" t="s">
        <v>4886</v>
      </c>
      <c r="F1054" t="s">
        <v>1517</v>
      </c>
      <c r="G1054">
        <v>904</v>
      </c>
      <c r="H1054" t="s">
        <v>226</v>
      </c>
      <c r="I1054" t="s">
        <v>30</v>
      </c>
      <c r="J1054" t="s">
        <v>1271</v>
      </c>
      <c r="K1054">
        <v>44</v>
      </c>
      <c r="L1054" t="s">
        <v>2601</v>
      </c>
      <c r="M1054" t="s">
        <v>2605</v>
      </c>
      <c r="N1054" t="s">
        <v>55</v>
      </c>
      <c r="O1054" s="12">
        <v>45685.646527777775</v>
      </c>
      <c r="Q1054" s="12">
        <v>45685.703472222223</v>
      </c>
      <c r="R1054" s="12">
        <v>45686.703472222223</v>
      </c>
      <c r="U1054" t="b">
        <v>0</v>
      </c>
    </row>
    <row r="1055" spans="1:21">
      <c r="A1055" t="s">
        <v>4887</v>
      </c>
      <c r="B1055" t="s">
        <v>2967</v>
      </c>
      <c r="C1055" t="s">
        <v>1162</v>
      </c>
      <c r="D1055" t="s">
        <v>4888</v>
      </c>
      <c r="E1055" t="s">
        <v>4889</v>
      </c>
      <c r="F1055" t="s">
        <v>1420</v>
      </c>
      <c r="G1055">
        <v>125</v>
      </c>
      <c r="H1055" t="s">
        <v>223</v>
      </c>
      <c r="I1055" t="s">
        <v>24</v>
      </c>
      <c r="J1055" t="s">
        <v>1271</v>
      </c>
      <c r="K1055">
        <v>69</v>
      </c>
      <c r="L1055" t="s">
        <v>2592</v>
      </c>
      <c r="M1055" t="s">
        <v>2605</v>
      </c>
      <c r="N1055" t="s">
        <v>91</v>
      </c>
      <c r="O1055" s="12">
        <v>45743.512499999997</v>
      </c>
      <c r="P1055" s="12">
        <v>45744.220833333333</v>
      </c>
      <c r="Q1055" s="12">
        <v>45743.636805555558</v>
      </c>
      <c r="R1055" s="12">
        <v>45743.771527777775</v>
      </c>
      <c r="U1055" t="b">
        <v>0</v>
      </c>
    </row>
    <row r="1056" spans="1:21">
      <c r="A1056" t="s">
        <v>4890</v>
      </c>
      <c r="B1056" t="s">
        <v>1649</v>
      </c>
      <c r="C1056" t="s">
        <v>1158</v>
      </c>
      <c r="D1056" t="s">
        <v>4891</v>
      </c>
      <c r="E1056" t="s">
        <v>4892</v>
      </c>
      <c r="F1056" t="s">
        <v>2660</v>
      </c>
      <c r="G1056">
        <v>510</v>
      </c>
      <c r="H1056" t="s">
        <v>205</v>
      </c>
      <c r="I1056" t="s">
        <v>30</v>
      </c>
      <c r="J1056" t="s">
        <v>1288</v>
      </c>
      <c r="K1056">
        <v>55</v>
      </c>
      <c r="L1056" t="s">
        <v>2601</v>
      </c>
      <c r="M1056" t="s">
        <v>2618</v>
      </c>
      <c r="N1056" t="s">
        <v>82</v>
      </c>
      <c r="O1056" s="12">
        <v>45908.779861111114</v>
      </c>
      <c r="Q1056" s="12">
        <v>45908.943749999999</v>
      </c>
      <c r="R1056" s="12">
        <v>45909.008333333331</v>
      </c>
      <c r="T1056" t="s">
        <v>2673</v>
      </c>
      <c r="U1056" t="b">
        <v>0</v>
      </c>
    </row>
    <row r="1057" spans="1:21">
      <c r="A1057" t="s">
        <v>4893</v>
      </c>
      <c r="B1057" t="s">
        <v>3169</v>
      </c>
      <c r="C1057" t="s">
        <v>1176</v>
      </c>
      <c r="D1057" t="s">
        <v>4894</v>
      </c>
      <c r="E1057" t="s">
        <v>4895</v>
      </c>
      <c r="F1057" t="s">
        <v>1309</v>
      </c>
      <c r="G1057">
        <v>108</v>
      </c>
      <c r="H1057" t="s">
        <v>41</v>
      </c>
      <c r="I1057" t="s">
        <v>24</v>
      </c>
      <c r="J1057" t="s">
        <v>1271</v>
      </c>
      <c r="K1057">
        <v>61</v>
      </c>
      <c r="L1057" t="s">
        <v>2601</v>
      </c>
      <c r="M1057" t="s">
        <v>2655</v>
      </c>
      <c r="N1057" t="s">
        <v>25</v>
      </c>
      <c r="O1057" s="12">
        <v>45982.576388888891</v>
      </c>
      <c r="Q1057" s="12">
        <v>45982.807638888888</v>
      </c>
      <c r="U1057" t="b">
        <v>0</v>
      </c>
    </row>
    <row r="1058" spans="1:21">
      <c r="A1058" t="s">
        <v>4896</v>
      </c>
      <c r="B1058" t="s">
        <v>1176</v>
      </c>
      <c r="C1058" t="s">
        <v>1320</v>
      </c>
      <c r="D1058" t="s">
        <v>4897</v>
      </c>
      <c r="E1058" t="s">
        <v>4898</v>
      </c>
      <c r="F1058" t="s">
        <v>1182</v>
      </c>
      <c r="G1058">
        <v>211</v>
      </c>
      <c r="H1058" t="s">
        <v>95</v>
      </c>
      <c r="I1058" t="s">
        <v>30</v>
      </c>
      <c r="J1058" t="s">
        <v>1355</v>
      </c>
      <c r="K1058">
        <v>63</v>
      </c>
      <c r="L1058" t="s">
        <v>2592</v>
      </c>
      <c r="M1058" t="s">
        <v>2655</v>
      </c>
      <c r="N1058" t="s">
        <v>18</v>
      </c>
      <c r="O1058" s="12">
        <v>45895.501388888886</v>
      </c>
      <c r="P1058" s="12">
        <v>45896.543055555558</v>
      </c>
      <c r="Q1058" s="12">
        <v>45895.615972222222</v>
      </c>
      <c r="R1058" s="12">
        <v>45895.674305555556</v>
      </c>
      <c r="U1058" t="b">
        <v>0</v>
      </c>
    </row>
    <row r="1059" spans="1:21">
      <c r="A1059" t="s">
        <v>4899</v>
      </c>
      <c r="B1059" t="s">
        <v>1185</v>
      </c>
      <c r="C1059" t="s">
        <v>1597</v>
      </c>
      <c r="D1059" t="s">
        <v>4900</v>
      </c>
      <c r="E1059" t="s">
        <v>4901</v>
      </c>
      <c r="F1059" t="s">
        <v>2709</v>
      </c>
      <c r="G1059">
        <v>737</v>
      </c>
      <c r="H1059" t="s">
        <v>50</v>
      </c>
      <c r="I1059" t="s">
        <v>30</v>
      </c>
      <c r="J1059" t="s">
        <v>1295</v>
      </c>
      <c r="K1059">
        <v>94</v>
      </c>
      <c r="L1059" t="s">
        <v>2592</v>
      </c>
      <c r="M1059" t="s">
        <v>2618</v>
      </c>
      <c r="N1059" t="s">
        <v>36</v>
      </c>
      <c r="O1059" s="12">
        <v>45435.362500000003</v>
      </c>
      <c r="P1059" s="12">
        <v>45435.737500000003</v>
      </c>
      <c r="Q1059" s="12">
        <v>45435.478472222225</v>
      </c>
      <c r="R1059" s="12">
        <v>45435.582638888889</v>
      </c>
      <c r="T1059" t="s">
        <v>2673</v>
      </c>
      <c r="U1059" t="b">
        <v>0</v>
      </c>
    </row>
    <row r="1060" spans="1:21">
      <c r="A1060" t="s">
        <v>4902</v>
      </c>
      <c r="B1060" t="s">
        <v>2882</v>
      </c>
      <c r="C1060" t="s">
        <v>1469</v>
      </c>
      <c r="D1060" t="s">
        <v>4903</v>
      </c>
      <c r="E1060" t="s">
        <v>4904</v>
      </c>
      <c r="F1060" t="s">
        <v>2680</v>
      </c>
      <c r="G1060">
        <v>597</v>
      </c>
      <c r="H1060" t="s">
        <v>154</v>
      </c>
      <c r="I1060" t="s">
        <v>30</v>
      </c>
      <c r="J1060" t="s">
        <v>1281</v>
      </c>
      <c r="K1060">
        <v>66</v>
      </c>
      <c r="L1060" t="s">
        <v>2592</v>
      </c>
      <c r="M1060" t="s">
        <v>2618</v>
      </c>
      <c r="N1060" t="s">
        <v>82</v>
      </c>
      <c r="O1060" s="12">
        <v>45397.84652777778</v>
      </c>
      <c r="P1060" s="12">
        <v>45398.22152777778</v>
      </c>
      <c r="Q1060" s="12">
        <v>45397.992361111108</v>
      </c>
      <c r="R1060" s="12">
        <v>45398.093055555553</v>
      </c>
      <c r="T1060" t="s">
        <v>2619</v>
      </c>
      <c r="U1060" t="b">
        <v>0</v>
      </c>
    </row>
    <row r="1061" spans="1:21">
      <c r="A1061" t="s">
        <v>4905</v>
      </c>
      <c r="B1061" t="s">
        <v>2666</v>
      </c>
      <c r="C1061" t="s">
        <v>1130</v>
      </c>
      <c r="D1061" t="s">
        <v>4906</v>
      </c>
      <c r="E1061" t="s">
        <v>4907</v>
      </c>
      <c r="F1061" t="s">
        <v>1367</v>
      </c>
      <c r="G1061">
        <v>244</v>
      </c>
      <c r="H1061" t="s">
        <v>50</v>
      </c>
      <c r="I1061" t="s">
        <v>30</v>
      </c>
      <c r="J1061" t="s">
        <v>1295</v>
      </c>
      <c r="K1061">
        <v>86</v>
      </c>
      <c r="L1061" t="s">
        <v>2642</v>
      </c>
      <c r="M1061" t="s">
        <v>2643</v>
      </c>
      <c r="N1061" t="s">
        <v>36</v>
      </c>
      <c r="O1061" s="12">
        <v>45565.020138888889</v>
      </c>
      <c r="P1061" s="12">
        <v>45568.311805555553</v>
      </c>
      <c r="Q1061" s="12">
        <v>45565.168749999997</v>
      </c>
      <c r="R1061" s="12">
        <v>45565.284722222219</v>
      </c>
      <c r="S1061" s="12">
        <v>45575.811805555553</v>
      </c>
      <c r="U1061" t="b">
        <v>0</v>
      </c>
    </row>
    <row r="1062" spans="1:21">
      <c r="A1062" t="s">
        <v>4908</v>
      </c>
      <c r="B1062" t="s">
        <v>2874</v>
      </c>
      <c r="C1062" t="s">
        <v>1130</v>
      </c>
      <c r="D1062" t="s">
        <v>4909</v>
      </c>
      <c r="E1062" t="s">
        <v>4910</v>
      </c>
      <c r="F1062" t="s">
        <v>1511</v>
      </c>
      <c r="G1062">
        <v>706</v>
      </c>
      <c r="H1062" t="s">
        <v>182</v>
      </c>
      <c r="I1062" t="s">
        <v>30</v>
      </c>
      <c r="J1062" t="s">
        <v>1355</v>
      </c>
      <c r="K1062">
        <v>58</v>
      </c>
      <c r="L1062" t="s">
        <v>2601</v>
      </c>
      <c r="M1062" t="s">
        <v>2618</v>
      </c>
      <c r="N1062" t="s">
        <v>55</v>
      </c>
      <c r="O1062" s="12">
        <v>46174.718055555553</v>
      </c>
      <c r="Q1062" s="12">
        <v>46174.849305555559</v>
      </c>
      <c r="R1062" s="12">
        <v>46174.934027777781</v>
      </c>
      <c r="T1062" t="s">
        <v>2631</v>
      </c>
      <c r="U1062" t="b">
        <v>0</v>
      </c>
    </row>
    <row r="1063" spans="1:21">
      <c r="A1063" t="s">
        <v>4911</v>
      </c>
      <c r="B1063" t="s">
        <v>1320</v>
      </c>
      <c r="C1063" t="s">
        <v>1771</v>
      </c>
      <c r="D1063" t="s">
        <v>4912</v>
      </c>
      <c r="E1063" t="s">
        <v>4913</v>
      </c>
      <c r="F1063" t="s">
        <v>1294</v>
      </c>
      <c r="G1063">
        <v>427</v>
      </c>
      <c r="H1063" t="s">
        <v>68</v>
      </c>
      <c r="I1063" t="s">
        <v>30</v>
      </c>
      <c r="J1063" t="s">
        <v>1317</v>
      </c>
      <c r="K1063">
        <v>54</v>
      </c>
      <c r="L1063" t="s">
        <v>2601</v>
      </c>
      <c r="M1063" t="s">
        <v>2618</v>
      </c>
      <c r="N1063" t="s">
        <v>55</v>
      </c>
      <c r="O1063" s="12">
        <v>45573.736111111109</v>
      </c>
      <c r="Q1063" s="12">
        <v>45573.777083333334</v>
      </c>
      <c r="R1063" s="12">
        <v>45573.897222222222</v>
      </c>
      <c r="T1063" t="s">
        <v>2648</v>
      </c>
      <c r="U1063" t="b">
        <v>0</v>
      </c>
    </row>
    <row r="1064" spans="1:21">
      <c r="A1064" t="s">
        <v>4914</v>
      </c>
      <c r="B1064" t="s">
        <v>2693</v>
      </c>
      <c r="C1064" t="s">
        <v>1158</v>
      </c>
      <c r="D1064" t="s">
        <v>4915</v>
      </c>
      <c r="E1064" t="s">
        <v>4916</v>
      </c>
      <c r="F1064" t="s">
        <v>1448</v>
      </c>
      <c r="G1064">
        <v>145</v>
      </c>
      <c r="H1064" t="s">
        <v>50</v>
      </c>
      <c r="I1064" t="s">
        <v>24</v>
      </c>
      <c r="J1064" t="s">
        <v>1355</v>
      </c>
      <c r="K1064">
        <v>49</v>
      </c>
      <c r="L1064" t="s">
        <v>2592</v>
      </c>
      <c r="M1064" t="s">
        <v>2618</v>
      </c>
      <c r="N1064" t="s">
        <v>59</v>
      </c>
      <c r="O1064" s="12">
        <v>45880.781944444447</v>
      </c>
      <c r="P1064" s="12">
        <v>45881.781944444447</v>
      </c>
      <c r="Q1064" s="12">
        <v>45880.933333333334</v>
      </c>
      <c r="R1064" s="12">
        <v>45881.89166666667</v>
      </c>
      <c r="T1064" t="s">
        <v>2933</v>
      </c>
      <c r="U1064" t="b">
        <v>0</v>
      </c>
    </row>
    <row r="1065" spans="1:21">
      <c r="A1065" t="s">
        <v>4917</v>
      </c>
      <c r="B1065" t="s">
        <v>1485</v>
      </c>
      <c r="C1065" t="s">
        <v>2033</v>
      </c>
      <c r="D1065" t="s">
        <v>4918</v>
      </c>
      <c r="E1065" t="s">
        <v>4919</v>
      </c>
      <c r="F1065" t="s">
        <v>1517</v>
      </c>
      <c r="G1065">
        <v>94</v>
      </c>
      <c r="H1065" t="s">
        <v>68</v>
      </c>
      <c r="I1065" t="s">
        <v>24</v>
      </c>
      <c r="J1065" t="s">
        <v>1281</v>
      </c>
      <c r="K1065">
        <v>83</v>
      </c>
      <c r="L1065" t="s">
        <v>2642</v>
      </c>
      <c r="M1065" t="s">
        <v>2643</v>
      </c>
      <c r="N1065" t="s">
        <v>69</v>
      </c>
      <c r="O1065" s="12">
        <v>45695.1875</v>
      </c>
      <c r="P1065" s="12">
        <v>45696.979166666664</v>
      </c>
      <c r="Q1065" s="12">
        <v>45695.324305555558</v>
      </c>
      <c r="R1065" s="12">
        <v>45695.441666666666</v>
      </c>
      <c r="S1065" s="12">
        <v>45702.604166666664</v>
      </c>
      <c r="U1065" t="b">
        <v>0</v>
      </c>
    </row>
    <row r="1066" spans="1:21">
      <c r="A1066" t="s">
        <v>4920</v>
      </c>
      <c r="B1066" t="s">
        <v>2611</v>
      </c>
      <c r="C1066" t="s">
        <v>1158</v>
      </c>
      <c r="D1066" t="s">
        <v>4921</v>
      </c>
      <c r="E1066" t="s">
        <v>4922</v>
      </c>
      <c r="F1066" t="s">
        <v>1182</v>
      </c>
      <c r="G1066">
        <v>97</v>
      </c>
      <c r="H1066" t="s">
        <v>50</v>
      </c>
      <c r="I1066" t="s">
        <v>24</v>
      </c>
      <c r="J1066" t="s">
        <v>1317</v>
      </c>
      <c r="K1066">
        <v>56</v>
      </c>
      <c r="L1066" t="s">
        <v>2601</v>
      </c>
      <c r="M1066" t="s">
        <v>2618</v>
      </c>
      <c r="N1066" t="s">
        <v>59</v>
      </c>
      <c r="O1066" s="12">
        <v>45294.140277777777</v>
      </c>
      <c r="Q1066" s="12">
        <v>45294.313888888886</v>
      </c>
      <c r="R1066" s="12">
        <v>45294.402777777781</v>
      </c>
      <c r="T1066" t="s">
        <v>2673</v>
      </c>
      <c r="U1066" t="b">
        <v>0</v>
      </c>
    </row>
    <row r="1067" spans="1:21">
      <c r="A1067" t="s">
        <v>4923</v>
      </c>
      <c r="B1067" t="s">
        <v>2693</v>
      </c>
      <c r="C1067" t="s">
        <v>1378</v>
      </c>
      <c r="D1067" t="s">
        <v>4924</v>
      </c>
      <c r="E1067" t="s">
        <v>4925</v>
      </c>
      <c r="F1067" t="s">
        <v>1487</v>
      </c>
      <c r="G1067">
        <v>8</v>
      </c>
      <c r="H1067" t="s">
        <v>366</v>
      </c>
      <c r="J1067" t="s">
        <v>1288</v>
      </c>
      <c r="K1067">
        <v>45</v>
      </c>
      <c r="L1067" t="s">
        <v>2601</v>
      </c>
      <c r="M1067" t="s">
        <v>2618</v>
      </c>
      <c r="O1067" s="12">
        <v>45674.195138888892</v>
      </c>
      <c r="T1067" t="s">
        <v>2933</v>
      </c>
      <c r="U1067" t="b">
        <v>0</v>
      </c>
    </row>
    <row r="1068" spans="1:21">
      <c r="A1068" t="s">
        <v>4926</v>
      </c>
      <c r="B1068" t="s">
        <v>2682</v>
      </c>
      <c r="C1068" t="s">
        <v>1197</v>
      </c>
      <c r="D1068" t="s">
        <v>4927</v>
      </c>
      <c r="E1068" t="s">
        <v>4928</v>
      </c>
      <c r="F1068" t="s">
        <v>1294</v>
      </c>
      <c r="G1068">
        <v>110</v>
      </c>
      <c r="H1068" t="s">
        <v>226</v>
      </c>
      <c r="I1068" t="s">
        <v>24</v>
      </c>
      <c r="J1068" t="s">
        <v>1288</v>
      </c>
      <c r="K1068">
        <v>62</v>
      </c>
      <c r="L1068" t="s">
        <v>2601</v>
      </c>
      <c r="M1068" t="s">
        <v>2593</v>
      </c>
      <c r="N1068" t="s">
        <v>69</v>
      </c>
      <c r="O1068" s="12">
        <v>45889.290277777778</v>
      </c>
      <c r="Q1068" s="12">
        <v>45889.482638888891</v>
      </c>
      <c r="R1068" s="12">
        <v>45889.531944444447</v>
      </c>
      <c r="U1068" t="b">
        <v>0</v>
      </c>
    </row>
    <row r="1069" spans="1:21">
      <c r="A1069" t="s">
        <v>4929</v>
      </c>
      <c r="B1069" t="s">
        <v>2611</v>
      </c>
      <c r="C1069" t="s">
        <v>1197</v>
      </c>
      <c r="D1069" t="s">
        <v>4930</v>
      </c>
      <c r="E1069" t="s">
        <v>4931</v>
      </c>
      <c r="F1069" t="s">
        <v>1448</v>
      </c>
      <c r="G1069">
        <v>2383</v>
      </c>
      <c r="H1069" t="s">
        <v>50</v>
      </c>
      <c r="I1069" t="s">
        <v>17</v>
      </c>
      <c r="J1069" t="s">
        <v>1413</v>
      </c>
      <c r="K1069">
        <v>56</v>
      </c>
      <c r="L1069" t="s">
        <v>2601</v>
      </c>
      <c r="M1069" t="s">
        <v>2605</v>
      </c>
      <c r="N1069" t="s">
        <v>36</v>
      </c>
      <c r="O1069" s="12">
        <v>45746.93472222222</v>
      </c>
      <c r="Q1069" s="12">
        <v>45747.15625</v>
      </c>
      <c r="R1069" s="12">
        <v>45747.309027777781</v>
      </c>
      <c r="U1069" t="b">
        <v>0</v>
      </c>
    </row>
    <row r="1070" spans="1:21">
      <c r="A1070" t="s">
        <v>4932</v>
      </c>
      <c r="B1070" t="s">
        <v>1111</v>
      </c>
      <c r="C1070" t="s">
        <v>1291</v>
      </c>
      <c r="D1070" t="s">
        <v>4933</v>
      </c>
      <c r="E1070" t="s">
        <v>4934</v>
      </c>
      <c r="F1070" t="s">
        <v>2271</v>
      </c>
      <c r="G1070">
        <v>707</v>
      </c>
      <c r="H1070" t="s">
        <v>635</v>
      </c>
      <c r="I1070" t="s">
        <v>30</v>
      </c>
      <c r="J1070" t="s">
        <v>1317</v>
      </c>
      <c r="K1070">
        <v>81</v>
      </c>
      <c r="L1070" t="s">
        <v>2592</v>
      </c>
      <c r="M1070" t="s">
        <v>2605</v>
      </c>
      <c r="N1070" t="s">
        <v>36</v>
      </c>
      <c r="O1070" s="12">
        <v>45328.479166666664</v>
      </c>
      <c r="P1070" s="12">
        <v>45329.520833333336</v>
      </c>
      <c r="Q1070" s="12">
        <v>45328.664583333331</v>
      </c>
      <c r="R1070" s="12">
        <v>45328.711111111108</v>
      </c>
      <c r="U1070" t="b">
        <v>0</v>
      </c>
    </row>
    <row r="1071" spans="1:21">
      <c r="A1071" t="s">
        <v>4935</v>
      </c>
      <c r="B1071" t="s">
        <v>2639</v>
      </c>
      <c r="C1071" t="s">
        <v>1222</v>
      </c>
      <c r="D1071" t="s">
        <v>4936</v>
      </c>
      <c r="E1071" t="s">
        <v>4937</v>
      </c>
      <c r="F1071" t="s">
        <v>2709</v>
      </c>
      <c r="G1071">
        <v>30</v>
      </c>
      <c r="H1071" t="s">
        <v>68</v>
      </c>
      <c r="I1071" t="s">
        <v>24</v>
      </c>
      <c r="J1071" t="s">
        <v>1317</v>
      </c>
      <c r="K1071">
        <v>64</v>
      </c>
      <c r="L1071" t="s">
        <v>2601</v>
      </c>
      <c r="M1071" t="s">
        <v>2605</v>
      </c>
      <c r="N1071" t="s">
        <v>69</v>
      </c>
      <c r="O1071" s="12">
        <v>45510.959722222222</v>
      </c>
      <c r="Q1071" s="12">
        <v>45511.206944444442</v>
      </c>
      <c r="R1071" s="12">
        <v>45511.498611111114</v>
      </c>
      <c r="U1071" t="b">
        <v>0</v>
      </c>
    </row>
    <row r="1072" spans="1:21">
      <c r="A1072" t="s">
        <v>4938</v>
      </c>
      <c r="B1072" t="s">
        <v>2693</v>
      </c>
      <c r="C1072" t="s">
        <v>1353</v>
      </c>
      <c r="D1072" t="s">
        <v>4939</v>
      </c>
      <c r="E1072" t="s">
        <v>4940</v>
      </c>
      <c r="F1072" t="s">
        <v>2680</v>
      </c>
      <c r="G1072">
        <v>2151</v>
      </c>
      <c r="H1072" t="s">
        <v>366</v>
      </c>
      <c r="I1072" t="s">
        <v>17</v>
      </c>
      <c r="J1072" t="s">
        <v>1413</v>
      </c>
      <c r="K1072">
        <v>73</v>
      </c>
      <c r="L1072" t="s">
        <v>2592</v>
      </c>
      <c r="M1072" t="s">
        <v>2618</v>
      </c>
      <c r="N1072" t="s">
        <v>82</v>
      </c>
      <c r="O1072" s="12">
        <v>45972.529166666667</v>
      </c>
      <c r="P1072" s="12">
        <v>45974.779166666667</v>
      </c>
      <c r="Q1072" s="12">
        <v>45972.536111111112</v>
      </c>
      <c r="R1072" s="12">
        <v>45972.61041666667</v>
      </c>
      <c r="T1072" t="s">
        <v>2685</v>
      </c>
      <c r="U1072" t="b">
        <v>0</v>
      </c>
    </row>
    <row r="1073" spans="1:21">
      <c r="A1073" t="s">
        <v>4941</v>
      </c>
      <c r="B1073" t="s">
        <v>3169</v>
      </c>
      <c r="C1073" t="s">
        <v>1158</v>
      </c>
      <c r="D1073" t="s">
        <v>4942</v>
      </c>
      <c r="E1073" t="s">
        <v>4943</v>
      </c>
      <c r="F1073" t="s">
        <v>2271</v>
      </c>
      <c r="G1073">
        <v>606</v>
      </c>
      <c r="H1073" t="s">
        <v>161</v>
      </c>
      <c r="I1073" t="s">
        <v>30</v>
      </c>
      <c r="J1073" t="s">
        <v>1295</v>
      </c>
      <c r="K1073">
        <v>85</v>
      </c>
      <c r="L1073" t="s">
        <v>2642</v>
      </c>
      <c r="M1073" t="s">
        <v>2643</v>
      </c>
      <c r="N1073" t="s">
        <v>36</v>
      </c>
      <c r="O1073" s="12">
        <v>45750.679861111108</v>
      </c>
      <c r="P1073" s="12">
        <v>45753.554861111108</v>
      </c>
      <c r="Q1073" s="12">
        <v>45750.780555555553</v>
      </c>
      <c r="R1073" s="12">
        <v>45750.834722222222</v>
      </c>
      <c r="S1073" s="12">
        <v>45760.054861111108</v>
      </c>
      <c r="U1073" t="b">
        <v>0</v>
      </c>
    </row>
    <row r="1074" spans="1:21">
      <c r="A1074" t="s">
        <v>4944</v>
      </c>
      <c r="B1074" t="s">
        <v>1161</v>
      </c>
      <c r="C1074" t="s">
        <v>1541</v>
      </c>
      <c r="D1074" t="s">
        <v>4945</v>
      </c>
      <c r="E1074" t="s">
        <v>4946</v>
      </c>
      <c r="F1074" t="s">
        <v>2755</v>
      </c>
      <c r="G1074">
        <v>86</v>
      </c>
      <c r="H1074" t="s">
        <v>16</v>
      </c>
      <c r="I1074" t="s">
        <v>24</v>
      </c>
      <c r="J1074" t="s">
        <v>1288</v>
      </c>
      <c r="K1074">
        <v>38</v>
      </c>
      <c r="L1074" t="s">
        <v>2601</v>
      </c>
      <c r="M1074" t="s">
        <v>2618</v>
      </c>
      <c r="N1074" t="s">
        <v>91</v>
      </c>
      <c r="O1074" s="12">
        <v>46002.200694444444</v>
      </c>
      <c r="Q1074" s="12">
        <v>46002.344444444447</v>
      </c>
      <c r="R1074" s="12">
        <v>46002.384027777778</v>
      </c>
      <c r="T1074" t="s">
        <v>2673</v>
      </c>
      <c r="U1074" t="b">
        <v>0</v>
      </c>
    </row>
    <row r="1075" spans="1:21">
      <c r="A1075" t="s">
        <v>4947</v>
      </c>
      <c r="B1075" t="s">
        <v>2666</v>
      </c>
      <c r="C1075" t="s">
        <v>1418</v>
      </c>
      <c r="D1075" t="s">
        <v>4948</v>
      </c>
      <c r="E1075" t="s">
        <v>4949</v>
      </c>
      <c r="F1075" t="s">
        <v>1309</v>
      </c>
      <c r="G1075">
        <v>664</v>
      </c>
      <c r="H1075" t="s">
        <v>23</v>
      </c>
      <c r="I1075" t="s">
        <v>30</v>
      </c>
      <c r="J1075" t="s">
        <v>1271</v>
      </c>
      <c r="K1075">
        <v>63</v>
      </c>
      <c r="L1075" t="s">
        <v>2592</v>
      </c>
      <c r="M1075" t="s">
        <v>2593</v>
      </c>
      <c r="N1075" t="s">
        <v>82</v>
      </c>
      <c r="O1075" s="12">
        <v>45637.462500000001</v>
      </c>
      <c r="P1075" s="12">
        <v>45642.129166666666</v>
      </c>
      <c r="Q1075" s="12">
        <v>45637.620138888888</v>
      </c>
      <c r="R1075" s="12">
        <v>45637.688888888886</v>
      </c>
      <c r="U1075" t="b">
        <v>0</v>
      </c>
    </row>
    <row r="1076" spans="1:21">
      <c r="A1076" t="s">
        <v>4950</v>
      </c>
      <c r="B1076" t="s">
        <v>2834</v>
      </c>
      <c r="C1076" t="s">
        <v>1197</v>
      </c>
      <c r="D1076" t="s">
        <v>4951</v>
      </c>
      <c r="E1076" t="s">
        <v>4952</v>
      </c>
      <c r="F1076" t="s">
        <v>2617</v>
      </c>
      <c r="G1076">
        <v>497</v>
      </c>
      <c r="H1076" t="s">
        <v>81</v>
      </c>
      <c r="I1076" t="s">
        <v>30</v>
      </c>
      <c r="J1076" t="s">
        <v>1288</v>
      </c>
      <c r="K1076">
        <v>55</v>
      </c>
      <c r="L1076" t="s">
        <v>2601</v>
      </c>
      <c r="M1076" t="s">
        <v>2655</v>
      </c>
      <c r="N1076" t="s">
        <v>82</v>
      </c>
      <c r="O1076" s="12">
        <v>46052.255555555559</v>
      </c>
      <c r="Q1076" s="12">
        <v>46052.289583333331</v>
      </c>
      <c r="U1076" t="b">
        <v>0</v>
      </c>
    </row>
    <row r="1077" spans="1:21">
      <c r="A1077" t="s">
        <v>4953</v>
      </c>
      <c r="B1077" t="s">
        <v>2789</v>
      </c>
      <c r="C1077" t="s">
        <v>1418</v>
      </c>
      <c r="D1077" t="s">
        <v>4954</v>
      </c>
      <c r="E1077" t="s">
        <v>4955</v>
      </c>
      <c r="F1077" t="s">
        <v>2709</v>
      </c>
      <c r="G1077">
        <v>159</v>
      </c>
      <c r="H1077" t="s">
        <v>35</v>
      </c>
      <c r="I1077" t="s">
        <v>24</v>
      </c>
      <c r="J1077" t="s">
        <v>1339</v>
      </c>
      <c r="K1077">
        <v>90</v>
      </c>
      <c r="L1077" t="s">
        <v>2592</v>
      </c>
      <c r="M1077" t="s">
        <v>2593</v>
      </c>
      <c r="O1077" s="12">
        <v>45622.164583333331</v>
      </c>
      <c r="P1077" s="12">
        <v>45623.414583333331</v>
      </c>
      <c r="U1077" t="b">
        <v>0</v>
      </c>
    </row>
    <row r="1078" spans="1:21">
      <c r="A1078" t="s">
        <v>4956</v>
      </c>
      <c r="B1078" t="s">
        <v>2902</v>
      </c>
      <c r="C1078" t="s">
        <v>1436</v>
      </c>
      <c r="D1078" t="s">
        <v>4957</v>
      </c>
      <c r="E1078" t="s">
        <v>4958</v>
      </c>
      <c r="F1078" t="s">
        <v>1471</v>
      </c>
      <c r="G1078">
        <v>156</v>
      </c>
      <c r="H1078" t="s">
        <v>226</v>
      </c>
      <c r="I1078" t="s">
        <v>24</v>
      </c>
      <c r="J1078" t="s">
        <v>1288</v>
      </c>
      <c r="K1078">
        <v>37</v>
      </c>
      <c r="L1078" t="s">
        <v>2601</v>
      </c>
      <c r="M1078" t="s">
        <v>2655</v>
      </c>
      <c r="N1078" t="s">
        <v>69</v>
      </c>
      <c r="O1078" s="12">
        <v>46049.098611111112</v>
      </c>
      <c r="Q1078" s="12">
        <v>46049.34652777778</v>
      </c>
      <c r="U1078" t="b">
        <v>0</v>
      </c>
    </row>
    <row r="1079" spans="1:21">
      <c r="A1079" t="s">
        <v>4959</v>
      </c>
      <c r="B1079" t="s">
        <v>2811</v>
      </c>
      <c r="C1079" t="s">
        <v>1191</v>
      </c>
      <c r="D1079" t="s">
        <v>4960</v>
      </c>
      <c r="E1079" t="s">
        <v>4961</v>
      </c>
      <c r="F1079" t="s">
        <v>1448</v>
      </c>
      <c r="G1079">
        <v>741</v>
      </c>
      <c r="H1079" t="s">
        <v>120</v>
      </c>
      <c r="I1079" t="s">
        <v>30</v>
      </c>
      <c r="J1079" t="s">
        <v>1355</v>
      </c>
      <c r="K1079">
        <v>74</v>
      </c>
      <c r="L1079" t="s">
        <v>2642</v>
      </c>
      <c r="M1079" t="s">
        <v>2643</v>
      </c>
      <c r="N1079" t="s">
        <v>82</v>
      </c>
      <c r="O1079" s="12">
        <v>45713.450694444444</v>
      </c>
      <c r="P1079" s="12">
        <v>45716.742361111108</v>
      </c>
      <c r="Q1079" s="12">
        <v>45713.603472222225</v>
      </c>
      <c r="R1079" s="12">
        <v>45714.770138888889</v>
      </c>
      <c r="S1079" s="12">
        <v>45720.742361111108</v>
      </c>
      <c r="U1079" t="b">
        <v>0</v>
      </c>
    </row>
    <row r="1080" spans="1:21">
      <c r="A1080" t="s">
        <v>4962</v>
      </c>
      <c r="B1080" t="s">
        <v>2666</v>
      </c>
      <c r="C1080" t="s">
        <v>1222</v>
      </c>
      <c r="D1080" t="s">
        <v>4963</v>
      </c>
      <c r="E1080" t="s">
        <v>4964</v>
      </c>
      <c r="F1080" t="s">
        <v>1367</v>
      </c>
      <c r="G1080">
        <v>22</v>
      </c>
      <c r="H1080" t="s">
        <v>226</v>
      </c>
      <c r="I1080" t="s">
        <v>24</v>
      </c>
      <c r="J1080" t="s">
        <v>1413</v>
      </c>
      <c r="K1080">
        <v>55</v>
      </c>
      <c r="L1080" t="s">
        <v>2601</v>
      </c>
      <c r="M1080" t="s">
        <v>2655</v>
      </c>
      <c r="N1080" t="s">
        <v>69</v>
      </c>
      <c r="O1080" s="12">
        <v>45576.655555555553</v>
      </c>
      <c r="Q1080" s="12">
        <v>45576.720833333333</v>
      </c>
      <c r="U1080" t="b">
        <v>0</v>
      </c>
    </row>
    <row r="1081" spans="1:21">
      <c r="A1081" t="s">
        <v>4965</v>
      </c>
      <c r="B1081" t="s">
        <v>2578</v>
      </c>
      <c r="C1081" t="s">
        <v>1462</v>
      </c>
      <c r="D1081" t="s">
        <v>4966</v>
      </c>
      <c r="E1081" t="s">
        <v>4967</v>
      </c>
      <c r="F1081" t="s">
        <v>1784</v>
      </c>
      <c r="G1081">
        <v>191</v>
      </c>
      <c r="H1081" t="s">
        <v>68</v>
      </c>
      <c r="I1081" t="s">
        <v>17</v>
      </c>
      <c r="J1081" t="s">
        <v>1317</v>
      </c>
      <c r="K1081">
        <v>64</v>
      </c>
      <c r="L1081" t="s">
        <v>2601</v>
      </c>
      <c r="M1081" t="s">
        <v>2605</v>
      </c>
      <c r="N1081" t="s">
        <v>69</v>
      </c>
      <c r="O1081" s="12">
        <v>45664.018055555556</v>
      </c>
      <c r="Q1081" s="12">
        <v>45664.129166666666</v>
      </c>
      <c r="R1081" s="12">
        <v>45664.238194444442</v>
      </c>
      <c r="U1081" t="b">
        <v>0</v>
      </c>
    </row>
    <row r="1082" spans="1:21">
      <c r="A1082" t="s">
        <v>4968</v>
      </c>
      <c r="B1082" t="s">
        <v>1202</v>
      </c>
      <c r="C1082" t="s">
        <v>2283</v>
      </c>
      <c r="D1082" t="s">
        <v>4969</v>
      </c>
      <c r="E1082" t="s">
        <v>4970</v>
      </c>
      <c r="F1082" t="s">
        <v>1367</v>
      </c>
      <c r="G1082">
        <v>83</v>
      </c>
      <c r="H1082" t="s">
        <v>1093</v>
      </c>
      <c r="I1082" t="s">
        <v>24</v>
      </c>
      <c r="J1082" t="s">
        <v>1317</v>
      </c>
      <c r="K1082">
        <v>69</v>
      </c>
      <c r="L1082" t="s">
        <v>2592</v>
      </c>
      <c r="M1082" t="s">
        <v>2593</v>
      </c>
      <c r="N1082" t="s">
        <v>59</v>
      </c>
      <c r="O1082" s="12">
        <v>45937.121527777781</v>
      </c>
      <c r="P1082" s="12">
        <v>45941.746527777781</v>
      </c>
      <c r="Q1082" s="12">
        <v>45937.161805555559</v>
      </c>
      <c r="R1082" s="12">
        <v>45937.192361111112</v>
      </c>
      <c r="U1082" t="b">
        <v>0</v>
      </c>
    </row>
    <row r="1083" spans="1:21">
      <c r="A1083" t="s">
        <v>4971</v>
      </c>
      <c r="B1083" t="s">
        <v>1167</v>
      </c>
      <c r="C1083" t="s">
        <v>1197</v>
      </c>
      <c r="D1083" t="s">
        <v>4972</v>
      </c>
      <c r="E1083" t="s">
        <v>4973</v>
      </c>
      <c r="F1083" t="s">
        <v>1309</v>
      </c>
      <c r="G1083">
        <v>245</v>
      </c>
      <c r="H1083" t="s">
        <v>182</v>
      </c>
      <c r="I1083" t="s">
        <v>30</v>
      </c>
      <c r="J1083" t="s">
        <v>1295</v>
      </c>
      <c r="K1083">
        <v>96</v>
      </c>
      <c r="L1083" t="s">
        <v>2592</v>
      </c>
      <c r="M1083" t="s">
        <v>2605</v>
      </c>
      <c r="N1083" t="s">
        <v>36</v>
      </c>
      <c r="O1083" s="12">
        <v>45601.661805555559</v>
      </c>
      <c r="P1083" s="12">
        <v>45602.578472222223</v>
      </c>
      <c r="Q1083" s="12">
        <v>45601.895833333336</v>
      </c>
      <c r="R1083" s="12">
        <v>45601.945833333331</v>
      </c>
      <c r="U1083" t="b">
        <v>0</v>
      </c>
    </row>
    <row r="1084" spans="1:21">
      <c r="A1084" t="s">
        <v>4974</v>
      </c>
      <c r="B1084" t="s">
        <v>2645</v>
      </c>
      <c r="C1084" t="s">
        <v>1197</v>
      </c>
      <c r="D1084" t="s">
        <v>4975</v>
      </c>
      <c r="E1084" t="s">
        <v>4976</v>
      </c>
      <c r="F1084" t="s">
        <v>2680</v>
      </c>
      <c r="G1084">
        <v>131</v>
      </c>
      <c r="H1084" t="s">
        <v>81</v>
      </c>
      <c r="I1084" t="s">
        <v>24</v>
      </c>
      <c r="J1084" t="s">
        <v>1413</v>
      </c>
      <c r="K1084">
        <v>66</v>
      </c>
      <c r="L1084" t="s">
        <v>2592</v>
      </c>
      <c r="M1084" t="s">
        <v>2605</v>
      </c>
      <c r="N1084" t="s">
        <v>25</v>
      </c>
      <c r="O1084" s="12">
        <v>45919.061805555553</v>
      </c>
      <c r="P1084" s="12">
        <v>45922.478472222225</v>
      </c>
      <c r="Q1084" s="12">
        <v>45919.231944444444</v>
      </c>
      <c r="R1084" s="12">
        <v>45919.284722222219</v>
      </c>
      <c r="U1084" t="b">
        <v>0</v>
      </c>
    </row>
    <row r="1085" spans="1:21">
      <c r="A1085" t="s">
        <v>4977</v>
      </c>
      <c r="B1085" t="s">
        <v>1167</v>
      </c>
      <c r="C1085" t="s">
        <v>1971</v>
      </c>
      <c r="D1085" t="s">
        <v>4978</v>
      </c>
      <c r="E1085" t="s">
        <v>4979</v>
      </c>
      <c r="F1085" t="s">
        <v>1182</v>
      </c>
      <c r="G1085">
        <v>99</v>
      </c>
      <c r="H1085" t="s">
        <v>16</v>
      </c>
      <c r="I1085" t="s">
        <v>24</v>
      </c>
      <c r="J1085" t="s">
        <v>1317</v>
      </c>
      <c r="K1085">
        <v>78</v>
      </c>
      <c r="L1085" t="s">
        <v>2601</v>
      </c>
      <c r="M1085" t="s">
        <v>2593</v>
      </c>
      <c r="N1085" t="s">
        <v>91</v>
      </c>
      <c r="O1085" s="12">
        <v>46208.685416666667</v>
      </c>
      <c r="Q1085" s="12">
        <v>46208.800694444442</v>
      </c>
      <c r="R1085" s="12">
        <v>46208.950694444444</v>
      </c>
      <c r="U1085" t="b">
        <v>0</v>
      </c>
    </row>
    <row r="1086" spans="1:21">
      <c r="A1086" t="s">
        <v>4980</v>
      </c>
      <c r="B1086" t="s">
        <v>1111</v>
      </c>
      <c r="C1086" t="s">
        <v>1162</v>
      </c>
      <c r="D1086" t="s">
        <v>4981</v>
      </c>
      <c r="E1086" t="s">
        <v>4982</v>
      </c>
      <c r="F1086" t="s">
        <v>1294</v>
      </c>
      <c r="G1086">
        <v>98</v>
      </c>
      <c r="H1086" t="s">
        <v>95</v>
      </c>
      <c r="I1086" t="s">
        <v>24</v>
      </c>
      <c r="J1086" t="s">
        <v>1281</v>
      </c>
      <c r="K1086">
        <v>78</v>
      </c>
      <c r="L1086" t="s">
        <v>2642</v>
      </c>
      <c r="M1086" t="s">
        <v>2643</v>
      </c>
      <c r="N1086" t="s">
        <v>91</v>
      </c>
      <c r="O1086" s="12">
        <v>45359.068055555559</v>
      </c>
      <c r="P1086" s="12">
        <v>45359.109722222223</v>
      </c>
      <c r="Q1086" s="12">
        <v>45359.080555555556</v>
      </c>
      <c r="R1086" s="12">
        <v>45359.220833333333</v>
      </c>
      <c r="S1086" s="12">
        <v>45364.943055555559</v>
      </c>
      <c r="U1086" t="b">
        <v>0</v>
      </c>
    </row>
    <row r="1087" spans="1:21">
      <c r="A1087" t="s">
        <v>4983</v>
      </c>
      <c r="B1087" t="s">
        <v>1320</v>
      </c>
      <c r="C1087" t="s">
        <v>1119</v>
      </c>
      <c r="D1087" t="s">
        <v>4984</v>
      </c>
      <c r="E1087" t="s">
        <v>4985</v>
      </c>
      <c r="F1087" t="s">
        <v>1420</v>
      </c>
      <c r="G1087">
        <v>188</v>
      </c>
      <c r="H1087" t="s">
        <v>205</v>
      </c>
      <c r="I1087" t="s">
        <v>24</v>
      </c>
      <c r="J1087" t="s">
        <v>1355</v>
      </c>
      <c r="K1087">
        <v>73</v>
      </c>
      <c r="L1087" t="s">
        <v>2642</v>
      </c>
      <c r="M1087" t="s">
        <v>2643</v>
      </c>
      <c r="N1087" t="s">
        <v>59</v>
      </c>
      <c r="O1087" s="12">
        <v>45780.048611111109</v>
      </c>
      <c r="P1087" s="12">
        <v>45782.715277777781</v>
      </c>
      <c r="Q1087" s="12">
        <v>45780.295138888891</v>
      </c>
      <c r="R1087" s="12">
        <v>45780.379166666666</v>
      </c>
      <c r="S1087" s="12">
        <v>45787.881944444445</v>
      </c>
      <c r="U1087" t="b">
        <v>0</v>
      </c>
    </row>
    <row r="1088" spans="1:21">
      <c r="A1088" t="s">
        <v>4986</v>
      </c>
      <c r="B1088" t="s">
        <v>1649</v>
      </c>
      <c r="C1088" t="s">
        <v>1579</v>
      </c>
      <c r="D1088" t="s">
        <v>4987</v>
      </c>
      <c r="E1088" t="s">
        <v>4988</v>
      </c>
      <c r="F1088" t="s">
        <v>2617</v>
      </c>
      <c r="G1088">
        <v>192</v>
      </c>
      <c r="H1088" t="s">
        <v>1042</v>
      </c>
      <c r="I1088" t="s">
        <v>24</v>
      </c>
      <c r="J1088" t="s">
        <v>1413</v>
      </c>
      <c r="K1088">
        <v>63</v>
      </c>
      <c r="L1088" t="s">
        <v>2601</v>
      </c>
      <c r="M1088" t="s">
        <v>2618</v>
      </c>
      <c r="N1088" t="s">
        <v>91</v>
      </c>
      <c r="O1088" s="12">
        <v>45634.356249999997</v>
      </c>
      <c r="Q1088" s="12">
        <v>45634.601388888892</v>
      </c>
      <c r="R1088" s="12">
        <v>45635.601388888892</v>
      </c>
      <c r="T1088" t="s">
        <v>2673</v>
      </c>
      <c r="U1088" t="b">
        <v>0</v>
      </c>
    </row>
    <row r="1089" spans="1:21">
      <c r="A1089" t="s">
        <v>4989</v>
      </c>
      <c r="B1089" t="s">
        <v>2874</v>
      </c>
      <c r="C1089" t="s">
        <v>1337</v>
      </c>
      <c r="D1089" t="s">
        <v>4990</v>
      </c>
      <c r="E1089" t="s">
        <v>4991</v>
      </c>
      <c r="F1089" t="s">
        <v>2709</v>
      </c>
      <c r="G1089">
        <v>600</v>
      </c>
      <c r="H1089" t="s">
        <v>182</v>
      </c>
      <c r="I1089" t="s">
        <v>30</v>
      </c>
      <c r="J1089" t="s">
        <v>1355</v>
      </c>
      <c r="K1089">
        <v>76</v>
      </c>
      <c r="L1089" t="s">
        <v>2592</v>
      </c>
      <c r="M1089" t="s">
        <v>2597</v>
      </c>
      <c r="N1089" t="s">
        <v>36</v>
      </c>
      <c r="O1089" s="12">
        <v>45927.206250000003</v>
      </c>
      <c r="P1089" s="12">
        <v>45928.622916666667</v>
      </c>
      <c r="Q1089" s="12">
        <v>45927.263194444444</v>
      </c>
      <c r="R1089" s="12">
        <v>45927.411805555559</v>
      </c>
      <c r="U1089" t="b">
        <v>0</v>
      </c>
    </row>
    <row r="1090" spans="1:21">
      <c r="A1090" t="s">
        <v>4992</v>
      </c>
      <c r="B1090" t="s">
        <v>1485</v>
      </c>
      <c r="C1090" t="s">
        <v>1148</v>
      </c>
      <c r="D1090" t="s">
        <v>4993</v>
      </c>
      <c r="E1090" t="s">
        <v>4994</v>
      </c>
      <c r="F1090" t="s">
        <v>1471</v>
      </c>
      <c r="G1090">
        <v>18</v>
      </c>
      <c r="H1090" t="s">
        <v>178</v>
      </c>
      <c r="J1090" t="s">
        <v>1271</v>
      </c>
      <c r="K1090">
        <v>68</v>
      </c>
      <c r="L1090" t="s">
        <v>2601</v>
      </c>
      <c r="M1090" t="s">
        <v>2618</v>
      </c>
      <c r="O1090" s="12">
        <v>46145.547222222223</v>
      </c>
      <c r="T1090" t="s">
        <v>2933</v>
      </c>
      <c r="U1090" t="b">
        <v>0</v>
      </c>
    </row>
    <row r="1091" spans="1:21">
      <c r="A1091" t="s">
        <v>4995</v>
      </c>
      <c r="B1091" t="s">
        <v>2789</v>
      </c>
      <c r="C1091" t="s">
        <v>1172</v>
      </c>
      <c r="D1091" t="s">
        <v>4996</v>
      </c>
      <c r="E1091" t="s">
        <v>4997</v>
      </c>
      <c r="F1091" t="s">
        <v>2755</v>
      </c>
      <c r="G1091">
        <v>1234</v>
      </c>
      <c r="H1091" t="s">
        <v>54</v>
      </c>
      <c r="I1091" t="s">
        <v>17</v>
      </c>
      <c r="J1091" t="s">
        <v>1295</v>
      </c>
      <c r="K1091">
        <v>86</v>
      </c>
      <c r="L1091" t="s">
        <v>2642</v>
      </c>
      <c r="M1091" t="s">
        <v>2643</v>
      </c>
      <c r="N1091" t="s">
        <v>55</v>
      </c>
      <c r="O1091" s="12">
        <v>45962.102777777778</v>
      </c>
      <c r="P1091" s="12">
        <v>45962.686111111114</v>
      </c>
      <c r="Q1091" s="12">
        <v>45962.132638888892</v>
      </c>
      <c r="R1091" s="12">
        <v>45962.279166666667</v>
      </c>
      <c r="S1091" s="12">
        <v>45963.061111111114</v>
      </c>
      <c r="U1091" t="b">
        <v>0</v>
      </c>
    </row>
    <row r="1092" spans="1:21">
      <c r="A1092" t="s">
        <v>4998</v>
      </c>
      <c r="B1092" t="s">
        <v>1176</v>
      </c>
      <c r="C1092" t="s">
        <v>1162</v>
      </c>
      <c r="D1092" t="s">
        <v>4999</v>
      </c>
      <c r="E1092" t="s">
        <v>5000</v>
      </c>
      <c r="F1092" t="s">
        <v>1182</v>
      </c>
      <c r="G1092">
        <v>2419</v>
      </c>
      <c r="H1092" t="s">
        <v>50</v>
      </c>
      <c r="I1092" t="s">
        <v>17</v>
      </c>
      <c r="J1092" t="s">
        <v>1413</v>
      </c>
      <c r="K1092">
        <v>70</v>
      </c>
      <c r="L1092" t="s">
        <v>2601</v>
      </c>
      <c r="M1092" t="s">
        <v>2618</v>
      </c>
      <c r="N1092" t="s">
        <v>36</v>
      </c>
      <c r="O1092" s="12">
        <v>46150.763888888891</v>
      </c>
      <c r="Q1092" s="12">
        <v>46150.984027777777</v>
      </c>
      <c r="R1092" s="12">
        <v>46151.036805555559</v>
      </c>
      <c r="T1092" t="s">
        <v>2619</v>
      </c>
      <c r="U1092" t="b">
        <v>0</v>
      </c>
    </row>
    <row r="1093" spans="1:21">
      <c r="A1093" t="s">
        <v>5001</v>
      </c>
      <c r="B1093" t="s">
        <v>2578</v>
      </c>
      <c r="C1093" t="s">
        <v>1365</v>
      </c>
      <c r="D1093" t="s">
        <v>5002</v>
      </c>
      <c r="E1093" t="s">
        <v>5003</v>
      </c>
      <c r="F1093" t="s">
        <v>1471</v>
      </c>
      <c r="G1093">
        <v>2465</v>
      </c>
      <c r="H1093" t="s">
        <v>16</v>
      </c>
      <c r="I1093" t="s">
        <v>17</v>
      </c>
      <c r="J1093" t="s">
        <v>1355</v>
      </c>
      <c r="K1093">
        <v>60</v>
      </c>
      <c r="L1093" t="s">
        <v>2592</v>
      </c>
      <c r="M1093" t="s">
        <v>2593</v>
      </c>
      <c r="N1093" t="s">
        <v>18</v>
      </c>
      <c r="O1093" s="12">
        <v>45327.640972222223</v>
      </c>
      <c r="P1093" s="12">
        <v>45329.640972222223</v>
      </c>
      <c r="Q1093" s="12">
        <v>45327.828472222223</v>
      </c>
      <c r="R1093" s="12">
        <v>45327.875</v>
      </c>
      <c r="U1093" t="b">
        <v>0</v>
      </c>
    </row>
    <row r="1094" spans="1:21">
      <c r="A1094" t="s">
        <v>5004</v>
      </c>
      <c r="B1094" t="s">
        <v>1221</v>
      </c>
      <c r="C1094" t="s">
        <v>1172</v>
      </c>
      <c r="D1094" t="s">
        <v>5005</v>
      </c>
      <c r="E1094" t="s">
        <v>5006</v>
      </c>
      <c r="F1094" t="s">
        <v>1784</v>
      </c>
      <c r="G1094">
        <v>79</v>
      </c>
      <c r="H1094" t="s">
        <v>212</v>
      </c>
      <c r="I1094" t="s">
        <v>24</v>
      </c>
      <c r="J1094" t="s">
        <v>1355</v>
      </c>
      <c r="K1094">
        <v>66</v>
      </c>
      <c r="L1094" t="s">
        <v>2601</v>
      </c>
      <c r="M1094" t="s">
        <v>2605</v>
      </c>
      <c r="N1094" t="s">
        <v>69</v>
      </c>
      <c r="O1094" s="12">
        <v>45377.138888888891</v>
      </c>
      <c r="Q1094" s="12">
        <v>45377.206250000003</v>
      </c>
      <c r="R1094" s="12">
        <v>45378.706250000003</v>
      </c>
      <c r="U1094" t="b">
        <v>0</v>
      </c>
    </row>
    <row r="1095" spans="1:21">
      <c r="A1095" t="s">
        <v>5007</v>
      </c>
      <c r="B1095" t="s">
        <v>1138</v>
      </c>
      <c r="C1095" t="s">
        <v>2059</v>
      </c>
      <c r="D1095" t="s">
        <v>5008</v>
      </c>
      <c r="E1095" t="s">
        <v>5009</v>
      </c>
      <c r="F1095" t="s">
        <v>1448</v>
      </c>
      <c r="G1095">
        <v>147</v>
      </c>
      <c r="H1095" t="s">
        <v>81</v>
      </c>
      <c r="I1095" t="s">
        <v>24</v>
      </c>
      <c r="J1095" t="s">
        <v>1413</v>
      </c>
      <c r="K1095">
        <v>60</v>
      </c>
      <c r="L1095" t="s">
        <v>2601</v>
      </c>
      <c r="M1095" t="s">
        <v>2593</v>
      </c>
      <c r="N1095" t="s">
        <v>25</v>
      </c>
      <c r="O1095" s="12">
        <v>46026.28125</v>
      </c>
      <c r="Q1095" s="12">
        <v>46026.405555555553</v>
      </c>
      <c r="R1095" s="12">
        <v>46026.45416666667</v>
      </c>
      <c r="U1095" t="b">
        <v>0</v>
      </c>
    </row>
    <row r="1096" spans="1:21">
      <c r="A1096" t="s">
        <v>5010</v>
      </c>
      <c r="B1096" t="s">
        <v>2760</v>
      </c>
      <c r="C1096" t="s">
        <v>1579</v>
      </c>
      <c r="D1096" t="s">
        <v>5011</v>
      </c>
      <c r="E1096" t="s">
        <v>5012</v>
      </c>
      <c r="F1096" t="s">
        <v>1511</v>
      </c>
      <c r="G1096">
        <v>309</v>
      </c>
      <c r="H1096" t="s">
        <v>64</v>
      </c>
      <c r="I1096" t="s">
        <v>30</v>
      </c>
      <c r="J1096" t="s">
        <v>1288</v>
      </c>
      <c r="K1096">
        <v>68</v>
      </c>
      <c r="L1096" t="s">
        <v>2592</v>
      </c>
      <c r="M1096" t="s">
        <v>2593</v>
      </c>
      <c r="N1096" t="s">
        <v>55</v>
      </c>
      <c r="O1096" s="12">
        <v>45335.267361111109</v>
      </c>
      <c r="P1096" s="12">
        <v>45339.892361111109</v>
      </c>
      <c r="Q1096" s="12">
        <v>45335.432638888888</v>
      </c>
      <c r="R1096" s="12">
        <v>45336.224305555559</v>
      </c>
      <c r="U1096" t="b">
        <v>0</v>
      </c>
    </row>
    <row r="1097" spans="1:21">
      <c r="A1097" t="s">
        <v>5013</v>
      </c>
      <c r="B1097" t="s">
        <v>2711</v>
      </c>
      <c r="C1097" t="s">
        <v>1278</v>
      </c>
      <c r="D1097" t="s">
        <v>5014</v>
      </c>
      <c r="E1097" t="s">
        <v>5015</v>
      </c>
      <c r="F1097" t="s">
        <v>1412</v>
      </c>
      <c r="G1097">
        <v>77</v>
      </c>
      <c r="H1097" t="s">
        <v>226</v>
      </c>
      <c r="I1097" t="s">
        <v>24</v>
      </c>
      <c r="J1097" t="s">
        <v>1317</v>
      </c>
      <c r="K1097">
        <v>60</v>
      </c>
      <c r="L1097" t="s">
        <v>2592</v>
      </c>
      <c r="M1097" t="s">
        <v>2593</v>
      </c>
      <c r="N1097" t="s">
        <v>69</v>
      </c>
      <c r="O1097" s="12">
        <v>45515.19027777778</v>
      </c>
      <c r="P1097" s="12">
        <v>45516.981944444444</v>
      </c>
      <c r="Q1097" s="12">
        <v>45515.404861111114</v>
      </c>
      <c r="R1097" s="12">
        <v>45515.414583333331</v>
      </c>
      <c r="U1097" t="b">
        <v>0</v>
      </c>
    </row>
    <row r="1098" spans="1:21">
      <c r="A1098" t="s">
        <v>5016</v>
      </c>
      <c r="B1098" t="s">
        <v>2611</v>
      </c>
      <c r="C1098" t="s">
        <v>1650</v>
      </c>
      <c r="D1098" t="s">
        <v>5017</v>
      </c>
      <c r="E1098" t="s">
        <v>5018</v>
      </c>
      <c r="F1098" t="s">
        <v>1843</v>
      </c>
      <c r="G1098">
        <v>140</v>
      </c>
      <c r="H1098" t="s">
        <v>16</v>
      </c>
      <c r="I1098" t="s">
        <v>24</v>
      </c>
      <c r="J1098" t="s">
        <v>1288</v>
      </c>
      <c r="K1098">
        <v>49</v>
      </c>
      <c r="L1098" t="s">
        <v>2601</v>
      </c>
      <c r="M1098" t="s">
        <v>2593</v>
      </c>
      <c r="N1098" t="s">
        <v>91</v>
      </c>
      <c r="O1098" s="12">
        <v>46197.476388888892</v>
      </c>
      <c r="Q1098" s="12">
        <v>46197.714583333334</v>
      </c>
      <c r="R1098" s="12">
        <v>46197.743750000001</v>
      </c>
      <c r="U1098" t="b">
        <v>0</v>
      </c>
    </row>
    <row r="1099" spans="1:21">
      <c r="A1099" t="s">
        <v>5019</v>
      </c>
      <c r="B1099" t="s">
        <v>1176</v>
      </c>
      <c r="C1099" t="s">
        <v>1475</v>
      </c>
      <c r="D1099" t="s">
        <v>5020</v>
      </c>
      <c r="E1099" t="s">
        <v>5021</v>
      </c>
      <c r="F1099" t="s">
        <v>1511</v>
      </c>
      <c r="G1099">
        <v>869</v>
      </c>
      <c r="H1099" t="s">
        <v>41</v>
      </c>
      <c r="I1099" t="s">
        <v>30</v>
      </c>
      <c r="J1099" t="s">
        <v>1271</v>
      </c>
      <c r="K1099">
        <v>50</v>
      </c>
      <c r="L1099" t="s">
        <v>2601</v>
      </c>
      <c r="M1099" t="s">
        <v>2655</v>
      </c>
      <c r="N1099" t="s">
        <v>82</v>
      </c>
      <c r="O1099" s="12">
        <v>45796.852083333331</v>
      </c>
      <c r="Q1099" s="12">
        <v>45796.947222222225</v>
      </c>
      <c r="U1099" t="b">
        <v>0</v>
      </c>
    </row>
    <row r="1100" spans="1:21">
      <c r="A1100" t="s">
        <v>5022</v>
      </c>
      <c r="B1100" t="s">
        <v>1521</v>
      </c>
      <c r="C1100" t="s">
        <v>1404</v>
      </c>
      <c r="D1100" t="s">
        <v>3656</v>
      </c>
      <c r="E1100" t="s">
        <v>5023</v>
      </c>
      <c r="F1100" t="s">
        <v>2709</v>
      </c>
      <c r="G1100">
        <v>399</v>
      </c>
      <c r="H1100" t="s">
        <v>212</v>
      </c>
      <c r="I1100" t="s">
        <v>30</v>
      </c>
      <c r="J1100" t="s">
        <v>1295</v>
      </c>
      <c r="K1100">
        <v>92</v>
      </c>
      <c r="L1100" t="s">
        <v>2592</v>
      </c>
      <c r="M1100" t="s">
        <v>2593</v>
      </c>
      <c r="N1100" t="s">
        <v>55</v>
      </c>
      <c r="O1100" s="12">
        <v>45987.40902777778</v>
      </c>
      <c r="P1100" s="12">
        <v>45987.53402777778</v>
      </c>
      <c r="Q1100" s="12">
        <v>45987.62222222222</v>
      </c>
      <c r="R1100" s="12">
        <v>45987.678472222222</v>
      </c>
      <c r="U1100" t="b">
        <v>0</v>
      </c>
    </row>
    <row r="1101" spans="1:21">
      <c r="A1101" t="s">
        <v>5024</v>
      </c>
      <c r="B1101" t="s">
        <v>2878</v>
      </c>
      <c r="C1101" t="s">
        <v>1650</v>
      </c>
      <c r="D1101" t="s">
        <v>5025</v>
      </c>
      <c r="E1101" t="s">
        <v>5026</v>
      </c>
      <c r="F1101" t="s">
        <v>1367</v>
      </c>
      <c r="G1101">
        <v>75</v>
      </c>
      <c r="H1101" t="s">
        <v>1042</v>
      </c>
      <c r="I1101" t="s">
        <v>24</v>
      </c>
      <c r="J1101" t="s">
        <v>1271</v>
      </c>
      <c r="K1101">
        <v>53</v>
      </c>
      <c r="L1101" t="s">
        <v>2592</v>
      </c>
      <c r="M1101" t="s">
        <v>2605</v>
      </c>
      <c r="N1101" t="s">
        <v>91</v>
      </c>
      <c r="O1101" s="12">
        <v>45892.888888888891</v>
      </c>
      <c r="P1101" s="12">
        <v>45895.680555555555</v>
      </c>
      <c r="Q1101" s="12">
        <v>45893</v>
      </c>
      <c r="R1101" s="12">
        <v>45893.070138888892</v>
      </c>
      <c r="U1101" t="b">
        <v>0</v>
      </c>
    </row>
    <row r="1102" spans="1:21">
      <c r="A1102" t="s">
        <v>5027</v>
      </c>
      <c r="B1102" t="s">
        <v>2878</v>
      </c>
      <c r="C1102" t="s">
        <v>1650</v>
      </c>
      <c r="D1102" t="s">
        <v>5028</v>
      </c>
      <c r="E1102" t="s">
        <v>5029</v>
      </c>
      <c r="F1102" t="s">
        <v>1420</v>
      </c>
      <c r="G1102">
        <v>32</v>
      </c>
      <c r="H1102" t="s">
        <v>635</v>
      </c>
      <c r="I1102" t="s">
        <v>24</v>
      </c>
      <c r="J1102" t="s">
        <v>1288</v>
      </c>
      <c r="K1102">
        <v>53</v>
      </c>
      <c r="L1102" t="s">
        <v>2601</v>
      </c>
      <c r="M1102" t="s">
        <v>2605</v>
      </c>
      <c r="O1102" s="12">
        <v>45465.486805555556</v>
      </c>
      <c r="U1102" t="b">
        <v>0</v>
      </c>
    </row>
    <row r="1103" spans="1:21">
      <c r="A1103" t="s">
        <v>5030</v>
      </c>
      <c r="B1103" t="s">
        <v>2811</v>
      </c>
      <c r="C1103" t="s">
        <v>1139</v>
      </c>
      <c r="D1103" t="s">
        <v>5031</v>
      </c>
      <c r="E1103" t="s">
        <v>5032</v>
      </c>
      <c r="F1103" t="s">
        <v>2271</v>
      </c>
      <c r="G1103">
        <v>86</v>
      </c>
      <c r="H1103" t="s">
        <v>41</v>
      </c>
      <c r="I1103" t="s">
        <v>24</v>
      </c>
      <c r="J1103" t="s">
        <v>1288</v>
      </c>
      <c r="K1103">
        <v>66</v>
      </c>
      <c r="L1103" t="s">
        <v>2642</v>
      </c>
      <c r="M1103" t="s">
        <v>2597</v>
      </c>
      <c r="N1103" t="s">
        <v>25</v>
      </c>
      <c r="O1103" s="12">
        <v>46095.637499999997</v>
      </c>
      <c r="P1103" s="12">
        <v>46100.054166666669</v>
      </c>
      <c r="Q1103" s="12">
        <v>46095.753472222219</v>
      </c>
      <c r="R1103" s="12">
        <v>46095.883333333331</v>
      </c>
      <c r="S1103" s="12">
        <v>46109.887499999997</v>
      </c>
      <c r="U1103" t="b">
        <v>0</v>
      </c>
    </row>
    <row r="1104" spans="1:21">
      <c r="A1104" t="s">
        <v>5033</v>
      </c>
      <c r="B1104" t="s">
        <v>2878</v>
      </c>
      <c r="C1104" t="s">
        <v>1490</v>
      </c>
      <c r="D1104" t="s">
        <v>5034</v>
      </c>
      <c r="E1104" t="s">
        <v>5035</v>
      </c>
      <c r="F1104" t="s">
        <v>2755</v>
      </c>
      <c r="G1104">
        <v>46</v>
      </c>
      <c r="H1104" t="s">
        <v>140</v>
      </c>
      <c r="I1104" t="s">
        <v>24</v>
      </c>
      <c r="J1104" t="s">
        <v>1317</v>
      </c>
      <c r="K1104">
        <v>82</v>
      </c>
      <c r="L1104" t="s">
        <v>2601</v>
      </c>
      <c r="M1104" t="s">
        <v>2618</v>
      </c>
      <c r="N1104" t="s">
        <v>25</v>
      </c>
      <c r="O1104" s="12">
        <v>45662.492361111108</v>
      </c>
      <c r="Q1104" s="12">
        <v>45662.607638888891</v>
      </c>
      <c r="R1104" s="12">
        <v>45662.647222222222</v>
      </c>
      <c r="T1104" t="s">
        <v>2739</v>
      </c>
      <c r="U1104" t="b">
        <v>0</v>
      </c>
    </row>
    <row r="1105" spans="1:21">
      <c r="A1105" t="s">
        <v>5036</v>
      </c>
      <c r="B1105" t="s">
        <v>1221</v>
      </c>
      <c r="C1105" t="s">
        <v>1168</v>
      </c>
      <c r="D1105" t="s">
        <v>5037</v>
      </c>
      <c r="E1105" t="s">
        <v>5038</v>
      </c>
      <c r="F1105" t="s">
        <v>1420</v>
      </c>
      <c r="G1105">
        <v>156</v>
      </c>
      <c r="H1105" t="s">
        <v>638</v>
      </c>
      <c r="I1105" t="s">
        <v>24</v>
      </c>
      <c r="J1105" t="s">
        <v>1295</v>
      </c>
      <c r="K1105">
        <v>91</v>
      </c>
      <c r="L1105" t="s">
        <v>2642</v>
      </c>
      <c r="M1105" t="s">
        <v>2597</v>
      </c>
      <c r="N1105" t="s">
        <v>69</v>
      </c>
      <c r="O1105" s="12">
        <v>45568.209722222222</v>
      </c>
      <c r="P1105" s="12">
        <v>45569.668055555558</v>
      </c>
      <c r="Q1105" s="12">
        <v>45568.418749999997</v>
      </c>
      <c r="R1105" s="12">
        <v>45568.425694444442</v>
      </c>
      <c r="S1105" s="12">
        <v>45570.543055555558</v>
      </c>
      <c r="U1105" t="b">
        <v>0</v>
      </c>
    </row>
    <row r="1106" spans="1:21">
      <c r="A1106" t="s">
        <v>5039</v>
      </c>
      <c r="B1106" t="s">
        <v>1584</v>
      </c>
      <c r="C1106" t="s">
        <v>1721</v>
      </c>
      <c r="D1106" t="s">
        <v>5040</v>
      </c>
      <c r="E1106" t="s">
        <v>5041</v>
      </c>
      <c r="F1106" t="s">
        <v>1294</v>
      </c>
      <c r="G1106">
        <v>66</v>
      </c>
      <c r="H1106" t="s">
        <v>404</v>
      </c>
      <c r="I1106" t="s">
        <v>24</v>
      </c>
      <c r="J1106" t="s">
        <v>1271</v>
      </c>
      <c r="K1106">
        <v>56</v>
      </c>
      <c r="L1106" t="s">
        <v>2601</v>
      </c>
      <c r="M1106" t="s">
        <v>2655</v>
      </c>
      <c r="N1106" t="s">
        <v>25</v>
      </c>
      <c r="O1106" s="12">
        <v>45847.282638888886</v>
      </c>
      <c r="Q1106" s="12">
        <v>45847.455555555556</v>
      </c>
      <c r="U1106" t="b">
        <v>0</v>
      </c>
    </row>
    <row r="1107" spans="1:21">
      <c r="A1107" t="s">
        <v>5042</v>
      </c>
      <c r="B1107" t="s">
        <v>2607</v>
      </c>
      <c r="C1107" t="s">
        <v>1631</v>
      </c>
      <c r="D1107" t="s">
        <v>5043</v>
      </c>
      <c r="E1107" t="s">
        <v>5044</v>
      </c>
      <c r="F1107" t="s">
        <v>1367</v>
      </c>
      <c r="G1107">
        <v>707</v>
      </c>
      <c r="H1107" t="s">
        <v>50</v>
      </c>
      <c r="I1107" t="s">
        <v>30</v>
      </c>
      <c r="J1107" t="s">
        <v>1271</v>
      </c>
      <c r="K1107">
        <v>56</v>
      </c>
      <c r="L1107" t="s">
        <v>2592</v>
      </c>
      <c r="M1107" t="s">
        <v>2597</v>
      </c>
      <c r="N1107" t="s">
        <v>36</v>
      </c>
      <c r="O1107" s="12">
        <v>46120.668055555558</v>
      </c>
      <c r="P1107" s="12">
        <v>46124.168055555558</v>
      </c>
      <c r="Q1107" s="12">
        <v>46120.711805555555</v>
      </c>
      <c r="R1107" s="12">
        <v>46120.776388888888</v>
      </c>
      <c r="U1107" t="b">
        <v>0</v>
      </c>
    </row>
    <row r="1108" spans="1:21">
      <c r="A1108" t="s">
        <v>5045</v>
      </c>
      <c r="B1108" t="s">
        <v>1485</v>
      </c>
      <c r="C1108" t="s">
        <v>1579</v>
      </c>
      <c r="D1108" t="s">
        <v>5046</v>
      </c>
      <c r="E1108" t="s">
        <v>5047</v>
      </c>
      <c r="F1108" t="s">
        <v>1471</v>
      </c>
      <c r="G1108">
        <v>210</v>
      </c>
      <c r="H1108" t="s">
        <v>140</v>
      </c>
      <c r="I1108" t="s">
        <v>30</v>
      </c>
      <c r="J1108" t="s">
        <v>1288</v>
      </c>
      <c r="K1108">
        <v>62</v>
      </c>
      <c r="L1108" t="s">
        <v>2592</v>
      </c>
      <c r="M1108" t="s">
        <v>2605</v>
      </c>
      <c r="N1108" t="s">
        <v>82</v>
      </c>
      <c r="O1108" s="12">
        <v>45514.34652777778</v>
      </c>
      <c r="P1108" s="12">
        <v>45515.179861111108</v>
      </c>
      <c r="Q1108" s="12">
        <v>45514.448611111111</v>
      </c>
      <c r="R1108" s="12">
        <v>45514.59375</v>
      </c>
      <c r="U1108" t="b">
        <v>0</v>
      </c>
    </row>
    <row r="1109" spans="1:21">
      <c r="A1109" t="s">
        <v>5048</v>
      </c>
      <c r="B1109" t="s">
        <v>1190</v>
      </c>
      <c r="C1109" t="s">
        <v>1404</v>
      </c>
      <c r="D1109" t="s">
        <v>5049</v>
      </c>
      <c r="E1109" t="s">
        <v>5050</v>
      </c>
      <c r="F1109" t="s">
        <v>2084</v>
      </c>
      <c r="G1109">
        <v>514</v>
      </c>
      <c r="H1109" t="s">
        <v>205</v>
      </c>
      <c r="I1109" t="s">
        <v>30</v>
      </c>
      <c r="J1109" t="s">
        <v>1271</v>
      </c>
      <c r="K1109">
        <v>60</v>
      </c>
      <c r="L1109" t="s">
        <v>2642</v>
      </c>
      <c r="M1109" t="s">
        <v>2643</v>
      </c>
      <c r="N1109" t="s">
        <v>36</v>
      </c>
      <c r="O1109" s="12">
        <v>46069.570138888892</v>
      </c>
      <c r="P1109" s="12">
        <v>46073.02847222222</v>
      </c>
      <c r="Q1109" s="12">
        <v>46069.802083333336</v>
      </c>
      <c r="R1109" s="12">
        <v>46070.010416666664</v>
      </c>
      <c r="S1109" s="12">
        <v>46073.445138888892</v>
      </c>
      <c r="U1109" t="b">
        <v>0</v>
      </c>
    </row>
    <row r="1110" spans="1:21">
      <c r="A1110" t="s">
        <v>5051</v>
      </c>
      <c r="B1110" t="s">
        <v>2666</v>
      </c>
      <c r="C1110" t="s">
        <v>1436</v>
      </c>
      <c r="D1110" t="s">
        <v>5052</v>
      </c>
      <c r="E1110" t="s">
        <v>5053</v>
      </c>
      <c r="F1110" t="s">
        <v>1511</v>
      </c>
      <c r="G1110">
        <v>40</v>
      </c>
      <c r="H1110" t="s">
        <v>54</v>
      </c>
      <c r="I1110" t="s">
        <v>24</v>
      </c>
      <c r="J1110" t="s">
        <v>1413</v>
      </c>
      <c r="K1110">
        <v>66</v>
      </c>
      <c r="L1110" t="s">
        <v>2592</v>
      </c>
      <c r="M1110" t="s">
        <v>2605</v>
      </c>
      <c r="N1110" t="s">
        <v>69</v>
      </c>
      <c r="O1110" s="12">
        <v>45426.691666666666</v>
      </c>
      <c r="P1110" s="12">
        <v>45428.65</v>
      </c>
      <c r="Q1110" s="12">
        <v>45426.826388888891</v>
      </c>
      <c r="R1110" s="12">
        <v>45426.861805555556</v>
      </c>
      <c r="U1110" t="b">
        <v>0</v>
      </c>
    </row>
    <row r="1111" spans="1:21">
      <c r="A1111" t="s">
        <v>5054</v>
      </c>
      <c r="B1111" t="s">
        <v>1267</v>
      </c>
      <c r="C1111" t="s">
        <v>1337</v>
      </c>
      <c r="D1111" t="s">
        <v>5055</v>
      </c>
      <c r="E1111" t="s">
        <v>5056</v>
      </c>
      <c r="F1111" t="s">
        <v>2660</v>
      </c>
      <c r="G1111">
        <v>477</v>
      </c>
      <c r="H1111" t="s">
        <v>54</v>
      </c>
      <c r="I1111" t="s">
        <v>30</v>
      </c>
      <c r="J1111" t="s">
        <v>1288</v>
      </c>
      <c r="K1111">
        <v>42</v>
      </c>
      <c r="L1111" t="s">
        <v>2601</v>
      </c>
      <c r="M1111" t="s">
        <v>2605</v>
      </c>
      <c r="N1111" t="s">
        <v>55</v>
      </c>
      <c r="O1111" s="12">
        <v>45871.180555555555</v>
      </c>
      <c r="Q1111" s="12">
        <v>45871.352083333331</v>
      </c>
      <c r="R1111" s="12">
        <v>45871.473611111112</v>
      </c>
      <c r="U1111" t="b">
        <v>0</v>
      </c>
    </row>
    <row r="1112" spans="1:21">
      <c r="A1112" t="s">
        <v>5057</v>
      </c>
      <c r="B1112" t="s">
        <v>1157</v>
      </c>
      <c r="C1112" t="s">
        <v>1176</v>
      </c>
      <c r="D1112" t="s">
        <v>5058</v>
      </c>
      <c r="E1112" t="s">
        <v>5059</v>
      </c>
      <c r="F1112" t="s">
        <v>2755</v>
      </c>
      <c r="G1112">
        <v>67</v>
      </c>
      <c r="H1112" t="s">
        <v>249</v>
      </c>
      <c r="I1112" t="s">
        <v>24</v>
      </c>
      <c r="J1112" t="s">
        <v>1295</v>
      </c>
      <c r="K1112">
        <v>94</v>
      </c>
      <c r="L1112" t="s">
        <v>2592</v>
      </c>
      <c r="M1112" t="s">
        <v>2605</v>
      </c>
      <c r="N1112" t="s">
        <v>59</v>
      </c>
      <c r="O1112" s="12">
        <v>46068.132638888892</v>
      </c>
      <c r="P1112" s="12">
        <v>46069.549305555556</v>
      </c>
      <c r="Q1112" s="12">
        <v>46068.293055555558</v>
      </c>
      <c r="R1112" s="12">
        <v>46068.368750000001</v>
      </c>
      <c r="U1112" t="b">
        <v>0</v>
      </c>
    </row>
    <row r="1113" spans="1:21">
      <c r="A1113" t="s">
        <v>5060</v>
      </c>
      <c r="B1113" t="s">
        <v>1898</v>
      </c>
      <c r="C1113" t="s">
        <v>1385</v>
      </c>
      <c r="D1113" t="s">
        <v>5061</v>
      </c>
      <c r="E1113" t="s">
        <v>5062</v>
      </c>
      <c r="F1113" t="s">
        <v>1471</v>
      </c>
      <c r="G1113">
        <v>45</v>
      </c>
      <c r="H1113" t="s">
        <v>16</v>
      </c>
      <c r="I1113" t="s">
        <v>24</v>
      </c>
      <c r="J1113" t="s">
        <v>1317</v>
      </c>
      <c r="K1113">
        <v>51</v>
      </c>
      <c r="L1113" t="s">
        <v>2601</v>
      </c>
      <c r="M1113" t="s">
        <v>2655</v>
      </c>
      <c r="N1113" t="s">
        <v>91</v>
      </c>
      <c r="O1113" s="12">
        <v>45860.667361111111</v>
      </c>
      <c r="Q1113" s="12">
        <v>45860.765277777777</v>
      </c>
      <c r="U1113" t="b">
        <v>0</v>
      </c>
    </row>
    <row r="1114" spans="1:21">
      <c r="A1114" t="s">
        <v>5063</v>
      </c>
      <c r="B1114" t="s">
        <v>1185</v>
      </c>
      <c r="C1114" t="s">
        <v>1180</v>
      </c>
      <c r="D1114" t="s">
        <v>5064</v>
      </c>
      <c r="E1114" t="s">
        <v>5065</v>
      </c>
      <c r="F1114" t="s">
        <v>1367</v>
      </c>
      <c r="G1114">
        <v>110</v>
      </c>
      <c r="H1114" t="s">
        <v>64</v>
      </c>
      <c r="I1114" t="s">
        <v>24</v>
      </c>
      <c r="J1114" t="s">
        <v>1355</v>
      </c>
      <c r="K1114">
        <v>54</v>
      </c>
      <c r="L1114" t="s">
        <v>2601</v>
      </c>
      <c r="M1114" t="s">
        <v>2593</v>
      </c>
      <c r="N1114" t="s">
        <v>69</v>
      </c>
      <c r="O1114" s="12">
        <v>45319.616666666669</v>
      </c>
      <c r="Q1114" s="12">
        <v>45319.865277777775</v>
      </c>
      <c r="R1114" s="12">
        <v>45319.875694444447</v>
      </c>
      <c r="U1114" t="b">
        <v>0</v>
      </c>
    </row>
    <row r="1115" spans="1:21">
      <c r="A1115" t="s">
        <v>5066</v>
      </c>
      <c r="B1115" t="s">
        <v>2760</v>
      </c>
      <c r="C1115" t="s">
        <v>1771</v>
      </c>
      <c r="D1115" t="s">
        <v>5067</v>
      </c>
      <c r="E1115" t="s">
        <v>5068</v>
      </c>
      <c r="F1115" t="s">
        <v>1511</v>
      </c>
      <c r="G1115">
        <v>115</v>
      </c>
      <c r="H1115" t="s">
        <v>178</v>
      </c>
      <c r="I1115" t="s">
        <v>24</v>
      </c>
      <c r="J1115" t="s">
        <v>1295</v>
      </c>
      <c r="K1115">
        <v>88</v>
      </c>
      <c r="L1115" t="s">
        <v>2642</v>
      </c>
      <c r="M1115" t="s">
        <v>2643</v>
      </c>
      <c r="N1115" t="s">
        <v>59</v>
      </c>
      <c r="O1115" s="12">
        <v>46090.540277777778</v>
      </c>
      <c r="P1115" s="12">
        <v>46094.873611111114</v>
      </c>
      <c r="Q1115" s="12">
        <v>46090.693749999999</v>
      </c>
      <c r="R1115" s="12">
        <v>46090.799305555556</v>
      </c>
      <c r="S1115" s="12">
        <v>46101.915277777778</v>
      </c>
      <c r="U1115" t="b">
        <v>0</v>
      </c>
    </row>
    <row r="1116" spans="1:21">
      <c r="A1116" t="s">
        <v>5069</v>
      </c>
      <c r="B1116" t="s">
        <v>2666</v>
      </c>
      <c r="C1116" t="s">
        <v>1579</v>
      </c>
      <c r="D1116" t="s">
        <v>5070</v>
      </c>
      <c r="E1116" t="s">
        <v>5071</v>
      </c>
      <c r="F1116" t="s">
        <v>2709</v>
      </c>
      <c r="G1116">
        <v>458</v>
      </c>
      <c r="H1116" t="s">
        <v>50</v>
      </c>
      <c r="I1116" t="s">
        <v>30</v>
      </c>
      <c r="K1116">
        <v>78</v>
      </c>
      <c r="L1116" t="s">
        <v>2592</v>
      </c>
      <c r="M1116" t="s">
        <v>2597</v>
      </c>
      <c r="N1116" t="s">
        <v>36</v>
      </c>
      <c r="O1116" s="12">
        <v>45410.96597222222</v>
      </c>
      <c r="P1116" s="12">
        <v>45414.132638888892</v>
      </c>
      <c r="Q1116" s="12">
        <v>45411.20416666667</v>
      </c>
      <c r="R1116" s="12">
        <v>45411.326388888891</v>
      </c>
      <c r="U1116" t="b">
        <v>0</v>
      </c>
    </row>
    <row r="1117" spans="1:21">
      <c r="A1117" t="s">
        <v>5072</v>
      </c>
      <c r="B1117" t="s">
        <v>1485</v>
      </c>
      <c r="C1117" t="s">
        <v>1176</v>
      </c>
      <c r="D1117" t="s">
        <v>5073</v>
      </c>
      <c r="E1117" t="s">
        <v>5074</v>
      </c>
      <c r="F1117" t="s">
        <v>1367</v>
      </c>
      <c r="G1117">
        <v>196</v>
      </c>
      <c r="H1117" t="s">
        <v>192</v>
      </c>
      <c r="I1117" t="s">
        <v>24</v>
      </c>
      <c r="J1117" t="s">
        <v>1413</v>
      </c>
      <c r="K1117">
        <v>71</v>
      </c>
      <c r="L1117" t="s">
        <v>2592</v>
      </c>
      <c r="M1117" t="s">
        <v>2618</v>
      </c>
      <c r="N1117" t="s">
        <v>91</v>
      </c>
      <c r="O1117" s="12">
        <v>45738.364583333336</v>
      </c>
      <c r="P1117" s="12">
        <v>45743.239583333336</v>
      </c>
      <c r="Q1117" s="12">
        <v>45738.533333333333</v>
      </c>
      <c r="R1117" s="12">
        <v>45738.620138888888</v>
      </c>
      <c r="T1117" t="s">
        <v>2685</v>
      </c>
      <c r="U1117" t="b">
        <v>0</v>
      </c>
    </row>
    <row r="1118" spans="1:21">
      <c r="A1118" t="s">
        <v>5075</v>
      </c>
      <c r="B1118" t="s">
        <v>2811</v>
      </c>
      <c r="C1118" t="s">
        <v>1172</v>
      </c>
      <c r="D1118" t="s">
        <v>5076</v>
      </c>
      <c r="E1118" t="s">
        <v>5077</v>
      </c>
      <c r="F1118" t="s">
        <v>1412</v>
      </c>
      <c r="G1118">
        <v>1162</v>
      </c>
      <c r="H1118" t="s">
        <v>50</v>
      </c>
      <c r="I1118" t="s">
        <v>17</v>
      </c>
      <c r="J1118" t="s">
        <v>1281</v>
      </c>
      <c r="K1118">
        <v>84</v>
      </c>
      <c r="L1118" t="s">
        <v>2592</v>
      </c>
      <c r="M1118" t="s">
        <v>2593</v>
      </c>
      <c r="N1118" t="s">
        <v>36</v>
      </c>
      <c r="O1118" s="12">
        <v>45422.361805555556</v>
      </c>
      <c r="P1118" s="12">
        <v>45422.861805555556</v>
      </c>
      <c r="Q1118" s="12">
        <v>45422.381249999999</v>
      </c>
      <c r="R1118" s="12">
        <v>45422.533333333333</v>
      </c>
      <c r="U1118" t="b">
        <v>0</v>
      </c>
    </row>
    <row r="1119" spans="1:21">
      <c r="A1119" t="s">
        <v>5078</v>
      </c>
      <c r="B1119" t="s">
        <v>1175</v>
      </c>
      <c r="C1119" t="s">
        <v>1197</v>
      </c>
      <c r="D1119" t="s">
        <v>5079</v>
      </c>
      <c r="E1119" t="s">
        <v>5080</v>
      </c>
      <c r="F1119" t="s">
        <v>1367</v>
      </c>
      <c r="G1119">
        <v>171</v>
      </c>
      <c r="H1119" t="s">
        <v>178</v>
      </c>
      <c r="I1119" t="s">
        <v>24</v>
      </c>
      <c r="J1119" t="s">
        <v>1271</v>
      </c>
      <c r="K1119">
        <v>47</v>
      </c>
      <c r="L1119" t="s">
        <v>2601</v>
      </c>
      <c r="M1119" t="s">
        <v>2605</v>
      </c>
      <c r="N1119" t="s">
        <v>59</v>
      </c>
      <c r="O1119" s="12">
        <v>45739.203472222223</v>
      </c>
      <c r="Q1119" s="12">
        <v>45739.440972222219</v>
      </c>
      <c r="R1119" s="12">
        <v>45740.565972222219</v>
      </c>
      <c r="U1119" t="b">
        <v>0</v>
      </c>
    </row>
    <row r="1120" spans="1:21">
      <c r="A1120" t="s">
        <v>5081</v>
      </c>
      <c r="B1120" t="s">
        <v>2733</v>
      </c>
      <c r="C1120" t="s">
        <v>1142</v>
      </c>
      <c r="D1120" t="s">
        <v>5082</v>
      </c>
      <c r="E1120" t="s">
        <v>5083</v>
      </c>
      <c r="F1120" t="s">
        <v>1309</v>
      </c>
      <c r="G1120">
        <v>769</v>
      </c>
      <c r="H1120" t="s">
        <v>1042</v>
      </c>
      <c r="I1120" t="s">
        <v>30</v>
      </c>
      <c r="J1120" t="s">
        <v>1271</v>
      </c>
      <c r="K1120">
        <v>40</v>
      </c>
      <c r="L1120" t="s">
        <v>2592</v>
      </c>
      <c r="M1120" t="s">
        <v>2605</v>
      </c>
      <c r="N1120" t="s">
        <v>18</v>
      </c>
      <c r="O1120" s="12">
        <v>45833.896527777775</v>
      </c>
      <c r="P1120" s="12">
        <v>45838.854861111111</v>
      </c>
      <c r="Q1120" s="12">
        <v>45834.131944444445</v>
      </c>
      <c r="R1120" s="12">
        <v>45834.281944444447</v>
      </c>
      <c r="U1120" t="b">
        <v>0</v>
      </c>
    </row>
    <row r="1121" spans="1:21">
      <c r="A1121" t="s">
        <v>5084</v>
      </c>
      <c r="B1121" t="s">
        <v>1190</v>
      </c>
      <c r="C1121" t="s">
        <v>1898</v>
      </c>
      <c r="D1121" t="s">
        <v>5085</v>
      </c>
      <c r="E1121" t="s">
        <v>5086</v>
      </c>
      <c r="F1121" t="s">
        <v>1843</v>
      </c>
      <c r="G1121">
        <v>375</v>
      </c>
      <c r="H1121" t="s">
        <v>41</v>
      </c>
      <c r="I1121" t="s">
        <v>30</v>
      </c>
      <c r="K1121">
        <v>64</v>
      </c>
      <c r="L1121" t="s">
        <v>2601</v>
      </c>
      <c r="M1121" t="s">
        <v>2618</v>
      </c>
      <c r="N1121" t="s">
        <v>82</v>
      </c>
      <c r="O1121" s="12">
        <v>46236.841666666667</v>
      </c>
      <c r="Q1121" s="12">
        <v>46236.868055555555</v>
      </c>
      <c r="R1121" s="12">
        <v>46236.90902777778</v>
      </c>
      <c r="T1121" t="s">
        <v>2933</v>
      </c>
      <c r="U1121" t="b">
        <v>0</v>
      </c>
    </row>
    <row r="1122" spans="1:21">
      <c r="A1122" t="s">
        <v>5087</v>
      </c>
      <c r="B1122" t="s">
        <v>2693</v>
      </c>
      <c r="C1122" t="s">
        <v>1418</v>
      </c>
      <c r="D1122" t="s">
        <v>5088</v>
      </c>
      <c r="E1122" t="s">
        <v>5089</v>
      </c>
      <c r="F1122" t="s">
        <v>1784</v>
      </c>
      <c r="G1122">
        <v>725</v>
      </c>
      <c r="H1122" t="s">
        <v>127</v>
      </c>
      <c r="I1122" t="s">
        <v>30</v>
      </c>
      <c r="J1122" t="s">
        <v>1271</v>
      </c>
      <c r="K1122">
        <v>49</v>
      </c>
      <c r="L1122" t="s">
        <v>2601</v>
      </c>
      <c r="M1122" t="s">
        <v>2593</v>
      </c>
      <c r="N1122" t="s">
        <v>82</v>
      </c>
      <c r="O1122" s="12">
        <v>46164.68472222222</v>
      </c>
      <c r="Q1122" s="12">
        <v>46164.822916666664</v>
      </c>
      <c r="R1122" s="12">
        <v>46164.922222222223</v>
      </c>
      <c r="U1122" t="b">
        <v>0</v>
      </c>
    </row>
    <row r="1123" spans="1:21">
      <c r="A1123" t="s">
        <v>5090</v>
      </c>
      <c r="B1123" t="s">
        <v>2670</v>
      </c>
      <c r="C1123" t="s">
        <v>2005</v>
      </c>
      <c r="D1123" t="s">
        <v>5091</v>
      </c>
      <c r="E1123" t="s">
        <v>5092</v>
      </c>
      <c r="F1123" t="s">
        <v>1309</v>
      </c>
      <c r="G1123">
        <v>2243</v>
      </c>
      <c r="H1123" t="s">
        <v>205</v>
      </c>
      <c r="I1123" t="s">
        <v>17</v>
      </c>
      <c r="J1123" t="s">
        <v>1281</v>
      </c>
      <c r="K1123">
        <v>67</v>
      </c>
      <c r="L1123" t="s">
        <v>2601</v>
      </c>
      <c r="M1123" t="s">
        <v>2593</v>
      </c>
      <c r="N1123" t="s">
        <v>36</v>
      </c>
      <c r="O1123" s="12">
        <v>45972.2</v>
      </c>
      <c r="Q1123" s="12">
        <v>45972.380555555559</v>
      </c>
      <c r="R1123" s="12">
        <v>45972.460416666669</v>
      </c>
      <c r="U1123" t="b">
        <v>0</v>
      </c>
    </row>
    <row r="1124" spans="1:21">
      <c r="A1124" t="s">
        <v>5093</v>
      </c>
      <c r="B1124" t="s">
        <v>1185</v>
      </c>
      <c r="C1124" t="s">
        <v>1432</v>
      </c>
      <c r="D1124" t="s">
        <v>5094</v>
      </c>
      <c r="E1124" t="s">
        <v>5095</v>
      </c>
      <c r="F1124" t="s">
        <v>1517</v>
      </c>
      <c r="G1124">
        <v>64</v>
      </c>
      <c r="H1124" t="s">
        <v>171</v>
      </c>
      <c r="I1124" t="s">
        <v>24</v>
      </c>
      <c r="J1124" t="s">
        <v>1339</v>
      </c>
      <c r="K1124">
        <v>74</v>
      </c>
      <c r="L1124" t="s">
        <v>2592</v>
      </c>
      <c r="M1124" t="s">
        <v>2593</v>
      </c>
      <c r="N1124" t="s">
        <v>91</v>
      </c>
      <c r="O1124" s="12">
        <v>45358.520138888889</v>
      </c>
      <c r="P1124" s="12">
        <v>45362.895138888889</v>
      </c>
      <c r="Q1124" s="12">
        <v>45358.693055555559</v>
      </c>
      <c r="R1124" s="12">
        <v>45359.443055555559</v>
      </c>
      <c r="U1124" t="b">
        <v>0</v>
      </c>
    </row>
    <row r="1125" spans="1:21">
      <c r="A1125" t="s">
        <v>5096</v>
      </c>
      <c r="B1125" t="s">
        <v>2578</v>
      </c>
      <c r="C1125" t="s">
        <v>1655</v>
      </c>
      <c r="D1125" t="s">
        <v>5097</v>
      </c>
      <c r="E1125" t="s">
        <v>5098</v>
      </c>
      <c r="F1125" t="s">
        <v>2755</v>
      </c>
      <c r="G1125">
        <v>176</v>
      </c>
      <c r="H1125" t="s">
        <v>140</v>
      </c>
      <c r="I1125" t="s">
        <v>24</v>
      </c>
      <c r="K1125">
        <v>70</v>
      </c>
      <c r="L1125" t="s">
        <v>2592</v>
      </c>
      <c r="M1125" t="s">
        <v>2593</v>
      </c>
      <c r="N1125" t="s">
        <v>25</v>
      </c>
      <c r="O1125" s="12">
        <v>45296.885416666664</v>
      </c>
      <c r="P1125" s="12">
        <v>45297.302083333336</v>
      </c>
      <c r="Q1125" s="12">
        <v>45296.995138888888</v>
      </c>
      <c r="R1125" s="12">
        <v>45297.094444444447</v>
      </c>
      <c r="U1125" t="b">
        <v>0</v>
      </c>
    </row>
    <row r="1126" spans="1:21">
      <c r="A1126" t="s">
        <v>5099</v>
      </c>
      <c r="B1126" t="s">
        <v>1138</v>
      </c>
      <c r="C1126" t="s">
        <v>1655</v>
      </c>
      <c r="D1126" t="s">
        <v>5100</v>
      </c>
      <c r="E1126" t="s">
        <v>5101</v>
      </c>
      <c r="F1126" t="s">
        <v>1309</v>
      </c>
      <c r="G1126">
        <v>164</v>
      </c>
      <c r="H1126" t="s">
        <v>638</v>
      </c>
      <c r="I1126" t="s">
        <v>24</v>
      </c>
      <c r="J1126" t="s">
        <v>1288</v>
      </c>
      <c r="K1126">
        <v>70</v>
      </c>
      <c r="L1126" t="s">
        <v>2601</v>
      </c>
      <c r="M1126" t="s">
        <v>2655</v>
      </c>
      <c r="N1126" t="s">
        <v>69</v>
      </c>
      <c r="O1126" s="12">
        <v>45799.227083333331</v>
      </c>
      <c r="Q1126" s="12">
        <v>45799.340277777781</v>
      </c>
      <c r="U1126" t="b">
        <v>0</v>
      </c>
    </row>
    <row r="1127" spans="1:21">
      <c r="A1127" t="s">
        <v>5102</v>
      </c>
      <c r="B1127" t="s">
        <v>1431</v>
      </c>
      <c r="C1127" t="s">
        <v>1186</v>
      </c>
      <c r="D1127" t="s">
        <v>5103</v>
      </c>
      <c r="E1127" t="s">
        <v>5104</v>
      </c>
      <c r="F1127" t="s">
        <v>1784</v>
      </c>
      <c r="G1127">
        <v>846</v>
      </c>
      <c r="H1127" t="s">
        <v>366</v>
      </c>
      <c r="I1127" t="s">
        <v>30</v>
      </c>
      <c r="J1127" t="s">
        <v>1271</v>
      </c>
      <c r="K1127">
        <v>65</v>
      </c>
      <c r="L1127" t="s">
        <v>2592</v>
      </c>
      <c r="M1127" t="s">
        <v>2593</v>
      </c>
      <c r="N1127" t="s">
        <v>18</v>
      </c>
      <c r="O1127" s="12">
        <v>45329.162499999999</v>
      </c>
      <c r="P1127" s="12">
        <v>45329.245833333334</v>
      </c>
      <c r="Q1127" s="12">
        <v>45329.30972222222</v>
      </c>
      <c r="R1127" s="12">
        <v>45329.419444444444</v>
      </c>
      <c r="U1127" t="b">
        <v>0</v>
      </c>
    </row>
    <row r="1128" spans="1:21">
      <c r="A1128" t="s">
        <v>5105</v>
      </c>
      <c r="B1128" t="s">
        <v>1175</v>
      </c>
      <c r="C1128" t="s">
        <v>1212</v>
      </c>
      <c r="D1128" t="s">
        <v>5106</v>
      </c>
      <c r="E1128" t="s">
        <v>5107</v>
      </c>
      <c r="F1128" t="s">
        <v>1294</v>
      </c>
      <c r="G1128">
        <v>62</v>
      </c>
      <c r="H1128" t="s">
        <v>50</v>
      </c>
      <c r="I1128" t="s">
        <v>24</v>
      </c>
      <c r="J1128" t="s">
        <v>1413</v>
      </c>
      <c r="K1128">
        <v>62</v>
      </c>
      <c r="L1128" t="s">
        <v>2592</v>
      </c>
      <c r="M1128" t="s">
        <v>2597</v>
      </c>
      <c r="N1128" t="s">
        <v>59</v>
      </c>
      <c r="O1128" s="12">
        <v>45850.138888888891</v>
      </c>
      <c r="P1128" s="12">
        <v>45853.722222222219</v>
      </c>
      <c r="Q1128" s="12">
        <v>45850.277083333334</v>
      </c>
      <c r="R1128" s="12">
        <v>45850.351388888892</v>
      </c>
      <c r="U1128" t="b">
        <v>0</v>
      </c>
    </row>
    <row r="1129" spans="1:21">
      <c r="A1129" t="s">
        <v>5108</v>
      </c>
      <c r="B1129" t="s">
        <v>2902</v>
      </c>
      <c r="C1129" t="s">
        <v>1418</v>
      </c>
      <c r="D1129" t="s">
        <v>5109</v>
      </c>
      <c r="E1129" t="s">
        <v>5110</v>
      </c>
      <c r="F1129" t="s">
        <v>2271</v>
      </c>
      <c r="G1129">
        <v>2402</v>
      </c>
      <c r="H1129" t="s">
        <v>154</v>
      </c>
      <c r="I1129" t="s">
        <v>17</v>
      </c>
      <c r="J1129" t="s">
        <v>1317</v>
      </c>
      <c r="K1129">
        <v>53</v>
      </c>
      <c r="L1129" t="s">
        <v>2601</v>
      </c>
      <c r="M1129" t="s">
        <v>2618</v>
      </c>
      <c r="N1129" t="s">
        <v>82</v>
      </c>
      <c r="O1129" s="12">
        <v>46258.957638888889</v>
      </c>
      <c r="Q1129" s="12">
        <v>46259.048611111109</v>
      </c>
      <c r="R1129" s="12">
        <v>46259.129166666666</v>
      </c>
      <c r="T1129" t="s">
        <v>2685</v>
      </c>
      <c r="U1129" t="b">
        <v>0</v>
      </c>
    </row>
    <row r="1130" spans="1:21">
      <c r="A1130" t="s">
        <v>5111</v>
      </c>
      <c r="B1130" t="s">
        <v>1521</v>
      </c>
      <c r="C1130" t="s">
        <v>1212</v>
      </c>
      <c r="D1130" t="s">
        <v>5112</v>
      </c>
      <c r="E1130" t="s">
        <v>5113</v>
      </c>
      <c r="F1130" t="s">
        <v>2660</v>
      </c>
      <c r="G1130">
        <v>261</v>
      </c>
      <c r="H1130" t="s">
        <v>140</v>
      </c>
      <c r="I1130" t="s">
        <v>30</v>
      </c>
      <c r="J1130" t="s">
        <v>1413</v>
      </c>
      <c r="K1130">
        <v>60</v>
      </c>
      <c r="L1130" t="s">
        <v>2601</v>
      </c>
      <c r="M1130" t="s">
        <v>2593</v>
      </c>
      <c r="N1130" t="s">
        <v>36</v>
      </c>
      <c r="O1130" s="12">
        <v>46246.520138888889</v>
      </c>
      <c r="Q1130" s="12">
        <v>46246.698611111111</v>
      </c>
      <c r="R1130" s="12">
        <v>46246.823611111111</v>
      </c>
      <c r="U1130" t="b">
        <v>0</v>
      </c>
    </row>
    <row r="1131" spans="1:21">
      <c r="A1131" t="s">
        <v>5114</v>
      </c>
      <c r="B1131" t="s">
        <v>2834</v>
      </c>
      <c r="C1131" t="s">
        <v>1475</v>
      </c>
      <c r="D1131" t="s">
        <v>5115</v>
      </c>
      <c r="E1131" t="s">
        <v>5116</v>
      </c>
      <c r="F1131" t="s">
        <v>1448</v>
      </c>
      <c r="G1131">
        <v>997</v>
      </c>
      <c r="H1131" t="s">
        <v>50</v>
      </c>
      <c r="I1131" t="s">
        <v>30</v>
      </c>
      <c r="J1131" t="s">
        <v>1271</v>
      </c>
      <c r="K1131">
        <v>71</v>
      </c>
      <c r="L1131" t="s">
        <v>2642</v>
      </c>
      <c r="M1131" t="s">
        <v>2643</v>
      </c>
      <c r="N1131" t="s">
        <v>36</v>
      </c>
      <c r="O1131" s="12">
        <v>45553.524305555555</v>
      </c>
      <c r="P1131" s="12">
        <v>45556.232638888891</v>
      </c>
      <c r="Q1131" s="12">
        <v>45553.740972222222</v>
      </c>
      <c r="R1131" s="12">
        <v>45553.861805555556</v>
      </c>
      <c r="S1131" s="12">
        <v>45565.815972222219</v>
      </c>
      <c r="U1131" t="b">
        <v>0</v>
      </c>
    </row>
    <row r="1132" spans="1:21">
      <c r="A1132" t="s">
        <v>5117</v>
      </c>
      <c r="B1132" t="s">
        <v>2706</v>
      </c>
      <c r="C1132" t="s">
        <v>1475</v>
      </c>
      <c r="D1132" t="s">
        <v>5118</v>
      </c>
      <c r="E1132" t="s">
        <v>5119</v>
      </c>
      <c r="F1132" t="s">
        <v>1517</v>
      </c>
      <c r="G1132">
        <v>101</v>
      </c>
      <c r="H1132" t="s">
        <v>638</v>
      </c>
      <c r="I1132" t="s">
        <v>24</v>
      </c>
      <c r="J1132" t="s">
        <v>4212</v>
      </c>
      <c r="K1132">
        <v>41</v>
      </c>
      <c r="L1132" t="s">
        <v>2592</v>
      </c>
      <c r="M1132" t="s">
        <v>2605</v>
      </c>
      <c r="N1132" t="s">
        <v>69</v>
      </c>
      <c r="O1132" s="12">
        <v>46284.06527777778</v>
      </c>
      <c r="P1132" s="12">
        <v>46288.023611111108</v>
      </c>
      <c r="Q1132" s="12">
        <v>46284.185416666667</v>
      </c>
      <c r="R1132" s="12">
        <v>46284.204861111109</v>
      </c>
      <c r="U1132" t="b">
        <v>0</v>
      </c>
    </row>
    <row r="1133" spans="1:21">
      <c r="A1133" t="s">
        <v>5120</v>
      </c>
      <c r="B1133" t="s">
        <v>2657</v>
      </c>
      <c r="C1133" t="s">
        <v>1343</v>
      </c>
      <c r="D1133" t="s">
        <v>5121</v>
      </c>
      <c r="E1133" t="s">
        <v>5122</v>
      </c>
      <c r="F1133" t="s">
        <v>1843</v>
      </c>
      <c r="G1133">
        <v>111</v>
      </c>
      <c r="H1133" t="s">
        <v>54</v>
      </c>
      <c r="I1133" t="s">
        <v>24</v>
      </c>
      <c r="J1133" t="s">
        <v>1355</v>
      </c>
      <c r="K1133">
        <v>66</v>
      </c>
      <c r="L1133" t="s">
        <v>2601</v>
      </c>
      <c r="M1133" t="s">
        <v>2655</v>
      </c>
      <c r="N1133" t="s">
        <v>69</v>
      </c>
      <c r="O1133" s="12">
        <v>46269.395138888889</v>
      </c>
      <c r="Q1133" s="12">
        <v>46269.422222222223</v>
      </c>
      <c r="U1133" t="b">
        <v>0</v>
      </c>
    </row>
    <row r="1134" spans="1:21">
      <c r="A1134" t="s">
        <v>5123</v>
      </c>
      <c r="B1134" t="s">
        <v>2906</v>
      </c>
      <c r="C1134" t="s">
        <v>1148</v>
      </c>
      <c r="D1134" t="s">
        <v>5124</v>
      </c>
      <c r="E1134" t="s">
        <v>5125</v>
      </c>
      <c r="F1134" t="s">
        <v>2084</v>
      </c>
      <c r="G1134">
        <v>198</v>
      </c>
      <c r="H1134" t="s">
        <v>285</v>
      </c>
      <c r="I1134" t="s">
        <v>24</v>
      </c>
      <c r="J1134" t="s">
        <v>1271</v>
      </c>
      <c r="K1134">
        <v>36</v>
      </c>
      <c r="L1134" t="s">
        <v>2601</v>
      </c>
      <c r="M1134" t="s">
        <v>2593</v>
      </c>
      <c r="N1134" t="s">
        <v>59</v>
      </c>
      <c r="O1134" s="12">
        <v>45661.378472222219</v>
      </c>
      <c r="Q1134" s="12">
        <v>45661.397916666669</v>
      </c>
      <c r="R1134" s="12">
        <v>45661.415277777778</v>
      </c>
      <c r="U1134" t="b">
        <v>0</v>
      </c>
    </row>
    <row r="1135" spans="1:21">
      <c r="A1135" t="s">
        <v>5126</v>
      </c>
      <c r="B1135" t="s">
        <v>1167</v>
      </c>
      <c r="C1135" t="s">
        <v>1337</v>
      </c>
      <c r="D1135" t="s">
        <v>5127</v>
      </c>
      <c r="E1135" t="s">
        <v>5128</v>
      </c>
      <c r="F1135" t="s">
        <v>1294</v>
      </c>
      <c r="G1135">
        <v>109</v>
      </c>
      <c r="H1135" t="s">
        <v>140</v>
      </c>
      <c r="I1135" t="s">
        <v>24</v>
      </c>
      <c r="J1135" t="s">
        <v>1288</v>
      </c>
      <c r="K1135">
        <v>72</v>
      </c>
      <c r="L1135" t="s">
        <v>2642</v>
      </c>
      <c r="M1135" t="s">
        <v>2643</v>
      </c>
      <c r="N1135" t="s">
        <v>69</v>
      </c>
      <c r="O1135" s="12">
        <v>45725.936805555553</v>
      </c>
      <c r="P1135" s="12">
        <v>45728.770138888889</v>
      </c>
      <c r="Q1135" s="12">
        <v>45726.013888888891</v>
      </c>
      <c r="R1135" s="12">
        <v>45727.222222222219</v>
      </c>
      <c r="S1135" s="12">
        <v>45736.853472222225</v>
      </c>
      <c r="U1135" t="b">
        <v>0</v>
      </c>
    </row>
    <row r="1136" spans="1:21">
      <c r="A1136" t="s">
        <v>5129</v>
      </c>
      <c r="B1136" t="s">
        <v>1649</v>
      </c>
      <c r="C1136" t="s">
        <v>1139</v>
      </c>
      <c r="D1136" t="s">
        <v>5130</v>
      </c>
      <c r="E1136" t="s">
        <v>5131</v>
      </c>
      <c r="F1136" t="s">
        <v>2680</v>
      </c>
      <c r="G1136">
        <v>53</v>
      </c>
      <c r="H1136" t="s">
        <v>68</v>
      </c>
      <c r="I1136" t="s">
        <v>24</v>
      </c>
      <c r="J1136" t="s">
        <v>1271</v>
      </c>
      <c r="K1136">
        <v>64</v>
      </c>
      <c r="L1136" t="s">
        <v>2601</v>
      </c>
      <c r="M1136" t="s">
        <v>2593</v>
      </c>
      <c r="N1136" t="s">
        <v>69</v>
      </c>
      <c r="O1136" s="12">
        <v>45807.113888888889</v>
      </c>
      <c r="Q1136" s="12">
        <v>45807.168055555558</v>
      </c>
      <c r="R1136" s="12">
        <v>45807.240277777775</v>
      </c>
      <c r="U1136" t="b">
        <v>0</v>
      </c>
    </row>
    <row r="1137" spans="1:21">
      <c r="A1137" t="s">
        <v>5132</v>
      </c>
      <c r="B1137" t="s">
        <v>1185</v>
      </c>
      <c r="C1137" t="s">
        <v>1365</v>
      </c>
      <c r="D1137" t="s">
        <v>5133</v>
      </c>
      <c r="E1137" t="s">
        <v>5134</v>
      </c>
      <c r="F1137" t="s">
        <v>2755</v>
      </c>
      <c r="G1137">
        <v>148</v>
      </c>
      <c r="H1137" t="s">
        <v>178</v>
      </c>
      <c r="I1137" t="s">
        <v>24</v>
      </c>
      <c r="J1137" t="s">
        <v>1288</v>
      </c>
      <c r="K1137">
        <v>54</v>
      </c>
      <c r="L1137" t="s">
        <v>2601</v>
      </c>
      <c r="M1137" t="s">
        <v>2618</v>
      </c>
      <c r="N1137" t="s">
        <v>59</v>
      </c>
      <c r="O1137" s="12">
        <v>45450.96875</v>
      </c>
      <c r="Q1137" s="12">
        <v>45451.209027777775</v>
      </c>
      <c r="R1137" s="12">
        <v>45451.542361111111</v>
      </c>
      <c r="T1137" t="s">
        <v>2673</v>
      </c>
      <c r="U1137" t="b">
        <v>0</v>
      </c>
    </row>
    <row r="1138" spans="1:21">
      <c r="A1138" t="s">
        <v>5135</v>
      </c>
      <c r="B1138" t="s">
        <v>1584</v>
      </c>
      <c r="C1138" t="s">
        <v>1418</v>
      </c>
      <c r="D1138" t="s">
        <v>5136</v>
      </c>
      <c r="E1138" t="s">
        <v>5137</v>
      </c>
      <c r="F1138" t="s">
        <v>1294</v>
      </c>
      <c r="G1138">
        <v>52</v>
      </c>
      <c r="H1138" t="s">
        <v>23</v>
      </c>
      <c r="I1138" t="s">
        <v>24</v>
      </c>
      <c r="J1138" t="s">
        <v>1355</v>
      </c>
      <c r="K1138">
        <v>66</v>
      </c>
      <c r="L1138" t="s">
        <v>2601</v>
      </c>
      <c r="M1138" t="s">
        <v>2605</v>
      </c>
      <c r="N1138" t="s">
        <v>25</v>
      </c>
      <c r="O1138" s="12">
        <v>45410.693055555559</v>
      </c>
      <c r="Q1138" s="12">
        <v>45410.843055555553</v>
      </c>
      <c r="R1138" s="12">
        <v>45410.856249999997</v>
      </c>
      <c r="U1138" t="b">
        <v>0</v>
      </c>
    </row>
    <row r="1139" spans="1:21">
      <c r="A1139" t="s">
        <v>5138</v>
      </c>
      <c r="B1139" t="s">
        <v>2878</v>
      </c>
      <c r="C1139" t="s">
        <v>1125</v>
      </c>
      <c r="D1139" t="s">
        <v>5139</v>
      </c>
      <c r="E1139" t="s">
        <v>5140</v>
      </c>
      <c r="F1139" t="s">
        <v>2271</v>
      </c>
      <c r="G1139">
        <v>123</v>
      </c>
      <c r="H1139" t="s">
        <v>54</v>
      </c>
      <c r="I1139" t="s">
        <v>24</v>
      </c>
      <c r="J1139" t="s">
        <v>1281</v>
      </c>
      <c r="K1139">
        <v>90</v>
      </c>
      <c r="L1139" t="s">
        <v>2642</v>
      </c>
      <c r="M1139" t="s">
        <v>2643</v>
      </c>
      <c r="N1139" t="s">
        <v>69</v>
      </c>
      <c r="O1139" s="12">
        <v>46221.370138888888</v>
      </c>
      <c r="P1139" s="12">
        <v>46223.995138888888</v>
      </c>
      <c r="Q1139" s="12">
        <v>46221.574305555558</v>
      </c>
      <c r="R1139" s="12">
        <v>46221.609027777777</v>
      </c>
      <c r="S1139" s="12">
        <v>46231.411805555559</v>
      </c>
      <c r="U1139" t="b">
        <v>0</v>
      </c>
    </row>
    <row r="1140" spans="1:21">
      <c r="A1140" t="s">
        <v>5141</v>
      </c>
      <c r="B1140" t="s">
        <v>1221</v>
      </c>
      <c r="C1140" t="s">
        <v>1278</v>
      </c>
      <c r="D1140" t="s">
        <v>5142</v>
      </c>
      <c r="E1140" t="s">
        <v>5143</v>
      </c>
      <c r="F1140" t="s">
        <v>2680</v>
      </c>
      <c r="G1140">
        <v>1682</v>
      </c>
      <c r="H1140" t="s">
        <v>116</v>
      </c>
      <c r="I1140" t="s">
        <v>17</v>
      </c>
      <c r="J1140" t="s">
        <v>1288</v>
      </c>
      <c r="K1140">
        <v>74</v>
      </c>
      <c r="L1140" t="s">
        <v>2601</v>
      </c>
      <c r="M1140" t="s">
        <v>2655</v>
      </c>
      <c r="N1140" t="s">
        <v>82</v>
      </c>
      <c r="O1140" s="12">
        <v>46235.556250000001</v>
      </c>
      <c r="Q1140" s="12">
        <v>46235.679166666669</v>
      </c>
      <c r="U1140" t="b">
        <v>0</v>
      </c>
    </row>
    <row r="1141" spans="1:21">
      <c r="A1141" t="s">
        <v>5144</v>
      </c>
      <c r="B1141" t="s">
        <v>2827</v>
      </c>
      <c r="C1141" t="s">
        <v>1462</v>
      </c>
      <c r="D1141" t="s">
        <v>5145</v>
      </c>
      <c r="E1141" t="s">
        <v>5146</v>
      </c>
      <c r="F1141" t="s">
        <v>2271</v>
      </c>
      <c r="G1141">
        <v>741</v>
      </c>
      <c r="H1141" t="s">
        <v>415</v>
      </c>
      <c r="I1141" t="s">
        <v>30</v>
      </c>
      <c r="J1141" t="s">
        <v>1288</v>
      </c>
      <c r="K1141">
        <v>55</v>
      </c>
      <c r="L1141" t="s">
        <v>2601</v>
      </c>
      <c r="M1141" t="s">
        <v>2655</v>
      </c>
      <c r="N1141" t="s">
        <v>55</v>
      </c>
      <c r="O1141" s="12">
        <v>46206.227083333331</v>
      </c>
      <c r="Q1141" s="12">
        <v>46206.40625</v>
      </c>
      <c r="U1141" t="b">
        <v>0</v>
      </c>
    </row>
    <row r="1142" spans="1:21">
      <c r="A1142" t="s">
        <v>5147</v>
      </c>
      <c r="B1142" t="s">
        <v>2874</v>
      </c>
      <c r="C1142" t="s">
        <v>2033</v>
      </c>
      <c r="D1142" t="s">
        <v>5148</v>
      </c>
      <c r="E1142" t="s">
        <v>5149</v>
      </c>
      <c r="F1142" t="s">
        <v>2755</v>
      </c>
      <c r="G1142">
        <v>64</v>
      </c>
      <c r="H1142" t="s">
        <v>140</v>
      </c>
      <c r="I1142" t="s">
        <v>24</v>
      </c>
      <c r="J1142" t="s">
        <v>1413</v>
      </c>
      <c r="K1142">
        <v>63</v>
      </c>
      <c r="L1142" t="s">
        <v>2642</v>
      </c>
      <c r="M1142" t="s">
        <v>2643</v>
      </c>
      <c r="N1142" t="s">
        <v>25</v>
      </c>
      <c r="O1142" s="12">
        <v>45382.67083333333</v>
      </c>
      <c r="P1142" s="12">
        <v>45387.42083333333</v>
      </c>
      <c r="Q1142" s="12">
        <v>45382.691666666666</v>
      </c>
      <c r="S1142" s="12">
        <v>45390.379166666666</v>
      </c>
      <c r="U1142" t="b">
        <v>0</v>
      </c>
    </row>
    <row r="1143" spans="1:21">
      <c r="A1143" t="s">
        <v>5150</v>
      </c>
      <c r="B1143" t="s">
        <v>1211</v>
      </c>
      <c r="C1143" t="s">
        <v>1186</v>
      </c>
      <c r="D1143" t="s">
        <v>5151</v>
      </c>
      <c r="E1143" t="s">
        <v>5152</v>
      </c>
      <c r="F1143" t="s">
        <v>1294</v>
      </c>
      <c r="G1143">
        <v>194</v>
      </c>
      <c r="I1143" t="s">
        <v>24</v>
      </c>
      <c r="J1143" t="s">
        <v>1355</v>
      </c>
      <c r="K1143">
        <v>78</v>
      </c>
      <c r="L1143" t="s">
        <v>2601</v>
      </c>
      <c r="M1143" t="s">
        <v>2655</v>
      </c>
      <c r="N1143" t="s">
        <v>59</v>
      </c>
      <c r="O1143" s="12">
        <v>46175.895833333336</v>
      </c>
      <c r="Q1143" s="12">
        <v>46176.027083333334</v>
      </c>
      <c r="U1143" t="b">
        <v>0</v>
      </c>
    </row>
    <row r="1144" spans="1:21">
      <c r="A1144" t="s">
        <v>5153</v>
      </c>
      <c r="B1144" t="s">
        <v>1176</v>
      </c>
      <c r="C1144" t="s">
        <v>2283</v>
      </c>
      <c r="D1144" t="s">
        <v>5154</v>
      </c>
      <c r="E1144" t="s">
        <v>5155</v>
      </c>
      <c r="F1144" t="s">
        <v>1784</v>
      </c>
      <c r="G1144">
        <v>33</v>
      </c>
      <c r="H1144" t="s">
        <v>50</v>
      </c>
      <c r="I1144" t="s">
        <v>24</v>
      </c>
      <c r="J1144" t="s">
        <v>1413</v>
      </c>
      <c r="K1144">
        <v>49</v>
      </c>
      <c r="L1144" t="s">
        <v>2601</v>
      </c>
      <c r="M1144" t="s">
        <v>2593</v>
      </c>
      <c r="N1144" t="s">
        <v>69</v>
      </c>
      <c r="O1144" s="12">
        <v>46106.809027777781</v>
      </c>
      <c r="Q1144" s="12">
        <v>46107</v>
      </c>
      <c r="R1144" s="12">
        <v>46107.75</v>
      </c>
      <c r="U1144" t="b">
        <v>0</v>
      </c>
    </row>
    <row r="1145" spans="1:21">
      <c r="A1145" t="s">
        <v>5156</v>
      </c>
      <c r="B1145" t="s">
        <v>1898</v>
      </c>
      <c r="C1145" t="s">
        <v>1203</v>
      </c>
      <c r="D1145" t="s">
        <v>5157</v>
      </c>
      <c r="E1145" t="s">
        <v>5158</v>
      </c>
      <c r="F1145" t="s">
        <v>2680</v>
      </c>
      <c r="G1145">
        <v>2493</v>
      </c>
      <c r="H1145" t="s">
        <v>16</v>
      </c>
      <c r="I1145" t="s">
        <v>24</v>
      </c>
      <c r="J1145" t="s">
        <v>1317</v>
      </c>
      <c r="K1145">
        <v>80</v>
      </c>
      <c r="L1145" t="s">
        <v>2592</v>
      </c>
      <c r="M1145" t="s">
        <v>2597</v>
      </c>
      <c r="N1145" t="s">
        <v>18</v>
      </c>
      <c r="O1145" s="12">
        <v>46117.75277777778</v>
      </c>
      <c r="P1145" s="12">
        <v>46120.25277777778</v>
      </c>
      <c r="Q1145" s="12">
        <v>46117.767361111109</v>
      </c>
      <c r="R1145" s="12">
        <v>46117.782638888886</v>
      </c>
      <c r="U1145" t="b">
        <v>0</v>
      </c>
    </row>
    <row r="1146" spans="1:21">
      <c r="A1146" t="s">
        <v>5159</v>
      </c>
      <c r="B1146" t="s">
        <v>1521</v>
      </c>
      <c r="C1146" t="s">
        <v>1307</v>
      </c>
      <c r="D1146" t="s">
        <v>5160</v>
      </c>
      <c r="E1146" t="s">
        <v>5161</v>
      </c>
      <c r="F1146" t="s">
        <v>2709</v>
      </c>
      <c r="G1146">
        <v>125</v>
      </c>
      <c r="H1146" t="s">
        <v>81</v>
      </c>
      <c r="I1146" t="s">
        <v>24</v>
      </c>
      <c r="J1146" t="s">
        <v>1271</v>
      </c>
      <c r="K1146">
        <v>46</v>
      </c>
      <c r="L1146" t="s">
        <v>2601</v>
      </c>
      <c r="M1146" t="s">
        <v>2655</v>
      </c>
      <c r="N1146" t="s">
        <v>25</v>
      </c>
      <c r="O1146" s="12">
        <v>46181.20416666667</v>
      </c>
      <c r="Q1146" s="12">
        <v>46181.395833333336</v>
      </c>
      <c r="U1146" t="b">
        <v>0</v>
      </c>
    </row>
    <row r="1147" spans="1:21">
      <c r="A1147" t="s">
        <v>5162</v>
      </c>
      <c r="B1147" t="s">
        <v>1167</v>
      </c>
      <c r="C1147" t="s">
        <v>2100</v>
      </c>
      <c r="D1147" t="s">
        <v>5163</v>
      </c>
      <c r="E1147" t="s">
        <v>5164</v>
      </c>
      <c r="F1147" t="s">
        <v>1420</v>
      </c>
      <c r="G1147">
        <v>97</v>
      </c>
      <c r="H1147" t="s">
        <v>440</v>
      </c>
      <c r="I1147" t="s">
        <v>24</v>
      </c>
      <c r="J1147" t="s">
        <v>1288</v>
      </c>
      <c r="K1147">
        <v>49</v>
      </c>
      <c r="L1147" t="s">
        <v>2601</v>
      </c>
      <c r="M1147" t="s">
        <v>2593</v>
      </c>
      <c r="N1147" t="s">
        <v>69</v>
      </c>
      <c r="O1147" s="12">
        <v>46102.956250000003</v>
      </c>
      <c r="Q1147" s="12">
        <v>46103.1875</v>
      </c>
      <c r="R1147" s="12">
        <v>46103.313888888886</v>
      </c>
      <c r="U1147" t="b">
        <v>0</v>
      </c>
    </row>
    <row r="1148" spans="1:21">
      <c r="A1148" t="s">
        <v>5165</v>
      </c>
      <c r="B1148" t="s">
        <v>2578</v>
      </c>
      <c r="C1148" t="s">
        <v>2621</v>
      </c>
      <c r="D1148" t="s">
        <v>5166</v>
      </c>
      <c r="E1148" t="s">
        <v>5167</v>
      </c>
      <c r="F1148" t="s">
        <v>2271</v>
      </c>
      <c r="G1148">
        <v>77</v>
      </c>
      <c r="H1148" t="s">
        <v>54</v>
      </c>
      <c r="I1148" t="s">
        <v>24</v>
      </c>
      <c r="J1148" t="s">
        <v>1413</v>
      </c>
      <c r="K1148">
        <v>47</v>
      </c>
      <c r="L1148" t="s">
        <v>2601</v>
      </c>
      <c r="M1148" t="s">
        <v>2593</v>
      </c>
      <c r="N1148" t="s">
        <v>69</v>
      </c>
      <c r="O1148" s="12">
        <v>46241.175000000003</v>
      </c>
      <c r="Q1148" s="12">
        <v>46241.347222222219</v>
      </c>
      <c r="R1148" s="12">
        <v>46241.847222222219</v>
      </c>
      <c r="U1148" t="b">
        <v>0</v>
      </c>
    </row>
    <row r="1149" spans="1:21">
      <c r="A1149" t="s">
        <v>5168</v>
      </c>
      <c r="B1149" t="s">
        <v>2711</v>
      </c>
      <c r="C1149" t="s">
        <v>1462</v>
      </c>
      <c r="D1149" t="s">
        <v>5169</v>
      </c>
      <c r="E1149" t="s">
        <v>5170</v>
      </c>
      <c r="F1149" t="s">
        <v>2660</v>
      </c>
      <c r="G1149">
        <v>648</v>
      </c>
      <c r="H1149" t="s">
        <v>16</v>
      </c>
      <c r="I1149" t="s">
        <v>30</v>
      </c>
      <c r="J1149" t="s">
        <v>1288</v>
      </c>
      <c r="K1149">
        <v>75</v>
      </c>
      <c r="L1149" t="s">
        <v>2601</v>
      </c>
      <c r="M1149" t="s">
        <v>2605</v>
      </c>
      <c r="N1149" t="s">
        <v>18</v>
      </c>
      <c r="O1149" s="12">
        <v>45333.673611111109</v>
      </c>
      <c r="Q1149" s="12">
        <v>45333.884027777778</v>
      </c>
      <c r="R1149" s="12">
        <v>45333.990972222222</v>
      </c>
      <c r="U1149" t="b">
        <v>0</v>
      </c>
    </row>
    <row r="1150" spans="1:21">
      <c r="A1150" t="s">
        <v>5171</v>
      </c>
      <c r="B1150" t="s">
        <v>2789</v>
      </c>
      <c r="C1150" t="s">
        <v>1343</v>
      </c>
      <c r="D1150" t="s">
        <v>5172</v>
      </c>
      <c r="E1150" t="s">
        <v>5173</v>
      </c>
      <c r="F1150" t="s">
        <v>1784</v>
      </c>
      <c r="G1150">
        <v>197</v>
      </c>
      <c r="H1150" t="s">
        <v>16</v>
      </c>
      <c r="I1150" t="s">
        <v>24</v>
      </c>
      <c r="J1150" t="s">
        <v>1288</v>
      </c>
      <c r="K1150">
        <v>47</v>
      </c>
      <c r="L1150" t="s">
        <v>2592</v>
      </c>
      <c r="M1150" t="s">
        <v>2605</v>
      </c>
      <c r="N1150" t="s">
        <v>91</v>
      </c>
      <c r="O1150" s="12">
        <v>46136.197222222225</v>
      </c>
      <c r="P1150" s="12">
        <v>46140.697222222225</v>
      </c>
      <c r="Q1150" s="12">
        <v>46136.442361111112</v>
      </c>
      <c r="R1150" s="12">
        <v>46136.488888888889</v>
      </c>
      <c r="U1150" t="b">
        <v>0</v>
      </c>
    </row>
    <row r="1151" spans="1:21">
      <c r="A1151" t="s">
        <v>5174</v>
      </c>
      <c r="B1151" t="s">
        <v>1157</v>
      </c>
      <c r="C1151" t="s">
        <v>1139</v>
      </c>
      <c r="D1151" t="s">
        <v>5175</v>
      </c>
      <c r="E1151" t="s">
        <v>5176</v>
      </c>
      <c r="F1151" t="s">
        <v>1843</v>
      </c>
      <c r="G1151">
        <v>36</v>
      </c>
      <c r="H1151" t="s">
        <v>16</v>
      </c>
      <c r="I1151" t="s">
        <v>24</v>
      </c>
      <c r="J1151" t="s">
        <v>1413</v>
      </c>
      <c r="K1151">
        <v>44</v>
      </c>
      <c r="L1151" t="s">
        <v>2601</v>
      </c>
      <c r="M1151" t="s">
        <v>2605</v>
      </c>
      <c r="O1151" s="12">
        <v>45322.756249999999</v>
      </c>
      <c r="U1151" t="b">
        <v>0</v>
      </c>
    </row>
    <row r="1152" spans="1:21">
      <c r="A1152" t="s">
        <v>5177</v>
      </c>
      <c r="B1152" t="s">
        <v>2662</v>
      </c>
      <c r="C1152" t="s">
        <v>1432</v>
      </c>
      <c r="D1152" t="s">
        <v>5178</v>
      </c>
      <c r="E1152" t="s">
        <v>5179</v>
      </c>
      <c r="F1152" t="s">
        <v>1309</v>
      </c>
      <c r="G1152">
        <v>474</v>
      </c>
      <c r="H1152" t="s">
        <v>366</v>
      </c>
      <c r="I1152" t="s">
        <v>30</v>
      </c>
      <c r="J1152" t="s">
        <v>1413</v>
      </c>
      <c r="K1152">
        <v>75</v>
      </c>
      <c r="L1152" t="s">
        <v>2601</v>
      </c>
      <c r="M1152" t="s">
        <v>2605</v>
      </c>
      <c r="N1152" t="s">
        <v>18</v>
      </c>
      <c r="O1152" s="12">
        <v>46018.873611111114</v>
      </c>
      <c r="Q1152" s="12">
        <v>46018.949305555558</v>
      </c>
      <c r="R1152" s="12">
        <v>46019.071527777778</v>
      </c>
      <c r="U1152" t="b">
        <v>0</v>
      </c>
    </row>
    <row r="1153" spans="1:21">
      <c r="A1153" t="s">
        <v>5180</v>
      </c>
      <c r="B1153" t="s">
        <v>2874</v>
      </c>
      <c r="C1153" t="s">
        <v>1145</v>
      </c>
      <c r="D1153" t="s">
        <v>5181</v>
      </c>
      <c r="E1153" t="s">
        <v>5182</v>
      </c>
      <c r="F1153" t="s">
        <v>2617</v>
      </c>
      <c r="G1153">
        <v>192</v>
      </c>
      <c r="H1153" t="s">
        <v>171</v>
      </c>
      <c r="I1153" t="s">
        <v>24</v>
      </c>
      <c r="J1153" t="s">
        <v>1413</v>
      </c>
      <c r="K1153">
        <v>51</v>
      </c>
      <c r="L1153" t="s">
        <v>2601</v>
      </c>
      <c r="M1153" t="s">
        <v>2618</v>
      </c>
      <c r="N1153" t="s">
        <v>91</v>
      </c>
      <c r="O1153" s="12">
        <v>46106.365972222222</v>
      </c>
      <c r="Q1153" s="12">
        <v>46106.392361111109</v>
      </c>
      <c r="R1153" s="12">
        <v>46106.513194444444</v>
      </c>
      <c r="T1153" t="s">
        <v>2673</v>
      </c>
      <c r="U1153" t="b">
        <v>0</v>
      </c>
    </row>
    <row r="1154" spans="1:21">
      <c r="A1154" t="s">
        <v>5183</v>
      </c>
      <c r="B1154" t="s">
        <v>2657</v>
      </c>
      <c r="C1154" t="s">
        <v>2059</v>
      </c>
      <c r="D1154" t="s">
        <v>5184</v>
      </c>
      <c r="E1154" t="s">
        <v>5185</v>
      </c>
      <c r="F1154" t="s">
        <v>1471</v>
      </c>
      <c r="G1154">
        <v>423</v>
      </c>
      <c r="H1154" t="s">
        <v>295</v>
      </c>
      <c r="I1154" t="s">
        <v>30</v>
      </c>
      <c r="J1154" t="s">
        <v>1317</v>
      </c>
      <c r="K1154">
        <v>78</v>
      </c>
      <c r="L1154" t="s">
        <v>2601</v>
      </c>
      <c r="M1154" t="s">
        <v>2618</v>
      </c>
      <c r="N1154" t="s">
        <v>82</v>
      </c>
      <c r="O1154" s="12">
        <v>45774.590277777781</v>
      </c>
      <c r="Q1154" s="12">
        <v>45774.783333333333</v>
      </c>
      <c r="R1154" s="12">
        <v>45774.886111111111</v>
      </c>
      <c r="T1154" t="s">
        <v>2619</v>
      </c>
      <c r="U1154" t="b">
        <v>0</v>
      </c>
    </row>
    <row r="1155" spans="1:21">
      <c r="A1155" t="s">
        <v>5186</v>
      </c>
      <c r="B1155" t="s">
        <v>1175</v>
      </c>
      <c r="C1155" t="s">
        <v>2100</v>
      </c>
      <c r="D1155" t="s">
        <v>5187</v>
      </c>
      <c r="E1155" t="s">
        <v>5188</v>
      </c>
      <c r="F1155" t="s">
        <v>1448</v>
      </c>
      <c r="G1155">
        <v>111</v>
      </c>
      <c r="H1155" t="s">
        <v>64</v>
      </c>
      <c r="I1155" t="s">
        <v>24</v>
      </c>
      <c r="J1155" t="s">
        <v>1295</v>
      </c>
      <c r="K1155">
        <v>95</v>
      </c>
      <c r="L1155" t="s">
        <v>2642</v>
      </c>
      <c r="M1155" t="s">
        <v>2643</v>
      </c>
      <c r="N1155" t="s">
        <v>69</v>
      </c>
      <c r="O1155" s="12">
        <v>45421.854861111111</v>
      </c>
      <c r="P1155" s="12">
        <v>45424.063194444447</v>
      </c>
      <c r="Q1155" s="12">
        <v>45421.895138888889</v>
      </c>
      <c r="R1155" s="12">
        <v>45421.909722222219</v>
      </c>
      <c r="S1155" s="12">
        <v>45424.938194444447</v>
      </c>
      <c r="U1155" t="b">
        <v>0</v>
      </c>
    </row>
    <row r="1156" spans="1:21">
      <c r="A1156" t="s">
        <v>5189</v>
      </c>
      <c r="B1156" t="s">
        <v>1898</v>
      </c>
      <c r="C1156" t="s">
        <v>1135</v>
      </c>
      <c r="D1156" t="s">
        <v>5190</v>
      </c>
      <c r="E1156" t="s">
        <v>5191</v>
      </c>
      <c r="F1156" t="s">
        <v>1420</v>
      </c>
      <c r="G1156">
        <v>80</v>
      </c>
      <c r="H1156" t="s">
        <v>54</v>
      </c>
      <c r="I1156" t="s">
        <v>24</v>
      </c>
      <c r="J1156" t="s">
        <v>1288</v>
      </c>
      <c r="K1156">
        <v>51</v>
      </c>
      <c r="L1156" t="s">
        <v>2601</v>
      </c>
      <c r="M1156" t="s">
        <v>2655</v>
      </c>
      <c r="N1156" t="s">
        <v>91</v>
      </c>
      <c r="O1156" s="12">
        <v>45865.647916666669</v>
      </c>
      <c r="Q1156" s="12">
        <v>45865.807638888888</v>
      </c>
      <c r="U1156" t="b">
        <v>0</v>
      </c>
    </row>
    <row r="1157" spans="1:21">
      <c r="A1157" t="s">
        <v>5192</v>
      </c>
      <c r="B1157" t="s">
        <v>1521</v>
      </c>
      <c r="C1157" t="s">
        <v>1158</v>
      </c>
      <c r="D1157" t="s">
        <v>5193</v>
      </c>
      <c r="E1157" t="s">
        <v>5194</v>
      </c>
      <c r="F1157" t="s">
        <v>2680</v>
      </c>
      <c r="G1157">
        <v>682</v>
      </c>
      <c r="H1157" t="s">
        <v>23</v>
      </c>
      <c r="I1157" t="s">
        <v>30</v>
      </c>
      <c r="J1157" t="s">
        <v>1271</v>
      </c>
      <c r="K1157">
        <v>43</v>
      </c>
      <c r="L1157" t="s">
        <v>2601</v>
      </c>
      <c r="M1157" t="s">
        <v>2593</v>
      </c>
      <c r="N1157" t="s">
        <v>82</v>
      </c>
      <c r="O1157" s="12">
        <v>45317.349305555559</v>
      </c>
      <c r="Q1157" s="12">
        <v>45317.375694444447</v>
      </c>
      <c r="R1157" s="12">
        <v>45317.959027777775</v>
      </c>
      <c r="U1157" t="b">
        <v>0</v>
      </c>
    </row>
    <row r="1158" spans="1:21">
      <c r="A1158" t="s">
        <v>5195</v>
      </c>
      <c r="B1158" t="s">
        <v>2682</v>
      </c>
      <c r="C1158" t="s">
        <v>1436</v>
      </c>
      <c r="D1158" t="s">
        <v>5196</v>
      </c>
      <c r="E1158" t="s">
        <v>5197</v>
      </c>
      <c r="F1158" t="s">
        <v>2271</v>
      </c>
      <c r="G1158">
        <v>66</v>
      </c>
      <c r="H1158" t="s">
        <v>50</v>
      </c>
      <c r="I1158" t="s">
        <v>24</v>
      </c>
      <c r="J1158" t="s">
        <v>1413</v>
      </c>
      <c r="K1158">
        <v>42</v>
      </c>
      <c r="L1158" t="s">
        <v>2601</v>
      </c>
      <c r="M1158" t="s">
        <v>2593</v>
      </c>
      <c r="N1158" t="s">
        <v>59</v>
      </c>
      <c r="O1158" s="12">
        <v>45753.436111111114</v>
      </c>
      <c r="Q1158" s="12">
        <v>45753.508333333331</v>
      </c>
      <c r="R1158" s="12">
        <v>45753.515277777777</v>
      </c>
      <c r="U1158" t="b">
        <v>0</v>
      </c>
    </row>
    <row r="1159" spans="1:21">
      <c r="A1159" t="s">
        <v>5198</v>
      </c>
      <c r="B1159" t="s">
        <v>2657</v>
      </c>
      <c r="C1159" t="s">
        <v>1119</v>
      </c>
      <c r="D1159" t="s">
        <v>5199</v>
      </c>
      <c r="E1159" t="s">
        <v>5200</v>
      </c>
      <c r="F1159" t="s">
        <v>1412</v>
      </c>
      <c r="G1159">
        <v>169</v>
      </c>
      <c r="H1159" t="s">
        <v>154</v>
      </c>
      <c r="I1159" t="s">
        <v>24</v>
      </c>
      <c r="J1159" t="s">
        <v>1317</v>
      </c>
      <c r="K1159">
        <v>71</v>
      </c>
      <c r="L1159" t="s">
        <v>2592</v>
      </c>
      <c r="M1159" t="s">
        <v>2597</v>
      </c>
      <c r="N1159" t="s">
        <v>25</v>
      </c>
      <c r="O1159" s="12">
        <v>45445.967361111114</v>
      </c>
      <c r="P1159" s="12">
        <v>45450.592361111114</v>
      </c>
      <c r="Q1159" s="12">
        <v>45446.179166666669</v>
      </c>
      <c r="R1159" s="12">
        <v>45446.224999999999</v>
      </c>
      <c r="U1159" t="b">
        <v>0</v>
      </c>
    </row>
    <row r="1160" spans="1:21">
      <c r="A1160" t="s">
        <v>5201</v>
      </c>
      <c r="B1160" t="s">
        <v>2902</v>
      </c>
      <c r="C1160" t="s">
        <v>1971</v>
      </c>
      <c r="D1160" t="s">
        <v>5202</v>
      </c>
      <c r="E1160" t="s">
        <v>5203</v>
      </c>
      <c r="F1160" t="s">
        <v>2084</v>
      </c>
      <c r="G1160">
        <v>842</v>
      </c>
      <c r="H1160" t="s">
        <v>223</v>
      </c>
      <c r="I1160" t="s">
        <v>30</v>
      </c>
      <c r="J1160" t="s">
        <v>1288</v>
      </c>
      <c r="K1160">
        <v>51</v>
      </c>
      <c r="L1160" t="s">
        <v>2601</v>
      </c>
      <c r="M1160" t="s">
        <v>2655</v>
      </c>
      <c r="N1160" t="s">
        <v>18</v>
      </c>
      <c r="O1160" s="12">
        <v>46273.020138888889</v>
      </c>
      <c r="Q1160" s="12">
        <v>46273.186111111114</v>
      </c>
      <c r="U1160" t="b">
        <v>0</v>
      </c>
    </row>
    <row r="1161" spans="1:21">
      <c r="A1161" t="s">
        <v>5204</v>
      </c>
      <c r="B1161" t="s">
        <v>2902</v>
      </c>
      <c r="C1161" t="s">
        <v>1418</v>
      </c>
      <c r="D1161" t="s">
        <v>5205</v>
      </c>
      <c r="E1161" t="s">
        <v>5206</v>
      </c>
      <c r="F1161" t="s">
        <v>1487</v>
      </c>
      <c r="G1161">
        <v>541</v>
      </c>
      <c r="H1161" t="s">
        <v>23</v>
      </c>
      <c r="I1161" t="s">
        <v>30</v>
      </c>
      <c r="J1161" t="s">
        <v>1413</v>
      </c>
      <c r="K1161">
        <v>69</v>
      </c>
      <c r="L1161" t="s">
        <v>2592</v>
      </c>
      <c r="M1161" t="s">
        <v>2605</v>
      </c>
      <c r="N1161" t="s">
        <v>82</v>
      </c>
      <c r="O1161" s="12">
        <v>46191.871527777781</v>
      </c>
      <c r="P1161" s="12">
        <v>46195.121527777781</v>
      </c>
      <c r="Q1161" s="12">
        <v>46192.070833333331</v>
      </c>
      <c r="R1161" s="12">
        <v>46192.179861111108</v>
      </c>
      <c r="U1161" t="b">
        <v>0</v>
      </c>
    </row>
    <row r="1162" spans="1:21">
      <c r="A1162" t="s">
        <v>5207</v>
      </c>
      <c r="B1162" t="s">
        <v>3169</v>
      </c>
      <c r="C1162" t="s">
        <v>1469</v>
      </c>
      <c r="D1162" t="s">
        <v>5208</v>
      </c>
      <c r="E1162" t="s">
        <v>5209</v>
      </c>
      <c r="F1162" t="s">
        <v>2660</v>
      </c>
      <c r="G1162">
        <v>21</v>
      </c>
      <c r="H1162" t="s">
        <v>90</v>
      </c>
      <c r="I1162" t="s">
        <v>24</v>
      </c>
      <c r="J1162" t="s">
        <v>1295</v>
      </c>
      <c r="K1162">
        <v>94</v>
      </c>
      <c r="L1162" t="s">
        <v>2642</v>
      </c>
      <c r="M1162" t="s">
        <v>2643</v>
      </c>
      <c r="N1162" t="s">
        <v>91</v>
      </c>
      <c r="O1162" s="12">
        <v>45665.915277777778</v>
      </c>
      <c r="P1162" s="12">
        <v>45666.040277777778</v>
      </c>
      <c r="Q1162" s="12">
        <v>45666.074999999997</v>
      </c>
      <c r="R1162" s="12">
        <v>45666.097222222219</v>
      </c>
      <c r="S1162" s="12">
        <v>45670.415277777778</v>
      </c>
      <c r="U1162" t="b">
        <v>0</v>
      </c>
    </row>
    <row r="1163" spans="1:21">
      <c r="A1163" t="s">
        <v>5210</v>
      </c>
      <c r="B1163" t="s">
        <v>2682</v>
      </c>
      <c r="C1163" t="s">
        <v>1337</v>
      </c>
      <c r="D1163" t="s">
        <v>5211</v>
      </c>
      <c r="E1163" t="s">
        <v>5212</v>
      </c>
      <c r="F1163" t="s">
        <v>1843</v>
      </c>
      <c r="G1163">
        <v>768</v>
      </c>
      <c r="H1163" t="s">
        <v>366</v>
      </c>
      <c r="I1163" t="s">
        <v>30</v>
      </c>
      <c r="J1163" t="s">
        <v>1413</v>
      </c>
      <c r="K1163">
        <v>69</v>
      </c>
      <c r="L1163" t="s">
        <v>2592</v>
      </c>
      <c r="M1163" t="s">
        <v>2593</v>
      </c>
      <c r="N1163" t="s">
        <v>18</v>
      </c>
      <c r="O1163" s="12">
        <v>46282.824999999997</v>
      </c>
      <c r="P1163" s="12">
        <v>46287.408333333333</v>
      </c>
      <c r="Q1163" s="12">
        <v>46282.938888888886</v>
      </c>
      <c r="R1163" s="12">
        <v>46283.813888888886</v>
      </c>
      <c r="U1163" t="b">
        <v>0</v>
      </c>
    </row>
    <row r="1164" spans="1:21">
      <c r="A1164" t="s">
        <v>5213</v>
      </c>
      <c r="B1164" t="s">
        <v>1176</v>
      </c>
      <c r="C1164" t="s">
        <v>1475</v>
      </c>
      <c r="D1164" t="s">
        <v>5214</v>
      </c>
      <c r="E1164" t="s">
        <v>5215</v>
      </c>
      <c r="F1164" t="s">
        <v>1309</v>
      </c>
      <c r="G1164">
        <v>904</v>
      </c>
      <c r="H1164" t="s">
        <v>81</v>
      </c>
      <c r="I1164" t="s">
        <v>30</v>
      </c>
      <c r="J1164" t="s">
        <v>1317</v>
      </c>
      <c r="K1164">
        <v>65</v>
      </c>
      <c r="L1164" t="s">
        <v>2592</v>
      </c>
      <c r="M1164" t="s">
        <v>2593</v>
      </c>
      <c r="N1164" t="s">
        <v>82</v>
      </c>
      <c r="O1164" s="12">
        <v>45305.34097222222</v>
      </c>
      <c r="P1164" s="12">
        <v>45307.96597222222</v>
      </c>
      <c r="Q1164" s="12">
        <v>45305.497916666667</v>
      </c>
      <c r="R1164" s="12">
        <v>45305.556944444441</v>
      </c>
      <c r="U1164" t="b">
        <v>0</v>
      </c>
    </row>
    <row r="1165" spans="1:21">
      <c r="A1165" t="s">
        <v>5216</v>
      </c>
      <c r="B1165" t="s">
        <v>1161</v>
      </c>
      <c r="C1165" t="s">
        <v>1145</v>
      </c>
      <c r="D1165" t="s">
        <v>5217</v>
      </c>
      <c r="E1165" t="s">
        <v>5218</v>
      </c>
      <c r="F1165" t="s">
        <v>1420</v>
      </c>
      <c r="G1165">
        <v>134</v>
      </c>
      <c r="H1165" t="s">
        <v>366</v>
      </c>
      <c r="I1165" t="s">
        <v>24</v>
      </c>
      <c r="J1165" t="s">
        <v>1355</v>
      </c>
      <c r="K1165">
        <v>46</v>
      </c>
      <c r="L1165" t="s">
        <v>2592</v>
      </c>
      <c r="M1165" t="s">
        <v>2597</v>
      </c>
      <c r="N1165" t="s">
        <v>91</v>
      </c>
      <c r="O1165" s="12">
        <v>46183.401388888888</v>
      </c>
      <c r="P1165" s="12">
        <v>46186.443055555559</v>
      </c>
      <c r="Q1165" s="12">
        <v>46183.462500000001</v>
      </c>
      <c r="R1165" s="12">
        <v>46184.129166666666</v>
      </c>
      <c r="U1165" t="b">
        <v>0</v>
      </c>
    </row>
    <row r="1166" spans="1:21">
      <c r="A1166" t="s">
        <v>5219</v>
      </c>
      <c r="B1166" t="s">
        <v>3169</v>
      </c>
      <c r="C1166" t="s">
        <v>1650</v>
      </c>
      <c r="D1166" t="s">
        <v>5220</v>
      </c>
      <c r="E1166" t="s">
        <v>5221</v>
      </c>
      <c r="F1166" t="s">
        <v>1412</v>
      </c>
      <c r="G1166">
        <v>203</v>
      </c>
      <c r="H1166" t="s">
        <v>1079</v>
      </c>
      <c r="I1166" t="s">
        <v>30</v>
      </c>
      <c r="J1166" t="s">
        <v>1295</v>
      </c>
      <c r="K1166">
        <v>90</v>
      </c>
      <c r="L1166" t="s">
        <v>2592</v>
      </c>
      <c r="M1166" t="s">
        <v>2593</v>
      </c>
      <c r="N1166" t="s">
        <v>55</v>
      </c>
      <c r="O1166" s="12">
        <v>45623.69027777778</v>
      </c>
      <c r="P1166" s="12">
        <v>45624.231944444444</v>
      </c>
      <c r="Q1166" s="12">
        <v>45623.890277777777</v>
      </c>
      <c r="R1166" s="12">
        <v>45625.140277777777</v>
      </c>
      <c r="U1166" t="b">
        <v>0</v>
      </c>
    </row>
    <row r="1167" spans="1:21">
      <c r="A1167" t="s">
        <v>5222</v>
      </c>
      <c r="B1167" t="s">
        <v>1211</v>
      </c>
      <c r="C1167" t="s">
        <v>1541</v>
      </c>
      <c r="D1167" t="s">
        <v>5223</v>
      </c>
      <c r="E1167" t="s">
        <v>5224</v>
      </c>
      <c r="F1167" t="s">
        <v>2660</v>
      </c>
      <c r="G1167">
        <v>93</v>
      </c>
      <c r="H1167" t="s">
        <v>192</v>
      </c>
      <c r="I1167" t="s">
        <v>24</v>
      </c>
      <c r="J1167" t="s">
        <v>1295</v>
      </c>
      <c r="K1167">
        <v>73</v>
      </c>
      <c r="L1167" t="s">
        <v>2592</v>
      </c>
      <c r="M1167" t="s">
        <v>2597</v>
      </c>
      <c r="N1167" t="s">
        <v>91</v>
      </c>
      <c r="O1167" s="12">
        <v>45590.986111111109</v>
      </c>
      <c r="P1167" s="12">
        <v>45594.111111111109</v>
      </c>
      <c r="Q1167" s="12">
        <v>45591.15</v>
      </c>
      <c r="R1167" s="12">
        <v>45591.98333333333</v>
      </c>
      <c r="U1167" t="b">
        <v>0</v>
      </c>
    </row>
    <row r="1168" spans="1:21">
      <c r="A1168" t="s">
        <v>5225</v>
      </c>
      <c r="B1168" t="s">
        <v>2706</v>
      </c>
      <c r="C1168" t="s">
        <v>1432</v>
      </c>
      <c r="D1168" t="s">
        <v>5226</v>
      </c>
      <c r="E1168" t="s">
        <v>5227</v>
      </c>
      <c r="F1168" t="s">
        <v>1843</v>
      </c>
      <c r="G1168">
        <v>15</v>
      </c>
      <c r="H1168" t="s">
        <v>81</v>
      </c>
      <c r="J1168" t="s">
        <v>1288</v>
      </c>
      <c r="K1168">
        <v>48</v>
      </c>
      <c r="L1168" t="s">
        <v>2601</v>
      </c>
      <c r="M1168" t="s">
        <v>2643</v>
      </c>
      <c r="O1168" s="12">
        <v>45949.738194444442</v>
      </c>
      <c r="U1168" t="b">
        <v>0</v>
      </c>
    </row>
    <row r="1169" spans="1:21">
      <c r="A1169" t="s">
        <v>5228</v>
      </c>
      <c r="B1169" t="s">
        <v>2811</v>
      </c>
      <c r="C1169" t="s">
        <v>1139</v>
      </c>
      <c r="D1169" t="s">
        <v>4223</v>
      </c>
      <c r="E1169" t="s">
        <v>5229</v>
      </c>
      <c r="F1169" t="s">
        <v>1367</v>
      </c>
      <c r="G1169">
        <v>770</v>
      </c>
      <c r="H1169" t="s">
        <v>249</v>
      </c>
      <c r="I1169" t="s">
        <v>30</v>
      </c>
      <c r="J1169" t="s">
        <v>1317</v>
      </c>
      <c r="K1169">
        <v>54</v>
      </c>
      <c r="L1169" t="s">
        <v>2592</v>
      </c>
      <c r="M1169" t="s">
        <v>2597</v>
      </c>
      <c r="N1169" t="s">
        <v>36</v>
      </c>
      <c r="O1169" s="12">
        <v>45970.816666666666</v>
      </c>
      <c r="P1169" s="12">
        <v>45971.941666666666</v>
      </c>
      <c r="Q1169" s="12">
        <v>45970.922222222223</v>
      </c>
      <c r="R1169" s="12">
        <v>45971.06527777778</v>
      </c>
      <c r="U1169" t="b">
        <v>0</v>
      </c>
    </row>
    <row r="1170" spans="1:21">
      <c r="A1170" t="s">
        <v>5230</v>
      </c>
      <c r="B1170" t="s">
        <v>3169</v>
      </c>
      <c r="C1170" t="s">
        <v>1432</v>
      </c>
      <c r="D1170" t="s">
        <v>5231</v>
      </c>
      <c r="E1170" t="s">
        <v>5232</v>
      </c>
      <c r="F1170" t="s">
        <v>1420</v>
      </c>
      <c r="G1170">
        <v>36</v>
      </c>
      <c r="H1170" t="s">
        <v>95</v>
      </c>
      <c r="I1170" t="s">
        <v>24</v>
      </c>
      <c r="J1170" t="s">
        <v>1271</v>
      </c>
      <c r="K1170">
        <v>58</v>
      </c>
      <c r="L1170" t="s">
        <v>2592</v>
      </c>
      <c r="M1170" t="s">
        <v>2593</v>
      </c>
      <c r="N1170" t="s">
        <v>91</v>
      </c>
      <c r="O1170" s="12">
        <v>46094.86041666667</v>
      </c>
      <c r="P1170" s="12">
        <v>46095.73541666667</v>
      </c>
      <c r="Q1170" s="12">
        <v>46094.995833333334</v>
      </c>
      <c r="R1170" s="12">
        <v>46095.033333333333</v>
      </c>
      <c r="U1170" t="b">
        <v>0</v>
      </c>
    </row>
    <row r="1171" spans="1:21">
      <c r="A1171" t="s">
        <v>5233</v>
      </c>
      <c r="B1171" t="s">
        <v>2711</v>
      </c>
      <c r="C1171" t="s">
        <v>1365</v>
      </c>
      <c r="D1171" t="s">
        <v>5234</v>
      </c>
      <c r="E1171" t="s">
        <v>5235</v>
      </c>
      <c r="F1171" t="s">
        <v>1182</v>
      </c>
      <c r="G1171">
        <v>95</v>
      </c>
      <c r="H1171" t="s">
        <v>1034</v>
      </c>
      <c r="I1171" t="s">
        <v>24</v>
      </c>
      <c r="J1171" t="s">
        <v>1355</v>
      </c>
      <c r="K1171">
        <v>76</v>
      </c>
      <c r="L1171" t="s">
        <v>2592</v>
      </c>
      <c r="M1171" t="s">
        <v>2597</v>
      </c>
      <c r="N1171" t="s">
        <v>59</v>
      </c>
      <c r="O1171" s="12">
        <v>46017.211111111108</v>
      </c>
      <c r="P1171" s="12">
        <v>46021.00277777778</v>
      </c>
      <c r="Q1171" s="12">
        <v>46017.344444444447</v>
      </c>
      <c r="R1171" s="12">
        <v>46017.45416666667</v>
      </c>
      <c r="U1171" t="b">
        <v>0</v>
      </c>
    </row>
    <row r="1172" spans="1:21">
      <c r="A1172" t="s">
        <v>5236</v>
      </c>
      <c r="B1172" t="s">
        <v>2607</v>
      </c>
      <c r="C1172" t="s">
        <v>2059</v>
      </c>
      <c r="D1172" t="s">
        <v>5237</v>
      </c>
      <c r="E1172" t="s">
        <v>5238</v>
      </c>
      <c r="F1172" t="s">
        <v>1182</v>
      </c>
      <c r="G1172">
        <v>94</v>
      </c>
      <c r="H1172" t="s">
        <v>366</v>
      </c>
      <c r="I1172" t="s">
        <v>24</v>
      </c>
      <c r="J1172" t="s">
        <v>1355</v>
      </c>
      <c r="K1172">
        <v>76</v>
      </c>
      <c r="L1172" t="s">
        <v>2601</v>
      </c>
      <c r="M1172" t="s">
        <v>2605</v>
      </c>
      <c r="N1172" t="s">
        <v>91</v>
      </c>
      <c r="O1172" s="12">
        <v>46001.511805555558</v>
      </c>
      <c r="Q1172" s="12">
        <v>46001.71875</v>
      </c>
      <c r="R1172" s="12">
        <v>46001.751388888886</v>
      </c>
      <c r="U1172" t="b">
        <v>0</v>
      </c>
    </row>
    <row r="1173" spans="1:21">
      <c r="A1173" t="s">
        <v>5239</v>
      </c>
      <c r="B1173" t="s">
        <v>1161</v>
      </c>
      <c r="C1173" t="s">
        <v>1208</v>
      </c>
      <c r="D1173" t="s">
        <v>5240</v>
      </c>
      <c r="E1173" t="s">
        <v>5241</v>
      </c>
      <c r="F1173" t="s">
        <v>2660</v>
      </c>
      <c r="G1173">
        <v>35</v>
      </c>
      <c r="H1173" t="s">
        <v>154</v>
      </c>
      <c r="I1173" t="s">
        <v>24</v>
      </c>
      <c r="J1173" t="s">
        <v>1288</v>
      </c>
      <c r="K1173">
        <v>59</v>
      </c>
      <c r="L1173" t="s">
        <v>2642</v>
      </c>
      <c r="M1173" t="s">
        <v>2643</v>
      </c>
      <c r="N1173" t="s">
        <v>25</v>
      </c>
      <c r="O1173" s="12">
        <v>45904.759722222225</v>
      </c>
      <c r="P1173" s="12">
        <v>45905.593055555553</v>
      </c>
      <c r="Q1173" s="12">
        <v>45904.78125</v>
      </c>
      <c r="R1173" s="12">
        <v>45904.813194444447</v>
      </c>
      <c r="S1173" s="12">
        <v>45910.843055555553</v>
      </c>
      <c r="U1173" t="b">
        <v>0</v>
      </c>
    </row>
    <row r="1174" spans="1:21">
      <c r="A1174" t="s">
        <v>5242</v>
      </c>
      <c r="B1174" t="s">
        <v>2878</v>
      </c>
      <c r="C1174" t="s">
        <v>1307</v>
      </c>
      <c r="D1174" t="s">
        <v>5243</v>
      </c>
      <c r="E1174" t="s">
        <v>5244</v>
      </c>
      <c r="F1174" t="s">
        <v>1517</v>
      </c>
      <c r="G1174">
        <v>30</v>
      </c>
      <c r="H1174" t="s">
        <v>116</v>
      </c>
      <c r="I1174" t="s">
        <v>24</v>
      </c>
      <c r="J1174" t="s">
        <v>1413</v>
      </c>
      <c r="K1174">
        <v>46</v>
      </c>
      <c r="L1174" t="s">
        <v>2601</v>
      </c>
      <c r="M1174" t="s">
        <v>2605</v>
      </c>
      <c r="N1174" t="s">
        <v>25</v>
      </c>
      <c r="O1174" s="12">
        <v>45672.365972222222</v>
      </c>
      <c r="Q1174" s="12">
        <v>45672.597916666666</v>
      </c>
      <c r="R1174" s="12">
        <v>45672.616666666669</v>
      </c>
      <c r="U1174" t="b">
        <v>0</v>
      </c>
    </row>
    <row r="1175" spans="1:21">
      <c r="A1175" t="s">
        <v>5245</v>
      </c>
      <c r="B1175" t="s">
        <v>2670</v>
      </c>
      <c r="C1175" t="s">
        <v>1172</v>
      </c>
      <c r="D1175" t="s">
        <v>5246</v>
      </c>
      <c r="E1175" t="s">
        <v>5247</v>
      </c>
      <c r="F1175" t="s">
        <v>1784</v>
      </c>
      <c r="G1175">
        <v>886</v>
      </c>
      <c r="H1175" t="s">
        <v>154</v>
      </c>
      <c r="I1175" t="s">
        <v>30</v>
      </c>
      <c r="J1175" t="s">
        <v>1271</v>
      </c>
      <c r="K1175">
        <v>50</v>
      </c>
      <c r="L1175" t="s">
        <v>2592</v>
      </c>
      <c r="M1175" t="s">
        <v>2593</v>
      </c>
      <c r="N1175" t="s">
        <v>82</v>
      </c>
      <c r="O1175" s="12">
        <v>46277.977083333331</v>
      </c>
      <c r="P1175" s="12">
        <v>46278.102083333331</v>
      </c>
      <c r="Q1175" s="12">
        <v>46278.209722222222</v>
      </c>
      <c r="R1175" s="12">
        <v>46278.258333333331</v>
      </c>
      <c r="U1175" t="b">
        <v>0</v>
      </c>
    </row>
    <row r="1176" spans="1:21">
      <c r="A1176" t="s">
        <v>5248</v>
      </c>
      <c r="B1176" t="s">
        <v>2639</v>
      </c>
      <c r="C1176" t="s">
        <v>1135</v>
      </c>
      <c r="D1176" t="s">
        <v>5249</v>
      </c>
      <c r="E1176" t="s">
        <v>5250</v>
      </c>
      <c r="F1176" t="s">
        <v>1420</v>
      </c>
      <c r="G1176">
        <v>106</v>
      </c>
      <c r="H1176" t="s">
        <v>90</v>
      </c>
      <c r="I1176" t="s">
        <v>24</v>
      </c>
      <c r="J1176" t="s">
        <v>1413</v>
      </c>
      <c r="K1176">
        <v>65</v>
      </c>
      <c r="L1176" t="s">
        <v>2601</v>
      </c>
      <c r="M1176" t="s">
        <v>2605</v>
      </c>
      <c r="N1176" t="s">
        <v>91</v>
      </c>
      <c r="O1176" s="12">
        <v>46235.825694444444</v>
      </c>
      <c r="Q1176" s="12">
        <v>46236.06527777778</v>
      </c>
      <c r="R1176" s="12">
        <v>46237.523611111108</v>
      </c>
      <c r="U1176" t="b">
        <v>0</v>
      </c>
    </row>
    <row r="1177" spans="1:21">
      <c r="A1177" t="s">
        <v>5251</v>
      </c>
      <c r="B1177" t="s">
        <v>2666</v>
      </c>
      <c r="C1177" t="s">
        <v>1650</v>
      </c>
      <c r="D1177" t="s">
        <v>5252</v>
      </c>
      <c r="E1177" t="s">
        <v>5253</v>
      </c>
      <c r="F1177" t="s">
        <v>2755</v>
      </c>
      <c r="G1177">
        <v>113</v>
      </c>
      <c r="H1177" t="s">
        <v>50</v>
      </c>
      <c r="I1177" t="s">
        <v>24</v>
      </c>
      <c r="J1177" t="s">
        <v>1413</v>
      </c>
      <c r="K1177">
        <v>57</v>
      </c>
      <c r="L1177" t="s">
        <v>2601</v>
      </c>
      <c r="M1177" t="s">
        <v>2655</v>
      </c>
      <c r="N1177" t="s">
        <v>59</v>
      </c>
      <c r="O1177" s="12">
        <v>46238.863194444442</v>
      </c>
      <c r="Q1177" s="12">
        <v>46239.038194444445</v>
      </c>
      <c r="U1177" t="b">
        <v>0</v>
      </c>
    </row>
    <row r="1178" spans="1:21">
      <c r="A1178" t="s">
        <v>5254</v>
      </c>
      <c r="B1178" t="s">
        <v>1157</v>
      </c>
      <c r="C1178" t="s">
        <v>1203</v>
      </c>
      <c r="D1178" t="s">
        <v>5255</v>
      </c>
      <c r="E1178" t="s">
        <v>5256</v>
      </c>
      <c r="F1178" t="s">
        <v>2755</v>
      </c>
      <c r="G1178">
        <v>213</v>
      </c>
      <c r="H1178" t="s">
        <v>205</v>
      </c>
      <c r="I1178" t="s">
        <v>24</v>
      </c>
      <c r="J1178" t="s">
        <v>1355</v>
      </c>
      <c r="K1178">
        <v>85</v>
      </c>
      <c r="L1178" t="s">
        <v>2601</v>
      </c>
      <c r="M1178" t="s">
        <v>2593</v>
      </c>
      <c r="N1178" t="s">
        <v>36</v>
      </c>
      <c r="O1178" s="12">
        <v>45449.152083333334</v>
      </c>
      <c r="Q1178" s="12">
        <v>45449.313888888886</v>
      </c>
      <c r="U1178" t="b">
        <v>0</v>
      </c>
    </row>
    <row r="1179" spans="1:21">
      <c r="A1179" t="s">
        <v>5257</v>
      </c>
      <c r="B1179" t="s">
        <v>1221</v>
      </c>
      <c r="C1179" t="s">
        <v>1404</v>
      </c>
      <c r="D1179" t="s">
        <v>5258</v>
      </c>
      <c r="E1179" t="s">
        <v>5259</v>
      </c>
      <c r="F1179" t="s">
        <v>1517</v>
      </c>
      <c r="G1179">
        <v>109</v>
      </c>
      <c r="H1179" t="s">
        <v>249</v>
      </c>
      <c r="I1179" t="s">
        <v>24</v>
      </c>
      <c r="J1179" t="s">
        <v>1355</v>
      </c>
      <c r="K1179">
        <v>52</v>
      </c>
      <c r="L1179" t="s">
        <v>2601</v>
      </c>
      <c r="M1179" t="s">
        <v>2605</v>
      </c>
      <c r="N1179" t="s">
        <v>59</v>
      </c>
      <c r="O1179" s="12">
        <v>45630.874305555553</v>
      </c>
      <c r="Q1179" s="12">
        <v>45630.913194444445</v>
      </c>
      <c r="R1179" s="12">
        <v>45631.058333333334</v>
      </c>
      <c r="U1179" t="b">
        <v>0</v>
      </c>
    </row>
    <row r="1180" spans="1:21">
      <c r="A1180" t="s">
        <v>5260</v>
      </c>
      <c r="B1180" t="s">
        <v>2878</v>
      </c>
      <c r="C1180" t="s">
        <v>1162</v>
      </c>
      <c r="D1180" t="s">
        <v>5261</v>
      </c>
      <c r="E1180" t="s">
        <v>5262</v>
      </c>
      <c r="F1180" t="s">
        <v>1448</v>
      </c>
      <c r="G1180">
        <v>185</v>
      </c>
      <c r="H1180" t="s">
        <v>116</v>
      </c>
      <c r="I1180" t="s">
        <v>24</v>
      </c>
      <c r="J1180" t="s">
        <v>1413</v>
      </c>
      <c r="K1180">
        <v>64</v>
      </c>
      <c r="L1180" t="s">
        <v>2592</v>
      </c>
      <c r="M1180" t="s">
        <v>2605</v>
      </c>
      <c r="N1180" t="s">
        <v>25</v>
      </c>
      <c r="O1180" s="12">
        <v>46260.004166666666</v>
      </c>
      <c r="P1180" s="12">
        <v>46261.712500000001</v>
      </c>
      <c r="Q1180" s="12">
        <v>46260.218055555553</v>
      </c>
      <c r="R1180" s="12">
        <v>46260.240277777775</v>
      </c>
      <c r="U1180" t="b">
        <v>0</v>
      </c>
    </row>
    <row r="1181" spans="1:21">
      <c r="A1181" t="s">
        <v>5263</v>
      </c>
      <c r="B1181" t="s">
        <v>1431</v>
      </c>
      <c r="C1181" t="s">
        <v>1660</v>
      </c>
      <c r="D1181" t="s">
        <v>5264</v>
      </c>
      <c r="E1181" t="s">
        <v>5265</v>
      </c>
      <c r="F1181" t="s">
        <v>2271</v>
      </c>
      <c r="G1181">
        <v>155</v>
      </c>
      <c r="H1181" t="s">
        <v>50</v>
      </c>
      <c r="I1181" t="s">
        <v>24</v>
      </c>
      <c r="J1181" t="s">
        <v>1288</v>
      </c>
      <c r="K1181">
        <v>77</v>
      </c>
      <c r="L1181" t="s">
        <v>2592</v>
      </c>
      <c r="M1181" t="s">
        <v>2593</v>
      </c>
      <c r="N1181" t="s">
        <v>59</v>
      </c>
      <c r="O1181" s="12">
        <v>46242.39166666667</v>
      </c>
      <c r="P1181" s="12">
        <v>46244.64166666667</v>
      </c>
      <c r="Q1181" s="12">
        <v>46242.613888888889</v>
      </c>
      <c r="R1181" s="12">
        <v>46242.740277777775</v>
      </c>
      <c r="U1181" t="b">
        <v>0</v>
      </c>
    </row>
    <row r="1182" spans="1:21">
      <c r="A1182" t="s">
        <v>5266</v>
      </c>
      <c r="B1182" t="s">
        <v>2645</v>
      </c>
      <c r="C1182" t="s">
        <v>1152</v>
      </c>
      <c r="D1182" t="s">
        <v>5267</v>
      </c>
      <c r="E1182" t="s">
        <v>5268</v>
      </c>
      <c r="F1182" t="s">
        <v>1511</v>
      </c>
      <c r="G1182">
        <v>71</v>
      </c>
      <c r="H1182" t="s">
        <v>50</v>
      </c>
      <c r="I1182" t="s">
        <v>24</v>
      </c>
      <c r="J1182" t="s">
        <v>1413</v>
      </c>
      <c r="K1182">
        <v>45</v>
      </c>
      <c r="L1182" t="s">
        <v>2601</v>
      </c>
      <c r="M1182" t="s">
        <v>2593</v>
      </c>
      <c r="N1182" t="s">
        <v>59</v>
      </c>
      <c r="O1182" s="12">
        <v>45731.040277777778</v>
      </c>
      <c r="Q1182" s="12">
        <v>45731.049305555556</v>
      </c>
      <c r="R1182" s="12">
        <v>45731.882638888892</v>
      </c>
      <c r="U1182" t="b">
        <v>0</v>
      </c>
    </row>
    <row r="1183" spans="1:21">
      <c r="A1183" t="s">
        <v>5269</v>
      </c>
      <c r="B1183" t="s">
        <v>1176</v>
      </c>
      <c r="C1183" t="s">
        <v>1197</v>
      </c>
      <c r="D1183" t="s">
        <v>5270</v>
      </c>
      <c r="E1183" t="s">
        <v>5271</v>
      </c>
      <c r="F1183" t="s">
        <v>1784</v>
      </c>
      <c r="G1183">
        <v>851</v>
      </c>
      <c r="H1183" t="s">
        <v>366</v>
      </c>
      <c r="I1183" t="s">
        <v>30</v>
      </c>
      <c r="J1183" t="s">
        <v>1355</v>
      </c>
      <c r="K1183">
        <v>84</v>
      </c>
      <c r="L1183" t="s">
        <v>2642</v>
      </c>
      <c r="M1183" t="s">
        <v>2643</v>
      </c>
      <c r="N1183" t="s">
        <v>18</v>
      </c>
      <c r="O1183" s="12">
        <v>45453.912499999999</v>
      </c>
      <c r="P1183" s="12">
        <v>45456.45416666667</v>
      </c>
      <c r="Q1183" s="12">
        <v>45453.969444444447</v>
      </c>
      <c r="R1183" s="12">
        <v>45454.09097222222</v>
      </c>
      <c r="S1183" s="12">
        <v>45464.32916666667</v>
      </c>
      <c r="U1183" t="b">
        <v>0</v>
      </c>
    </row>
    <row r="1184" spans="1:21">
      <c r="A1184" t="s">
        <v>5272</v>
      </c>
      <c r="B1184" t="s">
        <v>2834</v>
      </c>
      <c r="C1184" t="s">
        <v>1135</v>
      </c>
      <c r="D1184" t="s">
        <v>5273</v>
      </c>
      <c r="E1184" t="s">
        <v>5274</v>
      </c>
      <c r="F1184" t="s">
        <v>1843</v>
      </c>
      <c r="G1184">
        <v>159</v>
      </c>
      <c r="H1184" t="s">
        <v>68</v>
      </c>
      <c r="I1184" t="s">
        <v>24</v>
      </c>
      <c r="J1184" t="s">
        <v>1281</v>
      </c>
      <c r="K1184">
        <v>69</v>
      </c>
      <c r="L1184" t="s">
        <v>2592</v>
      </c>
      <c r="M1184" t="s">
        <v>2618</v>
      </c>
      <c r="N1184" t="s">
        <v>69</v>
      </c>
      <c r="O1184" s="12">
        <v>45492.147222222222</v>
      </c>
      <c r="P1184" s="12">
        <v>45496.063888888886</v>
      </c>
      <c r="Q1184" s="12">
        <v>45492.152083333334</v>
      </c>
      <c r="R1184" s="12">
        <v>45492.197916666664</v>
      </c>
      <c r="T1184" t="s">
        <v>2648</v>
      </c>
      <c r="U1184" t="b">
        <v>0</v>
      </c>
    </row>
    <row r="1185" spans="1:21">
      <c r="A1185" t="s">
        <v>5275</v>
      </c>
      <c r="B1185" t="s">
        <v>2645</v>
      </c>
      <c r="C1185" t="s">
        <v>1186</v>
      </c>
      <c r="D1185" t="s">
        <v>5276</v>
      </c>
      <c r="E1185" t="s">
        <v>5277</v>
      </c>
      <c r="F1185" t="s">
        <v>2755</v>
      </c>
      <c r="G1185">
        <v>24</v>
      </c>
      <c r="H1185" t="s">
        <v>46</v>
      </c>
      <c r="I1185" t="s">
        <v>24</v>
      </c>
      <c r="J1185" t="s">
        <v>1271</v>
      </c>
      <c r="K1185">
        <v>35</v>
      </c>
      <c r="L1185" t="s">
        <v>2601</v>
      </c>
      <c r="M1185" t="s">
        <v>2593</v>
      </c>
      <c r="N1185" t="s">
        <v>91</v>
      </c>
      <c r="O1185" s="12">
        <v>46267.151388888888</v>
      </c>
      <c r="Q1185" s="12">
        <v>46267.341666666667</v>
      </c>
      <c r="R1185" s="12">
        <v>46267.477777777778</v>
      </c>
      <c r="U1185" t="b">
        <v>0</v>
      </c>
    </row>
    <row r="1186" spans="1:21">
      <c r="A1186" t="s">
        <v>5278</v>
      </c>
      <c r="B1186" t="s">
        <v>2657</v>
      </c>
      <c r="C1186" t="s">
        <v>1650</v>
      </c>
      <c r="D1186" t="s">
        <v>5279</v>
      </c>
      <c r="E1186" t="s">
        <v>5280</v>
      </c>
      <c r="F1186" t="s">
        <v>2709</v>
      </c>
      <c r="G1186">
        <v>158</v>
      </c>
      <c r="H1186" t="s">
        <v>1077</v>
      </c>
      <c r="I1186" t="s">
        <v>24</v>
      </c>
      <c r="J1186" t="s">
        <v>1288</v>
      </c>
      <c r="K1186">
        <v>51</v>
      </c>
      <c r="L1186" t="s">
        <v>2592</v>
      </c>
      <c r="M1186" t="s">
        <v>2597</v>
      </c>
      <c r="N1186" t="s">
        <v>69</v>
      </c>
      <c r="O1186" s="12">
        <v>45367.62222222222</v>
      </c>
      <c r="P1186" s="12">
        <v>45372.24722222222</v>
      </c>
      <c r="Q1186" s="12">
        <v>45367.729166666664</v>
      </c>
      <c r="R1186" s="12">
        <v>45368.270833333336</v>
      </c>
      <c r="U1186" t="b">
        <v>0</v>
      </c>
    </row>
    <row r="1187" spans="1:21">
      <c r="A1187" t="s">
        <v>5281</v>
      </c>
      <c r="B1187" t="s">
        <v>1176</v>
      </c>
      <c r="C1187" t="s">
        <v>1125</v>
      </c>
      <c r="D1187" t="s">
        <v>5282</v>
      </c>
      <c r="E1187" t="s">
        <v>5283</v>
      </c>
      <c r="F1187" t="s">
        <v>2660</v>
      </c>
      <c r="G1187">
        <v>150</v>
      </c>
      <c r="H1187" t="s">
        <v>226</v>
      </c>
      <c r="I1187" t="s">
        <v>24</v>
      </c>
      <c r="J1187" t="s">
        <v>1317</v>
      </c>
      <c r="K1187">
        <v>76</v>
      </c>
      <c r="L1187" t="s">
        <v>2592</v>
      </c>
      <c r="M1187" t="s">
        <v>2597</v>
      </c>
      <c r="N1187" t="s">
        <v>69</v>
      </c>
      <c r="O1187" s="12">
        <v>46061.709722222222</v>
      </c>
      <c r="P1187" s="12">
        <v>46063.918055555558</v>
      </c>
      <c r="Q1187" s="12">
        <v>46061.89166666667</v>
      </c>
      <c r="R1187" s="12">
        <v>46062.006944444445</v>
      </c>
      <c r="U1187" t="b">
        <v>0</v>
      </c>
    </row>
    <row r="1188" spans="1:21">
      <c r="A1188" t="s">
        <v>5284</v>
      </c>
      <c r="B1188" t="s">
        <v>1185</v>
      </c>
      <c r="C1188" t="s">
        <v>2033</v>
      </c>
      <c r="D1188" t="s">
        <v>5285</v>
      </c>
      <c r="E1188" t="s">
        <v>5286</v>
      </c>
      <c r="F1188" t="s">
        <v>1309</v>
      </c>
      <c r="G1188">
        <v>325</v>
      </c>
      <c r="H1188" t="s">
        <v>249</v>
      </c>
      <c r="I1188" t="s">
        <v>30</v>
      </c>
      <c r="J1188" t="s">
        <v>1413</v>
      </c>
      <c r="K1188">
        <v>64</v>
      </c>
      <c r="L1188" t="s">
        <v>2601</v>
      </c>
      <c r="M1188" t="s">
        <v>2618</v>
      </c>
      <c r="N1188" t="s">
        <v>36</v>
      </c>
      <c r="O1188" s="12">
        <v>45441.231944444444</v>
      </c>
      <c r="Q1188" s="12">
        <v>45441.477777777778</v>
      </c>
      <c r="T1188" t="s">
        <v>2619</v>
      </c>
      <c r="U1188" t="b">
        <v>0</v>
      </c>
    </row>
    <row r="1189" spans="1:21">
      <c r="A1189" t="s">
        <v>5287</v>
      </c>
      <c r="B1189" t="s">
        <v>2711</v>
      </c>
      <c r="C1189" t="s">
        <v>1490</v>
      </c>
      <c r="D1189" t="s">
        <v>5288</v>
      </c>
      <c r="E1189" t="s">
        <v>5289</v>
      </c>
      <c r="F1189" t="s">
        <v>1294</v>
      </c>
      <c r="G1189">
        <v>48</v>
      </c>
      <c r="H1189" t="s">
        <v>140</v>
      </c>
      <c r="I1189" t="s">
        <v>24</v>
      </c>
      <c r="J1189" t="s">
        <v>1288</v>
      </c>
      <c r="K1189">
        <v>49</v>
      </c>
      <c r="L1189" t="s">
        <v>2601</v>
      </c>
      <c r="M1189" t="s">
        <v>2605</v>
      </c>
      <c r="N1189" t="s">
        <v>25</v>
      </c>
      <c r="O1189" s="12">
        <v>45315.522222222222</v>
      </c>
      <c r="Q1189" s="12">
        <v>45315.549305555556</v>
      </c>
      <c r="R1189" s="12">
        <v>45316.007638888892</v>
      </c>
      <c r="U1189" t="b">
        <v>0</v>
      </c>
    </row>
    <row r="1190" spans="1:21">
      <c r="A1190" t="s">
        <v>5290</v>
      </c>
      <c r="B1190" t="s">
        <v>2611</v>
      </c>
      <c r="C1190" t="s">
        <v>1418</v>
      </c>
      <c r="D1190" t="s">
        <v>5291</v>
      </c>
      <c r="E1190" t="s">
        <v>5292</v>
      </c>
      <c r="F1190" t="s">
        <v>1471</v>
      </c>
      <c r="G1190">
        <v>184</v>
      </c>
      <c r="H1190" t="s">
        <v>205</v>
      </c>
      <c r="I1190" t="s">
        <v>24</v>
      </c>
      <c r="J1190" t="s">
        <v>1271</v>
      </c>
      <c r="K1190">
        <v>37</v>
      </c>
      <c r="L1190" t="s">
        <v>2601</v>
      </c>
      <c r="M1190" t="s">
        <v>2605</v>
      </c>
      <c r="N1190" t="s">
        <v>59</v>
      </c>
      <c r="O1190" s="12">
        <v>45725.713194444441</v>
      </c>
      <c r="Q1190" s="12">
        <v>45725.892361111109</v>
      </c>
      <c r="U1190" t="b">
        <v>0</v>
      </c>
    </row>
    <row r="1191" spans="1:21">
      <c r="A1191" t="s">
        <v>5293</v>
      </c>
      <c r="B1191" t="s">
        <v>1221</v>
      </c>
      <c r="C1191" t="s">
        <v>1378</v>
      </c>
      <c r="D1191" t="s">
        <v>5294</v>
      </c>
      <c r="E1191" t="s">
        <v>5295</v>
      </c>
      <c r="F1191" t="s">
        <v>1784</v>
      </c>
      <c r="G1191">
        <v>423</v>
      </c>
      <c r="H1191" t="s">
        <v>171</v>
      </c>
      <c r="I1191" t="s">
        <v>30</v>
      </c>
      <c r="J1191" t="s">
        <v>1271</v>
      </c>
      <c r="K1191">
        <v>68</v>
      </c>
      <c r="L1191" t="s">
        <v>2592</v>
      </c>
      <c r="M1191" t="s">
        <v>2593</v>
      </c>
      <c r="O1191" s="12">
        <v>46236.490972222222</v>
      </c>
      <c r="P1191" s="12">
        <v>46239.865972222222</v>
      </c>
      <c r="U1191" t="b">
        <v>0</v>
      </c>
    </row>
    <row r="1192" spans="1:21">
      <c r="A1192" t="s">
        <v>5296</v>
      </c>
      <c r="B1192" t="s">
        <v>1190</v>
      </c>
      <c r="C1192" t="s">
        <v>1343</v>
      </c>
      <c r="D1192" t="s">
        <v>5297</v>
      </c>
      <c r="E1192" t="s">
        <v>5298</v>
      </c>
      <c r="F1192" t="s">
        <v>1843</v>
      </c>
      <c r="G1192">
        <v>87</v>
      </c>
      <c r="H1192" t="s">
        <v>323</v>
      </c>
      <c r="I1192" t="s">
        <v>24</v>
      </c>
      <c r="J1192" t="s">
        <v>1271</v>
      </c>
      <c r="K1192">
        <v>46</v>
      </c>
      <c r="L1192" t="s">
        <v>2592</v>
      </c>
      <c r="M1192" t="s">
        <v>2593</v>
      </c>
      <c r="N1192" t="s">
        <v>25</v>
      </c>
      <c r="O1192" s="12">
        <v>45481.885416666664</v>
      </c>
      <c r="P1192" s="12">
        <v>45485.010416666664</v>
      </c>
      <c r="Q1192" s="12">
        <v>45482.054861111108</v>
      </c>
      <c r="R1192" s="12">
        <v>45482.162499999999</v>
      </c>
      <c r="U1192" t="b">
        <v>0</v>
      </c>
    </row>
    <row r="1193" spans="1:21">
      <c r="A1193" t="s">
        <v>5299</v>
      </c>
      <c r="B1193" t="s">
        <v>1176</v>
      </c>
      <c r="C1193" t="s">
        <v>1353</v>
      </c>
      <c r="D1193" t="s">
        <v>5300</v>
      </c>
      <c r="E1193" t="s">
        <v>5301</v>
      </c>
      <c r="F1193" t="s">
        <v>1420</v>
      </c>
      <c r="G1193">
        <v>158</v>
      </c>
      <c r="H1193" t="s">
        <v>54</v>
      </c>
      <c r="I1193" t="s">
        <v>24</v>
      </c>
      <c r="J1193" t="s">
        <v>1355</v>
      </c>
      <c r="K1193">
        <v>55</v>
      </c>
      <c r="L1193" t="s">
        <v>2601</v>
      </c>
      <c r="M1193" t="s">
        <v>2618</v>
      </c>
      <c r="N1193" t="s">
        <v>69</v>
      </c>
      <c r="O1193" s="12">
        <v>45491.414583333331</v>
      </c>
      <c r="Q1193" s="12">
        <v>45491.637499999997</v>
      </c>
      <c r="R1193" s="12">
        <v>45491.775000000001</v>
      </c>
      <c r="T1193" t="s">
        <v>2648</v>
      </c>
      <c r="U1193" t="b">
        <v>0</v>
      </c>
    </row>
    <row r="1194" spans="1:21">
      <c r="A1194" t="s">
        <v>5302</v>
      </c>
      <c r="B1194" t="s">
        <v>1161</v>
      </c>
      <c r="C1194" t="s">
        <v>1139</v>
      </c>
      <c r="D1194" t="s">
        <v>5303</v>
      </c>
      <c r="E1194" t="s">
        <v>5304</v>
      </c>
      <c r="F1194" t="s">
        <v>1420</v>
      </c>
      <c r="G1194">
        <v>810</v>
      </c>
      <c r="H1194" t="s">
        <v>178</v>
      </c>
      <c r="I1194" t="s">
        <v>30</v>
      </c>
      <c r="J1194" t="s">
        <v>1317</v>
      </c>
      <c r="K1194">
        <v>74</v>
      </c>
      <c r="L1194" t="s">
        <v>2601</v>
      </c>
      <c r="M1194" t="s">
        <v>2605</v>
      </c>
      <c r="N1194" t="s">
        <v>36</v>
      </c>
      <c r="O1194" s="12">
        <v>45484.749305555553</v>
      </c>
      <c r="Q1194" s="12">
        <v>45484.787499999999</v>
      </c>
      <c r="R1194" s="12">
        <v>45484.918749999997</v>
      </c>
      <c r="U1194" t="b">
        <v>0</v>
      </c>
    </row>
    <row r="1195" spans="1:21">
      <c r="A1195" t="s">
        <v>5305</v>
      </c>
      <c r="B1195" t="s">
        <v>2882</v>
      </c>
      <c r="C1195" t="s">
        <v>1208</v>
      </c>
      <c r="D1195" t="s">
        <v>3656</v>
      </c>
      <c r="E1195" t="s">
        <v>5306</v>
      </c>
      <c r="F1195" t="s">
        <v>1367</v>
      </c>
      <c r="G1195">
        <v>110</v>
      </c>
      <c r="H1195" t="s">
        <v>81</v>
      </c>
      <c r="I1195" t="s">
        <v>24</v>
      </c>
      <c r="J1195" t="s">
        <v>1295</v>
      </c>
      <c r="K1195">
        <v>80</v>
      </c>
      <c r="L1195" t="s">
        <v>2592</v>
      </c>
      <c r="M1195" t="s">
        <v>2593</v>
      </c>
      <c r="N1195" t="s">
        <v>25</v>
      </c>
      <c r="O1195" s="12">
        <v>46183.350694444445</v>
      </c>
      <c r="P1195" s="12">
        <v>46185.225694444445</v>
      </c>
      <c r="Q1195" s="12">
        <v>46183.383333333331</v>
      </c>
      <c r="R1195" s="12">
        <v>46183.411111111112</v>
      </c>
      <c r="U1195" t="b">
        <v>0</v>
      </c>
    </row>
    <row r="1196" spans="1:21">
      <c r="A1196" t="s">
        <v>5307</v>
      </c>
      <c r="B1196" t="s">
        <v>1521</v>
      </c>
      <c r="C1196" t="s">
        <v>1125</v>
      </c>
      <c r="D1196" t="s">
        <v>5308</v>
      </c>
      <c r="E1196" t="s">
        <v>5309</v>
      </c>
      <c r="F1196" t="s">
        <v>2709</v>
      </c>
      <c r="G1196">
        <v>138</v>
      </c>
      <c r="H1196" t="s">
        <v>161</v>
      </c>
      <c r="I1196" t="s">
        <v>24</v>
      </c>
      <c r="J1196" t="s">
        <v>1295</v>
      </c>
      <c r="K1196">
        <v>95</v>
      </c>
      <c r="L1196" t="s">
        <v>2592</v>
      </c>
      <c r="M1196" t="s">
        <v>2597</v>
      </c>
      <c r="N1196" t="s">
        <v>59</v>
      </c>
      <c r="O1196" s="12">
        <v>45396.697222222225</v>
      </c>
      <c r="P1196" s="12">
        <v>45397.238888888889</v>
      </c>
      <c r="Q1196" s="12">
        <v>45396.720833333333</v>
      </c>
      <c r="R1196" s="12">
        <v>45396.853472222225</v>
      </c>
      <c r="U1196" t="b">
        <v>0</v>
      </c>
    </row>
    <row r="1197" spans="1:21">
      <c r="A1197" t="s">
        <v>5310</v>
      </c>
      <c r="B1197" t="s">
        <v>2733</v>
      </c>
      <c r="C1197" t="s">
        <v>1307</v>
      </c>
      <c r="D1197" t="s">
        <v>5311</v>
      </c>
      <c r="E1197" t="s">
        <v>5312</v>
      </c>
      <c r="F1197" t="s">
        <v>1412</v>
      </c>
      <c r="G1197">
        <v>842</v>
      </c>
      <c r="H1197" t="s">
        <v>50</v>
      </c>
      <c r="I1197" t="s">
        <v>30</v>
      </c>
      <c r="J1197" t="s">
        <v>1355</v>
      </c>
      <c r="K1197">
        <v>58</v>
      </c>
      <c r="L1197" t="s">
        <v>2601</v>
      </c>
      <c r="M1197" t="s">
        <v>2618</v>
      </c>
      <c r="N1197" t="s">
        <v>36</v>
      </c>
      <c r="O1197" s="12">
        <v>46106.039583333331</v>
      </c>
      <c r="Q1197" s="12">
        <v>46106.154166666667</v>
      </c>
      <c r="R1197" s="12">
        <v>46106.173611111109</v>
      </c>
      <c r="T1197" t="s">
        <v>2619</v>
      </c>
      <c r="U1197" t="b">
        <v>0</v>
      </c>
    </row>
    <row r="1198" spans="1:21">
      <c r="A1198" t="s">
        <v>5313</v>
      </c>
      <c r="B1198" t="s">
        <v>2827</v>
      </c>
      <c r="C1198" t="s">
        <v>1191</v>
      </c>
      <c r="D1198" t="s">
        <v>5314</v>
      </c>
      <c r="E1198" t="s">
        <v>5315</v>
      </c>
      <c r="F1198" t="s">
        <v>1511</v>
      </c>
      <c r="G1198">
        <v>634</v>
      </c>
      <c r="H1198" t="s">
        <v>154</v>
      </c>
      <c r="I1198" t="s">
        <v>24</v>
      </c>
      <c r="J1198" t="s">
        <v>1355</v>
      </c>
      <c r="K1198">
        <v>75</v>
      </c>
      <c r="L1198" t="s">
        <v>2592</v>
      </c>
      <c r="M1198" t="s">
        <v>2597</v>
      </c>
      <c r="N1198" t="s">
        <v>82</v>
      </c>
      <c r="O1198" s="12">
        <v>45572.84097222222</v>
      </c>
      <c r="P1198" s="12">
        <v>45574.674305555556</v>
      </c>
      <c r="Q1198" s="12">
        <v>45572.931944444441</v>
      </c>
      <c r="R1198" s="12">
        <v>45573.043749999997</v>
      </c>
      <c r="U1198" t="b">
        <v>0</v>
      </c>
    </row>
    <row r="1199" spans="1:21">
      <c r="A1199" t="s">
        <v>5316</v>
      </c>
      <c r="B1199" t="s">
        <v>2639</v>
      </c>
      <c r="C1199" t="s">
        <v>1475</v>
      </c>
      <c r="D1199" t="s">
        <v>5317</v>
      </c>
      <c r="E1199" t="s">
        <v>5318</v>
      </c>
      <c r="F1199" t="s">
        <v>1367</v>
      </c>
      <c r="G1199">
        <v>78</v>
      </c>
      <c r="H1199" t="s">
        <v>236</v>
      </c>
      <c r="I1199" t="s">
        <v>24</v>
      </c>
      <c r="J1199" t="s">
        <v>1281</v>
      </c>
      <c r="K1199">
        <v>75</v>
      </c>
      <c r="L1199" t="s">
        <v>2601</v>
      </c>
      <c r="M1199" t="s">
        <v>2643</v>
      </c>
      <c r="N1199" t="s">
        <v>91</v>
      </c>
      <c r="O1199" s="12">
        <v>46271.213194444441</v>
      </c>
      <c r="Q1199" s="12">
        <v>46271.387499999997</v>
      </c>
      <c r="R1199" s="12">
        <v>46271.762499999997</v>
      </c>
      <c r="U1199" t="b">
        <v>0</v>
      </c>
    </row>
    <row r="1200" spans="1:21">
      <c r="A1200" t="s">
        <v>5319</v>
      </c>
      <c r="B1200" t="s">
        <v>2834</v>
      </c>
      <c r="C1200" t="s">
        <v>1579</v>
      </c>
      <c r="D1200" t="s">
        <v>5320</v>
      </c>
      <c r="E1200" t="s">
        <v>5321</v>
      </c>
      <c r="F1200" t="s">
        <v>1517</v>
      </c>
      <c r="G1200">
        <v>137</v>
      </c>
      <c r="H1200" t="s">
        <v>81</v>
      </c>
      <c r="I1200" t="s">
        <v>24</v>
      </c>
      <c r="J1200" t="s">
        <v>1271</v>
      </c>
      <c r="K1200">
        <v>50</v>
      </c>
      <c r="L1200" t="s">
        <v>2601</v>
      </c>
      <c r="M1200" t="s">
        <v>2593</v>
      </c>
      <c r="N1200" t="s">
        <v>25</v>
      </c>
      <c r="O1200" s="12">
        <v>45914.265972222223</v>
      </c>
      <c r="Q1200" s="12">
        <v>45914.431250000001</v>
      </c>
      <c r="R1200" s="12">
        <v>45914.540277777778</v>
      </c>
      <c r="U1200" t="b">
        <v>0</v>
      </c>
    </row>
    <row r="1201" spans="1:21">
      <c r="A1201" t="s">
        <v>5322</v>
      </c>
      <c r="B1201" t="s">
        <v>2733</v>
      </c>
      <c r="C1201" t="s">
        <v>1404</v>
      </c>
      <c r="D1201" t="s">
        <v>5323</v>
      </c>
      <c r="E1201" t="s">
        <v>5324</v>
      </c>
      <c r="F1201" t="s">
        <v>2617</v>
      </c>
      <c r="G1201">
        <v>191</v>
      </c>
      <c r="H1201" t="s">
        <v>140</v>
      </c>
      <c r="I1201" t="s">
        <v>24</v>
      </c>
      <c r="J1201" t="s">
        <v>1288</v>
      </c>
      <c r="K1201">
        <v>48</v>
      </c>
      <c r="L1201" t="s">
        <v>2601</v>
      </c>
      <c r="M1201" t="s">
        <v>2593</v>
      </c>
      <c r="N1201" t="s">
        <v>25</v>
      </c>
      <c r="O1201" s="12">
        <v>45985.432638888888</v>
      </c>
      <c r="Q1201" s="12">
        <v>45985.637499999997</v>
      </c>
      <c r="R1201" s="12">
        <v>45985.776388888888</v>
      </c>
      <c r="U1201" t="b">
        <v>0</v>
      </c>
    </row>
    <row r="1202" spans="1:21">
      <c r="A1202" t="s">
        <v>5325</v>
      </c>
      <c r="B1202" t="s">
        <v>2811</v>
      </c>
      <c r="C1202" t="s">
        <v>1579</v>
      </c>
      <c r="D1202" t="s">
        <v>5326</v>
      </c>
      <c r="E1202" t="s">
        <v>5327</v>
      </c>
      <c r="F1202" t="s">
        <v>2084</v>
      </c>
      <c r="G1202">
        <v>142</v>
      </c>
      <c r="H1202" t="s">
        <v>41</v>
      </c>
      <c r="I1202" t="s">
        <v>24</v>
      </c>
      <c r="J1202" t="s">
        <v>1288</v>
      </c>
      <c r="K1202">
        <v>40</v>
      </c>
      <c r="L1202" t="s">
        <v>2601</v>
      </c>
      <c r="M1202" t="s">
        <v>2593</v>
      </c>
      <c r="N1202" t="s">
        <v>25</v>
      </c>
      <c r="O1202" s="12">
        <v>46201.592361111114</v>
      </c>
      <c r="Q1202" s="12">
        <v>46201.662499999999</v>
      </c>
      <c r="R1202" s="12">
        <v>46201.686805555553</v>
      </c>
      <c r="U1202" t="b">
        <v>0</v>
      </c>
    </row>
    <row r="1203" spans="1:21">
      <c r="A1203" t="s">
        <v>5328</v>
      </c>
      <c r="B1203" t="s">
        <v>1431</v>
      </c>
      <c r="C1203" t="s">
        <v>1432</v>
      </c>
      <c r="D1203" t="s">
        <v>5329</v>
      </c>
      <c r="E1203" t="s">
        <v>5330</v>
      </c>
      <c r="F1203" t="s">
        <v>1294</v>
      </c>
      <c r="G1203">
        <v>130</v>
      </c>
      <c r="H1203" t="s">
        <v>127</v>
      </c>
      <c r="I1203" t="s">
        <v>24</v>
      </c>
      <c r="J1203" t="s">
        <v>1413</v>
      </c>
      <c r="K1203">
        <v>47</v>
      </c>
      <c r="L1203" t="s">
        <v>2601</v>
      </c>
      <c r="M1203" t="s">
        <v>2618</v>
      </c>
      <c r="N1203" t="s">
        <v>59</v>
      </c>
      <c r="O1203" s="12">
        <v>45806.259027777778</v>
      </c>
      <c r="Q1203" s="12">
        <v>45806.320833333331</v>
      </c>
      <c r="R1203" s="12">
        <v>45806.345138888886</v>
      </c>
      <c r="T1203" t="s">
        <v>2933</v>
      </c>
      <c r="U1203" t="b">
        <v>0</v>
      </c>
    </row>
    <row r="1204" spans="1:21">
      <c r="A1204" t="s">
        <v>5331</v>
      </c>
      <c r="B1204" t="s">
        <v>2645</v>
      </c>
      <c r="C1204" t="s">
        <v>1139</v>
      </c>
      <c r="D1204" t="s">
        <v>5332</v>
      </c>
      <c r="E1204" t="s">
        <v>5333</v>
      </c>
      <c r="F1204" t="s">
        <v>2084</v>
      </c>
      <c r="G1204">
        <v>186</v>
      </c>
      <c r="H1204" t="s">
        <v>16</v>
      </c>
      <c r="I1204" t="s">
        <v>24</v>
      </c>
      <c r="J1204" t="s">
        <v>1288</v>
      </c>
      <c r="K1204">
        <v>41</v>
      </c>
      <c r="L1204" t="s">
        <v>2601</v>
      </c>
      <c r="M1204" t="s">
        <v>2593</v>
      </c>
      <c r="N1204" t="s">
        <v>91</v>
      </c>
      <c r="O1204" s="12">
        <v>46210.457638888889</v>
      </c>
      <c r="Q1204" s="12">
        <v>46210.571527777778</v>
      </c>
      <c r="R1204" s="12">
        <v>46210.585416666669</v>
      </c>
      <c r="U1204" t="b">
        <v>0</v>
      </c>
    </row>
    <row r="1205" spans="1:21">
      <c r="A1205" t="s">
        <v>5334</v>
      </c>
      <c r="B1205" t="s">
        <v>2628</v>
      </c>
      <c r="C1205" t="s">
        <v>1462</v>
      </c>
      <c r="D1205" t="s">
        <v>5335</v>
      </c>
      <c r="E1205" t="s">
        <v>5336</v>
      </c>
      <c r="F1205" t="s">
        <v>1843</v>
      </c>
      <c r="G1205">
        <v>124</v>
      </c>
      <c r="H1205" t="s">
        <v>440</v>
      </c>
      <c r="I1205" t="s">
        <v>24</v>
      </c>
      <c r="J1205" t="s">
        <v>1317</v>
      </c>
      <c r="K1205">
        <v>58</v>
      </c>
      <c r="L1205" t="s">
        <v>2592</v>
      </c>
      <c r="M1205" t="s">
        <v>2593</v>
      </c>
      <c r="N1205" t="s">
        <v>69</v>
      </c>
      <c r="O1205" s="12">
        <v>45484.484722222223</v>
      </c>
      <c r="P1205" s="12">
        <v>45484.984722222223</v>
      </c>
      <c r="Q1205" s="12">
        <v>45484.719444444447</v>
      </c>
      <c r="R1205" s="12">
        <v>45484.76666666667</v>
      </c>
      <c r="U1205" t="b">
        <v>0</v>
      </c>
    </row>
    <row r="1206" spans="1:21">
      <c r="A1206" t="s">
        <v>5337</v>
      </c>
      <c r="B1206" t="s">
        <v>2611</v>
      </c>
      <c r="C1206" t="s">
        <v>1436</v>
      </c>
      <c r="D1206" t="s">
        <v>5338</v>
      </c>
      <c r="E1206" t="s">
        <v>5339</v>
      </c>
      <c r="F1206" t="s">
        <v>2617</v>
      </c>
      <c r="G1206">
        <v>851</v>
      </c>
      <c r="H1206" t="s">
        <v>366</v>
      </c>
      <c r="I1206" t="s">
        <v>30</v>
      </c>
      <c r="J1206" t="s">
        <v>1271</v>
      </c>
      <c r="K1206">
        <v>48</v>
      </c>
      <c r="L1206" t="s">
        <v>2601</v>
      </c>
      <c r="M1206" t="s">
        <v>2643</v>
      </c>
      <c r="N1206" t="s">
        <v>18</v>
      </c>
      <c r="O1206" s="12">
        <v>45510.001388888886</v>
      </c>
      <c r="Q1206" s="12">
        <v>45510.160416666666</v>
      </c>
      <c r="R1206" s="12">
        <v>45510.243750000001</v>
      </c>
      <c r="U1206" t="b">
        <v>0</v>
      </c>
    </row>
    <row r="1207" spans="1:21">
      <c r="A1207" t="s">
        <v>5340</v>
      </c>
      <c r="B1207" t="s">
        <v>1190</v>
      </c>
      <c r="C1207" t="s">
        <v>1490</v>
      </c>
      <c r="D1207" t="s">
        <v>5341</v>
      </c>
      <c r="E1207" t="s">
        <v>5342</v>
      </c>
      <c r="F1207" t="s">
        <v>1412</v>
      </c>
      <c r="G1207">
        <v>50</v>
      </c>
      <c r="H1207" t="s">
        <v>50</v>
      </c>
      <c r="I1207" t="s">
        <v>24</v>
      </c>
      <c r="J1207" t="s">
        <v>1317</v>
      </c>
      <c r="K1207">
        <v>54</v>
      </c>
      <c r="L1207" t="s">
        <v>2592</v>
      </c>
      <c r="M1207" t="s">
        <v>2618</v>
      </c>
      <c r="N1207" t="s">
        <v>59</v>
      </c>
      <c r="O1207" s="12">
        <v>46000.01666666667</v>
      </c>
      <c r="P1207" s="12">
        <v>46003.6</v>
      </c>
      <c r="Q1207" s="12">
        <v>46000.156944444447</v>
      </c>
      <c r="R1207" s="12">
        <v>46000.303472222222</v>
      </c>
      <c r="T1207" t="s">
        <v>2685</v>
      </c>
      <c r="U1207" t="b">
        <v>0</v>
      </c>
    </row>
    <row r="1208" spans="1:21">
      <c r="A1208" t="s">
        <v>5343</v>
      </c>
      <c r="B1208" t="s">
        <v>1167</v>
      </c>
      <c r="C1208" t="s">
        <v>1191</v>
      </c>
      <c r="D1208" t="s">
        <v>5344</v>
      </c>
      <c r="E1208" t="s">
        <v>5345</v>
      </c>
      <c r="F1208" t="s">
        <v>1471</v>
      </c>
      <c r="G1208">
        <v>2168</v>
      </c>
      <c r="H1208" t="s">
        <v>81</v>
      </c>
      <c r="I1208" t="s">
        <v>17</v>
      </c>
      <c r="J1208" t="s">
        <v>1355</v>
      </c>
      <c r="K1208">
        <v>76</v>
      </c>
      <c r="L1208" t="s">
        <v>2592</v>
      </c>
      <c r="M1208" t="s">
        <v>2593</v>
      </c>
      <c r="N1208" t="s">
        <v>82</v>
      </c>
      <c r="O1208" s="12">
        <v>45895.54583333333</v>
      </c>
      <c r="P1208" s="12">
        <v>45896.67083333333</v>
      </c>
      <c r="Q1208" s="12">
        <v>45895.604861111111</v>
      </c>
      <c r="R1208" s="12">
        <v>45895.756944444445</v>
      </c>
      <c r="U1208" t="b">
        <v>0</v>
      </c>
    </row>
    <row r="1209" spans="1:21">
      <c r="A1209" t="s">
        <v>5346</v>
      </c>
      <c r="B1209" t="s">
        <v>2670</v>
      </c>
      <c r="C1209" t="s">
        <v>1180</v>
      </c>
      <c r="D1209" t="s">
        <v>5347</v>
      </c>
      <c r="E1209" t="s">
        <v>5348</v>
      </c>
      <c r="F1209" t="s">
        <v>2755</v>
      </c>
      <c r="G1209">
        <v>5</v>
      </c>
      <c r="H1209" t="s">
        <v>16</v>
      </c>
      <c r="J1209" t="s">
        <v>1413</v>
      </c>
      <c r="K1209">
        <v>55</v>
      </c>
      <c r="L1209" t="s">
        <v>2601</v>
      </c>
      <c r="M1209" t="s">
        <v>2593</v>
      </c>
      <c r="O1209" s="12">
        <v>45654.875694444447</v>
      </c>
      <c r="U1209" t="b">
        <v>0</v>
      </c>
    </row>
    <row r="1210" spans="1:21">
      <c r="A1210" t="s">
        <v>5349</v>
      </c>
      <c r="B1210" t="s">
        <v>2645</v>
      </c>
      <c r="C1210" t="s">
        <v>1660</v>
      </c>
      <c r="D1210" t="s">
        <v>5350</v>
      </c>
      <c r="E1210" t="s">
        <v>5351</v>
      </c>
      <c r="F1210" t="s">
        <v>1784</v>
      </c>
      <c r="G1210">
        <v>57</v>
      </c>
      <c r="H1210" t="s">
        <v>440</v>
      </c>
      <c r="I1210" t="s">
        <v>24</v>
      </c>
      <c r="J1210" t="s">
        <v>4212</v>
      </c>
      <c r="K1210">
        <v>85</v>
      </c>
      <c r="L1210" t="s">
        <v>2592</v>
      </c>
      <c r="M1210" t="s">
        <v>2605</v>
      </c>
      <c r="N1210" t="s">
        <v>69</v>
      </c>
      <c r="O1210" s="12">
        <v>45519.091666666667</v>
      </c>
      <c r="P1210" s="12">
        <v>45519.716666666667</v>
      </c>
      <c r="Q1210" s="12">
        <v>45519.171527777777</v>
      </c>
      <c r="U1210" t="b">
        <v>0</v>
      </c>
    </row>
    <row r="1211" spans="1:21">
      <c r="A1211" t="s">
        <v>5352</v>
      </c>
      <c r="B1211" t="s">
        <v>1179</v>
      </c>
      <c r="C1211" t="s">
        <v>1180</v>
      </c>
      <c r="D1211" t="s">
        <v>5353</v>
      </c>
      <c r="E1211" t="s">
        <v>5354</v>
      </c>
      <c r="F1211" t="s">
        <v>2084</v>
      </c>
      <c r="G1211">
        <v>791</v>
      </c>
      <c r="H1211" t="s">
        <v>81</v>
      </c>
      <c r="I1211" t="s">
        <v>30</v>
      </c>
      <c r="J1211" t="s">
        <v>1317</v>
      </c>
      <c r="K1211">
        <v>59</v>
      </c>
      <c r="L1211" t="s">
        <v>2592</v>
      </c>
      <c r="M1211" t="s">
        <v>2618</v>
      </c>
      <c r="N1211" t="s">
        <v>82</v>
      </c>
      <c r="O1211" s="12">
        <v>45876.294444444444</v>
      </c>
      <c r="P1211" s="12">
        <v>45879.50277777778</v>
      </c>
      <c r="Q1211" s="12">
        <v>45876.523611111108</v>
      </c>
      <c r="R1211" s="12">
        <v>45877.981944444444</v>
      </c>
      <c r="T1211" t="s">
        <v>2648</v>
      </c>
      <c r="U1211" t="b">
        <v>0</v>
      </c>
    </row>
    <row r="1212" spans="1:21">
      <c r="A1212" t="s">
        <v>5355</v>
      </c>
      <c r="B1212" t="s">
        <v>2834</v>
      </c>
      <c r="C1212" t="s">
        <v>1212</v>
      </c>
      <c r="D1212" t="s">
        <v>5356</v>
      </c>
      <c r="E1212" t="s">
        <v>5357</v>
      </c>
      <c r="F1212" t="s">
        <v>1471</v>
      </c>
      <c r="G1212">
        <v>178</v>
      </c>
      <c r="H1212" t="s">
        <v>385</v>
      </c>
      <c r="I1212" t="s">
        <v>24</v>
      </c>
      <c r="J1212" t="s">
        <v>1295</v>
      </c>
      <c r="K1212">
        <v>84</v>
      </c>
      <c r="L1212" t="s">
        <v>2592</v>
      </c>
      <c r="M1212" t="s">
        <v>2593</v>
      </c>
      <c r="N1212" t="s">
        <v>91</v>
      </c>
      <c r="O1212" s="12">
        <v>45806.998611111114</v>
      </c>
      <c r="P1212" s="12">
        <v>45809.081944444442</v>
      </c>
      <c r="Q1212" s="12">
        <v>45807.151388888888</v>
      </c>
      <c r="R1212" s="12">
        <v>45807.303472222222</v>
      </c>
      <c r="U1212" t="b">
        <v>0</v>
      </c>
    </row>
    <row r="1213" spans="1:21">
      <c r="A1213" t="s">
        <v>5358</v>
      </c>
      <c r="B1213" t="s">
        <v>1431</v>
      </c>
      <c r="C1213" t="s">
        <v>1162</v>
      </c>
      <c r="D1213" t="s">
        <v>5359</v>
      </c>
      <c r="E1213" t="s">
        <v>5360</v>
      </c>
      <c r="F1213" t="s">
        <v>1294</v>
      </c>
      <c r="G1213">
        <v>152</v>
      </c>
      <c r="H1213" t="s">
        <v>16</v>
      </c>
      <c r="I1213" t="s">
        <v>24</v>
      </c>
      <c r="J1213" t="s">
        <v>1288</v>
      </c>
      <c r="K1213">
        <v>46</v>
      </c>
      <c r="L1213" t="s">
        <v>2601</v>
      </c>
      <c r="M1213" t="s">
        <v>2605</v>
      </c>
      <c r="N1213" t="s">
        <v>91</v>
      </c>
      <c r="O1213" s="12">
        <v>46050.524305555555</v>
      </c>
      <c r="Q1213" s="12">
        <v>46050.754166666666</v>
      </c>
      <c r="R1213" s="12">
        <v>46050.848611111112</v>
      </c>
      <c r="U1213" t="b">
        <v>0</v>
      </c>
    </row>
    <row r="1214" spans="1:21">
      <c r="A1214" t="s">
        <v>5361</v>
      </c>
      <c r="B1214" t="s">
        <v>2607</v>
      </c>
      <c r="C1214" t="s">
        <v>1337</v>
      </c>
      <c r="D1214" t="s">
        <v>5362</v>
      </c>
      <c r="E1214" t="s">
        <v>5363</v>
      </c>
      <c r="F1214" t="s">
        <v>1843</v>
      </c>
      <c r="G1214">
        <v>67</v>
      </c>
      <c r="H1214" t="s">
        <v>182</v>
      </c>
      <c r="I1214" t="s">
        <v>24</v>
      </c>
      <c r="J1214" t="s">
        <v>1281</v>
      </c>
      <c r="K1214">
        <v>83</v>
      </c>
      <c r="L1214" t="s">
        <v>2592</v>
      </c>
      <c r="M1214" t="s">
        <v>2655</v>
      </c>
      <c r="N1214" t="s">
        <v>59</v>
      </c>
      <c r="O1214" s="12">
        <v>45378.134722222225</v>
      </c>
      <c r="P1214" s="12">
        <v>45380.676388888889</v>
      </c>
      <c r="Q1214" s="12">
        <v>45378.199305555558</v>
      </c>
      <c r="R1214" s="12">
        <v>45378.309027777781</v>
      </c>
      <c r="U1214" t="b">
        <v>0</v>
      </c>
    </row>
    <row r="1215" spans="1:21">
      <c r="A1215" t="s">
        <v>5364</v>
      </c>
      <c r="B1215" t="s">
        <v>2967</v>
      </c>
      <c r="C1215" t="s">
        <v>1135</v>
      </c>
      <c r="D1215" t="s">
        <v>5365</v>
      </c>
      <c r="E1215" t="s">
        <v>5366</v>
      </c>
      <c r="F1215" t="s">
        <v>2617</v>
      </c>
      <c r="G1215">
        <v>2458</v>
      </c>
      <c r="H1215" t="s">
        <v>249</v>
      </c>
      <c r="I1215" t="s">
        <v>17</v>
      </c>
      <c r="J1215" t="s">
        <v>1281</v>
      </c>
      <c r="K1215">
        <v>79</v>
      </c>
      <c r="L1215" t="s">
        <v>2642</v>
      </c>
      <c r="M1215" t="s">
        <v>2643</v>
      </c>
      <c r="N1215" t="s">
        <v>36</v>
      </c>
      <c r="O1215" s="12">
        <v>45444.725694444445</v>
      </c>
      <c r="P1215" s="12">
        <v>45445.559027777781</v>
      </c>
      <c r="Q1215" s="12">
        <v>45444.751388888886</v>
      </c>
      <c r="R1215" s="12">
        <v>45445.793055555558</v>
      </c>
      <c r="S1215" s="12">
        <v>45448.892361111109</v>
      </c>
      <c r="U1215" t="b">
        <v>0</v>
      </c>
    </row>
    <row r="1216" spans="1:21">
      <c r="A1216" t="s">
        <v>5367</v>
      </c>
      <c r="B1216" t="s">
        <v>1179</v>
      </c>
      <c r="C1216" t="s">
        <v>1320</v>
      </c>
      <c r="D1216" t="s">
        <v>5368</v>
      </c>
      <c r="E1216" t="s">
        <v>5369</v>
      </c>
      <c r="F1216" t="s">
        <v>1784</v>
      </c>
      <c r="G1216">
        <v>192</v>
      </c>
      <c r="H1216" t="s">
        <v>16</v>
      </c>
      <c r="I1216" t="s">
        <v>24</v>
      </c>
      <c r="J1216" t="s">
        <v>1295</v>
      </c>
      <c r="K1216">
        <v>81</v>
      </c>
      <c r="L1216" t="s">
        <v>2642</v>
      </c>
      <c r="M1216" t="s">
        <v>2643</v>
      </c>
      <c r="N1216" t="s">
        <v>91</v>
      </c>
      <c r="O1216" s="12">
        <v>45875.334722222222</v>
      </c>
      <c r="P1216" s="12">
        <v>45877.834722222222</v>
      </c>
      <c r="Q1216" s="12">
        <v>45875.554166666669</v>
      </c>
      <c r="R1216" s="12">
        <v>45875.700694444444</v>
      </c>
      <c r="S1216" s="12">
        <v>45883.126388888886</v>
      </c>
      <c r="U1216" t="b">
        <v>0</v>
      </c>
    </row>
    <row r="1217" spans="1:21">
      <c r="A1217" t="s">
        <v>5370</v>
      </c>
      <c r="B1217" t="s">
        <v>1157</v>
      </c>
      <c r="C1217" t="s">
        <v>1432</v>
      </c>
      <c r="D1217" t="s">
        <v>5371</v>
      </c>
      <c r="E1217" t="s">
        <v>5372</v>
      </c>
      <c r="F1217" t="s">
        <v>1471</v>
      </c>
      <c r="G1217">
        <v>141</v>
      </c>
      <c r="H1217" t="s">
        <v>249</v>
      </c>
      <c r="I1217" t="s">
        <v>24</v>
      </c>
      <c r="J1217" t="s">
        <v>1271</v>
      </c>
      <c r="K1217">
        <v>56</v>
      </c>
      <c r="L1217" t="s">
        <v>2601</v>
      </c>
      <c r="M1217" t="s">
        <v>2593</v>
      </c>
      <c r="N1217" t="s">
        <v>59</v>
      </c>
      <c r="O1217" s="12">
        <v>45991.97152777778</v>
      </c>
      <c r="Q1217" s="12">
        <v>45992.022916666669</v>
      </c>
      <c r="R1217" s="12">
        <v>45992.897916666669</v>
      </c>
      <c r="U1217" t="b">
        <v>0</v>
      </c>
    </row>
    <row r="1218" spans="1:21">
      <c r="A1218" t="s">
        <v>5373</v>
      </c>
      <c r="B1218" t="s">
        <v>1207</v>
      </c>
      <c r="C1218" t="s">
        <v>1337</v>
      </c>
      <c r="D1218" t="s">
        <v>5374</v>
      </c>
      <c r="E1218" t="s">
        <v>5375</v>
      </c>
      <c r="F1218" t="s">
        <v>2660</v>
      </c>
      <c r="G1218">
        <v>883</v>
      </c>
      <c r="H1218" t="s">
        <v>120</v>
      </c>
      <c r="I1218" t="s">
        <v>30</v>
      </c>
      <c r="J1218" t="s">
        <v>1271</v>
      </c>
      <c r="K1218">
        <v>41</v>
      </c>
      <c r="L1218" t="s">
        <v>2601</v>
      </c>
      <c r="M1218" t="s">
        <v>2655</v>
      </c>
      <c r="N1218" t="s">
        <v>82</v>
      </c>
      <c r="O1218" s="12">
        <v>45508.663888888892</v>
      </c>
      <c r="Q1218" s="12">
        <v>45508.888194444444</v>
      </c>
      <c r="U1218" t="b">
        <v>0</v>
      </c>
    </row>
    <row r="1219" spans="1:21">
      <c r="A1219" t="s">
        <v>5376</v>
      </c>
      <c r="B1219" t="s">
        <v>1161</v>
      </c>
      <c r="C1219" t="s">
        <v>1307</v>
      </c>
      <c r="D1219" t="s">
        <v>5377</v>
      </c>
      <c r="E1219" t="s">
        <v>5378</v>
      </c>
      <c r="F1219" t="s">
        <v>1367</v>
      </c>
      <c r="G1219">
        <v>348</v>
      </c>
      <c r="H1219" t="s">
        <v>95</v>
      </c>
      <c r="I1219" t="s">
        <v>30</v>
      </c>
      <c r="J1219" t="s">
        <v>1413</v>
      </c>
      <c r="K1219">
        <v>56</v>
      </c>
      <c r="L1219" t="s">
        <v>2601</v>
      </c>
      <c r="M1219" t="s">
        <v>2605</v>
      </c>
      <c r="N1219" t="s">
        <v>18</v>
      </c>
      <c r="O1219" s="12">
        <v>46023.981944444444</v>
      </c>
      <c r="Q1219" s="12">
        <v>46024.115972222222</v>
      </c>
      <c r="R1219" s="12">
        <v>46024.245138888888</v>
      </c>
      <c r="U1219" t="b">
        <v>0</v>
      </c>
    </row>
    <row r="1220" spans="1:21">
      <c r="A1220" t="s">
        <v>5379</v>
      </c>
      <c r="B1220" t="s">
        <v>2693</v>
      </c>
      <c r="C1220" t="s">
        <v>1208</v>
      </c>
      <c r="D1220" t="s">
        <v>5199</v>
      </c>
      <c r="E1220" t="s">
        <v>5380</v>
      </c>
      <c r="F1220" t="s">
        <v>1843</v>
      </c>
      <c r="G1220">
        <v>167</v>
      </c>
      <c r="H1220" t="s">
        <v>140</v>
      </c>
      <c r="I1220" t="s">
        <v>24</v>
      </c>
      <c r="J1220" t="s">
        <v>1355</v>
      </c>
      <c r="K1220">
        <v>74</v>
      </c>
      <c r="L1220" t="s">
        <v>2592</v>
      </c>
      <c r="M1220" t="s">
        <v>2593</v>
      </c>
      <c r="N1220" t="s">
        <v>25</v>
      </c>
      <c r="O1220" s="12">
        <v>45294.736805555556</v>
      </c>
      <c r="P1220" s="12">
        <v>45296.361805555556</v>
      </c>
      <c r="Q1220" s="12">
        <v>45294.756249999999</v>
      </c>
      <c r="R1220" s="12">
        <v>45294.864583333336</v>
      </c>
      <c r="U1220" t="b">
        <v>0</v>
      </c>
    </row>
    <row r="1221" spans="1:21">
      <c r="A1221" t="s">
        <v>5381</v>
      </c>
      <c r="B1221" t="s">
        <v>1190</v>
      </c>
      <c r="C1221" t="s">
        <v>1135</v>
      </c>
      <c r="D1221" t="s">
        <v>5382</v>
      </c>
      <c r="E1221" t="s">
        <v>5383</v>
      </c>
      <c r="F1221" t="s">
        <v>1471</v>
      </c>
      <c r="G1221">
        <v>67</v>
      </c>
      <c r="H1221" t="s">
        <v>23</v>
      </c>
      <c r="I1221" t="s">
        <v>24</v>
      </c>
      <c r="J1221" t="s">
        <v>1355</v>
      </c>
      <c r="K1221">
        <v>75</v>
      </c>
      <c r="L1221" t="s">
        <v>2592</v>
      </c>
      <c r="M1221" t="s">
        <v>2593</v>
      </c>
      <c r="N1221" t="s">
        <v>69</v>
      </c>
      <c r="O1221" s="12">
        <v>45566.742361111108</v>
      </c>
      <c r="P1221" s="12">
        <v>45566.78402777778</v>
      </c>
      <c r="Q1221" s="12">
        <v>45566.888888888891</v>
      </c>
      <c r="R1221" s="12">
        <v>45567.036805555559</v>
      </c>
      <c r="U1221" t="b">
        <v>0</v>
      </c>
    </row>
    <row r="1222" spans="1:21">
      <c r="A1222" t="s">
        <v>5384</v>
      </c>
      <c r="B1222" t="s">
        <v>2882</v>
      </c>
      <c r="C1222" t="s">
        <v>1660</v>
      </c>
      <c r="D1222" t="s">
        <v>4096</v>
      </c>
      <c r="E1222" t="s">
        <v>5385</v>
      </c>
      <c r="F1222" t="s">
        <v>2084</v>
      </c>
      <c r="G1222">
        <v>1788</v>
      </c>
      <c r="H1222" t="s">
        <v>23</v>
      </c>
      <c r="I1222" t="s">
        <v>17</v>
      </c>
      <c r="J1222" t="s">
        <v>1339</v>
      </c>
      <c r="K1222">
        <v>96</v>
      </c>
      <c r="L1222" t="s">
        <v>2642</v>
      </c>
      <c r="M1222" t="s">
        <v>2643</v>
      </c>
      <c r="N1222" t="s">
        <v>82</v>
      </c>
      <c r="O1222" s="12">
        <v>46279.895833333336</v>
      </c>
      <c r="P1222" s="12">
        <v>46282.4375</v>
      </c>
      <c r="Q1222" s="12">
        <v>46280.002083333333</v>
      </c>
      <c r="R1222" s="12">
        <v>46280.02847222222</v>
      </c>
      <c r="S1222" s="12">
        <v>46283.479166666664</v>
      </c>
      <c r="U1222" t="b">
        <v>0</v>
      </c>
    </row>
    <row r="1223" spans="1:21">
      <c r="A1223" t="s">
        <v>5386</v>
      </c>
      <c r="B1223" t="s">
        <v>1898</v>
      </c>
      <c r="C1223" t="s">
        <v>1148</v>
      </c>
      <c r="D1223" t="s">
        <v>5387</v>
      </c>
      <c r="E1223" t="s">
        <v>5388</v>
      </c>
      <c r="F1223" t="s">
        <v>2617</v>
      </c>
      <c r="G1223">
        <v>162</v>
      </c>
      <c r="H1223" t="s">
        <v>81</v>
      </c>
      <c r="I1223" t="s">
        <v>24</v>
      </c>
      <c r="J1223" t="s">
        <v>1295</v>
      </c>
      <c r="K1223">
        <v>92</v>
      </c>
      <c r="L1223" t="s">
        <v>2642</v>
      </c>
      <c r="M1223" t="s">
        <v>2597</v>
      </c>
      <c r="N1223" t="s">
        <v>25</v>
      </c>
      <c r="O1223" s="12">
        <v>46273.429861111108</v>
      </c>
      <c r="P1223" s="12">
        <v>46276.09652777778</v>
      </c>
      <c r="Q1223" s="12">
        <v>46273.594444444447</v>
      </c>
      <c r="R1223" s="12">
        <v>46273.738194444442</v>
      </c>
      <c r="S1223" s="12">
        <v>46284.304861111108</v>
      </c>
      <c r="U1223" t="b">
        <v>0</v>
      </c>
    </row>
    <row r="1224" spans="1:21">
      <c r="A1224" t="s">
        <v>5389</v>
      </c>
      <c r="B1224" t="s">
        <v>2711</v>
      </c>
      <c r="C1224" t="s">
        <v>1418</v>
      </c>
      <c r="D1224" t="s">
        <v>5390</v>
      </c>
      <c r="E1224" t="s">
        <v>5391</v>
      </c>
      <c r="F1224" t="s">
        <v>2084</v>
      </c>
      <c r="G1224">
        <v>188</v>
      </c>
      <c r="H1224" t="s">
        <v>226</v>
      </c>
      <c r="I1224" t="s">
        <v>17</v>
      </c>
      <c r="J1224" t="s">
        <v>1271</v>
      </c>
      <c r="K1224">
        <v>38</v>
      </c>
      <c r="L1224" t="s">
        <v>2601</v>
      </c>
      <c r="M1224" t="s">
        <v>2605</v>
      </c>
      <c r="N1224" t="s">
        <v>69</v>
      </c>
      <c r="O1224" s="12">
        <v>46050.291666666664</v>
      </c>
      <c r="Q1224" s="12">
        <v>46050.295138888891</v>
      </c>
      <c r="R1224" s="12">
        <v>46051.295138888891</v>
      </c>
      <c r="U1224" t="b">
        <v>0</v>
      </c>
    </row>
    <row r="1225" spans="1:21">
      <c r="A1225" t="s">
        <v>5392</v>
      </c>
      <c r="B1225" t="s">
        <v>2878</v>
      </c>
      <c r="C1225" t="s">
        <v>1307</v>
      </c>
      <c r="D1225" t="s">
        <v>5393</v>
      </c>
      <c r="E1225" t="s">
        <v>5394</v>
      </c>
      <c r="F1225" t="s">
        <v>1294</v>
      </c>
      <c r="G1225">
        <v>196</v>
      </c>
      <c r="H1225" t="s">
        <v>16</v>
      </c>
      <c r="I1225" t="s">
        <v>24</v>
      </c>
      <c r="J1225" t="s">
        <v>1295</v>
      </c>
      <c r="K1225">
        <v>76</v>
      </c>
      <c r="L1225" t="s">
        <v>2642</v>
      </c>
      <c r="M1225" t="s">
        <v>2643</v>
      </c>
      <c r="N1225" t="s">
        <v>91</v>
      </c>
      <c r="O1225" s="12">
        <v>45454.688194444447</v>
      </c>
      <c r="P1225" s="12">
        <v>45458.229861111111</v>
      </c>
      <c r="Q1225" s="12">
        <v>45454.90347222222</v>
      </c>
      <c r="R1225" s="12">
        <v>45454.979861111111</v>
      </c>
      <c r="S1225" s="12">
        <v>45461.563194444447</v>
      </c>
      <c r="U1225" t="b">
        <v>0</v>
      </c>
    </row>
    <row r="1226" spans="1:21">
      <c r="A1226" t="s">
        <v>5395</v>
      </c>
      <c r="B1226" t="s">
        <v>1267</v>
      </c>
      <c r="C1226" t="s">
        <v>2005</v>
      </c>
      <c r="D1226" t="s">
        <v>5396</v>
      </c>
      <c r="E1226" t="s">
        <v>5397</v>
      </c>
      <c r="F1226" t="s">
        <v>2271</v>
      </c>
      <c r="G1226">
        <v>145</v>
      </c>
      <c r="H1226" t="s">
        <v>99</v>
      </c>
      <c r="I1226" t="s">
        <v>24</v>
      </c>
      <c r="J1226" t="s">
        <v>1355</v>
      </c>
      <c r="K1226">
        <v>58</v>
      </c>
      <c r="L1226" t="s">
        <v>2592</v>
      </c>
      <c r="M1226" t="s">
        <v>2593</v>
      </c>
      <c r="N1226" t="s">
        <v>59</v>
      </c>
      <c r="O1226" s="12">
        <v>45313.788194444445</v>
      </c>
      <c r="P1226" s="12">
        <v>45314.371527777781</v>
      </c>
      <c r="Q1226" s="12">
        <v>45313.881944444445</v>
      </c>
      <c r="R1226" s="12">
        <v>45315.048611111109</v>
      </c>
      <c r="U1226" t="b">
        <v>0</v>
      </c>
    </row>
    <row r="1227" spans="1:21">
      <c r="A1227" t="s">
        <v>5398</v>
      </c>
      <c r="B1227" t="s">
        <v>1221</v>
      </c>
      <c r="C1227" t="s">
        <v>1172</v>
      </c>
      <c r="D1227" t="s">
        <v>5399</v>
      </c>
      <c r="E1227" t="s">
        <v>5400</v>
      </c>
      <c r="F1227" t="s">
        <v>1448</v>
      </c>
      <c r="G1227">
        <v>21</v>
      </c>
      <c r="H1227" t="s">
        <v>140</v>
      </c>
      <c r="I1227" t="s">
        <v>24</v>
      </c>
      <c r="J1227" t="s">
        <v>1288</v>
      </c>
      <c r="K1227">
        <v>36</v>
      </c>
      <c r="L1227" t="s">
        <v>2601</v>
      </c>
      <c r="M1227" t="s">
        <v>2655</v>
      </c>
      <c r="N1227" t="s">
        <v>25</v>
      </c>
      <c r="O1227" s="12">
        <v>45428.183333333334</v>
      </c>
      <c r="Q1227" s="12">
        <v>45428.395833333336</v>
      </c>
      <c r="U1227" t="b">
        <v>0</v>
      </c>
    </row>
    <row r="1228" spans="1:21">
      <c r="A1228" t="s">
        <v>5401</v>
      </c>
      <c r="B1228" t="s">
        <v>2693</v>
      </c>
      <c r="C1228" t="s">
        <v>1320</v>
      </c>
      <c r="D1228" t="s">
        <v>5402</v>
      </c>
      <c r="E1228" t="s">
        <v>5403</v>
      </c>
      <c r="F1228" t="s">
        <v>2271</v>
      </c>
      <c r="G1228">
        <v>10</v>
      </c>
      <c r="H1228" t="s">
        <v>41</v>
      </c>
      <c r="J1228" t="s">
        <v>1288</v>
      </c>
      <c r="K1228">
        <v>52</v>
      </c>
      <c r="L1228" t="s">
        <v>2601</v>
      </c>
      <c r="M1228" t="s">
        <v>2593</v>
      </c>
      <c r="O1228" s="12">
        <v>45645.2</v>
      </c>
      <c r="U1228" t="b">
        <v>0</v>
      </c>
    </row>
    <row r="1229" spans="1:21">
      <c r="A1229" t="s">
        <v>5404</v>
      </c>
      <c r="B1229" t="s">
        <v>2666</v>
      </c>
      <c r="C1229" t="s">
        <v>1971</v>
      </c>
      <c r="D1229" t="s">
        <v>5405</v>
      </c>
      <c r="E1229" t="s">
        <v>5406</v>
      </c>
      <c r="F1229" t="s">
        <v>1471</v>
      </c>
      <c r="G1229">
        <v>700</v>
      </c>
      <c r="H1229" t="s">
        <v>440</v>
      </c>
      <c r="I1229" t="s">
        <v>30</v>
      </c>
      <c r="J1229" t="s">
        <v>1288</v>
      </c>
      <c r="K1229">
        <v>76</v>
      </c>
      <c r="L1229" t="s">
        <v>2592</v>
      </c>
      <c r="M1229" t="s">
        <v>2605</v>
      </c>
      <c r="N1229" t="s">
        <v>55</v>
      </c>
      <c r="O1229" s="12">
        <v>46276.542361111111</v>
      </c>
      <c r="P1229" s="12">
        <v>46280.625694444447</v>
      </c>
      <c r="Q1229" s="12">
        <v>46276.704861111109</v>
      </c>
      <c r="R1229" s="12">
        <v>46276.78125</v>
      </c>
      <c r="U1229" t="b">
        <v>0</v>
      </c>
    </row>
    <row r="1230" spans="1:21">
      <c r="A1230" t="s">
        <v>5407</v>
      </c>
      <c r="B1230" t="s">
        <v>1138</v>
      </c>
      <c r="C1230" t="s">
        <v>1343</v>
      </c>
      <c r="D1230" t="s">
        <v>5408</v>
      </c>
      <c r="E1230" t="s">
        <v>5409</v>
      </c>
      <c r="F1230" t="s">
        <v>2617</v>
      </c>
      <c r="G1230">
        <v>63</v>
      </c>
      <c r="H1230" t="s">
        <v>161</v>
      </c>
      <c r="I1230" t="s">
        <v>24</v>
      </c>
      <c r="J1230" t="s">
        <v>1317</v>
      </c>
      <c r="K1230">
        <v>68</v>
      </c>
      <c r="L1230" t="s">
        <v>2642</v>
      </c>
      <c r="M1230" t="s">
        <v>2597</v>
      </c>
      <c r="N1230" t="s">
        <v>59</v>
      </c>
      <c r="O1230" s="12">
        <v>45554.047222222223</v>
      </c>
      <c r="P1230" s="12">
        <v>45554.880555555559</v>
      </c>
      <c r="Q1230" s="12">
        <v>45554.10833333333</v>
      </c>
      <c r="R1230" s="12">
        <v>45554.137499999997</v>
      </c>
      <c r="S1230" s="12">
        <v>45560.672222222223</v>
      </c>
      <c r="U1230" t="b">
        <v>0</v>
      </c>
    </row>
    <row r="1231" spans="1:21">
      <c r="A1231" t="s">
        <v>5410</v>
      </c>
      <c r="B1231" t="s">
        <v>2645</v>
      </c>
      <c r="C1231" t="s">
        <v>2100</v>
      </c>
      <c r="D1231" t="s">
        <v>5411</v>
      </c>
      <c r="E1231" t="s">
        <v>5412</v>
      </c>
      <c r="F1231" t="s">
        <v>1420</v>
      </c>
      <c r="G1231">
        <v>204</v>
      </c>
      <c r="H1231" t="s">
        <v>385</v>
      </c>
      <c r="I1231" t="s">
        <v>30</v>
      </c>
      <c r="J1231" t="s">
        <v>1288</v>
      </c>
      <c r="K1231">
        <v>41</v>
      </c>
      <c r="L1231" t="s">
        <v>2601</v>
      </c>
      <c r="M1231" t="s">
        <v>2593</v>
      </c>
      <c r="N1231" t="s">
        <v>18</v>
      </c>
      <c r="O1231" s="12">
        <v>45654.309027777781</v>
      </c>
      <c r="Q1231" s="12">
        <v>45654.415972222225</v>
      </c>
      <c r="R1231" s="12">
        <v>45654.459027777775</v>
      </c>
      <c r="U1231" t="b">
        <v>0</v>
      </c>
    </row>
    <row r="1232" spans="1:21">
      <c r="A1232" t="s">
        <v>5413</v>
      </c>
      <c r="B1232" t="s">
        <v>1161</v>
      </c>
      <c r="C1232" t="s">
        <v>1436</v>
      </c>
      <c r="D1232" t="s">
        <v>5199</v>
      </c>
      <c r="E1232" t="s">
        <v>5414</v>
      </c>
      <c r="F1232" t="s">
        <v>1309</v>
      </c>
      <c r="G1232">
        <v>815</v>
      </c>
      <c r="H1232" t="s">
        <v>140</v>
      </c>
      <c r="I1232" t="s">
        <v>30</v>
      </c>
      <c r="J1232" t="s">
        <v>1295</v>
      </c>
      <c r="K1232">
        <v>94</v>
      </c>
      <c r="L1232" t="s">
        <v>2642</v>
      </c>
      <c r="M1232" t="s">
        <v>2643</v>
      </c>
      <c r="N1232" t="s">
        <v>82</v>
      </c>
      <c r="O1232" s="12">
        <v>45350.353472222225</v>
      </c>
      <c r="P1232" s="12">
        <v>45352.061805555553</v>
      </c>
      <c r="Q1232" s="12">
        <v>45350.474999999999</v>
      </c>
      <c r="R1232" s="12">
        <v>45350.522916666669</v>
      </c>
      <c r="S1232" s="12">
        <v>45357.395138888889</v>
      </c>
      <c r="U1232" t="b">
        <v>0</v>
      </c>
    </row>
    <row r="1233" spans="1:21">
      <c r="A1233" t="s">
        <v>5415</v>
      </c>
      <c r="B1233" t="s">
        <v>1190</v>
      </c>
      <c r="C1233" t="s">
        <v>1365</v>
      </c>
      <c r="D1233" t="s">
        <v>5416</v>
      </c>
      <c r="E1233" t="s">
        <v>5417</v>
      </c>
      <c r="F1233" t="s">
        <v>2709</v>
      </c>
      <c r="G1233">
        <v>16</v>
      </c>
      <c r="H1233" t="s">
        <v>249</v>
      </c>
      <c r="J1233" t="s">
        <v>1317</v>
      </c>
      <c r="K1233">
        <v>63</v>
      </c>
      <c r="L1233" t="s">
        <v>2601</v>
      </c>
      <c r="M1233" t="s">
        <v>2618</v>
      </c>
      <c r="O1233" s="12">
        <v>45678.279166666667</v>
      </c>
      <c r="T1233" t="s">
        <v>2933</v>
      </c>
      <c r="U1233" t="b">
        <v>0</v>
      </c>
    </row>
    <row r="1234" spans="1:21">
      <c r="A1234" t="s">
        <v>5418</v>
      </c>
      <c r="B1234" t="s">
        <v>2578</v>
      </c>
      <c r="C1234" t="s">
        <v>1176</v>
      </c>
      <c r="D1234" t="s">
        <v>5419</v>
      </c>
      <c r="E1234" t="s">
        <v>5420</v>
      </c>
      <c r="F1234" t="s">
        <v>1511</v>
      </c>
      <c r="G1234">
        <v>34</v>
      </c>
      <c r="H1234" t="s">
        <v>41</v>
      </c>
      <c r="I1234" t="s">
        <v>24</v>
      </c>
      <c r="J1234" t="s">
        <v>1355</v>
      </c>
      <c r="K1234">
        <v>72</v>
      </c>
      <c r="L1234" t="s">
        <v>2601</v>
      </c>
      <c r="M1234" t="s">
        <v>2593</v>
      </c>
      <c r="N1234" t="s">
        <v>69</v>
      </c>
      <c r="O1234" s="12">
        <v>45899.051388888889</v>
      </c>
      <c r="Q1234" s="12">
        <v>45899.056944444441</v>
      </c>
      <c r="R1234" s="12">
        <v>45899.107638888891</v>
      </c>
      <c r="U1234" t="b">
        <v>0</v>
      </c>
    </row>
    <row r="1235" spans="1:21">
      <c r="A1235" t="s">
        <v>5421</v>
      </c>
      <c r="B1235" t="s">
        <v>1584</v>
      </c>
      <c r="C1235" t="s">
        <v>1145</v>
      </c>
      <c r="D1235" t="s">
        <v>5422</v>
      </c>
      <c r="E1235" t="s">
        <v>5423</v>
      </c>
      <c r="F1235" t="s">
        <v>2660</v>
      </c>
      <c r="G1235">
        <v>440</v>
      </c>
      <c r="H1235" t="s">
        <v>50</v>
      </c>
      <c r="I1235" t="s">
        <v>30</v>
      </c>
      <c r="J1235" t="s">
        <v>1317</v>
      </c>
      <c r="K1235">
        <v>62</v>
      </c>
      <c r="L1235" t="s">
        <v>2592</v>
      </c>
      <c r="M1235" t="s">
        <v>2593</v>
      </c>
      <c r="N1235" t="s">
        <v>36</v>
      </c>
      <c r="O1235" s="12">
        <v>45395.359722222223</v>
      </c>
      <c r="P1235" s="12">
        <v>45395.651388888888</v>
      </c>
      <c r="Q1235" s="12">
        <v>45395.431250000001</v>
      </c>
      <c r="R1235" s="12">
        <v>45395.570138888892</v>
      </c>
      <c r="U1235" t="b">
        <v>0</v>
      </c>
    </row>
    <row r="1236" spans="1:21">
      <c r="A1236" t="s">
        <v>5424</v>
      </c>
      <c r="B1236" t="s">
        <v>1111</v>
      </c>
      <c r="C1236" t="s">
        <v>1139</v>
      </c>
      <c r="D1236" t="s">
        <v>5425</v>
      </c>
      <c r="E1236" t="s">
        <v>5426</v>
      </c>
      <c r="F1236" t="s">
        <v>2660</v>
      </c>
      <c r="G1236">
        <v>117</v>
      </c>
      <c r="H1236" t="s">
        <v>385</v>
      </c>
      <c r="I1236" t="s">
        <v>24</v>
      </c>
      <c r="J1236" t="s">
        <v>1413</v>
      </c>
      <c r="K1236">
        <v>76</v>
      </c>
      <c r="L1236" t="s">
        <v>2592</v>
      </c>
      <c r="M1236" t="s">
        <v>2593</v>
      </c>
      <c r="N1236" t="s">
        <v>91</v>
      </c>
      <c r="O1236" s="12">
        <v>45491.731944444444</v>
      </c>
      <c r="P1236" s="12">
        <v>45495.981944444444</v>
      </c>
      <c r="Q1236" s="12">
        <v>45491.890277777777</v>
      </c>
      <c r="R1236" s="12">
        <v>45492.038888888892</v>
      </c>
      <c r="U1236" t="b">
        <v>0</v>
      </c>
    </row>
    <row r="1237" spans="1:21">
      <c r="A1237" t="s">
        <v>5427</v>
      </c>
      <c r="B1237" t="s">
        <v>2682</v>
      </c>
      <c r="C1237" t="s">
        <v>1172</v>
      </c>
      <c r="D1237" t="s">
        <v>5428</v>
      </c>
      <c r="E1237" t="s">
        <v>5429</v>
      </c>
      <c r="F1237" t="s">
        <v>2660</v>
      </c>
      <c r="G1237">
        <v>962</v>
      </c>
      <c r="H1237" t="s">
        <v>236</v>
      </c>
      <c r="I1237" t="s">
        <v>30</v>
      </c>
      <c r="J1237" t="s">
        <v>1413</v>
      </c>
      <c r="K1237">
        <v>61</v>
      </c>
      <c r="L1237" t="s">
        <v>2592</v>
      </c>
      <c r="M1237" t="s">
        <v>2618</v>
      </c>
      <c r="N1237" t="s">
        <v>18</v>
      </c>
      <c r="O1237" s="12">
        <v>45692.689583333333</v>
      </c>
      <c r="P1237" s="12">
        <v>45693.397916666669</v>
      </c>
      <c r="Q1237" s="12">
        <v>45692.885416666664</v>
      </c>
      <c r="R1237" s="12">
        <v>45692.963194444441</v>
      </c>
      <c r="T1237" t="s">
        <v>2739</v>
      </c>
      <c r="U1237" t="b">
        <v>0</v>
      </c>
    </row>
    <row r="1238" spans="1:21">
      <c r="A1238" t="s">
        <v>5430</v>
      </c>
      <c r="B1238" t="s">
        <v>2662</v>
      </c>
      <c r="C1238" t="s">
        <v>1490</v>
      </c>
      <c r="D1238" t="s">
        <v>5431</v>
      </c>
      <c r="E1238" t="s">
        <v>5432</v>
      </c>
      <c r="F1238" t="s">
        <v>1843</v>
      </c>
      <c r="G1238">
        <v>158</v>
      </c>
      <c r="H1238" t="s">
        <v>178</v>
      </c>
      <c r="I1238" t="s">
        <v>24</v>
      </c>
      <c r="J1238" t="s">
        <v>1281</v>
      </c>
      <c r="K1238">
        <v>70</v>
      </c>
      <c r="L1238" t="s">
        <v>2592</v>
      </c>
      <c r="M1238" t="s">
        <v>2593</v>
      </c>
      <c r="N1238" t="s">
        <v>59</v>
      </c>
      <c r="O1238" s="12">
        <v>46145.045138888891</v>
      </c>
      <c r="P1238" s="12">
        <v>46148.920138888891</v>
      </c>
      <c r="Q1238" s="12">
        <v>46145.050694444442</v>
      </c>
      <c r="R1238" s="12">
        <v>46145.342361111114</v>
      </c>
      <c r="U1238" t="b">
        <v>0</v>
      </c>
    </row>
    <row r="1239" spans="1:21">
      <c r="A1239" t="s">
        <v>5433</v>
      </c>
      <c r="B1239" t="s">
        <v>2902</v>
      </c>
      <c r="C1239" t="s">
        <v>1631</v>
      </c>
      <c r="D1239" t="s">
        <v>5434</v>
      </c>
      <c r="E1239" t="s">
        <v>5435</v>
      </c>
      <c r="F1239" t="s">
        <v>1517</v>
      </c>
      <c r="G1239">
        <v>112</v>
      </c>
      <c r="H1239" t="s">
        <v>81</v>
      </c>
      <c r="I1239" t="s">
        <v>24</v>
      </c>
      <c r="J1239" t="s">
        <v>1295</v>
      </c>
      <c r="K1239">
        <v>85</v>
      </c>
      <c r="L1239" t="s">
        <v>2642</v>
      </c>
      <c r="M1239" t="s">
        <v>2643</v>
      </c>
      <c r="N1239" t="s">
        <v>25</v>
      </c>
      <c r="O1239" s="12">
        <v>45831.425000000003</v>
      </c>
      <c r="P1239" s="12">
        <v>45832.591666666667</v>
      </c>
      <c r="Q1239" s="12">
        <v>45831.511111111111</v>
      </c>
      <c r="R1239" s="12">
        <v>45831.593055555553</v>
      </c>
      <c r="S1239" s="12">
        <v>45833.175000000003</v>
      </c>
      <c r="U1239" t="b">
        <v>0</v>
      </c>
    </row>
    <row r="1240" spans="1:21">
      <c r="A1240" t="s">
        <v>5436</v>
      </c>
      <c r="B1240" t="s">
        <v>1161</v>
      </c>
      <c r="C1240" t="s">
        <v>1579</v>
      </c>
      <c r="D1240" t="s">
        <v>5437</v>
      </c>
      <c r="E1240" t="s">
        <v>5438</v>
      </c>
      <c r="F1240" t="s">
        <v>1367</v>
      </c>
      <c r="G1240">
        <v>71</v>
      </c>
      <c r="H1240" t="s">
        <v>50</v>
      </c>
      <c r="I1240" t="s">
        <v>24</v>
      </c>
      <c r="J1240" t="s">
        <v>1295</v>
      </c>
      <c r="K1240">
        <v>87</v>
      </c>
      <c r="L1240" t="s">
        <v>2642</v>
      </c>
      <c r="M1240" t="s">
        <v>2643</v>
      </c>
      <c r="N1240" t="s">
        <v>59</v>
      </c>
      <c r="O1240" s="12">
        <v>45982.385416666664</v>
      </c>
      <c r="P1240" s="12">
        <v>45986.71875</v>
      </c>
      <c r="Q1240" s="12">
        <v>45982.606944444444</v>
      </c>
      <c r="R1240" s="12">
        <v>45982.629861111112</v>
      </c>
      <c r="S1240" s="12">
        <v>45991.927083333336</v>
      </c>
      <c r="U1240" t="b">
        <v>0</v>
      </c>
    </row>
    <row r="1241" spans="1:21">
      <c r="A1241" t="s">
        <v>5439</v>
      </c>
      <c r="B1241" t="s">
        <v>2682</v>
      </c>
      <c r="C1241" t="s">
        <v>1203</v>
      </c>
      <c r="D1241" t="s">
        <v>5440</v>
      </c>
      <c r="E1241" t="s">
        <v>5441</v>
      </c>
      <c r="F1241" t="s">
        <v>2271</v>
      </c>
      <c r="G1241">
        <v>160</v>
      </c>
      <c r="H1241" t="s">
        <v>116</v>
      </c>
      <c r="I1241" t="s">
        <v>24</v>
      </c>
      <c r="J1241" t="s">
        <v>1317</v>
      </c>
      <c r="K1241">
        <v>54</v>
      </c>
      <c r="L1241" t="s">
        <v>2601</v>
      </c>
      <c r="M1241" t="s">
        <v>2655</v>
      </c>
      <c r="N1241" t="s">
        <v>25</v>
      </c>
      <c r="O1241" s="12">
        <v>45583.664583333331</v>
      </c>
      <c r="Q1241" s="12">
        <v>45583.82916666667</v>
      </c>
      <c r="U1241" t="b">
        <v>0</v>
      </c>
    </row>
    <row r="1242" spans="1:21">
      <c r="A1242" t="s">
        <v>5442</v>
      </c>
      <c r="B1242" t="s">
        <v>2670</v>
      </c>
      <c r="C1242" t="s">
        <v>1343</v>
      </c>
      <c r="D1242" t="s">
        <v>5443</v>
      </c>
      <c r="E1242" t="s">
        <v>5444</v>
      </c>
      <c r="F1242" t="s">
        <v>2680</v>
      </c>
      <c r="G1242">
        <v>959</v>
      </c>
      <c r="H1242" t="s">
        <v>415</v>
      </c>
      <c r="I1242" t="s">
        <v>30</v>
      </c>
      <c r="J1242" t="s">
        <v>1281</v>
      </c>
      <c r="K1242">
        <v>68</v>
      </c>
      <c r="L1242" t="s">
        <v>2592</v>
      </c>
      <c r="M1242" t="s">
        <v>2605</v>
      </c>
      <c r="N1242" t="s">
        <v>55</v>
      </c>
      <c r="O1242" s="12">
        <v>45627.967361111114</v>
      </c>
      <c r="P1242" s="12">
        <v>45631.550694444442</v>
      </c>
      <c r="Q1242" s="12">
        <v>45628.106249999997</v>
      </c>
      <c r="R1242" s="12">
        <v>45629.314583333333</v>
      </c>
      <c r="U1242" t="b">
        <v>0</v>
      </c>
    </row>
    <row r="1243" spans="1:21">
      <c r="A1243" t="s">
        <v>5445</v>
      </c>
      <c r="B1243" t="s">
        <v>2882</v>
      </c>
      <c r="C1243" t="s">
        <v>1119</v>
      </c>
      <c r="D1243" t="s">
        <v>5446</v>
      </c>
      <c r="E1243" t="s">
        <v>5447</v>
      </c>
      <c r="F1243" t="s">
        <v>1843</v>
      </c>
      <c r="G1243">
        <v>4205</v>
      </c>
      <c r="H1243" t="s">
        <v>205</v>
      </c>
      <c r="J1243" t="s">
        <v>1355</v>
      </c>
      <c r="K1243">
        <v>56</v>
      </c>
      <c r="L1243" t="s">
        <v>2601</v>
      </c>
      <c r="M1243" t="s">
        <v>2618</v>
      </c>
      <c r="O1243" s="12">
        <v>45823.523611111108</v>
      </c>
      <c r="T1243" t="s">
        <v>2648</v>
      </c>
      <c r="U1243" t="b">
        <v>0</v>
      </c>
    </row>
    <row r="1244" spans="1:21">
      <c r="A1244" t="s">
        <v>5448</v>
      </c>
      <c r="B1244" t="s">
        <v>1111</v>
      </c>
      <c r="C1244" t="s">
        <v>1208</v>
      </c>
      <c r="D1244" t="s">
        <v>5449</v>
      </c>
      <c r="E1244" t="s">
        <v>5450</v>
      </c>
      <c r="F1244" t="s">
        <v>2680</v>
      </c>
      <c r="G1244">
        <v>176</v>
      </c>
      <c r="H1244" t="s">
        <v>638</v>
      </c>
      <c r="I1244" t="s">
        <v>24</v>
      </c>
      <c r="J1244" t="s">
        <v>1413</v>
      </c>
      <c r="K1244">
        <v>63</v>
      </c>
      <c r="L1244" t="s">
        <v>2592</v>
      </c>
      <c r="M1244" t="s">
        <v>2597</v>
      </c>
      <c r="N1244" t="s">
        <v>69</v>
      </c>
      <c r="O1244" s="12">
        <v>45454.537499999999</v>
      </c>
      <c r="P1244" s="12">
        <v>45455.370833333334</v>
      </c>
      <c r="Q1244" s="12">
        <v>45454.568055555559</v>
      </c>
      <c r="R1244" s="12">
        <v>45454.582638888889</v>
      </c>
      <c r="U1244" t="b">
        <v>0</v>
      </c>
    </row>
    <row r="1245" spans="1:21">
      <c r="A1245" t="s">
        <v>5451</v>
      </c>
      <c r="B1245" t="s">
        <v>1202</v>
      </c>
      <c r="C1245" t="s">
        <v>1462</v>
      </c>
      <c r="D1245" t="s">
        <v>5452</v>
      </c>
      <c r="E1245" t="s">
        <v>5453</v>
      </c>
      <c r="F1245" t="s">
        <v>1182</v>
      </c>
      <c r="G1245">
        <v>2087</v>
      </c>
      <c r="H1245" t="s">
        <v>95</v>
      </c>
      <c r="I1245" t="s">
        <v>17</v>
      </c>
      <c r="J1245" t="s">
        <v>1295</v>
      </c>
      <c r="K1245">
        <v>78</v>
      </c>
      <c r="L1245" t="s">
        <v>2592</v>
      </c>
      <c r="M1245" t="s">
        <v>2605</v>
      </c>
      <c r="N1245" t="s">
        <v>18</v>
      </c>
      <c r="O1245" s="12">
        <v>46013.959027777775</v>
      </c>
      <c r="P1245" s="12">
        <v>46018.917361111111</v>
      </c>
      <c r="Q1245" s="12">
        <v>46014.15347222222</v>
      </c>
      <c r="R1245" s="12">
        <v>46014.445138888892</v>
      </c>
      <c r="U1245" t="b">
        <v>0</v>
      </c>
    </row>
    <row r="1246" spans="1:21">
      <c r="A1246" t="s">
        <v>5454</v>
      </c>
      <c r="B1246" t="s">
        <v>2874</v>
      </c>
      <c r="C1246" t="s">
        <v>1125</v>
      </c>
      <c r="D1246" t="s">
        <v>5455</v>
      </c>
      <c r="E1246" t="s">
        <v>5456</v>
      </c>
      <c r="F1246" t="s">
        <v>2680</v>
      </c>
      <c r="G1246">
        <v>721</v>
      </c>
      <c r="H1246" t="s">
        <v>635</v>
      </c>
      <c r="I1246" t="s">
        <v>30</v>
      </c>
      <c r="J1246" t="s">
        <v>1317</v>
      </c>
      <c r="K1246">
        <v>53</v>
      </c>
      <c r="L1246" t="s">
        <v>2601</v>
      </c>
      <c r="M1246" t="s">
        <v>2618</v>
      </c>
      <c r="N1246" t="s">
        <v>36</v>
      </c>
      <c r="O1246" s="12">
        <v>45619.447222222225</v>
      </c>
      <c r="Q1246" s="12">
        <v>45619.678472222222</v>
      </c>
      <c r="R1246" s="12">
        <v>45619.820833333331</v>
      </c>
      <c r="T1246" t="s">
        <v>2933</v>
      </c>
      <c r="U1246" t="b">
        <v>0</v>
      </c>
    </row>
    <row r="1247" spans="1:21">
      <c r="A1247" t="s">
        <v>5457</v>
      </c>
      <c r="B1247" t="s">
        <v>1898</v>
      </c>
      <c r="C1247" t="s">
        <v>1291</v>
      </c>
      <c r="D1247" t="s">
        <v>5458</v>
      </c>
      <c r="E1247" t="s">
        <v>5459</v>
      </c>
      <c r="F1247" t="s">
        <v>2680</v>
      </c>
      <c r="G1247">
        <v>49</v>
      </c>
      <c r="H1247" t="s">
        <v>323</v>
      </c>
      <c r="I1247" t="s">
        <v>24</v>
      </c>
      <c r="J1247" t="s">
        <v>1288</v>
      </c>
      <c r="K1247">
        <v>72</v>
      </c>
      <c r="L1247" t="s">
        <v>2592</v>
      </c>
      <c r="M1247" t="s">
        <v>2597</v>
      </c>
      <c r="N1247" t="s">
        <v>25</v>
      </c>
      <c r="O1247" s="12">
        <v>45902.476388888892</v>
      </c>
      <c r="P1247" s="12">
        <v>45903.976388888892</v>
      </c>
      <c r="Q1247" s="12">
        <v>45902.65625</v>
      </c>
      <c r="R1247" s="12">
        <v>45902.711805555555</v>
      </c>
      <c r="U1247" t="b">
        <v>0</v>
      </c>
    </row>
    <row r="1248" spans="1:21">
      <c r="A1248" t="s">
        <v>5460</v>
      </c>
      <c r="B1248" t="s">
        <v>1207</v>
      </c>
      <c r="C1248" t="s">
        <v>2059</v>
      </c>
      <c r="D1248" t="s">
        <v>5461</v>
      </c>
      <c r="E1248" t="s">
        <v>5462</v>
      </c>
      <c r="F1248" t="s">
        <v>2084</v>
      </c>
      <c r="G1248">
        <v>109</v>
      </c>
      <c r="H1248" t="s">
        <v>16</v>
      </c>
      <c r="I1248" t="s">
        <v>24</v>
      </c>
      <c r="J1248" t="s">
        <v>1288</v>
      </c>
      <c r="K1248">
        <v>49</v>
      </c>
      <c r="L1248" t="s">
        <v>2601</v>
      </c>
      <c r="M1248" t="s">
        <v>2655</v>
      </c>
      <c r="N1248" t="s">
        <v>91</v>
      </c>
      <c r="O1248" s="12">
        <v>45622.55</v>
      </c>
      <c r="Q1248" s="12">
        <v>45622.727083333331</v>
      </c>
      <c r="U1248" t="b">
        <v>0</v>
      </c>
    </row>
    <row r="1249" spans="1:21">
      <c r="A1249" t="s">
        <v>5463</v>
      </c>
      <c r="B1249" t="s">
        <v>1111</v>
      </c>
      <c r="C1249" t="s">
        <v>1180</v>
      </c>
      <c r="D1249" t="s">
        <v>5464</v>
      </c>
      <c r="E1249" t="s">
        <v>5465</v>
      </c>
      <c r="F1249" t="s">
        <v>2617</v>
      </c>
      <c r="G1249">
        <v>1513</v>
      </c>
      <c r="H1249" t="s">
        <v>140</v>
      </c>
      <c r="I1249" t="s">
        <v>17</v>
      </c>
      <c r="J1249" t="s">
        <v>1355</v>
      </c>
      <c r="K1249">
        <v>67</v>
      </c>
      <c r="L1249" t="s">
        <v>2592</v>
      </c>
      <c r="M1249" t="s">
        <v>2605</v>
      </c>
      <c r="N1249" t="s">
        <v>82</v>
      </c>
      <c r="O1249" s="12">
        <v>45496.133333333331</v>
      </c>
      <c r="P1249" s="12">
        <v>45497.425000000003</v>
      </c>
      <c r="Q1249" s="12">
        <v>45496.328472222223</v>
      </c>
      <c r="R1249" s="12">
        <v>45496.443749999999</v>
      </c>
      <c r="U1249" t="b">
        <v>0</v>
      </c>
    </row>
    <row r="1250" spans="1:21">
      <c r="A1250" t="s">
        <v>5466</v>
      </c>
      <c r="B1250" t="s">
        <v>2882</v>
      </c>
      <c r="C1250" t="s">
        <v>2283</v>
      </c>
      <c r="D1250" t="s">
        <v>5467</v>
      </c>
      <c r="E1250" t="s">
        <v>5468</v>
      </c>
      <c r="F1250" t="s">
        <v>1448</v>
      </c>
      <c r="G1250">
        <v>395</v>
      </c>
      <c r="H1250" t="s">
        <v>50</v>
      </c>
      <c r="I1250" t="s">
        <v>30</v>
      </c>
      <c r="J1250" t="s">
        <v>1355</v>
      </c>
      <c r="K1250">
        <v>65</v>
      </c>
      <c r="L1250" t="s">
        <v>2601</v>
      </c>
      <c r="M1250" t="s">
        <v>2605</v>
      </c>
      <c r="N1250" t="s">
        <v>36</v>
      </c>
      <c r="O1250" s="12">
        <v>45398.643750000003</v>
      </c>
      <c r="Q1250" s="12">
        <v>45398.834027777775</v>
      </c>
      <c r="R1250" s="12">
        <v>45398.952777777777</v>
      </c>
      <c r="U1250" t="b">
        <v>0</v>
      </c>
    </row>
    <row r="1251" spans="1:21">
      <c r="A1251" t="s">
        <v>5469</v>
      </c>
      <c r="B1251" t="s">
        <v>1161</v>
      </c>
      <c r="C1251" t="s">
        <v>1172</v>
      </c>
      <c r="D1251" t="s">
        <v>5470</v>
      </c>
      <c r="E1251" t="s">
        <v>5471</v>
      </c>
      <c r="F1251" t="s">
        <v>1448</v>
      </c>
      <c r="G1251">
        <v>171</v>
      </c>
      <c r="H1251" t="s">
        <v>54</v>
      </c>
      <c r="I1251" t="s">
        <v>24</v>
      </c>
      <c r="J1251" t="s">
        <v>1271</v>
      </c>
      <c r="K1251">
        <v>63</v>
      </c>
      <c r="L1251" t="s">
        <v>2592</v>
      </c>
      <c r="M1251" t="s">
        <v>2597</v>
      </c>
      <c r="N1251" t="s">
        <v>25</v>
      </c>
      <c r="O1251" s="12">
        <v>45353.625</v>
      </c>
      <c r="P1251" s="12">
        <v>45357.5</v>
      </c>
      <c r="Q1251" s="12">
        <v>45353.669444444444</v>
      </c>
      <c r="R1251" s="12">
        <v>45354.87777777778</v>
      </c>
      <c r="U1251" t="b">
        <v>0</v>
      </c>
    </row>
    <row r="1252" spans="1:21">
      <c r="A1252" t="s">
        <v>5472</v>
      </c>
      <c r="B1252" t="s">
        <v>1157</v>
      </c>
      <c r="C1252" t="s">
        <v>1162</v>
      </c>
      <c r="D1252" t="s">
        <v>5473</v>
      </c>
      <c r="E1252" t="s">
        <v>5474</v>
      </c>
      <c r="F1252" t="s">
        <v>2271</v>
      </c>
      <c r="G1252">
        <v>120</v>
      </c>
      <c r="H1252" t="s">
        <v>50</v>
      </c>
      <c r="I1252" t="s">
        <v>24</v>
      </c>
      <c r="J1252" t="s">
        <v>1288</v>
      </c>
      <c r="K1252">
        <v>38</v>
      </c>
      <c r="L1252" t="s">
        <v>2592</v>
      </c>
      <c r="M1252" t="s">
        <v>2605</v>
      </c>
      <c r="N1252" t="s">
        <v>59</v>
      </c>
      <c r="O1252" s="12">
        <v>45705.138194444444</v>
      </c>
      <c r="P1252" s="12">
        <v>45710.054861111108</v>
      </c>
      <c r="Q1252" s="12">
        <v>45705.247916666667</v>
      </c>
      <c r="R1252" s="12">
        <v>45705.393750000003</v>
      </c>
      <c r="U1252" t="b">
        <v>0</v>
      </c>
    </row>
    <row r="1253" spans="1:21">
      <c r="A1253" t="s">
        <v>5475</v>
      </c>
      <c r="B1253" t="s">
        <v>2827</v>
      </c>
      <c r="C1253" t="s">
        <v>1660</v>
      </c>
      <c r="D1253" t="s">
        <v>5476</v>
      </c>
      <c r="E1253" t="s">
        <v>5477</v>
      </c>
      <c r="F1253" t="s">
        <v>1471</v>
      </c>
      <c r="G1253">
        <v>648</v>
      </c>
      <c r="H1253" t="s">
        <v>140</v>
      </c>
      <c r="I1253" t="s">
        <v>24</v>
      </c>
      <c r="J1253" t="s">
        <v>1288</v>
      </c>
      <c r="K1253">
        <v>78</v>
      </c>
      <c r="L1253" t="s">
        <v>2642</v>
      </c>
      <c r="M1253" t="s">
        <v>2643</v>
      </c>
      <c r="N1253" t="s">
        <v>82</v>
      </c>
      <c r="O1253" s="12">
        <v>45777.90902777778</v>
      </c>
      <c r="P1253" s="12">
        <v>45782.450694444444</v>
      </c>
      <c r="Q1253" s="12">
        <v>45778.07708333333</v>
      </c>
      <c r="R1253" s="12">
        <v>45778.095833333333</v>
      </c>
      <c r="S1253" s="12">
        <v>45786.867361111108</v>
      </c>
      <c r="U1253" t="b">
        <v>0</v>
      </c>
    </row>
    <row r="1254" spans="1:21">
      <c r="A1254" t="s">
        <v>5478</v>
      </c>
      <c r="B1254" t="s">
        <v>2902</v>
      </c>
      <c r="C1254" t="s">
        <v>1655</v>
      </c>
      <c r="D1254" t="s">
        <v>5479</v>
      </c>
      <c r="E1254" t="s">
        <v>5480</v>
      </c>
      <c r="F1254" t="s">
        <v>1511</v>
      </c>
      <c r="G1254">
        <v>894</v>
      </c>
      <c r="H1254" t="s">
        <v>171</v>
      </c>
      <c r="I1254" t="s">
        <v>30</v>
      </c>
      <c r="J1254" t="s">
        <v>1295</v>
      </c>
      <c r="K1254">
        <v>92</v>
      </c>
      <c r="L1254" t="s">
        <v>2642</v>
      </c>
      <c r="M1254" t="s">
        <v>2643</v>
      </c>
      <c r="N1254" t="s">
        <v>18</v>
      </c>
      <c r="O1254" s="12">
        <v>45748.59652777778</v>
      </c>
      <c r="P1254" s="12">
        <v>45752.013194444444</v>
      </c>
      <c r="Q1254" s="12">
        <v>45748.697916666664</v>
      </c>
      <c r="R1254" s="12">
        <v>45748.751388888886</v>
      </c>
      <c r="S1254" s="12">
        <v>45756.138194444444</v>
      </c>
      <c r="U1254" t="b">
        <v>0</v>
      </c>
    </row>
    <row r="1255" spans="1:21">
      <c r="A1255" t="s">
        <v>5481</v>
      </c>
      <c r="B1255" t="s">
        <v>1157</v>
      </c>
      <c r="C1255" t="s">
        <v>1343</v>
      </c>
      <c r="D1255" t="s">
        <v>5482</v>
      </c>
      <c r="E1255" t="s">
        <v>5483</v>
      </c>
      <c r="F1255" t="s">
        <v>1182</v>
      </c>
      <c r="G1255">
        <v>66</v>
      </c>
      <c r="H1255" t="s">
        <v>50</v>
      </c>
      <c r="I1255" t="s">
        <v>24</v>
      </c>
      <c r="J1255" t="s">
        <v>1355</v>
      </c>
      <c r="K1255">
        <v>53</v>
      </c>
      <c r="L1255" t="s">
        <v>2601</v>
      </c>
      <c r="M1255" t="s">
        <v>2593</v>
      </c>
      <c r="N1255" t="s">
        <v>59</v>
      </c>
      <c r="O1255" s="12">
        <v>45448.798611111109</v>
      </c>
      <c r="Q1255" s="12">
        <v>45448.972222222219</v>
      </c>
      <c r="R1255" s="12">
        <v>45449.054861111108</v>
      </c>
      <c r="U1255" t="b">
        <v>0</v>
      </c>
    </row>
    <row r="1256" spans="1:21">
      <c r="A1256" t="s">
        <v>5484</v>
      </c>
      <c r="B1256" t="s">
        <v>2760</v>
      </c>
      <c r="C1256" t="s">
        <v>1119</v>
      </c>
      <c r="D1256" t="s">
        <v>5485</v>
      </c>
      <c r="E1256" t="s">
        <v>5486</v>
      </c>
      <c r="F1256" t="s">
        <v>1412</v>
      </c>
      <c r="G1256">
        <v>1855</v>
      </c>
      <c r="H1256" t="s">
        <v>154</v>
      </c>
      <c r="I1256" t="s">
        <v>17</v>
      </c>
      <c r="J1256" t="s">
        <v>1271</v>
      </c>
      <c r="K1256">
        <v>40</v>
      </c>
      <c r="L1256" t="s">
        <v>2601</v>
      </c>
      <c r="M1256" t="s">
        <v>2605</v>
      </c>
      <c r="N1256" t="s">
        <v>82</v>
      </c>
      <c r="O1256" s="12">
        <v>46135.555555555555</v>
      </c>
      <c r="Q1256" s="12">
        <v>46135.79791666667</v>
      </c>
      <c r="R1256" s="12">
        <v>46135.852083333331</v>
      </c>
      <c r="U1256" t="b">
        <v>0</v>
      </c>
    </row>
    <row r="1257" spans="1:21">
      <c r="A1257" t="s">
        <v>5487</v>
      </c>
      <c r="B1257" t="s">
        <v>2628</v>
      </c>
      <c r="C1257" t="s">
        <v>1631</v>
      </c>
      <c r="D1257" t="s">
        <v>5488</v>
      </c>
      <c r="E1257" t="s">
        <v>5489</v>
      </c>
      <c r="F1257" t="s">
        <v>1448</v>
      </c>
      <c r="G1257">
        <v>311</v>
      </c>
      <c r="H1257" t="s">
        <v>16</v>
      </c>
      <c r="I1257" t="s">
        <v>30</v>
      </c>
      <c r="J1257" t="s">
        <v>1271</v>
      </c>
      <c r="K1257">
        <v>64</v>
      </c>
      <c r="L1257" t="s">
        <v>2601</v>
      </c>
      <c r="M1257" t="s">
        <v>2618</v>
      </c>
      <c r="N1257" t="s">
        <v>18</v>
      </c>
      <c r="O1257" s="12">
        <v>45601.635416666664</v>
      </c>
      <c r="Q1257" s="12">
        <v>45601.753472222219</v>
      </c>
      <c r="R1257" s="12">
        <v>45601.795138888891</v>
      </c>
      <c r="T1257" t="s">
        <v>2763</v>
      </c>
      <c r="U1257" t="b">
        <v>0</v>
      </c>
    </row>
    <row r="1258" spans="1:21">
      <c r="A1258" t="s">
        <v>5490</v>
      </c>
      <c r="B1258" t="s">
        <v>1202</v>
      </c>
      <c r="C1258" t="s">
        <v>1222</v>
      </c>
      <c r="D1258" t="s">
        <v>5491</v>
      </c>
      <c r="E1258" t="s">
        <v>5492</v>
      </c>
      <c r="F1258" t="s">
        <v>1420</v>
      </c>
      <c r="G1258">
        <v>352</v>
      </c>
      <c r="H1258" t="s">
        <v>236</v>
      </c>
      <c r="I1258" t="s">
        <v>30</v>
      </c>
      <c r="J1258" t="s">
        <v>1271</v>
      </c>
      <c r="K1258">
        <v>71</v>
      </c>
      <c r="L1258" t="s">
        <v>2642</v>
      </c>
      <c r="M1258" t="s">
        <v>2643</v>
      </c>
      <c r="N1258" t="s">
        <v>18</v>
      </c>
      <c r="O1258" s="12">
        <v>45329.708333333336</v>
      </c>
      <c r="P1258" s="12">
        <v>45330</v>
      </c>
      <c r="Q1258" s="12">
        <v>45329.73333333333</v>
      </c>
      <c r="R1258" s="12">
        <v>45329.822916666664</v>
      </c>
      <c r="S1258" s="12">
        <v>45335.541666666664</v>
      </c>
      <c r="U1258" t="b">
        <v>0</v>
      </c>
    </row>
    <row r="1259" spans="1:21">
      <c r="A1259" t="s">
        <v>5493</v>
      </c>
      <c r="B1259" t="s">
        <v>2693</v>
      </c>
      <c r="C1259" t="s">
        <v>1721</v>
      </c>
      <c r="D1259" t="s">
        <v>5494</v>
      </c>
      <c r="E1259" t="s">
        <v>5495</v>
      </c>
      <c r="F1259" t="s">
        <v>1843</v>
      </c>
      <c r="G1259">
        <v>304</v>
      </c>
      <c r="H1259" t="s">
        <v>35</v>
      </c>
      <c r="I1259" t="s">
        <v>30</v>
      </c>
      <c r="J1259" t="s">
        <v>1339</v>
      </c>
      <c r="K1259">
        <v>83</v>
      </c>
      <c r="L1259" t="s">
        <v>2592</v>
      </c>
      <c r="M1259" t="s">
        <v>2597</v>
      </c>
      <c r="N1259" t="s">
        <v>36</v>
      </c>
      <c r="O1259" s="12">
        <v>45403.570138888892</v>
      </c>
      <c r="P1259" s="12">
        <v>45408.320138888892</v>
      </c>
      <c r="Q1259" s="12">
        <v>45403.707638888889</v>
      </c>
      <c r="R1259" s="12">
        <v>45403.736111111109</v>
      </c>
      <c r="U1259" t="b">
        <v>0</v>
      </c>
    </row>
    <row r="1260" spans="1:21">
      <c r="A1260" t="s">
        <v>5496</v>
      </c>
      <c r="B1260" t="s">
        <v>2578</v>
      </c>
      <c r="C1260" t="s">
        <v>1180</v>
      </c>
      <c r="D1260" t="s">
        <v>5497</v>
      </c>
      <c r="E1260" t="s">
        <v>5498</v>
      </c>
      <c r="F1260" t="s">
        <v>2755</v>
      </c>
      <c r="G1260">
        <v>297</v>
      </c>
      <c r="H1260" t="s">
        <v>68</v>
      </c>
      <c r="I1260" t="s">
        <v>30</v>
      </c>
      <c r="J1260" t="s">
        <v>1281</v>
      </c>
      <c r="K1260">
        <v>91</v>
      </c>
      <c r="L1260" t="s">
        <v>2642</v>
      </c>
      <c r="M1260" t="s">
        <v>2597</v>
      </c>
      <c r="N1260" t="s">
        <v>55</v>
      </c>
      <c r="O1260" s="12">
        <v>46214.176388888889</v>
      </c>
      <c r="P1260" s="12">
        <v>46215.759722222225</v>
      </c>
      <c r="Q1260" s="12">
        <v>46214.418055555558</v>
      </c>
      <c r="R1260" s="12">
        <v>46214.564583333333</v>
      </c>
      <c r="S1260" s="12">
        <v>46221.634722222225</v>
      </c>
      <c r="U1260" t="b">
        <v>0</v>
      </c>
    </row>
    <row r="1261" spans="1:21">
      <c r="A1261" t="s">
        <v>5499</v>
      </c>
      <c r="B1261" t="s">
        <v>2657</v>
      </c>
      <c r="C1261" t="s">
        <v>1142</v>
      </c>
      <c r="D1261" t="s">
        <v>5500</v>
      </c>
      <c r="E1261" t="s">
        <v>5501</v>
      </c>
      <c r="F1261" t="s">
        <v>2617</v>
      </c>
      <c r="G1261">
        <v>120</v>
      </c>
      <c r="H1261" t="s">
        <v>1077</v>
      </c>
      <c r="I1261" t="s">
        <v>24</v>
      </c>
      <c r="J1261" t="s">
        <v>1288</v>
      </c>
      <c r="K1261">
        <v>66</v>
      </c>
      <c r="L1261" t="s">
        <v>2592</v>
      </c>
      <c r="M1261" t="s">
        <v>2593</v>
      </c>
      <c r="O1261" s="12">
        <v>46182.436111111114</v>
      </c>
      <c r="P1261" s="12">
        <v>46182.561111111114</v>
      </c>
      <c r="U1261" t="b">
        <v>0</v>
      </c>
    </row>
    <row r="1262" spans="1:21">
      <c r="A1262" t="s">
        <v>5502</v>
      </c>
      <c r="B1262" t="s">
        <v>2682</v>
      </c>
      <c r="C1262" t="s">
        <v>1541</v>
      </c>
      <c r="D1262" t="s">
        <v>5503</v>
      </c>
      <c r="E1262" t="s">
        <v>5504</v>
      </c>
      <c r="F1262" t="s">
        <v>1471</v>
      </c>
      <c r="G1262">
        <v>81</v>
      </c>
      <c r="H1262" t="s">
        <v>295</v>
      </c>
      <c r="I1262" t="s">
        <v>24</v>
      </c>
      <c r="J1262" t="s">
        <v>1281</v>
      </c>
      <c r="K1262">
        <v>72</v>
      </c>
      <c r="L1262" t="s">
        <v>2601</v>
      </c>
      <c r="M1262" t="s">
        <v>2605</v>
      </c>
      <c r="N1262" t="s">
        <v>25</v>
      </c>
      <c r="O1262" s="12">
        <v>45876.07916666667</v>
      </c>
      <c r="Q1262" s="12">
        <v>45876.119444444441</v>
      </c>
      <c r="R1262" s="12">
        <v>45876.26666666667</v>
      </c>
      <c r="U1262" t="b">
        <v>0</v>
      </c>
    </row>
    <row r="1263" spans="1:21">
      <c r="A1263" t="s">
        <v>5505</v>
      </c>
      <c r="B1263" t="s">
        <v>2874</v>
      </c>
      <c r="C1263" t="s">
        <v>1378</v>
      </c>
      <c r="D1263" t="s">
        <v>5506</v>
      </c>
      <c r="E1263" t="s">
        <v>5507</v>
      </c>
      <c r="F1263" t="s">
        <v>1487</v>
      </c>
      <c r="G1263">
        <v>35</v>
      </c>
      <c r="H1263" t="s">
        <v>1042</v>
      </c>
      <c r="I1263" t="s">
        <v>24</v>
      </c>
      <c r="J1263" t="s">
        <v>1271</v>
      </c>
      <c r="K1263">
        <v>43</v>
      </c>
      <c r="L1263" t="s">
        <v>2601</v>
      </c>
      <c r="M1263" t="s">
        <v>2655</v>
      </c>
      <c r="N1263" t="s">
        <v>91</v>
      </c>
      <c r="O1263" s="12">
        <v>45562.59097222222</v>
      </c>
      <c r="Q1263" s="12">
        <v>45562.722222222219</v>
      </c>
      <c r="U1263" t="b">
        <v>0</v>
      </c>
    </row>
    <row r="1264" spans="1:21">
      <c r="A1264" t="s">
        <v>5508</v>
      </c>
      <c r="B1264" t="s">
        <v>1167</v>
      </c>
      <c r="C1264" t="s">
        <v>1432</v>
      </c>
      <c r="D1264" t="s">
        <v>5509</v>
      </c>
      <c r="E1264" t="s">
        <v>5510</v>
      </c>
      <c r="F1264" t="s">
        <v>1487</v>
      </c>
      <c r="G1264">
        <v>24</v>
      </c>
      <c r="H1264" t="s">
        <v>23</v>
      </c>
      <c r="I1264" t="s">
        <v>24</v>
      </c>
      <c r="J1264" t="s">
        <v>1295</v>
      </c>
      <c r="K1264">
        <v>92</v>
      </c>
      <c r="L1264" t="s">
        <v>2642</v>
      </c>
      <c r="M1264" t="s">
        <v>2643</v>
      </c>
      <c r="N1264" t="s">
        <v>25</v>
      </c>
      <c r="O1264" s="12">
        <v>45311.012499999997</v>
      </c>
      <c r="P1264" s="12">
        <v>45313.179166666669</v>
      </c>
      <c r="Q1264" s="12">
        <v>45311.178472222222</v>
      </c>
      <c r="R1264" s="12">
        <v>45311.227083333331</v>
      </c>
      <c r="S1264" s="12">
        <v>45322.679166666669</v>
      </c>
      <c r="U1264" t="b">
        <v>0</v>
      </c>
    </row>
    <row r="1265" spans="1:21">
      <c r="A1265" t="s">
        <v>5511</v>
      </c>
      <c r="B1265" t="s">
        <v>2906</v>
      </c>
      <c r="C1265" t="s">
        <v>1655</v>
      </c>
      <c r="D1265" t="s">
        <v>5512</v>
      </c>
      <c r="E1265" t="s">
        <v>5513</v>
      </c>
      <c r="F1265" t="s">
        <v>2680</v>
      </c>
      <c r="G1265">
        <v>478</v>
      </c>
      <c r="H1265" t="s">
        <v>385</v>
      </c>
      <c r="I1265" t="s">
        <v>30</v>
      </c>
      <c r="J1265" t="s">
        <v>1355</v>
      </c>
      <c r="K1265">
        <v>76</v>
      </c>
      <c r="L1265" t="s">
        <v>2601</v>
      </c>
      <c r="M1265" t="s">
        <v>2593</v>
      </c>
      <c r="N1265" t="s">
        <v>18</v>
      </c>
      <c r="O1265" s="12">
        <v>46273.545138888891</v>
      </c>
      <c r="Q1265" s="12">
        <v>46273.717361111114</v>
      </c>
      <c r="R1265" s="12">
        <v>46273.776388888888</v>
      </c>
      <c r="U1265" t="b">
        <v>0</v>
      </c>
    </row>
    <row r="1266" spans="1:21">
      <c r="A1266" t="s">
        <v>5514</v>
      </c>
      <c r="B1266" t="s">
        <v>1211</v>
      </c>
      <c r="C1266" t="s">
        <v>1168</v>
      </c>
      <c r="D1266" t="s">
        <v>5515</v>
      </c>
      <c r="E1266" t="s">
        <v>5516</v>
      </c>
      <c r="F1266" t="s">
        <v>1412</v>
      </c>
      <c r="G1266">
        <v>1674</v>
      </c>
      <c r="H1266" t="s">
        <v>223</v>
      </c>
      <c r="I1266" t="s">
        <v>17</v>
      </c>
      <c r="J1266" t="s">
        <v>1339</v>
      </c>
      <c r="K1266">
        <v>70</v>
      </c>
      <c r="L1266" t="s">
        <v>2592</v>
      </c>
      <c r="M1266" t="s">
        <v>2605</v>
      </c>
      <c r="N1266" t="s">
        <v>18</v>
      </c>
      <c r="O1266" s="12">
        <v>45587.445138888892</v>
      </c>
      <c r="P1266" s="12">
        <v>45588.236805555556</v>
      </c>
      <c r="Q1266" s="12">
        <v>45587.631249999999</v>
      </c>
      <c r="R1266" s="12">
        <v>45587.71875</v>
      </c>
      <c r="U1266" t="b">
        <v>0</v>
      </c>
    </row>
    <row r="1267" spans="1:21">
      <c r="A1267" t="s">
        <v>5517</v>
      </c>
      <c r="B1267" t="s">
        <v>2628</v>
      </c>
      <c r="C1267" t="s">
        <v>1180</v>
      </c>
      <c r="D1267" t="s">
        <v>5518</v>
      </c>
      <c r="E1267" t="s">
        <v>5519</v>
      </c>
      <c r="F1267" t="s">
        <v>1511</v>
      </c>
      <c r="G1267">
        <v>355</v>
      </c>
      <c r="H1267" t="s">
        <v>1039</v>
      </c>
      <c r="I1267" t="s">
        <v>30</v>
      </c>
      <c r="J1267" t="s">
        <v>1281</v>
      </c>
      <c r="K1267">
        <v>85</v>
      </c>
      <c r="L1267" t="s">
        <v>2601</v>
      </c>
      <c r="M1267" t="s">
        <v>2605</v>
      </c>
      <c r="N1267" t="s">
        <v>18</v>
      </c>
      <c r="O1267" s="12">
        <v>46041.837500000001</v>
      </c>
      <c r="Q1267" s="12">
        <v>46042.080555555556</v>
      </c>
      <c r="R1267" s="12">
        <v>46042.22152777778</v>
      </c>
      <c r="U1267" t="b">
        <v>0</v>
      </c>
    </row>
    <row r="1268" spans="1:21">
      <c r="A1268" t="s">
        <v>5520</v>
      </c>
      <c r="B1268" t="s">
        <v>2906</v>
      </c>
      <c r="C1268" t="s">
        <v>1119</v>
      </c>
      <c r="D1268" t="s">
        <v>5521</v>
      </c>
      <c r="E1268" t="s">
        <v>5522</v>
      </c>
      <c r="F1268" t="s">
        <v>2617</v>
      </c>
      <c r="G1268">
        <v>186</v>
      </c>
      <c r="H1268" t="s">
        <v>95</v>
      </c>
      <c r="I1268" t="s">
        <v>24</v>
      </c>
      <c r="J1268" t="s">
        <v>1339</v>
      </c>
      <c r="K1268">
        <v>78</v>
      </c>
      <c r="L1268" t="s">
        <v>2601</v>
      </c>
      <c r="M1268" t="s">
        <v>2655</v>
      </c>
      <c r="N1268" t="s">
        <v>91</v>
      </c>
      <c r="O1268" s="12">
        <v>46012.84375</v>
      </c>
      <c r="Q1268" s="12">
        <v>46012.868055555555</v>
      </c>
      <c r="U1268" t="b">
        <v>0</v>
      </c>
    </row>
    <row r="1269" spans="1:21">
      <c r="A1269" t="s">
        <v>5523</v>
      </c>
      <c r="B1269" t="s">
        <v>2578</v>
      </c>
      <c r="C1269" t="s">
        <v>1475</v>
      </c>
      <c r="D1269" t="s">
        <v>5524</v>
      </c>
      <c r="E1269" t="s">
        <v>5525</v>
      </c>
      <c r="F1269" t="s">
        <v>2755</v>
      </c>
      <c r="G1269">
        <v>107</v>
      </c>
      <c r="H1269" t="s">
        <v>216</v>
      </c>
      <c r="I1269" t="s">
        <v>24</v>
      </c>
      <c r="J1269" t="s">
        <v>1295</v>
      </c>
      <c r="K1269">
        <v>90</v>
      </c>
      <c r="L1269" t="s">
        <v>2642</v>
      </c>
      <c r="M1269" t="s">
        <v>2643</v>
      </c>
      <c r="N1269" t="s">
        <v>91</v>
      </c>
      <c r="O1269" s="12">
        <v>45565.8125</v>
      </c>
      <c r="P1269" s="12">
        <v>45566.0625</v>
      </c>
      <c r="Q1269" s="12">
        <v>45565.988888888889</v>
      </c>
      <c r="R1269" s="12">
        <v>45566.084027777775</v>
      </c>
      <c r="S1269" s="12">
        <v>45572.520833333336</v>
      </c>
      <c r="U1269" t="b">
        <v>0</v>
      </c>
    </row>
    <row r="1270" spans="1:21">
      <c r="A1270" t="s">
        <v>5526</v>
      </c>
      <c r="B1270" t="s">
        <v>1431</v>
      </c>
      <c r="C1270" t="s">
        <v>1490</v>
      </c>
      <c r="D1270" t="s">
        <v>5527</v>
      </c>
      <c r="E1270" t="s">
        <v>5528</v>
      </c>
      <c r="F1270" t="s">
        <v>1294</v>
      </c>
      <c r="G1270">
        <v>108</v>
      </c>
      <c r="H1270" t="s">
        <v>223</v>
      </c>
      <c r="I1270" t="s">
        <v>24</v>
      </c>
      <c r="J1270" t="s">
        <v>1339</v>
      </c>
      <c r="K1270">
        <v>82</v>
      </c>
      <c r="L1270" t="s">
        <v>2592</v>
      </c>
      <c r="M1270" t="s">
        <v>2597</v>
      </c>
      <c r="N1270" t="s">
        <v>91</v>
      </c>
      <c r="O1270" s="12">
        <v>46125.48333333333</v>
      </c>
      <c r="P1270" s="12">
        <v>46126.941666666666</v>
      </c>
      <c r="Q1270" s="12">
        <v>46125.667361111111</v>
      </c>
      <c r="R1270" s="12">
        <v>46127.167361111111</v>
      </c>
      <c r="U1270" t="b">
        <v>0</v>
      </c>
    </row>
    <row r="1271" spans="1:21">
      <c r="A1271" t="s">
        <v>5529</v>
      </c>
      <c r="B1271" t="s">
        <v>2827</v>
      </c>
      <c r="C1271" t="s">
        <v>1378</v>
      </c>
      <c r="D1271" t="s">
        <v>5530</v>
      </c>
      <c r="E1271" t="s">
        <v>5531</v>
      </c>
      <c r="F1271" t="s">
        <v>1517</v>
      </c>
      <c r="G1271">
        <v>164</v>
      </c>
      <c r="H1271" t="s">
        <v>249</v>
      </c>
      <c r="I1271" t="s">
        <v>24</v>
      </c>
      <c r="J1271" t="s">
        <v>1355</v>
      </c>
      <c r="K1271">
        <v>52</v>
      </c>
      <c r="L1271" t="s">
        <v>2601</v>
      </c>
      <c r="M1271" t="s">
        <v>2618</v>
      </c>
      <c r="N1271" t="s">
        <v>59</v>
      </c>
      <c r="O1271" s="12">
        <v>46243.32916666667</v>
      </c>
      <c r="Q1271" s="12">
        <v>46243.390277777777</v>
      </c>
      <c r="R1271" s="12">
        <v>46244.140277777777</v>
      </c>
      <c r="T1271" t="s">
        <v>2648</v>
      </c>
      <c r="U1271" t="b">
        <v>0</v>
      </c>
    </row>
    <row r="1272" spans="1:21">
      <c r="A1272" t="s">
        <v>5532</v>
      </c>
      <c r="B1272" t="s">
        <v>2645</v>
      </c>
      <c r="C1272" t="s">
        <v>1432</v>
      </c>
      <c r="D1272" t="s">
        <v>3007</v>
      </c>
      <c r="E1272" t="s">
        <v>5533</v>
      </c>
      <c r="F1272" t="s">
        <v>2271</v>
      </c>
      <c r="G1272">
        <v>351</v>
      </c>
      <c r="H1272" t="s">
        <v>16</v>
      </c>
      <c r="I1272" t="s">
        <v>30</v>
      </c>
      <c r="J1272" t="s">
        <v>1288</v>
      </c>
      <c r="K1272">
        <v>79</v>
      </c>
      <c r="L1272" t="s">
        <v>2642</v>
      </c>
      <c r="M1272" t="s">
        <v>2643</v>
      </c>
      <c r="N1272" t="s">
        <v>18</v>
      </c>
      <c r="O1272" s="12">
        <v>45536.870833333334</v>
      </c>
      <c r="P1272" s="12">
        <v>45541.07916666667</v>
      </c>
      <c r="Q1272" s="12">
        <v>45537.04583333333</v>
      </c>
      <c r="R1272" s="12">
        <v>45537.052777777775</v>
      </c>
      <c r="S1272" s="12">
        <v>45542.037499999999</v>
      </c>
      <c r="U1272" t="b">
        <v>0</v>
      </c>
    </row>
    <row r="1273" spans="1:21">
      <c r="A1273" t="s">
        <v>5534</v>
      </c>
      <c r="B1273" t="s">
        <v>2847</v>
      </c>
      <c r="C1273" t="s">
        <v>1385</v>
      </c>
      <c r="D1273" t="s">
        <v>5535</v>
      </c>
      <c r="E1273" t="s">
        <v>5536</v>
      </c>
      <c r="F1273" t="s">
        <v>1511</v>
      </c>
      <c r="G1273">
        <v>189</v>
      </c>
      <c r="H1273" t="s">
        <v>1077</v>
      </c>
      <c r="I1273" t="s">
        <v>24</v>
      </c>
      <c r="K1273">
        <v>85</v>
      </c>
      <c r="L1273" t="s">
        <v>2642</v>
      </c>
      <c r="M1273" t="s">
        <v>2643</v>
      </c>
      <c r="N1273" t="s">
        <v>69</v>
      </c>
      <c r="O1273" s="12">
        <v>46061.594444444447</v>
      </c>
      <c r="P1273" s="12">
        <v>46065.219444444447</v>
      </c>
      <c r="Q1273" s="12">
        <v>46061.760416666664</v>
      </c>
      <c r="R1273" s="12">
        <v>46062.552083333336</v>
      </c>
      <c r="S1273" s="12">
        <v>46066.886111111111</v>
      </c>
      <c r="U1273" t="b">
        <v>0</v>
      </c>
    </row>
    <row r="1274" spans="1:21">
      <c r="A1274" t="s">
        <v>5537</v>
      </c>
      <c r="B1274" t="s">
        <v>1267</v>
      </c>
      <c r="C1274" t="s">
        <v>1631</v>
      </c>
      <c r="D1274" t="s">
        <v>5538</v>
      </c>
      <c r="E1274" t="s">
        <v>5539</v>
      </c>
      <c r="F1274" t="s">
        <v>1294</v>
      </c>
      <c r="G1274">
        <v>42</v>
      </c>
      <c r="H1274" t="s">
        <v>50</v>
      </c>
      <c r="I1274" t="s">
        <v>24</v>
      </c>
      <c r="J1274" t="s">
        <v>1288</v>
      </c>
      <c r="K1274">
        <v>78</v>
      </c>
      <c r="L1274" t="s">
        <v>2642</v>
      </c>
      <c r="M1274" t="s">
        <v>2643</v>
      </c>
      <c r="N1274" t="s">
        <v>59</v>
      </c>
      <c r="O1274" s="12">
        <v>45688.728472222225</v>
      </c>
      <c r="P1274" s="12">
        <v>45691.728472222225</v>
      </c>
      <c r="Q1274" s="12">
        <v>45688.822916666664</v>
      </c>
      <c r="R1274" s="12">
        <v>45688.92083333333</v>
      </c>
      <c r="S1274" s="12">
        <v>45692.561805555553</v>
      </c>
      <c r="U1274" t="b">
        <v>0</v>
      </c>
    </row>
    <row r="1275" spans="1:21">
      <c r="A1275" t="s">
        <v>5540</v>
      </c>
      <c r="B1275" t="s">
        <v>2645</v>
      </c>
      <c r="C1275" t="s">
        <v>1180</v>
      </c>
      <c r="D1275" t="s">
        <v>5541</v>
      </c>
      <c r="E1275" t="s">
        <v>5542</v>
      </c>
      <c r="F1275" t="s">
        <v>1843</v>
      </c>
      <c r="G1275">
        <v>253</v>
      </c>
      <c r="H1275" t="s">
        <v>16</v>
      </c>
      <c r="I1275" t="s">
        <v>30</v>
      </c>
      <c r="J1275" t="s">
        <v>1413</v>
      </c>
      <c r="K1275">
        <v>79</v>
      </c>
      <c r="L1275" t="s">
        <v>2592</v>
      </c>
      <c r="M1275" t="s">
        <v>2597</v>
      </c>
      <c r="N1275" t="s">
        <v>18</v>
      </c>
      <c r="O1275" s="12">
        <v>45389.084722222222</v>
      </c>
      <c r="P1275" s="12">
        <v>45392.043055555558</v>
      </c>
      <c r="Q1275" s="12">
        <v>45389.197222222225</v>
      </c>
      <c r="R1275" s="12">
        <v>45389.259027777778</v>
      </c>
      <c r="U1275" t="b">
        <v>0</v>
      </c>
    </row>
    <row r="1276" spans="1:21">
      <c r="A1276" t="s">
        <v>5543</v>
      </c>
      <c r="B1276" t="s">
        <v>1185</v>
      </c>
      <c r="C1276" t="s">
        <v>1212</v>
      </c>
      <c r="D1276" t="s">
        <v>5544</v>
      </c>
      <c r="E1276" t="s">
        <v>5545</v>
      </c>
      <c r="F1276" t="s">
        <v>1309</v>
      </c>
      <c r="G1276">
        <v>43</v>
      </c>
      <c r="H1276" t="s">
        <v>404</v>
      </c>
      <c r="I1276" t="s">
        <v>24</v>
      </c>
      <c r="J1276" t="s">
        <v>1288</v>
      </c>
      <c r="K1276">
        <v>61</v>
      </c>
      <c r="L1276" t="s">
        <v>2592</v>
      </c>
      <c r="M1276" t="s">
        <v>2605</v>
      </c>
      <c r="N1276" t="s">
        <v>25</v>
      </c>
      <c r="O1276" s="12">
        <v>46061.865277777775</v>
      </c>
      <c r="P1276" s="12">
        <v>46065.281944444447</v>
      </c>
      <c r="Q1276" s="12">
        <v>46062.02847222222</v>
      </c>
      <c r="R1276" s="12">
        <v>46062.09097222222</v>
      </c>
      <c r="U1276" t="b">
        <v>0</v>
      </c>
    </row>
    <row r="1277" spans="1:21">
      <c r="A1277" t="s">
        <v>5546</v>
      </c>
      <c r="B1277" t="s">
        <v>1202</v>
      </c>
      <c r="C1277" t="s">
        <v>1469</v>
      </c>
      <c r="D1277" t="s">
        <v>3058</v>
      </c>
      <c r="E1277" t="s">
        <v>5547</v>
      </c>
      <c r="F1277" t="s">
        <v>1182</v>
      </c>
      <c r="G1277">
        <v>326</v>
      </c>
      <c r="H1277" t="s">
        <v>216</v>
      </c>
      <c r="I1277" t="s">
        <v>30</v>
      </c>
      <c r="J1277" t="s">
        <v>1317</v>
      </c>
      <c r="K1277">
        <v>69</v>
      </c>
      <c r="L1277" t="s">
        <v>2592</v>
      </c>
      <c r="M1277" t="s">
        <v>2605</v>
      </c>
      <c r="N1277" t="s">
        <v>18</v>
      </c>
      <c r="O1277" s="12">
        <v>45843.26666666667</v>
      </c>
      <c r="P1277" s="12">
        <v>45844.01666666667</v>
      </c>
      <c r="Q1277" s="12">
        <v>45843.271527777775</v>
      </c>
      <c r="R1277" s="12">
        <v>45843.32916666667</v>
      </c>
      <c r="U1277" t="b">
        <v>0</v>
      </c>
    </row>
    <row r="1278" spans="1:21">
      <c r="A1278" t="s">
        <v>5548</v>
      </c>
      <c r="B1278" t="s">
        <v>1267</v>
      </c>
      <c r="C1278" t="s">
        <v>1418</v>
      </c>
      <c r="D1278" t="s">
        <v>5549</v>
      </c>
      <c r="E1278" t="s">
        <v>5550</v>
      </c>
      <c r="F1278" t="s">
        <v>2617</v>
      </c>
      <c r="G1278">
        <v>476</v>
      </c>
      <c r="H1278" t="s">
        <v>127</v>
      </c>
      <c r="I1278" t="s">
        <v>30</v>
      </c>
      <c r="J1278" t="s">
        <v>1413</v>
      </c>
      <c r="K1278">
        <v>64</v>
      </c>
      <c r="L1278" t="s">
        <v>2592</v>
      </c>
      <c r="M1278" t="s">
        <v>2618</v>
      </c>
      <c r="O1278" s="12">
        <v>45934.552083333336</v>
      </c>
      <c r="P1278" s="12">
        <v>45935.260416666664</v>
      </c>
      <c r="T1278" t="s">
        <v>2739</v>
      </c>
      <c r="U1278" t="b">
        <v>0</v>
      </c>
    </row>
    <row r="1279" spans="1:21">
      <c r="A1279" t="s">
        <v>5551</v>
      </c>
      <c r="B1279" t="s">
        <v>1190</v>
      </c>
      <c r="C1279" t="s">
        <v>1168</v>
      </c>
      <c r="D1279" t="s">
        <v>5552</v>
      </c>
      <c r="E1279" t="s">
        <v>5553</v>
      </c>
      <c r="F1279" t="s">
        <v>1309</v>
      </c>
      <c r="G1279">
        <v>197</v>
      </c>
      <c r="H1279" t="s">
        <v>171</v>
      </c>
      <c r="I1279" t="s">
        <v>24</v>
      </c>
      <c r="J1279" t="s">
        <v>1288</v>
      </c>
      <c r="K1279">
        <v>35</v>
      </c>
      <c r="L1279" t="s">
        <v>2601</v>
      </c>
      <c r="M1279" t="s">
        <v>2655</v>
      </c>
      <c r="N1279" t="s">
        <v>91</v>
      </c>
      <c r="O1279" s="12">
        <v>46118.815972222219</v>
      </c>
      <c r="Q1279" s="12">
        <v>46118.914583333331</v>
      </c>
      <c r="U1279" t="b">
        <v>0</v>
      </c>
    </row>
    <row r="1280" spans="1:21">
      <c r="A1280" t="s">
        <v>5554</v>
      </c>
      <c r="B1280" t="s">
        <v>1898</v>
      </c>
      <c r="C1280" t="s">
        <v>1208</v>
      </c>
      <c r="D1280" t="s">
        <v>5555</v>
      </c>
      <c r="E1280" t="s">
        <v>5556</v>
      </c>
      <c r="F1280" t="s">
        <v>1487</v>
      </c>
      <c r="G1280">
        <v>2044</v>
      </c>
      <c r="H1280" t="s">
        <v>385</v>
      </c>
      <c r="I1280" t="s">
        <v>17</v>
      </c>
      <c r="J1280" t="s">
        <v>1413</v>
      </c>
      <c r="K1280">
        <v>52</v>
      </c>
      <c r="L1280" t="s">
        <v>2592</v>
      </c>
      <c r="M1280" t="s">
        <v>2618</v>
      </c>
      <c r="N1280" t="s">
        <v>18</v>
      </c>
      <c r="O1280" s="12">
        <v>45508.113194444442</v>
      </c>
      <c r="P1280" s="12">
        <v>45510.446527777778</v>
      </c>
      <c r="Q1280" s="12">
        <v>45508.198611111111</v>
      </c>
      <c r="R1280" s="12">
        <v>45508.330555555556</v>
      </c>
      <c r="T1280" t="s">
        <v>2739</v>
      </c>
      <c r="U1280" t="b">
        <v>0</v>
      </c>
    </row>
    <row r="1281" spans="1:21">
      <c r="A1281" t="s">
        <v>5557</v>
      </c>
      <c r="B1281" t="s">
        <v>2645</v>
      </c>
      <c r="C1281" t="s">
        <v>1172</v>
      </c>
      <c r="D1281" t="s">
        <v>5558</v>
      </c>
      <c r="E1281" t="s">
        <v>5559</v>
      </c>
      <c r="F1281" t="s">
        <v>1511</v>
      </c>
      <c r="G1281">
        <v>785</v>
      </c>
      <c r="H1281" t="s">
        <v>50</v>
      </c>
      <c r="I1281" t="s">
        <v>30</v>
      </c>
      <c r="J1281" t="s">
        <v>1413</v>
      </c>
      <c r="K1281">
        <v>75</v>
      </c>
      <c r="L1281" t="s">
        <v>2592</v>
      </c>
      <c r="M1281" t="s">
        <v>2593</v>
      </c>
      <c r="N1281" t="s">
        <v>36</v>
      </c>
      <c r="O1281" s="12">
        <v>45466.859027777777</v>
      </c>
      <c r="P1281" s="12">
        <v>45467.067361111112</v>
      </c>
      <c r="Q1281" s="12">
        <v>45466.936805555553</v>
      </c>
      <c r="R1281" s="12">
        <v>45467.056250000001</v>
      </c>
      <c r="U1281" t="b">
        <v>0</v>
      </c>
    </row>
    <row r="1282" spans="1:21">
      <c r="A1282" t="s">
        <v>5560</v>
      </c>
      <c r="B1282" t="s">
        <v>2628</v>
      </c>
      <c r="C1282" t="s">
        <v>1197</v>
      </c>
      <c r="D1282" t="s">
        <v>5561</v>
      </c>
      <c r="E1282" t="s">
        <v>5562</v>
      </c>
      <c r="F1282" t="s">
        <v>1471</v>
      </c>
      <c r="G1282">
        <v>821</v>
      </c>
      <c r="H1282" t="s">
        <v>46</v>
      </c>
      <c r="I1282" t="s">
        <v>30</v>
      </c>
      <c r="J1282" t="s">
        <v>1317</v>
      </c>
      <c r="K1282">
        <v>80</v>
      </c>
      <c r="L1282" t="s">
        <v>2642</v>
      </c>
      <c r="M1282" t="s">
        <v>2643</v>
      </c>
      <c r="N1282" t="s">
        <v>18</v>
      </c>
      <c r="O1282" s="12">
        <v>45682.97152777778</v>
      </c>
      <c r="P1282" s="12">
        <v>45684.888194444444</v>
      </c>
      <c r="Q1282" s="12">
        <v>45683.212500000001</v>
      </c>
      <c r="R1282" s="12">
        <v>45683.303472222222</v>
      </c>
      <c r="S1282" s="12">
        <v>45691.804861111108</v>
      </c>
      <c r="U1282" t="b">
        <v>0</v>
      </c>
    </row>
    <row r="1283" spans="1:21">
      <c r="A1283" t="s">
        <v>5563</v>
      </c>
      <c r="B1283" t="s">
        <v>1649</v>
      </c>
      <c r="C1283" t="s">
        <v>1650</v>
      </c>
      <c r="D1283" t="s">
        <v>5564</v>
      </c>
      <c r="E1283" t="s">
        <v>5565</v>
      </c>
      <c r="F1283" t="s">
        <v>1294</v>
      </c>
      <c r="G1283">
        <v>172</v>
      </c>
      <c r="H1283" t="s">
        <v>366</v>
      </c>
      <c r="I1283" t="s">
        <v>24</v>
      </c>
      <c r="J1283" t="s">
        <v>1271</v>
      </c>
      <c r="K1283">
        <v>53</v>
      </c>
      <c r="L1283" t="s">
        <v>2592</v>
      </c>
      <c r="M1283" t="s">
        <v>2597</v>
      </c>
      <c r="N1283" t="s">
        <v>91</v>
      </c>
      <c r="O1283" s="12">
        <v>45867.280555555553</v>
      </c>
      <c r="P1283" s="12">
        <v>45870.822222222225</v>
      </c>
      <c r="Q1283" s="12">
        <v>45867.446527777778</v>
      </c>
      <c r="R1283" s="12">
        <v>45867.474999999999</v>
      </c>
      <c r="U1283" t="b">
        <v>0</v>
      </c>
    </row>
    <row r="1284" spans="1:21">
      <c r="A1284" t="s">
        <v>5566</v>
      </c>
      <c r="B1284" t="s">
        <v>1161</v>
      </c>
      <c r="C1284" t="s">
        <v>1139</v>
      </c>
      <c r="D1284" t="s">
        <v>5567</v>
      </c>
      <c r="E1284" t="s">
        <v>5568</v>
      </c>
      <c r="F1284" t="s">
        <v>1517</v>
      </c>
      <c r="G1284">
        <v>34</v>
      </c>
      <c r="H1284" t="s">
        <v>68</v>
      </c>
      <c r="I1284" t="s">
        <v>24</v>
      </c>
      <c r="J1284" t="s">
        <v>1295</v>
      </c>
      <c r="K1284">
        <v>86</v>
      </c>
      <c r="L1284" t="s">
        <v>2592</v>
      </c>
      <c r="M1284" t="s">
        <v>2618</v>
      </c>
      <c r="N1284" t="s">
        <v>69</v>
      </c>
      <c r="O1284" s="12">
        <v>45361.989583333336</v>
      </c>
      <c r="P1284" s="12">
        <v>45363.28125</v>
      </c>
      <c r="Q1284" s="12">
        <v>45362.20416666667</v>
      </c>
      <c r="R1284" s="12">
        <v>45362.230555555558</v>
      </c>
      <c r="T1284" t="s">
        <v>2763</v>
      </c>
      <c r="U1284" t="b">
        <v>0</v>
      </c>
    </row>
    <row r="1285" spans="1:21">
      <c r="A1285" t="s">
        <v>5569</v>
      </c>
      <c r="B1285" t="s">
        <v>2906</v>
      </c>
      <c r="C1285" t="s">
        <v>1579</v>
      </c>
      <c r="D1285" t="s">
        <v>5570</v>
      </c>
      <c r="E1285" t="s">
        <v>5571</v>
      </c>
      <c r="F1285" t="s">
        <v>1517</v>
      </c>
      <c r="G1285">
        <v>16</v>
      </c>
      <c r="H1285" t="s">
        <v>205</v>
      </c>
      <c r="J1285" t="s">
        <v>1413</v>
      </c>
      <c r="K1285">
        <v>59</v>
      </c>
      <c r="L1285" t="s">
        <v>2601</v>
      </c>
      <c r="M1285" t="s">
        <v>2618</v>
      </c>
      <c r="O1285" s="12">
        <v>45955.699305555558</v>
      </c>
      <c r="T1285" t="s">
        <v>2933</v>
      </c>
      <c r="U1285" t="b">
        <v>0</v>
      </c>
    </row>
    <row r="1286" spans="1:21">
      <c r="A1286" t="s">
        <v>5572</v>
      </c>
      <c r="B1286" t="s">
        <v>2639</v>
      </c>
      <c r="C1286" t="s">
        <v>1462</v>
      </c>
      <c r="D1286" t="s">
        <v>5573</v>
      </c>
      <c r="E1286" t="s">
        <v>5574</v>
      </c>
      <c r="F1286" t="s">
        <v>1367</v>
      </c>
      <c r="G1286">
        <v>105</v>
      </c>
      <c r="H1286" t="s">
        <v>226</v>
      </c>
      <c r="I1286" t="s">
        <v>24</v>
      </c>
      <c r="J1286" t="s">
        <v>1413</v>
      </c>
      <c r="K1286">
        <v>48</v>
      </c>
      <c r="L1286" t="s">
        <v>2592</v>
      </c>
      <c r="M1286" t="s">
        <v>2597</v>
      </c>
      <c r="N1286" t="s">
        <v>69</v>
      </c>
      <c r="O1286" s="12">
        <v>45360.784722222219</v>
      </c>
      <c r="P1286" s="12">
        <v>45364.118055555555</v>
      </c>
      <c r="Q1286" s="12">
        <v>45360.943749999999</v>
      </c>
      <c r="R1286" s="12">
        <v>45360.989583333336</v>
      </c>
      <c r="U1286" t="b">
        <v>0</v>
      </c>
    </row>
    <row r="1287" spans="1:21">
      <c r="A1287" t="s">
        <v>5575</v>
      </c>
      <c r="B1287" t="s">
        <v>1175</v>
      </c>
      <c r="C1287" t="s">
        <v>1278</v>
      </c>
      <c r="D1287" t="s">
        <v>5576</v>
      </c>
      <c r="E1287" t="s">
        <v>5577</v>
      </c>
      <c r="F1287" t="s">
        <v>2709</v>
      </c>
      <c r="G1287">
        <v>770</v>
      </c>
      <c r="H1287" t="s">
        <v>81</v>
      </c>
      <c r="I1287" t="s">
        <v>30</v>
      </c>
      <c r="J1287" t="s">
        <v>1295</v>
      </c>
      <c r="K1287">
        <v>75</v>
      </c>
      <c r="L1287" t="s">
        <v>2642</v>
      </c>
      <c r="M1287" t="s">
        <v>2597</v>
      </c>
      <c r="N1287" t="s">
        <v>82</v>
      </c>
      <c r="O1287" s="12">
        <v>45450.034722222219</v>
      </c>
      <c r="P1287" s="12">
        <v>45451.826388888891</v>
      </c>
      <c r="Q1287" s="12">
        <v>45450.140972222223</v>
      </c>
      <c r="R1287" s="12">
        <v>45450.192361111112</v>
      </c>
      <c r="S1287" s="12">
        <v>45458.909722222219</v>
      </c>
      <c r="U1287" t="b">
        <v>0</v>
      </c>
    </row>
    <row r="1288" spans="1:21">
      <c r="A1288" t="s">
        <v>5578</v>
      </c>
      <c r="B1288" t="s">
        <v>1176</v>
      </c>
      <c r="C1288" t="s">
        <v>1155</v>
      </c>
      <c r="D1288" t="s">
        <v>5579</v>
      </c>
      <c r="E1288" t="s">
        <v>5580</v>
      </c>
      <c r="F1288" t="s">
        <v>1412</v>
      </c>
      <c r="G1288">
        <v>284</v>
      </c>
      <c r="H1288" t="s">
        <v>178</v>
      </c>
      <c r="I1288" t="s">
        <v>24</v>
      </c>
      <c r="J1288" t="s">
        <v>1413</v>
      </c>
      <c r="K1288">
        <v>44</v>
      </c>
      <c r="L1288" t="s">
        <v>2601</v>
      </c>
      <c r="M1288" t="s">
        <v>2655</v>
      </c>
      <c r="N1288" t="s">
        <v>82</v>
      </c>
      <c r="O1288" s="12">
        <v>45913.486805555556</v>
      </c>
      <c r="Q1288" s="12">
        <v>45913.669444444444</v>
      </c>
      <c r="U1288" t="b">
        <v>0</v>
      </c>
    </row>
    <row r="1289" spans="1:21">
      <c r="A1289" t="s">
        <v>5581</v>
      </c>
      <c r="B1289" t="s">
        <v>2706</v>
      </c>
      <c r="C1289" t="s">
        <v>1145</v>
      </c>
      <c r="D1289" t="s">
        <v>5582</v>
      </c>
      <c r="E1289" t="s">
        <v>5583</v>
      </c>
      <c r="F1289" t="s">
        <v>1517</v>
      </c>
      <c r="G1289">
        <v>1180</v>
      </c>
      <c r="H1289" t="s">
        <v>212</v>
      </c>
      <c r="I1289" t="s">
        <v>17</v>
      </c>
      <c r="J1289" t="s">
        <v>1413</v>
      </c>
      <c r="K1289">
        <v>72</v>
      </c>
      <c r="L1289" t="s">
        <v>2642</v>
      </c>
      <c r="M1289" t="s">
        <v>2643</v>
      </c>
      <c r="N1289" t="s">
        <v>55</v>
      </c>
      <c r="O1289" s="12">
        <v>45624.875</v>
      </c>
      <c r="P1289" s="12">
        <v>45626.541666666664</v>
      </c>
      <c r="Q1289" s="12">
        <v>45625.040972222225</v>
      </c>
      <c r="R1289" s="12">
        <v>45625.915972222225</v>
      </c>
      <c r="S1289" s="12">
        <v>45632.25</v>
      </c>
      <c r="U1289" t="b">
        <v>0</v>
      </c>
    </row>
    <row r="1290" spans="1:21">
      <c r="A1290" t="s">
        <v>5584</v>
      </c>
      <c r="B1290" t="s">
        <v>1207</v>
      </c>
      <c r="C1290" t="s">
        <v>1208</v>
      </c>
      <c r="D1290" t="s">
        <v>5585</v>
      </c>
      <c r="E1290" t="s">
        <v>5586</v>
      </c>
      <c r="F1290" t="s">
        <v>1412</v>
      </c>
      <c r="G1290">
        <v>167</v>
      </c>
      <c r="H1290" t="s">
        <v>178</v>
      </c>
      <c r="I1290" t="s">
        <v>24</v>
      </c>
      <c r="J1290" t="s">
        <v>1281</v>
      </c>
      <c r="K1290">
        <v>66</v>
      </c>
      <c r="L1290" t="s">
        <v>2601</v>
      </c>
      <c r="M1290" t="s">
        <v>2655</v>
      </c>
      <c r="N1290" t="s">
        <v>25</v>
      </c>
      <c r="O1290" s="12">
        <v>45450.137499999997</v>
      </c>
      <c r="Q1290" s="12">
        <v>45450.163194444445</v>
      </c>
      <c r="U1290" t="b">
        <v>0</v>
      </c>
    </row>
    <row r="1291" spans="1:21">
      <c r="A1291" t="s">
        <v>5587</v>
      </c>
      <c r="B1291" t="s">
        <v>2607</v>
      </c>
      <c r="C1291" t="s">
        <v>1432</v>
      </c>
      <c r="D1291" t="s">
        <v>5588</v>
      </c>
      <c r="E1291" t="s">
        <v>5589</v>
      </c>
      <c r="F1291" t="s">
        <v>1309</v>
      </c>
      <c r="G1291">
        <v>181</v>
      </c>
      <c r="H1291" t="s">
        <v>81</v>
      </c>
      <c r="I1291" t="s">
        <v>24</v>
      </c>
      <c r="J1291" t="s">
        <v>1413</v>
      </c>
      <c r="K1291">
        <v>55</v>
      </c>
      <c r="L1291" t="s">
        <v>2601</v>
      </c>
      <c r="M1291" t="s">
        <v>2618</v>
      </c>
      <c r="N1291" t="s">
        <v>25</v>
      </c>
      <c r="O1291" s="12">
        <v>45626.417361111111</v>
      </c>
      <c r="Q1291" s="12">
        <v>45626.597916666666</v>
      </c>
      <c r="R1291" s="12">
        <v>45627.222916666666</v>
      </c>
      <c r="T1291" t="s">
        <v>2619</v>
      </c>
      <c r="U1291" t="b">
        <v>0</v>
      </c>
    </row>
    <row r="1292" spans="1:21">
      <c r="A1292" t="s">
        <v>5590</v>
      </c>
      <c r="B1292" t="s">
        <v>2733</v>
      </c>
      <c r="C1292" t="s">
        <v>1162</v>
      </c>
      <c r="D1292" t="s">
        <v>5591</v>
      </c>
      <c r="E1292" t="s">
        <v>5592</v>
      </c>
      <c r="F1292" t="s">
        <v>1448</v>
      </c>
      <c r="G1292">
        <v>268</v>
      </c>
      <c r="H1292" t="s">
        <v>1042</v>
      </c>
      <c r="I1292" t="s">
        <v>30</v>
      </c>
      <c r="J1292" t="s">
        <v>1413</v>
      </c>
      <c r="K1292">
        <v>54</v>
      </c>
      <c r="L1292" t="s">
        <v>2601</v>
      </c>
      <c r="M1292" t="s">
        <v>2605</v>
      </c>
      <c r="N1292" t="s">
        <v>36</v>
      </c>
      <c r="O1292" s="12">
        <v>45348.672222222223</v>
      </c>
      <c r="Q1292" s="12">
        <v>45348.85</v>
      </c>
      <c r="R1292" s="12">
        <v>45348.961111111108</v>
      </c>
      <c r="U1292" t="b">
        <v>0</v>
      </c>
    </row>
    <row r="1293" spans="1:21">
      <c r="A1293" t="s">
        <v>5593</v>
      </c>
      <c r="B1293" t="s">
        <v>2906</v>
      </c>
      <c r="C1293" t="s">
        <v>1155</v>
      </c>
      <c r="D1293" t="s">
        <v>5594</v>
      </c>
      <c r="E1293" t="s">
        <v>5595</v>
      </c>
      <c r="F1293" t="s">
        <v>1182</v>
      </c>
      <c r="G1293">
        <v>840</v>
      </c>
      <c r="H1293" t="s">
        <v>339</v>
      </c>
      <c r="I1293" t="s">
        <v>30</v>
      </c>
      <c r="J1293" t="s">
        <v>1271</v>
      </c>
      <c r="K1293">
        <v>37</v>
      </c>
      <c r="L1293" t="s">
        <v>2601</v>
      </c>
      <c r="M1293" t="s">
        <v>2655</v>
      </c>
      <c r="N1293" t="s">
        <v>55</v>
      </c>
      <c r="O1293" s="12">
        <v>45908.474305555559</v>
      </c>
      <c r="Q1293" s="12">
        <v>45908.584722222222</v>
      </c>
      <c r="U1293" t="b">
        <v>0</v>
      </c>
    </row>
    <row r="1294" spans="1:21">
      <c r="A1294" t="s">
        <v>5596</v>
      </c>
      <c r="B1294" t="s">
        <v>2607</v>
      </c>
      <c r="C1294" t="s">
        <v>2033</v>
      </c>
      <c r="D1294" t="s">
        <v>5597</v>
      </c>
      <c r="E1294" t="s">
        <v>5598</v>
      </c>
      <c r="F1294" t="s">
        <v>2271</v>
      </c>
      <c r="G1294">
        <v>99</v>
      </c>
      <c r="H1294" t="s">
        <v>95</v>
      </c>
      <c r="I1294" t="s">
        <v>24</v>
      </c>
      <c r="J1294" t="s">
        <v>1317</v>
      </c>
      <c r="K1294">
        <v>81</v>
      </c>
      <c r="L1294" t="s">
        <v>2642</v>
      </c>
      <c r="M1294" t="s">
        <v>2643</v>
      </c>
      <c r="N1294" t="s">
        <v>91</v>
      </c>
      <c r="O1294" s="12">
        <v>45443.225694444445</v>
      </c>
      <c r="P1294" s="12">
        <v>45444.350694444445</v>
      </c>
      <c r="Q1294" s="12">
        <v>45443.272222222222</v>
      </c>
      <c r="R1294" s="12">
        <v>45444.313888888886</v>
      </c>
      <c r="S1294" s="12">
        <v>45451.309027777781</v>
      </c>
      <c r="U1294" t="b">
        <v>0</v>
      </c>
    </row>
    <row r="1295" spans="1:21">
      <c r="A1295" t="s">
        <v>5599</v>
      </c>
      <c r="B1295" t="s">
        <v>1176</v>
      </c>
      <c r="C1295" t="s">
        <v>2100</v>
      </c>
      <c r="D1295" t="s">
        <v>5600</v>
      </c>
      <c r="E1295" t="s">
        <v>5601</v>
      </c>
      <c r="F1295" t="s">
        <v>1487</v>
      </c>
      <c r="G1295">
        <v>188</v>
      </c>
      <c r="H1295" t="s">
        <v>182</v>
      </c>
      <c r="I1295" t="s">
        <v>24</v>
      </c>
      <c r="J1295" t="s">
        <v>1271</v>
      </c>
      <c r="K1295">
        <v>54</v>
      </c>
      <c r="L1295" t="s">
        <v>2601</v>
      </c>
      <c r="M1295" t="s">
        <v>2605</v>
      </c>
      <c r="N1295" t="s">
        <v>59</v>
      </c>
      <c r="O1295" s="12">
        <v>45509.454861111109</v>
      </c>
      <c r="Q1295" s="12">
        <v>45509.5625</v>
      </c>
      <c r="R1295" s="12">
        <v>45509.661805555559</v>
      </c>
      <c r="U1295" t="b">
        <v>0</v>
      </c>
    </row>
    <row r="1296" spans="1:21">
      <c r="A1296" t="s">
        <v>5602</v>
      </c>
      <c r="B1296" t="s">
        <v>1267</v>
      </c>
      <c r="C1296" t="s">
        <v>1203</v>
      </c>
      <c r="D1296" t="s">
        <v>5603</v>
      </c>
      <c r="E1296" t="s">
        <v>5604</v>
      </c>
      <c r="F1296" t="s">
        <v>1471</v>
      </c>
      <c r="G1296">
        <v>912</v>
      </c>
      <c r="H1296" t="s">
        <v>366</v>
      </c>
      <c r="I1296" t="s">
        <v>30</v>
      </c>
      <c r="J1296" t="s">
        <v>1413</v>
      </c>
      <c r="K1296">
        <v>55</v>
      </c>
      <c r="L1296" t="s">
        <v>2601</v>
      </c>
      <c r="M1296" t="s">
        <v>2618</v>
      </c>
      <c r="N1296" t="s">
        <v>82</v>
      </c>
      <c r="O1296" s="12">
        <v>46057.642361111109</v>
      </c>
      <c r="Q1296" s="12">
        <v>46057.789583333331</v>
      </c>
      <c r="R1296" s="12">
        <v>46057.796527777777</v>
      </c>
      <c r="T1296" t="s">
        <v>2763</v>
      </c>
      <c r="U1296" t="b">
        <v>0</v>
      </c>
    </row>
    <row r="1297" spans="1:21">
      <c r="A1297" t="s">
        <v>5605</v>
      </c>
      <c r="B1297" t="s">
        <v>1179</v>
      </c>
      <c r="C1297" t="s">
        <v>1222</v>
      </c>
      <c r="D1297" t="s">
        <v>5606</v>
      </c>
      <c r="E1297" t="s">
        <v>5607</v>
      </c>
      <c r="F1297" t="s">
        <v>1309</v>
      </c>
      <c r="G1297">
        <v>164</v>
      </c>
      <c r="H1297" t="s">
        <v>23</v>
      </c>
      <c r="I1297" t="s">
        <v>24</v>
      </c>
      <c r="J1297" t="s">
        <v>1355</v>
      </c>
      <c r="K1297">
        <v>80</v>
      </c>
      <c r="L1297" t="s">
        <v>2592</v>
      </c>
      <c r="M1297" t="s">
        <v>2593</v>
      </c>
      <c r="N1297" t="s">
        <v>25</v>
      </c>
      <c r="O1297" s="12">
        <v>45606.157638888886</v>
      </c>
      <c r="P1297" s="12">
        <v>45607.907638888886</v>
      </c>
      <c r="Q1297" s="12">
        <v>45606.227083333331</v>
      </c>
      <c r="R1297" s="12">
        <v>45606.331944444442</v>
      </c>
      <c r="U1297" t="b">
        <v>0</v>
      </c>
    </row>
    <row r="1298" spans="1:21">
      <c r="A1298" t="s">
        <v>5608</v>
      </c>
      <c r="B1298" t="s">
        <v>1320</v>
      </c>
      <c r="C1298" t="s">
        <v>1142</v>
      </c>
      <c r="D1298" t="s">
        <v>5609</v>
      </c>
      <c r="E1298" t="s">
        <v>5610</v>
      </c>
      <c r="F1298" t="s">
        <v>1294</v>
      </c>
      <c r="G1298">
        <v>970</v>
      </c>
      <c r="H1298" t="s">
        <v>140</v>
      </c>
      <c r="I1298" t="s">
        <v>30</v>
      </c>
      <c r="J1298" t="s">
        <v>1355</v>
      </c>
      <c r="K1298">
        <v>62</v>
      </c>
      <c r="L1298" t="s">
        <v>2592</v>
      </c>
      <c r="M1298" t="s">
        <v>2605</v>
      </c>
      <c r="N1298" t="s">
        <v>82</v>
      </c>
      <c r="O1298" s="12">
        <v>45921.756944444445</v>
      </c>
      <c r="P1298" s="12">
        <v>45922.673611111109</v>
      </c>
      <c r="Q1298" s="12">
        <v>45921.782638888886</v>
      </c>
      <c r="R1298" s="12">
        <v>45922.407638888886</v>
      </c>
      <c r="U1298" t="b">
        <v>0</v>
      </c>
    </row>
    <row r="1299" spans="1:21">
      <c r="A1299" t="s">
        <v>5611</v>
      </c>
      <c r="B1299" t="s">
        <v>2878</v>
      </c>
      <c r="C1299" t="s">
        <v>1139</v>
      </c>
      <c r="D1299" t="s">
        <v>5612</v>
      </c>
      <c r="E1299" t="s">
        <v>5613</v>
      </c>
      <c r="F1299" t="s">
        <v>1784</v>
      </c>
      <c r="G1299">
        <v>327</v>
      </c>
      <c r="H1299" t="s">
        <v>178</v>
      </c>
      <c r="I1299" t="s">
        <v>30</v>
      </c>
      <c r="J1299" t="s">
        <v>1355</v>
      </c>
      <c r="K1299">
        <v>78</v>
      </c>
      <c r="L1299" t="s">
        <v>2592</v>
      </c>
      <c r="M1299" t="s">
        <v>2593</v>
      </c>
      <c r="N1299" t="s">
        <v>36</v>
      </c>
      <c r="O1299" s="12">
        <v>46193.113888888889</v>
      </c>
      <c r="P1299" s="12">
        <v>46196.113888888889</v>
      </c>
      <c r="Q1299" s="12">
        <v>46193.142361111109</v>
      </c>
      <c r="R1299" s="12">
        <v>46193.248611111114</v>
      </c>
      <c r="U1299" t="b">
        <v>0</v>
      </c>
    </row>
    <row r="1300" spans="1:21">
      <c r="A1300" t="s">
        <v>5614</v>
      </c>
      <c r="B1300" t="s">
        <v>2628</v>
      </c>
      <c r="C1300" t="s">
        <v>1139</v>
      </c>
      <c r="D1300" t="s">
        <v>3712</v>
      </c>
      <c r="E1300" t="s">
        <v>5615</v>
      </c>
      <c r="F1300" t="s">
        <v>1412</v>
      </c>
      <c r="G1300">
        <v>1489</v>
      </c>
      <c r="H1300" t="s">
        <v>81</v>
      </c>
      <c r="I1300" t="s">
        <v>17</v>
      </c>
      <c r="J1300" t="s">
        <v>1339</v>
      </c>
      <c r="K1300">
        <v>74</v>
      </c>
      <c r="L1300" t="s">
        <v>2642</v>
      </c>
      <c r="M1300" t="s">
        <v>2643</v>
      </c>
      <c r="N1300" t="s">
        <v>82</v>
      </c>
      <c r="O1300" s="12">
        <v>46275.805555555555</v>
      </c>
      <c r="P1300" s="12">
        <v>46279.972222222219</v>
      </c>
      <c r="Q1300" s="12">
        <v>46275.84097222222</v>
      </c>
      <c r="R1300" s="12">
        <v>46275.934027777781</v>
      </c>
      <c r="S1300" s="12">
        <v>46284.097222222219</v>
      </c>
      <c r="U1300" t="b">
        <v>0</v>
      </c>
    </row>
    <row r="1301" spans="1:21">
      <c r="A1301" t="s">
        <v>5616</v>
      </c>
      <c r="B1301" t="s">
        <v>1157</v>
      </c>
      <c r="C1301" t="s">
        <v>1172</v>
      </c>
      <c r="D1301" t="s">
        <v>5617</v>
      </c>
      <c r="E1301" t="s">
        <v>5618</v>
      </c>
      <c r="F1301" t="s">
        <v>1294</v>
      </c>
      <c r="G1301">
        <v>83</v>
      </c>
      <c r="H1301" t="s">
        <v>635</v>
      </c>
      <c r="I1301" t="s">
        <v>24</v>
      </c>
      <c r="J1301" t="s">
        <v>1295</v>
      </c>
      <c r="K1301">
        <v>96</v>
      </c>
      <c r="L1301" t="s">
        <v>2642</v>
      </c>
      <c r="M1301" t="s">
        <v>2597</v>
      </c>
      <c r="N1301" t="s">
        <v>59</v>
      </c>
      <c r="O1301" s="12">
        <v>45425.260416666664</v>
      </c>
      <c r="P1301" s="12">
        <v>45428.46875</v>
      </c>
      <c r="Q1301" s="12">
        <v>45425.418055555558</v>
      </c>
      <c r="R1301" s="12">
        <v>45425.518750000003</v>
      </c>
      <c r="S1301" s="12">
        <v>45435.010416666664</v>
      </c>
      <c r="U1301" t="b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6F13-5FF0-43F5-AC64-A8CCE68C496B}">
  <dimension ref="A1:L26"/>
  <sheetViews>
    <sheetView workbookViewId="0">
      <selection activeCell="A27" sqref="A27"/>
    </sheetView>
  </sheetViews>
  <sheetFormatPr defaultRowHeight="15"/>
  <cols>
    <col min="1" max="1" width="9.7109375" customWidth="1"/>
    <col min="2" max="2" width="12.7109375" customWidth="1"/>
    <col min="3" max="3" width="12.28515625" customWidth="1"/>
    <col min="4" max="4" width="34.7109375" bestFit="1" customWidth="1"/>
    <col min="5" max="5" width="31.5703125" bestFit="1" customWidth="1"/>
    <col min="6" max="6" width="15.140625" bestFit="1" customWidth="1"/>
    <col min="7" max="7" width="11" customWidth="1"/>
    <col min="8" max="8" width="13.140625" customWidth="1"/>
    <col min="9" max="9" width="13.42578125" customWidth="1"/>
    <col min="10" max="10" width="15.140625" customWidth="1"/>
    <col min="11" max="11" width="11.5703125" customWidth="1"/>
    <col min="12" max="12" width="11" customWidth="1"/>
  </cols>
  <sheetData>
    <row r="1" spans="1:12">
      <c r="A1" s="2" t="s">
        <v>1100</v>
      </c>
      <c r="B1" s="2" t="s">
        <v>1101</v>
      </c>
      <c r="C1" s="2" t="s">
        <v>1102</v>
      </c>
      <c r="D1" s="2" t="s">
        <v>1103</v>
      </c>
      <c r="E1" s="2" t="s">
        <v>1104</v>
      </c>
      <c r="F1" s="2" t="s">
        <v>1105</v>
      </c>
      <c r="G1" s="2" t="s">
        <v>7</v>
      </c>
      <c r="H1" s="6" t="s">
        <v>8</v>
      </c>
      <c r="I1" s="2" t="s">
        <v>1106</v>
      </c>
      <c r="J1" s="6" t="s">
        <v>1107</v>
      </c>
      <c r="K1" s="2" t="s">
        <v>1108</v>
      </c>
      <c r="L1" s="2" t="s">
        <v>1109</v>
      </c>
    </row>
    <row r="2" spans="1:12">
      <c r="A2" s="7" t="s">
        <v>1110</v>
      </c>
      <c r="B2" s="7" t="s">
        <v>1111</v>
      </c>
      <c r="C2" s="7" t="s">
        <v>1112</v>
      </c>
      <c r="D2" s="10" t="s">
        <v>1113</v>
      </c>
      <c r="E2" s="7" t="s">
        <v>1114</v>
      </c>
      <c r="F2" s="7" t="s">
        <v>1115</v>
      </c>
      <c r="G2" s="7" t="s">
        <v>1116</v>
      </c>
      <c r="H2" s="8"/>
      <c r="I2" s="7"/>
      <c r="J2" s="8"/>
      <c r="K2" s="11">
        <v>44270</v>
      </c>
      <c r="L2" s="7" t="b">
        <v>1</v>
      </c>
    </row>
    <row r="3" spans="1:12">
      <c r="A3" s="7" t="s">
        <v>1117</v>
      </c>
      <c r="B3" s="7" t="s">
        <v>1118</v>
      </c>
      <c r="C3" s="7" t="s">
        <v>1119</v>
      </c>
      <c r="D3" s="10" t="s">
        <v>1120</v>
      </c>
      <c r="E3" s="7" t="s">
        <v>1121</v>
      </c>
      <c r="F3" s="7" t="s">
        <v>1122</v>
      </c>
      <c r="G3" s="7" t="s">
        <v>1116</v>
      </c>
      <c r="H3" s="8"/>
      <c r="I3" s="7" t="s">
        <v>1110</v>
      </c>
      <c r="J3" s="8"/>
      <c r="K3" s="11">
        <v>44417</v>
      </c>
      <c r="L3" s="7" t="b">
        <v>1</v>
      </c>
    </row>
    <row r="4" spans="1:12">
      <c r="A4" s="7" t="s">
        <v>1123</v>
      </c>
      <c r="B4" s="7" t="s">
        <v>1124</v>
      </c>
      <c r="C4" s="7" t="s">
        <v>1125</v>
      </c>
      <c r="D4" s="10" t="s">
        <v>1126</v>
      </c>
      <c r="E4" s="7" t="s">
        <v>1127</v>
      </c>
      <c r="F4" s="7" t="s">
        <v>1122</v>
      </c>
      <c r="G4" s="7" t="s">
        <v>24</v>
      </c>
      <c r="H4" s="8"/>
      <c r="I4" s="7" t="s">
        <v>1117</v>
      </c>
      <c r="J4" s="8"/>
      <c r="K4" s="11">
        <v>44571</v>
      </c>
      <c r="L4" s="7" t="b">
        <v>1</v>
      </c>
    </row>
    <row r="5" spans="1:12">
      <c r="A5" s="7" t="s">
        <v>1128</v>
      </c>
      <c r="B5" s="7" t="s">
        <v>1129</v>
      </c>
      <c r="C5" s="7" t="s">
        <v>1130</v>
      </c>
      <c r="D5" s="10" t="s">
        <v>1131</v>
      </c>
      <c r="E5" s="7" t="s">
        <v>1132</v>
      </c>
      <c r="F5" s="7" t="s">
        <v>1122</v>
      </c>
      <c r="G5" s="7" t="s">
        <v>1133</v>
      </c>
      <c r="H5" s="8"/>
      <c r="I5" s="7" t="s">
        <v>1117</v>
      </c>
      <c r="J5" s="8"/>
      <c r="K5" s="11">
        <v>44606</v>
      </c>
      <c r="L5" s="7" t="b">
        <v>1</v>
      </c>
    </row>
    <row r="6" spans="1:12">
      <c r="A6" s="7" t="s">
        <v>91</v>
      </c>
      <c r="B6" s="7" t="s">
        <v>1134</v>
      </c>
      <c r="C6" s="7" t="s">
        <v>1135</v>
      </c>
      <c r="D6" s="10" t="s">
        <v>1136</v>
      </c>
      <c r="E6" s="7" t="s">
        <v>1137</v>
      </c>
      <c r="F6" s="7" t="s">
        <v>1122</v>
      </c>
      <c r="G6" s="7" t="s">
        <v>24</v>
      </c>
      <c r="H6" s="8">
        <v>1</v>
      </c>
      <c r="I6" s="7" t="s">
        <v>1123</v>
      </c>
      <c r="J6" s="8">
        <v>650000</v>
      </c>
      <c r="K6" s="11">
        <v>44718</v>
      </c>
      <c r="L6" s="7" t="b">
        <v>1</v>
      </c>
    </row>
    <row r="7" spans="1:12">
      <c r="A7" s="7" t="s">
        <v>25</v>
      </c>
      <c r="B7" s="7" t="s">
        <v>1138</v>
      </c>
      <c r="C7" s="7" t="s">
        <v>1139</v>
      </c>
      <c r="D7" s="10" t="s">
        <v>1140</v>
      </c>
      <c r="E7" s="7" t="s">
        <v>1137</v>
      </c>
      <c r="F7" s="7" t="s">
        <v>1122</v>
      </c>
      <c r="G7" s="7" t="s">
        <v>24</v>
      </c>
      <c r="H7" s="8">
        <v>2</v>
      </c>
      <c r="I7" s="7" t="s">
        <v>1123</v>
      </c>
      <c r="J7" s="8">
        <v>650000</v>
      </c>
      <c r="K7" s="11">
        <v>44935</v>
      </c>
      <c r="L7" s="7" t="b">
        <v>1</v>
      </c>
    </row>
    <row r="8" spans="1:12">
      <c r="A8" s="7" t="s">
        <v>69</v>
      </c>
      <c r="B8" s="7" t="s">
        <v>1141</v>
      </c>
      <c r="C8" s="7" t="s">
        <v>1142</v>
      </c>
      <c r="D8" s="10" t="s">
        <v>1143</v>
      </c>
      <c r="E8" s="7" t="s">
        <v>1137</v>
      </c>
      <c r="F8" s="7" t="s">
        <v>1122</v>
      </c>
      <c r="G8" s="7" t="s">
        <v>24</v>
      </c>
      <c r="H8" s="8">
        <v>3</v>
      </c>
      <c r="I8" s="7" t="s">
        <v>1123</v>
      </c>
      <c r="J8" s="8">
        <v>650000</v>
      </c>
      <c r="K8" s="11">
        <v>45033</v>
      </c>
      <c r="L8" s="7" t="b">
        <v>1</v>
      </c>
    </row>
    <row r="9" spans="1:12">
      <c r="A9" s="7" t="s">
        <v>59</v>
      </c>
      <c r="B9" s="7" t="s">
        <v>1144</v>
      </c>
      <c r="C9" s="7" t="s">
        <v>1145</v>
      </c>
      <c r="D9" s="10" t="s">
        <v>1146</v>
      </c>
      <c r="E9" s="7" t="s">
        <v>1137</v>
      </c>
      <c r="F9" s="7" t="s">
        <v>1122</v>
      </c>
      <c r="G9" s="7" t="s">
        <v>24</v>
      </c>
      <c r="H9" s="8">
        <v>4</v>
      </c>
      <c r="I9" s="7" t="s">
        <v>1123</v>
      </c>
      <c r="J9" s="8">
        <v>650000</v>
      </c>
      <c r="K9" s="11">
        <v>45334</v>
      </c>
      <c r="L9" s="7" t="b">
        <v>1</v>
      </c>
    </row>
    <row r="10" spans="1:12">
      <c r="A10" s="7" t="s">
        <v>18</v>
      </c>
      <c r="B10" s="7" t="s">
        <v>1147</v>
      </c>
      <c r="C10" s="7" t="s">
        <v>1148</v>
      </c>
      <c r="D10" s="10" t="s">
        <v>1149</v>
      </c>
      <c r="E10" s="7" t="s">
        <v>1150</v>
      </c>
      <c r="F10" s="7" t="s">
        <v>1122</v>
      </c>
      <c r="G10" s="7" t="s">
        <v>1133</v>
      </c>
      <c r="H10" s="8">
        <v>1</v>
      </c>
      <c r="I10" s="7" t="s">
        <v>1128</v>
      </c>
      <c r="J10" s="8">
        <v>1100000</v>
      </c>
      <c r="K10" s="11">
        <v>44823</v>
      </c>
      <c r="L10" s="7" t="b">
        <v>1</v>
      </c>
    </row>
    <row r="11" spans="1:12">
      <c r="A11" s="7" t="s">
        <v>82</v>
      </c>
      <c r="B11" s="7" t="s">
        <v>1151</v>
      </c>
      <c r="C11" s="7" t="s">
        <v>1152</v>
      </c>
      <c r="D11" s="10" t="s">
        <v>1153</v>
      </c>
      <c r="E11" s="7" t="s">
        <v>1150</v>
      </c>
      <c r="F11" s="7" t="s">
        <v>1122</v>
      </c>
      <c r="G11" s="7" t="s">
        <v>1133</v>
      </c>
      <c r="H11" s="8">
        <v>2</v>
      </c>
      <c r="I11" s="7" t="s">
        <v>1128</v>
      </c>
      <c r="J11" s="8">
        <v>1100000</v>
      </c>
      <c r="K11" s="11">
        <v>44963</v>
      </c>
      <c r="L11" s="7" t="b">
        <v>1</v>
      </c>
    </row>
    <row r="12" spans="1:12">
      <c r="A12" s="7" t="s">
        <v>55</v>
      </c>
      <c r="B12" s="7" t="s">
        <v>1154</v>
      </c>
      <c r="C12" s="7" t="s">
        <v>1155</v>
      </c>
      <c r="D12" s="10" t="s">
        <v>1156</v>
      </c>
      <c r="E12" s="7" t="s">
        <v>1150</v>
      </c>
      <c r="F12" s="7" t="s">
        <v>1122</v>
      </c>
      <c r="G12" s="7" t="s">
        <v>1133</v>
      </c>
      <c r="H12" s="8">
        <v>3</v>
      </c>
      <c r="I12" s="7" t="s">
        <v>1128</v>
      </c>
      <c r="J12" s="8">
        <v>1100000</v>
      </c>
      <c r="K12" s="11">
        <v>45131</v>
      </c>
      <c r="L12" s="7" t="b">
        <v>1</v>
      </c>
    </row>
    <row r="13" spans="1:12">
      <c r="A13" s="7" t="s">
        <v>36</v>
      </c>
      <c r="B13" s="7" t="s">
        <v>1157</v>
      </c>
      <c r="C13" s="7" t="s">
        <v>1158</v>
      </c>
      <c r="D13" s="10" t="s">
        <v>1159</v>
      </c>
      <c r="E13" s="7" t="s">
        <v>1150</v>
      </c>
      <c r="F13" s="7" t="s">
        <v>1122</v>
      </c>
      <c r="G13" s="7" t="s">
        <v>1133</v>
      </c>
      <c r="H13" s="8">
        <v>4</v>
      </c>
      <c r="I13" s="7" t="s">
        <v>1128</v>
      </c>
      <c r="J13" s="8">
        <v>1100000</v>
      </c>
      <c r="K13" s="11">
        <v>45306</v>
      </c>
      <c r="L13" s="7" t="b">
        <v>1</v>
      </c>
    </row>
    <row r="14" spans="1:12">
      <c r="A14" s="7" t="s">
        <v>1160</v>
      </c>
      <c r="B14" s="7" t="s">
        <v>1161</v>
      </c>
      <c r="C14" s="7" t="s">
        <v>1162</v>
      </c>
      <c r="D14" s="10" t="s">
        <v>1163</v>
      </c>
      <c r="E14" s="7" t="s">
        <v>1164</v>
      </c>
      <c r="F14" s="7" t="s">
        <v>1165</v>
      </c>
      <c r="G14" s="7" t="s">
        <v>24</v>
      </c>
      <c r="H14" s="8"/>
      <c r="I14" s="7" t="s">
        <v>1117</v>
      </c>
      <c r="J14" s="8"/>
      <c r="K14" s="11">
        <v>45355</v>
      </c>
      <c r="L14" s="7" t="b">
        <v>1</v>
      </c>
    </row>
    <row r="15" spans="1:12">
      <c r="A15" s="7" t="s">
        <v>1166</v>
      </c>
      <c r="B15" s="7" t="s">
        <v>1167</v>
      </c>
      <c r="C15" s="7" t="s">
        <v>1168</v>
      </c>
      <c r="D15" s="10" t="s">
        <v>1169</v>
      </c>
      <c r="E15" s="7" t="s">
        <v>1164</v>
      </c>
      <c r="F15" s="7" t="s">
        <v>1165</v>
      </c>
      <c r="G15" s="7" t="s">
        <v>24</v>
      </c>
      <c r="H15" s="8"/>
      <c r="I15" s="7" t="s">
        <v>1117</v>
      </c>
      <c r="J15" s="8"/>
      <c r="K15" s="11">
        <v>45432</v>
      </c>
      <c r="L15" s="7" t="b">
        <v>1</v>
      </c>
    </row>
    <row r="16" spans="1:12">
      <c r="A16" s="7" t="s">
        <v>1170</v>
      </c>
      <c r="B16" s="7" t="s">
        <v>1171</v>
      </c>
      <c r="C16" s="7" t="s">
        <v>1172</v>
      </c>
      <c r="D16" s="10" t="s">
        <v>1173</v>
      </c>
      <c r="E16" s="7" t="s">
        <v>1164</v>
      </c>
      <c r="F16" s="7" t="s">
        <v>1165</v>
      </c>
      <c r="G16" s="7" t="s">
        <v>1133</v>
      </c>
      <c r="H16" s="8"/>
      <c r="I16" s="7" t="s">
        <v>1117</v>
      </c>
      <c r="J16" s="8"/>
      <c r="K16" s="11">
        <v>45516</v>
      </c>
      <c r="L16" s="7" t="b">
        <v>1</v>
      </c>
    </row>
    <row r="17" spans="1:12">
      <c r="A17" s="7" t="s">
        <v>1174</v>
      </c>
      <c r="B17" s="7" t="s">
        <v>1175</v>
      </c>
      <c r="C17" s="7" t="s">
        <v>1176</v>
      </c>
      <c r="D17" s="10" t="s">
        <v>1177</v>
      </c>
      <c r="E17" s="7" t="s">
        <v>1164</v>
      </c>
      <c r="F17" s="7" t="s">
        <v>1165</v>
      </c>
      <c r="G17" s="7" t="s">
        <v>1133</v>
      </c>
      <c r="H17" s="8"/>
      <c r="I17" s="7" t="s">
        <v>1117</v>
      </c>
      <c r="J17" s="8"/>
      <c r="K17" s="11">
        <v>45670</v>
      </c>
      <c r="L17" s="7" t="b">
        <v>1</v>
      </c>
    </row>
    <row r="18" spans="1:12">
      <c r="A18" s="7" t="s">
        <v>1178</v>
      </c>
      <c r="B18" s="7" t="s">
        <v>1179</v>
      </c>
      <c r="C18" s="7" t="s">
        <v>1180</v>
      </c>
      <c r="D18" s="10" t="s">
        <v>1181</v>
      </c>
      <c r="E18" s="7" t="s">
        <v>1182</v>
      </c>
      <c r="F18" s="7" t="s">
        <v>1183</v>
      </c>
      <c r="G18" s="7" t="s">
        <v>1116</v>
      </c>
      <c r="H18" s="8"/>
      <c r="I18" s="7" t="s">
        <v>1110</v>
      </c>
      <c r="J18" s="8"/>
      <c r="K18" s="11">
        <v>44662</v>
      </c>
      <c r="L18" s="7" t="b">
        <v>1</v>
      </c>
    </row>
    <row r="19" spans="1:12">
      <c r="A19" s="7" t="s">
        <v>1184</v>
      </c>
      <c r="B19" s="7" t="s">
        <v>1185</v>
      </c>
      <c r="C19" s="7" t="s">
        <v>1186</v>
      </c>
      <c r="D19" s="10" t="s">
        <v>1187</v>
      </c>
      <c r="E19" s="7" t="s">
        <v>1188</v>
      </c>
      <c r="F19" s="7" t="s">
        <v>1183</v>
      </c>
      <c r="G19" s="7" t="s">
        <v>1116</v>
      </c>
      <c r="H19" s="8"/>
      <c r="I19" s="7" t="s">
        <v>1178</v>
      </c>
      <c r="J19" s="8"/>
      <c r="K19" s="11">
        <v>45446</v>
      </c>
      <c r="L19" s="7" t="b">
        <v>1</v>
      </c>
    </row>
    <row r="20" spans="1:12">
      <c r="A20" s="7" t="s">
        <v>1189</v>
      </c>
      <c r="B20" s="7" t="s">
        <v>1190</v>
      </c>
      <c r="C20" s="7" t="s">
        <v>1191</v>
      </c>
      <c r="D20" s="10" t="s">
        <v>1192</v>
      </c>
      <c r="E20" s="7" t="s">
        <v>1193</v>
      </c>
      <c r="F20" s="7" t="s">
        <v>1194</v>
      </c>
      <c r="G20" s="7" t="s">
        <v>1116</v>
      </c>
      <c r="H20" s="8"/>
      <c r="I20" s="7" t="s">
        <v>1110</v>
      </c>
      <c r="J20" s="8"/>
      <c r="K20" s="11">
        <v>44872</v>
      </c>
      <c r="L20" s="7" t="b">
        <v>1</v>
      </c>
    </row>
    <row r="21" spans="1:12">
      <c r="A21" s="7" t="s">
        <v>1195</v>
      </c>
      <c r="B21" s="7" t="s">
        <v>1196</v>
      </c>
      <c r="C21" s="7" t="s">
        <v>1197</v>
      </c>
      <c r="D21" s="10" t="s">
        <v>1198</v>
      </c>
      <c r="E21" s="7" t="s">
        <v>1199</v>
      </c>
      <c r="F21" s="7" t="s">
        <v>1200</v>
      </c>
      <c r="G21" s="7" t="s">
        <v>1116</v>
      </c>
      <c r="H21" s="8"/>
      <c r="I21" s="7" t="s">
        <v>1110</v>
      </c>
      <c r="J21" s="8"/>
      <c r="K21" s="11">
        <v>44697</v>
      </c>
      <c r="L21" s="7" t="b">
        <v>1</v>
      </c>
    </row>
    <row r="22" spans="1:12">
      <c r="A22" s="7" t="s">
        <v>1201</v>
      </c>
      <c r="B22" s="7" t="s">
        <v>1202</v>
      </c>
      <c r="C22" s="7" t="s">
        <v>1203</v>
      </c>
      <c r="D22" s="10" t="s">
        <v>1204</v>
      </c>
      <c r="E22" s="7" t="s">
        <v>1205</v>
      </c>
      <c r="F22" s="7" t="s">
        <v>1200</v>
      </c>
      <c r="G22" s="7" t="s">
        <v>1116</v>
      </c>
      <c r="H22" s="8"/>
      <c r="I22" s="7" t="s">
        <v>1195</v>
      </c>
      <c r="J22" s="8"/>
      <c r="K22" s="11">
        <v>44998</v>
      </c>
      <c r="L22" s="7" t="b">
        <v>1</v>
      </c>
    </row>
    <row r="23" spans="1:12">
      <c r="A23" s="7" t="s">
        <v>1206</v>
      </c>
      <c r="B23" s="7" t="s">
        <v>1207</v>
      </c>
      <c r="C23" s="7" t="s">
        <v>1208</v>
      </c>
      <c r="D23" s="10" t="s">
        <v>1209</v>
      </c>
      <c r="E23" s="7" t="s">
        <v>1205</v>
      </c>
      <c r="F23" s="7" t="s">
        <v>1200</v>
      </c>
      <c r="G23" s="7" t="s">
        <v>1116</v>
      </c>
      <c r="H23" s="8"/>
      <c r="I23" s="7" t="s">
        <v>1195</v>
      </c>
      <c r="J23" s="8"/>
      <c r="K23" s="11">
        <v>45201</v>
      </c>
      <c r="L23" s="7" t="b">
        <v>1</v>
      </c>
    </row>
    <row r="24" spans="1:12">
      <c r="A24" s="7" t="s">
        <v>1210</v>
      </c>
      <c r="B24" s="7" t="s">
        <v>1211</v>
      </c>
      <c r="C24" s="7" t="s">
        <v>1212</v>
      </c>
      <c r="D24" s="10" t="s">
        <v>1213</v>
      </c>
      <c r="E24" s="7" t="s">
        <v>1205</v>
      </c>
      <c r="F24" s="7" t="s">
        <v>1200</v>
      </c>
      <c r="G24" s="7" t="s">
        <v>1116</v>
      </c>
      <c r="H24" s="8"/>
      <c r="I24" s="7" t="s">
        <v>1195</v>
      </c>
      <c r="J24" s="8"/>
      <c r="K24" s="11">
        <v>45390</v>
      </c>
      <c r="L24" s="7" t="b">
        <v>1</v>
      </c>
    </row>
    <row r="25" spans="1:12">
      <c r="A25" s="7" t="s">
        <v>1214</v>
      </c>
      <c r="B25" s="7" t="s">
        <v>1215</v>
      </c>
      <c r="C25" s="7" t="s">
        <v>1216</v>
      </c>
      <c r="D25" s="10" t="s">
        <v>1217</v>
      </c>
      <c r="E25" s="7" t="s">
        <v>1218</v>
      </c>
      <c r="F25" s="7" t="s">
        <v>1219</v>
      </c>
      <c r="G25" s="7" t="s">
        <v>1116</v>
      </c>
      <c r="H25" s="8"/>
      <c r="I25" s="7"/>
      <c r="J25" s="8"/>
      <c r="K25" s="11">
        <v>44501</v>
      </c>
      <c r="L25" s="7" t="b">
        <v>1</v>
      </c>
    </row>
    <row r="26" spans="1:12">
      <c r="A26" s="7" t="s">
        <v>1220</v>
      </c>
      <c r="B26" s="7" t="s">
        <v>1221</v>
      </c>
      <c r="C26" s="7" t="s">
        <v>1222</v>
      </c>
      <c r="D26" s="10" t="s">
        <v>1223</v>
      </c>
      <c r="E26" s="7" t="s">
        <v>1224</v>
      </c>
      <c r="F26" s="7" t="s">
        <v>1225</v>
      </c>
      <c r="G26" s="7" t="s">
        <v>1116</v>
      </c>
      <c r="H26" s="8"/>
      <c r="I26" s="7"/>
      <c r="J26" s="8"/>
      <c r="K26" s="11">
        <v>44795</v>
      </c>
      <c r="L26" s="7" t="b">
        <v>1</v>
      </c>
    </row>
  </sheetData>
  <hyperlinks>
    <hyperlink ref="D2" r:id="rId1" xr:uid="{00000000-0004-0000-0300-000000000000}"/>
    <hyperlink ref="D3" r:id="rId2" xr:uid="{00000000-0004-0000-0300-000001000000}"/>
    <hyperlink ref="D4" r:id="rId3" xr:uid="{00000000-0004-0000-0300-000002000000}"/>
    <hyperlink ref="D5" r:id="rId4" xr:uid="{00000000-0004-0000-0300-000003000000}"/>
    <hyperlink ref="D6" r:id="rId5" xr:uid="{00000000-0004-0000-0300-000004000000}"/>
    <hyperlink ref="D7" r:id="rId6" xr:uid="{00000000-0004-0000-0300-000005000000}"/>
    <hyperlink ref="D8" r:id="rId7" xr:uid="{00000000-0004-0000-0300-000006000000}"/>
    <hyperlink ref="D9" r:id="rId8" xr:uid="{00000000-0004-0000-0300-000007000000}"/>
    <hyperlink ref="D10" r:id="rId9" xr:uid="{00000000-0004-0000-0300-000008000000}"/>
    <hyperlink ref="D11" r:id="rId10" xr:uid="{00000000-0004-0000-0300-000009000000}"/>
    <hyperlink ref="D12" r:id="rId11" xr:uid="{00000000-0004-0000-0300-00000A000000}"/>
    <hyperlink ref="D13" r:id="rId12" xr:uid="{00000000-0004-0000-0300-00000B000000}"/>
    <hyperlink ref="D14" r:id="rId13" xr:uid="{00000000-0004-0000-0300-00000C000000}"/>
    <hyperlink ref="D15" r:id="rId14" xr:uid="{00000000-0004-0000-0300-00000D000000}"/>
    <hyperlink ref="D16" r:id="rId15" xr:uid="{00000000-0004-0000-0300-00000E000000}"/>
    <hyperlink ref="D17" r:id="rId16" xr:uid="{00000000-0004-0000-0300-00000F000000}"/>
    <hyperlink ref="D18" r:id="rId17" xr:uid="{00000000-0004-0000-0300-000010000000}"/>
    <hyperlink ref="D19" r:id="rId18" xr:uid="{00000000-0004-0000-0300-000011000000}"/>
    <hyperlink ref="D20" r:id="rId19" xr:uid="{00000000-0004-0000-0300-000012000000}"/>
    <hyperlink ref="D21" r:id="rId20" xr:uid="{00000000-0004-0000-0300-000013000000}"/>
    <hyperlink ref="D22" r:id="rId21" xr:uid="{00000000-0004-0000-0300-000014000000}"/>
    <hyperlink ref="D23" r:id="rId22" xr:uid="{00000000-0004-0000-0300-000015000000}"/>
    <hyperlink ref="D24" r:id="rId23" xr:uid="{00000000-0004-0000-0300-000016000000}"/>
    <hyperlink ref="D25" r:id="rId24" xr:uid="{00000000-0004-0000-0300-000017000000}"/>
    <hyperlink ref="D26" r:id="rId25" xr:uid="{00000000-0004-0000-0300-000018000000}"/>
  </hyperlinks>
  <pageMargins left="0.7" right="0.7" top="0.75" bottom="0.75" header="0.3" footer="0.3"/>
  <tableParts count="1">
    <tablePart r:id="rId2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5512-DE42-4767-9670-57A0F4909DFC}">
  <dimension ref="A1:AC426"/>
  <sheetViews>
    <sheetView topLeftCell="R390" workbookViewId="0">
      <selection activeCell="AC2" sqref="AC2:AC426"/>
    </sheetView>
  </sheetViews>
  <sheetFormatPr defaultRowHeight="15"/>
  <cols>
    <col min="1" max="1" width="16.28515625" customWidth="1"/>
    <col min="2" max="2" width="51.7109375" bestFit="1" customWidth="1"/>
    <col min="3" max="3" width="12.85546875" customWidth="1"/>
    <col min="4" max="4" width="20.140625" customWidth="1"/>
    <col min="5" max="5" width="11.28515625" customWidth="1"/>
    <col min="6" max="6" width="18.5703125" customWidth="1"/>
    <col min="7" max="7" width="21.85546875" bestFit="1" customWidth="1"/>
    <col min="8" max="8" width="15.5703125" bestFit="1" customWidth="1"/>
    <col min="9" max="9" width="18.28515625" bestFit="1" customWidth="1"/>
    <col min="10" max="10" width="18.5703125" customWidth="1"/>
    <col min="11" max="11" width="19.140625" customWidth="1"/>
    <col min="12" max="12" width="22.140625" customWidth="1"/>
    <col min="13" max="13" width="19.140625" customWidth="1"/>
    <col min="14" max="14" width="31.7109375" bestFit="1" customWidth="1"/>
    <col min="15" max="15" width="18.7109375" customWidth="1"/>
    <col min="16" max="16" width="20.42578125" bestFit="1" customWidth="1"/>
    <col min="17" max="17" width="11.140625" bestFit="1" customWidth="1"/>
    <col min="18" max="18" width="14.7109375" customWidth="1"/>
    <col min="19" max="19" width="10.140625" bestFit="1" customWidth="1"/>
    <col min="20" max="20" width="23.42578125" customWidth="1"/>
    <col min="21" max="21" width="18" customWidth="1"/>
    <col min="22" max="22" width="25.140625" customWidth="1"/>
    <col min="23" max="23" width="30" customWidth="1"/>
    <col min="24" max="24" width="29" customWidth="1"/>
    <col min="25" max="25" width="17.140625" customWidth="1"/>
    <col min="26" max="26" width="17.85546875" customWidth="1"/>
    <col min="27" max="27" width="21" customWidth="1"/>
    <col min="28" max="28" width="28.85546875" customWidth="1"/>
    <col min="29" max="29" width="20.7109375" customWidth="1"/>
  </cols>
  <sheetData>
    <row r="1" spans="1:29">
      <c r="A1" s="16" t="s">
        <v>5634</v>
      </c>
      <c r="B1" s="16" t="s">
        <v>5635</v>
      </c>
      <c r="C1" s="16" t="s">
        <v>0</v>
      </c>
      <c r="D1" s="16" t="s">
        <v>5636</v>
      </c>
      <c r="E1" s="16" t="s">
        <v>9</v>
      </c>
      <c r="F1" s="16" t="s">
        <v>5637</v>
      </c>
      <c r="G1" s="16" t="s">
        <v>1252</v>
      </c>
      <c r="H1" s="16" t="s">
        <v>11</v>
      </c>
      <c r="I1" s="16" t="s">
        <v>5638</v>
      </c>
      <c r="J1" s="16" t="s">
        <v>5639</v>
      </c>
      <c r="K1" s="16" t="s">
        <v>5640</v>
      </c>
      <c r="L1" s="16" t="s">
        <v>5641</v>
      </c>
      <c r="M1" s="16" t="s">
        <v>5642</v>
      </c>
      <c r="N1" s="16" t="s">
        <v>5643</v>
      </c>
      <c r="O1" s="16" t="s">
        <v>5644</v>
      </c>
      <c r="P1" s="16" t="s">
        <v>5645</v>
      </c>
      <c r="Q1" s="16" t="s">
        <v>5646</v>
      </c>
      <c r="R1" s="16" t="s">
        <v>5647</v>
      </c>
      <c r="S1" s="16" t="s">
        <v>5648</v>
      </c>
      <c r="T1" s="16" t="s">
        <v>5649</v>
      </c>
      <c r="U1" s="16" t="s">
        <v>5650</v>
      </c>
      <c r="V1" s="16" t="s">
        <v>5651</v>
      </c>
      <c r="W1" s="16" t="s">
        <v>5652</v>
      </c>
      <c r="X1" s="16" t="s">
        <v>5653</v>
      </c>
      <c r="Y1" s="16" t="s">
        <v>5654</v>
      </c>
      <c r="Z1" s="16" t="s">
        <v>5655</v>
      </c>
      <c r="AA1" s="16" t="s">
        <v>5656</v>
      </c>
      <c r="AB1" s="16" t="s">
        <v>5657</v>
      </c>
      <c r="AC1" s="16" t="s">
        <v>5658</v>
      </c>
    </row>
    <row r="2" spans="1:29">
      <c r="A2" s="14" t="s">
        <v>5659</v>
      </c>
      <c r="B2" s="14" t="s">
        <v>5660</v>
      </c>
      <c r="C2" s="14" t="s">
        <v>554</v>
      </c>
      <c r="D2" s="14" t="s">
        <v>5661</v>
      </c>
      <c r="E2" s="14" t="s">
        <v>25</v>
      </c>
      <c r="F2" s="14" t="s">
        <v>5662</v>
      </c>
      <c r="G2" s="14" t="s">
        <v>1295</v>
      </c>
      <c r="H2" s="15">
        <v>45494</v>
      </c>
      <c r="I2" s="14" t="s">
        <v>5663</v>
      </c>
      <c r="J2" s="14">
        <v>100</v>
      </c>
      <c r="K2" s="14" t="s">
        <v>5664</v>
      </c>
      <c r="L2" s="17">
        <v>45563</v>
      </c>
      <c r="M2" s="17">
        <v>45533</v>
      </c>
      <c r="N2" s="14"/>
      <c r="O2" s="17">
        <v>45528</v>
      </c>
      <c r="P2" s="14"/>
      <c r="Q2" s="18">
        <v>6000</v>
      </c>
      <c r="R2" s="19">
        <v>5.9</v>
      </c>
      <c r="S2" s="18">
        <v>5646</v>
      </c>
      <c r="T2" s="14">
        <v>12</v>
      </c>
      <c r="U2" s="18">
        <v>5646</v>
      </c>
      <c r="V2" s="18">
        <v>0</v>
      </c>
      <c r="W2" s="19">
        <v>0</v>
      </c>
      <c r="X2" s="18">
        <v>0</v>
      </c>
      <c r="Y2" s="14" t="s">
        <v>5665</v>
      </c>
      <c r="Z2" s="14" t="s">
        <v>5666</v>
      </c>
      <c r="AA2" s="14" t="b">
        <v>0</v>
      </c>
      <c r="AB2" s="14" t="b">
        <v>0</v>
      </c>
      <c r="AC2" s="14" t="b">
        <v>0</v>
      </c>
    </row>
    <row r="3" spans="1:29">
      <c r="A3" s="14" t="s">
        <v>1394</v>
      </c>
      <c r="B3" s="14" t="s">
        <v>5667</v>
      </c>
      <c r="C3" s="14" t="s">
        <v>494</v>
      </c>
      <c r="D3" s="14" t="s">
        <v>1393</v>
      </c>
      <c r="E3" s="14" t="s">
        <v>36</v>
      </c>
      <c r="F3" s="14" t="s">
        <v>5668</v>
      </c>
      <c r="G3" s="14" t="s">
        <v>1339</v>
      </c>
      <c r="H3" s="15">
        <v>45384.78460648148</v>
      </c>
      <c r="I3" s="14" t="s">
        <v>5669</v>
      </c>
      <c r="J3" s="14">
        <v>60</v>
      </c>
      <c r="K3" s="14" t="s">
        <v>5670</v>
      </c>
      <c r="L3" s="17">
        <v>46323</v>
      </c>
      <c r="M3" s="17"/>
      <c r="N3" s="14" t="s">
        <v>5671</v>
      </c>
      <c r="O3" s="17">
        <v>46267</v>
      </c>
      <c r="P3" s="14"/>
      <c r="Q3" s="18">
        <v>28000</v>
      </c>
      <c r="R3" s="19">
        <v>0.6</v>
      </c>
      <c r="S3" s="18">
        <v>27832</v>
      </c>
      <c r="T3" s="14">
        <v>12</v>
      </c>
      <c r="U3" s="18">
        <v>27832</v>
      </c>
      <c r="V3" s="18">
        <v>5000</v>
      </c>
      <c r="W3" s="19">
        <v>1.5</v>
      </c>
      <c r="X3" s="18">
        <v>4925</v>
      </c>
      <c r="Y3" s="14" t="s">
        <v>5665</v>
      </c>
      <c r="Z3" s="14" t="s">
        <v>5666</v>
      </c>
      <c r="AA3" s="14" t="b">
        <v>0</v>
      </c>
      <c r="AB3" s="14" t="b">
        <v>0</v>
      </c>
      <c r="AC3" s="14" t="b">
        <v>0</v>
      </c>
    </row>
    <row r="4" spans="1:29">
      <c r="A4" s="14" t="s">
        <v>5672</v>
      </c>
      <c r="B4" s="14" t="s">
        <v>5673</v>
      </c>
      <c r="C4" s="14" t="s">
        <v>240</v>
      </c>
      <c r="D4" s="14" t="s">
        <v>1998</v>
      </c>
      <c r="E4" s="14" t="s">
        <v>55</v>
      </c>
      <c r="F4" s="14" t="s">
        <v>5668</v>
      </c>
      <c r="G4" s="14" t="s">
        <v>1281</v>
      </c>
      <c r="H4" s="15">
        <v>45373</v>
      </c>
      <c r="I4" s="14" t="s">
        <v>5663</v>
      </c>
      <c r="J4" s="14">
        <v>100</v>
      </c>
      <c r="K4" s="14" t="s">
        <v>5664</v>
      </c>
      <c r="L4" s="17">
        <v>45420</v>
      </c>
      <c r="M4" s="17">
        <v>45420</v>
      </c>
      <c r="N4" s="14"/>
      <c r="O4" s="17">
        <v>45420</v>
      </c>
      <c r="P4" s="14"/>
      <c r="Q4" s="18">
        <v>30000</v>
      </c>
      <c r="R4" s="19">
        <v>7.8</v>
      </c>
      <c r="S4" s="18">
        <v>27660</v>
      </c>
      <c r="T4" s="14">
        <v>12</v>
      </c>
      <c r="U4" s="18">
        <v>27660</v>
      </c>
      <c r="V4" s="18">
        <v>10000</v>
      </c>
      <c r="W4" s="19">
        <v>3.1</v>
      </c>
      <c r="X4" s="18">
        <v>9690</v>
      </c>
      <c r="Y4" s="14" t="s">
        <v>5665</v>
      </c>
      <c r="Z4" s="14" t="s">
        <v>5666</v>
      </c>
      <c r="AA4" s="14" t="b">
        <v>0</v>
      </c>
      <c r="AB4" s="14" t="b">
        <v>0</v>
      </c>
      <c r="AC4" s="14" t="b">
        <v>0</v>
      </c>
    </row>
    <row r="5" spans="1:29">
      <c r="A5" s="14" t="s">
        <v>2333</v>
      </c>
      <c r="B5" s="14" t="s">
        <v>5674</v>
      </c>
      <c r="C5" s="14" t="s">
        <v>134</v>
      </c>
      <c r="D5" s="14" t="s">
        <v>2332</v>
      </c>
      <c r="E5" s="14" t="s">
        <v>25</v>
      </c>
      <c r="F5" s="14" t="s">
        <v>5668</v>
      </c>
      <c r="G5" s="14" t="s">
        <v>1295</v>
      </c>
      <c r="H5" s="15">
        <v>45951.37096064815</v>
      </c>
      <c r="I5" s="14" t="s">
        <v>5675</v>
      </c>
      <c r="J5" s="14">
        <v>10</v>
      </c>
      <c r="K5" s="14" t="s">
        <v>5664</v>
      </c>
      <c r="L5" s="17">
        <v>46021.37096064815</v>
      </c>
      <c r="M5" s="17">
        <v>46051.37096064815</v>
      </c>
      <c r="N5" s="14"/>
      <c r="O5" s="17">
        <v>46046.37096064815</v>
      </c>
      <c r="P5" s="14" t="s">
        <v>5676</v>
      </c>
      <c r="Q5" s="18">
        <v>24000</v>
      </c>
      <c r="R5" s="19">
        <v>18.600000000000001</v>
      </c>
      <c r="S5" s="18">
        <v>19536</v>
      </c>
      <c r="T5" s="14">
        <v>24</v>
      </c>
      <c r="U5" s="18">
        <v>39072</v>
      </c>
      <c r="V5" s="18">
        <v>5000</v>
      </c>
      <c r="W5" s="19">
        <v>8.1</v>
      </c>
      <c r="X5" s="18">
        <v>4595</v>
      </c>
      <c r="Y5" s="14" t="s">
        <v>5677</v>
      </c>
      <c r="Z5" s="14" t="s">
        <v>5666</v>
      </c>
      <c r="AA5" s="14" t="b">
        <v>0</v>
      </c>
      <c r="AB5" s="14" t="b">
        <v>1</v>
      </c>
      <c r="AC5" s="14" t="b">
        <v>1</v>
      </c>
    </row>
    <row r="6" spans="1:29">
      <c r="A6" s="14" t="s">
        <v>1724</v>
      </c>
      <c r="B6" s="14" t="s">
        <v>5678</v>
      </c>
      <c r="C6" s="14" t="s">
        <v>73</v>
      </c>
      <c r="D6" s="14" t="s">
        <v>1723</v>
      </c>
      <c r="E6" s="14" t="s">
        <v>36</v>
      </c>
      <c r="F6" s="14" t="s">
        <v>5668</v>
      </c>
      <c r="G6" s="14" t="s">
        <v>1271</v>
      </c>
      <c r="H6" s="15">
        <v>46275.969930555555</v>
      </c>
      <c r="I6" s="14" t="s">
        <v>5669</v>
      </c>
      <c r="J6" s="14">
        <v>60</v>
      </c>
      <c r="K6" s="14" t="s">
        <v>5679</v>
      </c>
      <c r="L6" s="17">
        <v>46334</v>
      </c>
      <c r="M6" s="17"/>
      <c r="N6" s="14" t="s">
        <v>5671</v>
      </c>
      <c r="O6" s="17">
        <v>46279</v>
      </c>
      <c r="P6" s="14"/>
      <c r="Q6" s="18">
        <v>88000</v>
      </c>
      <c r="R6" s="19">
        <v>0.2</v>
      </c>
      <c r="S6" s="18">
        <v>87824</v>
      </c>
      <c r="T6" s="14">
        <v>24</v>
      </c>
      <c r="U6" s="18">
        <v>175648</v>
      </c>
      <c r="V6" s="18">
        <v>20000</v>
      </c>
      <c r="W6" s="19">
        <v>1</v>
      </c>
      <c r="X6" s="18">
        <v>19800</v>
      </c>
      <c r="Y6" s="14" t="s">
        <v>5665</v>
      </c>
      <c r="Z6" s="14" t="s">
        <v>5666</v>
      </c>
      <c r="AA6" s="14" t="b">
        <v>1</v>
      </c>
      <c r="AB6" s="14" t="b">
        <v>0</v>
      </c>
      <c r="AC6" s="14" t="b">
        <v>1</v>
      </c>
    </row>
    <row r="7" spans="1:29">
      <c r="A7" s="14" t="s">
        <v>1664</v>
      </c>
      <c r="B7" s="14" t="s">
        <v>5680</v>
      </c>
      <c r="C7" s="14" t="s">
        <v>434</v>
      </c>
      <c r="D7" s="14" t="s">
        <v>1663</v>
      </c>
      <c r="E7" s="14" t="s">
        <v>82</v>
      </c>
      <c r="F7" s="14" t="s">
        <v>5668</v>
      </c>
      <c r="G7" s="14" t="s">
        <v>1413</v>
      </c>
      <c r="H7" s="15">
        <v>46261.865266203706</v>
      </c>
      <c r="I7" s="14" t="s">
        <v>5681</v>
      </c>
      <c r="J7" s="14">
        <v>25</v>
      </c>
      <c r="K7" s="14" t="s">
        <v>5670</v>
      </c>
      <c r="L7" s="17">
        <v>46337</v>
      </c>
      <c r="M7" s="17"/>
      <c r="N7" s="14" t="s">
        <v>5682</v>
      </c>
      <c r="O7" s="17">
        <v>46267</v>
      </c>
      <c r="P7" s="14"/>
      <c r="Q7" s="18">
        <v>100000</v>
      </c>
      <c r="R7" s="19">
        <v>0.8</v>
      </c>
      <c r="S7" s="18">
        <v>99200</v>
      </c>
      <c r="T7" s="14">
        <v>24</v>
      </c>
      <c r="U7" s="18">
        <v>198400</v>
      </c>
      <c r="V7" s="18">
        <v>20000</v>
      </c>
      <c r="W7" s="19">
        <v>21</v>
      </c>
      <c r="X7" s="18">
        <v>15800</v>
      </c>
      <c r="Y7" s="14" t="s">
        <v>5665</v>
      </c>
      <c r="Z7" s="14" t="s">
        <v>5666</v>
      </c>
      <c r="AA7" s="14" t="b">
        <v>0</v>
      </c>
      <c r="AB7" s="14" t="b">
        <v>0</v>
      </c>
      <c r="AC7" s="14" t="b">
        <v>1</v>
      </c>
    </row>
    <row r="8" spans="1:29">
      <c r="A8" s="14" t="s">
        <v>2119</v>
      </c>
      <c r="B8" s="14" t="s">
        <v>5683</v>
      </c>
      <c r="C8" s="14" t="s">
        <v>567</v>
      </c>
      <c r="D8" s="14" t="s">
        <v>2118</v>
      </c>
      <c r="E8" s="14" t="s">
        <v>69</v>
      </c>
      <c r="F8" s="14" t="s">
        <v>5668</v>
      </c>
      <c r="G8" s="14" t="s">
        <v>1413</v>
      </c>
      <c r="H8" s="15">
        <v>46082.40934027778</v>
      </c>
      <c r="I8" s="14" t="s">
        <v>5669</v>
      </c>
      <c r="J8" s="14">
        <v>60</v>
      </c>
      <c r="K8" s="14" t="s">
        <v>5679</v>
      </c>
      <c r="L8" s="17">
        <v>46333</v>
      </c>
      <c r="M8" s="17"/>
      <c r="N8" s="14" t="s">
        <v>5671</v>
      </c>
      <c r="O8" s="17">
        <v>46285</v>
      </c>
      <c r="P8" s="14"/>
      <c r="Q8" s="18">
        <v>12000</v>
      </c>
      <c r="R8" s="19">
        <v>24.9</v>
      </c>
      <c r="S8" s="18">
        <v>9012</v>
      </c>
      <c r="T8" s="14">
        <v>12</v>
      </c>
      <c r="U8" s="18">
        <v>9012</v>
      </c>
      <c r="V8" s="18">
        <v>5000</v>
      </c>
      <c r="W8" s="19">
        <v>2.9</v>
      </c>
      <c r="X8" s="18">
        <v>4855</v>
      </c>
      <c r="Y8" s="14" t="s">
        <v>5665</v>
      </c>
      <c r="Z8" s="14" t="s">
        <v>5666</v>
      </c>
      <c r="AA8" s="14" t="b">
        <v>0</v>
      </c>
      <c r="AB8" s="14" t="b">
        <v>0</v>
      </c>
      <c r="AC8" s="14" t="b">
        <v>1</v>
      </c>
    </row>
    <row r="9" spans="1:29">
      <c r="A9" s="14" t="s">
        <v>1503</v>
      </c>
      <c r="B9" s="14" t="s">
        <v>5684</v>
      </c>
      <c r="C9" s="14" t="s">
        <v>948</v>
      </c>
      <c r="D9" s="14" t="s">
        <v>1502</v>
      </c>
      <c r="E9" s="14" t="s">
        <v>36</v>
      </c>
      <c r="F9" s="14" t="s">
        <v>5668</v>
      </c>
      <c r="G9" s="14" t="s">
        <v>1288</v>
      </c>
      <c r="H9" s="15">
        <v>45866.56858796296</v>
      </c>
      <c r="I9" s="14" t="s">
        <v>5663</v>
      </c>
      <c r="J9" s="14">
        <v>100</v>
      </c>
      <c r="K9" s="14" t="s">
        <v>5664</v>
      </c>
      <c r="L9" s="17">
        <v>45965.56858796296</v>
      </c>
      <c r="M9" s="17">
        <v>45935.56858796296</v>
      </c>
      <c r="N9" s="14"/>
      <c r="O9" s="17">
        <v>45932.56858796296</v>
      </c>
      <c r="P9" s="14"/>
      <c r="Q9" s="18">
        <v>38000</v>
      </c>
      <c r="R9" s="19">
        <v>5.3</v>
      </c>
      <c r="S9" s="18">
        <v>35986</v>
      </c>
      <c r="T9" s="14">
        <v>36</v>
      </c>
      <c r="U9" s="18">
        <v>107958</v>
      </c>
      <c r="V9" s="18">
        <v>10000</v>
      </c>
      <c r="W9" s="19">
        <v>5.9</v>
      </c>
      <c r="X9" s="18">
        <v>9410</v>
      </c>
      <c r="Y9" s="14" t="s">
        <v>5665</v>
      </c>
      <c r="Z9" s="14" t="s">
        <v>5666</v>
      </c>
      <c r="AA9" s="14" t="b">
        <v>0</v>
      </c>
      <c r="AB9" s="14" t="b">
        <v>0</v>
      </c>
      <c r="AC9" s="14" t="b">
        <v>0</v>
      </c>
    </row>
    <row r="10" spans="1:29">
      <c r="A10" s="14" t="s">
        <v>1429</v>
      </c>
      <c r="B10" s="14" t="s">
        <v>5685</v>
      </c>
      <c r="C10" s="14" t="s">
        <v>213</v>
      </c>
      <c r="D10" s="14" t="s">
        <v>1428</v>
      </c>
      <c r="E10" s="14" t="s">
        <v>18</v>
      </c>
      <c r="F10" s="14" t="s">
        <v>5668</v>
      </c>
      <c r="G10" s="14" t="s">
        <v>1413</v>
      </c>
      <c r="H10" s="15">
        <v>46187.497083333335</v>
      </c>
      <c r="I10" s="14" t="s">
        <v>5686</v>
      </c>
      <c r="J10" s="14">
        <v>10</v>
      </c>
      <c r="K10" s="14" t="s">
        <v>5670</v>
      </c>
      <c r="L10" s="17">
        <v>46328</v>
      </c>
      <c r="M10" s="17"/>
      <c r="N10" s="14" t="s">
        <v>5687</v>
      </c>
      <c r="O10" s="17">
        <v>46269</v>
      </c>
      <c r="P10" s="14"/>
      <c r="Q10" s="18">
        <v>86000</v>
      </c>
      <c r="R10" s="19">
        <v>15.4</v>
      </c>
      <c r="S10" s="18">
        <v>72756</v>
      </c>
      <c r="T10" s="14">
        <v>12</v>
      </c>
      <c r="U10" s="18">
        <v>72756</v>
      </c>
      <c r="V10" s="18">
        <v>20000</v>
      </c>
      <c r="W10" s="19">
        <v>7.7</v>
      </c>
      <c r="X10" s="18">
        <v>18460</v>
      </c>
      <c r="Y10" s="14" t="s">
        <v>5688</v>
      </c>
      <c r="Z10" s="14" t="s">
        <v>5666</v>
      </c>
      <c r="AA10" s="14" t="b">
        <v>0</v>
      </c>
      <c r="AB10" s="14" t="b">
        <v>0</v>
      </c>
      <c r="AC10" s="14" t="b">
        <v>1</v>
      </c>
    </row>
    <row r="11" spans="1:29">
      <c r="A11" s="14" t="s">
        <v>5689</v>
      </c>
      <c r="B11" s="14" t="s">
        <v>5690</v>
      </c>
      <c r="C11" s="14" t="s">
        <v>500</v>
      </c>
      <c r="D11" s="14" t="s">
        <v>1607</v>
      </c>
      <c r="E11" s="14" t="s">
        <v>25</v>
      </c>
      <c r="F11" s="14" t="s">
        <v>5668</v>
      </c>
      <c r="G11" s="14"/>
      <c r="H11" s="15">
        <v>46239.833333333336</v>
      </c>
      <c r="I11" s="14" t="s">
        <v>5691</v>
      </c>
      <c r="J11" s="14">
        <v>40</v>
      </c>
      <c r="K11" s="14" t="s">
        <v>5670</v>
      </c>
      <c r="L11" s="17">
        <v>46335</v>
      </c>
      <c r="M11" s="17"/>
      <c r="N11" s="14" t="s">
        <v>5692</v>
      </c>
      <c r="O11" s="17">
        <v>46267</v>
      </c>
      <c r="P11" s="14"/>
      <c r="Q11" s="18">
        <v>20000</v>
      </c>
      <c r="R11" s="19">
        <v>0.4</v>
      </c>
      <c r="S11" s="18">
        <v>19920</v>
      </c>
      <c r="T11" s="14">
        <v>12</v>
      </c>
      <c r="U11" s="18">
        <v>19920</v>
      </c>
      <c r="V11" s="18">
        <v>5000</v>
      </c>
      <c r="W11" s="19">
        <v>11.2</v>
      </c>
      <c r="X11" s="18">
        <v>4440</v>
      </c>
      <c r="Y11" s="14" t="s">
        <v>5665</v>
      </c>
      <c r="Z11" s="14" t="s">
        <v>5693</v>
      </c>
      <c r="AA11" s="14" t="b">
        <v>0</v>
      </c>
      <c r="AB11" s="14" t="b">
        <v>0</v>
      </c>
      <c r="AC11" s="14" t="b">
        <v>1</v>
      </c>
    </row>
    <row r="12" spans="1:29">
      <c r="A12" s="14" t="s">
        <v>5694</v>
      </c>
      <c r="B12" s="14" t="s">
        <v>5695</v>
      </c>
      <c r="C12" s="14" t="s">
        <v>363</v>
      </c>
      <c r="D12" s="14" t="s">
        <v>1374</v>
      </c>
      <c r="E12" s="14" t="s">
        <v>18</v>
      </c>
      <c r="F12" s="14" t="s">
        <v>5668</v>
      </c>
      <c r="G12" s="14" t="s">
        <v>1271</v>
      </c>
      <c r="H12" s="15">
        <v>46242.541666666664</v>
      </c>
      <c r="I12" s="14" t="s">
        <v>5691</v>
      </c>
      <c r="J12" s="14">
        <v>40</v>
      </c>
      <c r="K12" s="14" t="s">
        <v>5670</v>
      </c>
      <c r="L12" s="17">
        <v>46340</v>
      </c>
      <c r="M12" s="17"/>
      <c r="N12" s="14" t="s">
        <v>5692</v>
      </c>
      <c r="O12" s="17">
        <v>46286</v>
      </c>
      <c r="P12" s="14"/>
      <c r="Q12" s="18">
        <v>78000</v>
      </c>
      <c r="R12" s="19">
        <v>18.100000000000001</v>
      </c>
      <c r="S12" s="18">
        <v>63882</v>
      </c>
      <c r="T12" s="14">
        <v>12</v>
      </c>
      <c r="U12" s="18">
        <v>63882</v>
      </c>
      <c r="V12" s="18">
        <v>20000</v>
      </c>
      <c r="W12" s="19">
        <v>7.6</v>
      </c>
      <c r="X12" s="18">
        <v>18480</v>
      </c>
      <c r="Y12" s="14" t="s">
        <v>5665</v>
      </c>
      <c r="Z12" s="14" t="s">
        <v>5666</v>
      </c>
      <c r="AA12" s="14" t="b">
        <v>0</v>
      </c>
      <c r="AB12" s="14" t="b">
        <v>0</v>
      </c>
      <c r="AC12" s="14" t="b">
        <v>1</v>
      </c>
    </row>
    <row r="13" spans="1:29">
      <c r="A13" s="14" t="s">
        <v>2237</v>
      </c>
      <c r="B13" s="14" t="s">
        <v>5696</v>
      </c>
      <c r="C13" s="14" t="s">
        <v>672</v>
      </c>
      <c r="D13" s="14" t="s">
        <v>2236</v>
      </c>
      <c r="E13" s="14" t="s">
        <v>59</v>
      </c>
      <c r="F13" s="14" t="s">
        <v>5668</v>
      </c>
      <c r="G13" s="14" t="s">
        <v>1281</v>
      </c>
      <c r="H13" s="15">
        <v>45048.327245370368</v>
      </c>
      <c r="I13" s="14" t="s">
        <v>5663</v>
      </c>
      <c r="J13" s="14">
        <v>100</v>
      </c>
      <c r="K13" s="14" t="s">
        <v>5664</v>
      </c>
      <c r="L13" s="17">
        <v>45082.327245370368</v>
      </c>
      <c r="M13" s="17">
        <v>45082.327245370368</v>
      </c>
      <c r="N13" s="14"/>
      <c r="O13" s="17">
        <v>45079.327245370368</v>
      </c>
      <c r="P13" s="14"/>
      <c r="Q13" s="18">
        <v>20000</v>
      </c>
      <c r="R13" s="19">
        <v>3.8</v>
      </c>
      <c r="S13" s="18">
        <v>19240</v>
      </c>
      <c r="T13" s="14">
        <v>12</v>
      </c>
      <c r="U13" s="18">
        <v>19240</v>
      </c>
      <c r="V13" s="18">
        <v>5000</v>
      </c>
      <c r="W13" s="19">
        <v>7.8</v>
      </c>
      <c r="X13" s="18">
        <v>4610</v>
      </c>
      <c r="Y13" s="14" t="s">
        <v>5665</v>
      </c>
      <c r="Z13" s="14" t="s">
        <v>5666</v>
      </c>
      <c r="AA13" s="14" t="b">
        <v>0</v>
      </c>
      <c r="AB13" s="14" t="b">
        <v>0</v>
      </c>
      <c r="AC13" s="14" t="b">
        <v>0</v>
      </c>
    </row>
    <row r="14" spans="1:29">
      <c r="A14" s="14" t="s">
        <v>5697</v>
      </c>
      <c r="B14" s="14" t="s">
        <v>5698</v>
      </c>
      <c r="C14" s="14" t="s">
        <v>786</v>
      </c>
      <c r="D14" s="14" t="s">
        <v>1512</v>
      </c>
      <c r="E14" s="14" t="s">
        <v>69</v>
      </c>
      <c r="F14" s="14" t="s">
        <v>5668</v>
      </c>
      <c r="G14" s="14" t="s">
        <v>1288</v>
      </c>
      <c r="H14" s="15">
        <v>46276.708333333336</v>
      </c>
      <c r="I14" s="14" t="s">
        <v>5681</v>
      </c>
      <c r="J14" s="14">
        <v>25</v>
      </c>
      <c r="K14" s="14" t="s">
        <v>5670</v>
      </c>
      <c r="L14" s="17">
        <v>46319</v>
      </c>
      <c r="M14" s="17"/>
      <c r="N14" s="14" t="s">
        <v>5699</v>
      </c>
      <c r="O14" s="17">
        <v>46279</v>
      </c>
      <c r="P14" s="14"/>
      <c r="Q14" s="18">
        <v>18000</v>
      </c>
      <c r="R14" s="19">
        <v>9</v>
      </c>
      <c r="S14" s="18">
        <v>16380</v>
      </c>
      <c r="T14" s="14">
        <v>12</v>
      </c>
      <c r="U14" s="18">
        <v>16380</v>
      </c>
      <c r="V14" s="18">
        <v>5000</v>
      </c>
      <c r="W14" s="19">
        <v>6</v>
      </c>
      <c r="X14" s="18">
        <v>4700</v>
      </c>
      <c r="Y14" s="14" t="s">
        <v>5665</v>
      </c>
      <c r="Z14" s="14" t="s">
        <v>5666</v>
      </c>
      <c r="AA14" s="14" t="b">
        <v>0</v>
      </c>
      <c r="AB14" s="14" t="b">
        <v>0</v>
      </c>
      <c r="AC14" s="14" t="b">
        <v>0</v>
      </c>
    </row>
    <row r="15" spans="1:29">
      <c r="A15" s="14" t="s">
        <v>1713</v>
      </c>
      <c r="B15" s="14" t="s">
        <v>5700</v>
      </c>
      <c r="C15" s="14" t="s">
        <v>539</v>
      </c>
      <c r="D15" s="14" t="s">
        <v>1712</v>
      </c>
      <c r="E15" s="14" t="s">
        <v>69</v>
      </c>
      <c r="F15" s="14" t="s">
        <v>5668</v>
      </c>
      <c r="G15" s="14" t="s">
        <v>1271</v>
      </c>
      <c r="H15" s="15">
        <v>46239.290694444448</v>
      </c>
      <c r="I15" s="14" t="s">
        <v>5691</v>
      </c>
      <c r="J15" s="14">
        <v>40</v>
      </c>
      <c r="K15" s="14" t="s">
        <v>5670</v>
      </c>
      <c r="L15" s="17">
        <v>46309</v>
      </c>
      <c r="M15" s="17"/>
      <c r="N15" s="14" t="s">
        <v>5692</v>
      </c>
      <c r="O15" s="17">
        <v>46273</v>
      </c>
      <c r="P15" s="14"/>
      <c r="Q15" s="18">
        <v>42000</v>
      </c>
      <c r="R15" s="19">
        <v>23.7</v>
      </c>
      <c r="S15" s="18">
        <v>32046</v>
      </c>
      <c r="T15" s="14">
        <v>12</v>
      </c>
      <c r="U15" s="18">
        <v>32046</v>
      </c>
      <c r="V15" s="18">
        <v>10000</v>
      </c>
      <c r="W15" s="19">
        <v>9.6999999999999993</v>
      </c>
      <c r="X15" s="18">
        <v>9030</v>
      </c>
      <c r="Y15" s="14" t="s">
        <v>5665</v>
      </c>
      <c r="Z15" s="14" t="s">
        <v>5666</v>
      </c>
      <c r="AA15" s="14" t="b">
        <v>0</v>
      </c>
      <c r="AB15" s="14" t="b">
        <v>0</v>
      </c>
      <c r="AC15" s="14" t="b">
        <v>1</v>
      </c>
    </row>
    <row r="16" spans="1:29">
      <c r="A16" s="14" t="s">
        <v>1346</v>
      </c>
      <c r="B16" s="14" t="s">
        <v>5701</v>
      </c>
      <c r="C16" s="14" t="s">
        <v>282</v>
      </c>
      <c r="D16" s="14" t="s">
        <v>1345</v>
      </c>
      <c r="E16" s="14" t="s">
        <v>36</v>
      </c>
      <c r="F16" s="14" t="s">
        <v>5668</v>
      </c>
      <c r="G16" s="14" t="s">
        <v>1339</v>
      </c>
      <c r="H16" s="15">
        <v>46046.851840277777</v>
      </c>
      <c r="I16" s="14" t="s">
        <v>5675</v>
      </c>
      <c r="J16" s="14">
        <v>0</v>
      </c>
      <c r="K16" s="14" t="s">
        <v>5664</v>
      </c>
      <c r="L16" s="17">
        <v>46115.851840277777</v>
      </c>
      <c r="M16" s="17">
        <v>46108.851840277777</v>
      </c>
      <c r="N16" s="14"/>
      <c r="O16" s="17">
        <v>46103.851840277777</v>
      </c>
      <c r="P16" s="14" t="s">
        <v>5702</v>
      </c>
      <c r="Q16" s="18">
        <v>68000</v>
      </c>
      <c r="R16" s="19">
        <v>7.9</v>
      </c>
      <c r="S16" s="18">
        <v>62628</v>
      </c>
      <c r="T16" s="14">
        <v>12</v>
      </c>
      <c r="U16" s="18">
        <v>62628</v>
      </c>
      <c r="V16" s="18">
        <v>20000</v>
      </c>
      <c r="W16" s="19">
        <v>11.5</v>
      </c>
      <c r="X16" s="18">
        <v>17700</v>
      </c>
      <c r="Y16" s="14" t="s">
        <v>5665</v>
      </c>
      <c r="Z16" s="14" t="s">
        <v>5666</v>
      </c>
      <c r="AA16" s="14" t="b">
        <v>0</v>
      </c>
      <c r="AB16" s="14" t="b">
        <v>0</v>
      </c>
      <c r="AC16" s="14" t="b">
        <v>0</v>
      </c>
    </row>
    <row r="17" spans="1:29">
      <c r="A17" s="14" t="s">
        <v>2098</v>
      </c>
      <c r="B17" s="14" t="s">
        <v>5667</v>
      </c>
      <c r="C17" s="14" t="s">
        <v>494</v>
      </c>
      <c r="D17" s="14" t="s">
        <v>2097</v>
      </c>
      <c r="E17" s="14" t="s">
        <v>36</v>
      </c>
      <c r="F17" s="14" t="s">
        <v>5668</v>
      </c>
      <c r="G17" s="14" t="s">
        <v>1288</v>
      </c>
      <c r="H17" s="15">
        <v>45222.743263888886</v>
      </c>
      <c r="I17" s="14" t="s">
        <v>5675</v>
      </c>
      <c r="J17" s="14">
        <v>0</v>
      </c>
      <c r="K17" s="14" t="s">
        <v>5664</v>
      </c>
      <c r="L17" s="17">
        <v>45310.743263888886</v>
      </c>
      <c r="M17" s="17">
        <v>45310.743263888886</v>
      </c>
      <c r="N17" s="14"/>
      <c r="O17" s="17">
        <v>45305.743263888886</v>
      </c>
      <c r="P17" s="14" t="s">
        <v>5703</v>
      </c>
      <c r="Q17" s="18">
        <v>42000</v>
      </c>
      <c r="R17" s="19">
        <v>3.7</v>
      </c>
      <c r="S17" s="18">
        <v>40446</v>
      </c>
      <c r="T17" s="14">
        <v>24</v>
      </c>
      <c r="U17" s="18">
        <v>80892</v>
      </c>
      <c r="V17" s="18">
        <v>10000</v>
      </c>
      <c r="W17" s="19">
        <v>6.5</v>
      </c>
      <c r="X17" s="18">
        <v>9350</v>
      </c>
      <c r="Y17" s="14" t="s">
        <v>5688</v>
      </c>
      <c r="Z17" s="14" t="s">
        <v>5666</v>
      </c>
      <c r="AA17" s="14" t="b">
        <v>0</v>
      </c>
      <c r="AB17" s="14" t="b">
        <v>0</v>
      </c>
      <c r="AC17" s="14" t="b">
        <v>1</v>
      </c>
    </row>
    <row r="18" spans="1:29">
      <c r="A18" s="14" t="s">
        <v>5704</v>
      </c>
      <c r="B18" s="14" t="s">
        <v>5705</v>
      </c>
      <c r="C18" s="14" t="s">
        <v>279</v>
      </c>
      <c r="D18" s="14" t="s">
        <v>5706</v>
      </c>
      <c r="E18" s="14" t="s">
        <v>25</v>
      </c>
      <c r="F18" s="14" t="s">
        <v>5668</v>
      </c>
      <c r="G18" s="14" t="s">
        <v>1355</v>
      </c>
      <c r="H18" s="15">
        <v>45913</v>
      </c>
      <c r="I18" s="14" t="s">
        <v>5663</v>
      </c>
      <c r="J18" s="14">
        <v>40</v>
      </c>
      <c r="K18" s="14" t="s">
        <v>5664</v>
      </c>
      <c r="L18" s="17">
        <v>45962</v>
      </c>
      <c r="M18" s="17">
        <v>45955</v>
      </c>
      <c r="N18" s="14"/>
      <c r="O18" s="17">
        <v>45955</v>
      </c>
      <c r="P18" s="14"/>
      <c r="Q18" s="18">
        <v>16000</v>
      </c>
      <c r="R18" s="19">
        <v>8.3000000000000007</v>
      </c>
      <c r="S18" s="18">
        <v>14672</v>
      </c>
      <c r="T18" s="14">
        <v>12</v>
      </c>
      <c r="U18" s="18">
        <v>14672</v>
      </c>
      <c r="V18" s="18">
        <v>5000</v>
      </c>
      <c r="W18" s="19">
        <v>15.6</v>
      </c>
      <c r="X18" s="18">
        <v>4220</v>
      </c>
      <c r="Y18" s="14" t="s">
        <v>5665</v>
      </c>
      <c r="Z18" s="14" t="s">
        <v>5666</v>
      </c>
      <c r="AA18" s="14" t="b">
        <v>1</v>
      </c>
      <c r="AB18" s="14" t="b">
        <v>0</v>
      </c>
      <c r="AC18" s="14" t="b">
        <v>1</v>
      </c>
    </row>
    <row r="19" spans="1:29">
      <c r="A19" s="14" t="s">
        <v>5707</v>
      </c>
      <c r="B19" s="14" t="s">
        <v>5708</v>
      </c>
      <c r="C19" s="14" t="s">
        <v>476</v>
      </c>
      <c r="D19" s="14" t="s">
        <v>5709</v>
      </c>
      <c r="E19" s="14" t="s">
        <v>82</v>
      </c>
      <c r="F19" s="14" t="s">
        <v>5668</v>
      </c>
      <c r="G19" s="14" t="s">
        <v>1288</v>
      </c>
      <c r="H19" s="15">
        <v>46152.841354166667</v>
      </c>
      <c r="I19" s="14" t="s">
        <v>5663</v>
      </c>
      <c r="J19" s="14">
        <v>100</v>
      </c>
      <c r="K19" s="14" t="s">
        <v>5664</v>
      </c>
      <c r="L19" s="17">
        <v>46257.841354166667</v>
      </c>
      <c r="M19" s="17">
        <v>46227.841354166667</v>
      </c>
      <c r="N19" s="14"/>
      <c r="O19" s="17">
        <v>46227.841354166667</v>
      </c>
      <c r="P19" s="14"/>
      <c r="Q19" s="18">
        <v>20000</v>
      </c>
      <c r="R19" s="19">
        <v>12.6</v>
      </c>
      <c r="S19" s="18">
        <v>17480</v>
      </c>
      <c r="T19" s="14">
        <v>12</v>
      </c>
      <c r="U19" s="18">
        <v>17480</v>
      </c>
      <c r="V19" s="18">
        <v>5000</v>
      </c>
      <c r="W19" s="19">
        <v>17.8</v>
      </c>
      <c r="X19" s="18">
        <v>4110</v>
      </c>
      <c r="Y19" s="14" t="s">
        <v>5665</v>
      </c>
      <c r="Z19" s="14" t="s">
        <v>5666</v>
      </c>
      <c r="AA19" s="14" t="b">
        <v>0</v>
      </c>
      <c r="AB19" s="14" t="b">
        <v>0</v>
      </c>
      <c r="AC19" s="14" t="b">
        <v>1</v>
      </c>
    </row>
    <row r="20" spans="1:29">
      <c r="A20" s="14" t="s">
        <v>5710</v>
      </c>
      <c r="B20" s="14" t="s">
        <v>5711</v>
      </c>
      <c r="C20" s="14" t="s">
        <v>262</v>
      </c>
      <c r="D20" s="14" t="s">
        <v>5712</v>
      </c>
      <c r="E20" s="14" t="s">
        <v>36</v>
      </c>
      <c r="F20" s="14" t="s">
        <v>5668</v>
      </c>
      <c r="G20" s="14" t="s">
        <v>1355</v>
      </c>
      <c r="H20" s="15">
        <v>46254.75</v>
      </c>
      <c r="I20" s="14" t="s">
        <v>5681</v>
      </c>
      <c r="J20" s="14">
        <v>25</v>
      </c>
      <c r="K20" s="14" t="s">
        <v>5670</v>
      </c>
      <c r="L20" s="17">
        <v>46352</v>
      </c>
      <c r="M20" s="17"/>
      <c r="N20" s="14" t="s">
        <v>5713</v>
      </c>
      <c r="O20" s="17">
        <v>46281</v>
      </c>
      <c r="P20" s="14"/>
      <c r="Q20" s="18">
        <v>30000</v>
      </c>
      <c r="R20" s="19">
        <v>5.5</v>
      </c>
      <c r="S20" s="18">
        <v>28350</v>
      </c>
      <c r="T20" s="14">
        <v>24</v>
      </c>
      <c r="U20" s="18">
        <v>56700</v>
      </c>
      <c r="V20" s="18">
        <v>10000</v>
      </c>
      <c r="W20" s="19">
        <v>15.4</v>
      </c>
      <c r="X20" s="18">
        <v>8460</v>
      </c>
      <c r="Y20" s="14" t="s">
        <v>5665</v>
      </c>
      <c r="Z20" s="14" t="s">
        <v>5666</v>
      </c>
      <c r="AA20" s="14" t="b">
        <v>0</v>
      </c>
      <c r="AB20" s="14" t="b">
        <v>0</v>
      </c>
      <c r="AC20" s="14" t="b">
        <v>0</v>
      </c>
    </row>
    <row r="21" spans="1:29">
      <c r="A21" s="14" t="s">
        <v>5714</v>
      </c>
      <c r="B21" s="14" t="s">
        <v>5715</v>
      </c>
      <c r="C21" s="14" t="s">
        <v>723</v>
      </c>
      <c r="D21" s="14" t="s">
        <v>5716</v>
      </c>
      <c r="E21" s="14" t="s">
        <v>36</v>
      </c>
      <c r="F21" s="14" t="s">
        <v>5668</v>
      </c>
      <c r="G21" s="14" t="s">
        <v>1288</v>
      </c>
      <c r="H21" s="15">
        <v>46094.579224537039</v>
      </c>
      <c r="I21" s="14" t="s">
        <v>5663</v>
      </c>
      <c r="J21" s="14">
        <v>100</v>
      </c>
      <c r="K21" s="14" t="s">
        <v>5664</v>
      </c>
      <c r="L21" s="17">
        <v>46220.579224537039</v>
      </c>
      <c r="M21" s="17">
        <v>46190.579224537039</v>
      </c>
      <c r="N21" s="14"/>
      <c r="O21" s="17">
        <v>46190.579224537039</v>
      </c>
      <c r="P21" s="14"/>
      <c r="Q21" s="18">
        <v>88000</v>
      </c>
      <c r="R21" s="19">
        <v>1.5</v>
      </c>
      <c r="S21" s="18">
        <v>86680</v>
      </c>
      <c r="T21" s="14">
        <v>24</v>
      </c>
      <c r="U21" s="18">
        <v>173360</v>
      </c>
      <c r="V21" s="18">
        <v>20000</v>
      </c>
      <c r="W21" s="19">
        <v>6.2</v>
      </c>
      <c r="X21" s="18">
        <v>18760</v>
      </c>
      <c r="Y21" s="14" t="s">
        <v>5665</v>
      </c>
      <c r="Z21" s="14" t="s">
        <v>5666</v>
      </c>
      <c r="AA21" s="14" t="b">
        <v>0</v>
      </c>
      <c r="AB21" s="14" t="b">
        <v>0</v>
      </c>
      <c r="AC21" s="14" t="b">
        <v>0</v>
      </c>
    </row>
    <row r="22" spans="1:29">
      <c r="A22" s="14" t="s">
        <v>5717</v>
      </c>
      <c r="B22" s="14" t="s">
        <v>5718</v>
      </c>
      <c r="C22" s="14" t="s">
        <v>276</v>
      </c>
      <c r="D22" s="14" t="s">
        <v>5719</v>
      </c>
      <c r="E22" s="14" t="s">
        <v>55</v>
      </c>
      <c r="F22" s="14" t="s">
        <v>5662</v>
      </c>
      <c r="G22" s="14" t="s">
        <v>1317</v>
      </c>
      <c r="H22" s="15">
        <v>46182.350532407407</v>
      </c>
      <c r="I22" s="14" t="s">
        <v>5663</v>
      </c>
      <c r="J22" s="14">
        <v>10</v>
      </c>
      <c r="K22" s="14" t="s">
        <v>5664</v>
      </c>
      <c r="L22" s="17">
        <v>46234.350532407407</v>
      </c>
      <c r="M22" s="17">
        <v>46234.350532407407</v>
      </c>
      <c r="N22" s="14"/>
      <c r="O22" s="17">
        <v>46232.350532407407</v>
      </c>
      <c r="P22" s="14"/>
      <c r="Q22" s="18">
        <v>12000</v>
      </c>
      <c r="R22" s="19">
        <v>7.2</v>
      </c>
      <c r="S22" s="18">
        <v>11136</v>
      </c>
      <c r="T22" s="14">
        <v>12</v>
      </c>
      <c r="U22" s="18">
        <v>11136</v>
      </c>
      <c r="V22" s="18">
        <v>0</v>
      </c>
      <c r="W22" s="19">
        <v>0</v>
      </c>
      <c r="X22" s="18">
        <v>0</v>
      </c>
      <c r="Y22" s="14" t="s">
        <v>5665</v>
      </c>
      <c r="Z22" s="14" t="s">
        <v>5666</v>
      </c>
      <c r="AA22" s="14" t="b">
        <v>0</v>
      </c>
      <c r="AB22" s="14" t="b">
        <v>1</v>
      </c>
      <c r="AC22" s="14" t="b">
        <v>1</v>
      </c>
    </row>
    <row r="23" spans="1:29">
      <c r="A23" s="14" t="s">
        <v>2492</v>
      </c>
      <c r="B23" s="14" t="s">
        <v>5720</v>
      </c>
      <c r="C23" s="14" t="s">
        <v>100</v>
      </c>
      <c r="D23" s="14" t="s">
        <v>2491</v>
      </c>
      <c r="E23" s="14" t="s">
        <v>59</v>
      </c>
      <c r="F23" s="14" t="s">
        <v>5668</v>
      </c>
      <c r="G23" s="14" t="s">
        <v>1339</v>
      </c>
      <c r="H23" s="15">
        <v>45968.876608796294</v>
      </c>
      <c r="I23" s="14" t="s">
        <v>5675</v>
      </c>
      <c r="J23" s="14">
        <v>0</v>
      </c>
      <c r="K23" s="14" t="s">
        <v>5664</v>
      </c>
      <c r="L23" s="17">
        <v>46005.876608796294</v>
      </c>
      <c r="M23" s="17">
        <v>45991.876608796294</v>
      </c>
      <c r="N23" s="14"/>
      <c r="O23" s="17">
        <v>45985.876608796294</v>
      </c>
      <c r="P23" s="14" t="s">
        <v>5721</v>
      </c>
      <c r="Q23" s="18">
        <v>24000</v>
      </c>
      <c r="R23" s="19">
        <v>2.2000000000000002</v>
      </c>
      <c r="S23" s="18">
        <v>23472</v>
      </c>
      <c r="T23" s="14">
        <v>12</v>
      </c>
      <c r="U23" s="18">
        <v>23472</v>
      </c>
      <c r="V23" s="18">
        <v>5000</v>
      </c>
      <c r="W23" s="19">
        <v>4.2</v>
      </c>
      <c r="X23" s="18">
        <v>4790</v>
      </c>
      <c r="Y23" s="14" t="s">
        <v>5665</v>
      </c>
      <c r="Z23" s="14" t="s">
        <v>5666</v>
      </c>
      <c r="AA23" s="14" t="b">
        <v>0</v>
      </c>
      <c r="AB23" s="14" t="b">
        <v>1</v>
      </c>
      <c r="AC23" s="14" t="b">
        <v>1</v>
      </c>
    </row>
    <row r="24" spans="1:29">
      <c r="A24" s="14" t="s">
        <v>5722</v>
      </c>
      <c r="B24" s="14" t="s">
        <v>5723</v>
      </c>
      <c r="C24" s="14" t="s">
        <v>645</v>
      </c>
      <c r="D24" s="14" t="s">
        <v>5724</v>
      </c>
      <c r="E24" s="14" t="s">
        <v>59</v>
      </c>
      <c r="F24" s="14" t="s">
        <v>5668</v>
      </c>
      <c r="G24" s="14" t="s">
        <v>1271</v>
      </c>
      <c r="H24" s="15">
        <v>46190.75</v>
      </c>
      <c r="I24" s="14" t="s">
        <v>5725</v>
      </c>
      <c r="J24" s="14">
        <v>90</v>
      </c>
      <c r="K24" s="14" t="s">
        <v>5725</v>
      </c>
      <c r="L24" s="17">
        <v>46296</v>
      </c>
      <c r="M24" s="17"/>
      <c r="N24" s="14" t="s">
        <v>5726</v>
      </c>
      <c r="O24" s="17">
        <v>46283</v>
      </c>
      <c r="P24" s="14"/>
      <c r="Q24" s="18">
        <v>20000</v>
      </c>
      <c r="R24" s="19">
        <v>6.9</v>
      </c>
      <c r="S24" s="18">
        <v>18620</v>
      </c>
      <c r="T24" s="14">
        <v>12</v>
      </c>
      <c r="U24" s="18">
        <v>18620</v>
      </c>
      <c r="V24" s="18">
        <v>5000</v>
      </c>
      <c r="W24" s="19">
        <v>4.2</v>
      </c>
      <c r="X24" s="18">
        <v>4790</v>
      </c>
      <c r="Y24" s="14" t="s">
        <v>5665</v>
      </c>
      <c r="Z24" s="14" t="s">
        <v>5666</v>
      </c>
      <c r="AA24" s="14" t="b">
        <v>0</v>
      </c>
      <c r="AB24" s="14" t="b">
        <v>0</v>
      </c>
      <c r="AC24" s="14" t="b">
        <v>0</v>
      </c>
    </row>
    <row r="25" spans="1:29">
      <c r="A25" s="14" t="s">
        <v>1930</v>
      </c>
      <c r="B25" s="14" t="s">
        <v>5727</v>
      </c>
      <c r="C25" s="14" t="s">
        <v>954</v>
      </c>
      <c r="D25" s="14" t="s">
        <v>1929</v>
      </c>
      <c r="E25" s="14" t="s">
        <v>55</v>
      </c>
      <c r="F25" s="14" t="s">
        <v>5668</v>
      </c>
      <c r="G25" s="14" t="s">
        <v>1317</v>
      </c>
      <c r="H25" s="15">
        <v>45733.529513888891</v>
      </c>
      <c r="I25" s="14" t="s">
        <v>5675</v>
      </c>
      <c r="J25" s="14">
        <v>0</v>
      </c>
      <c r="K25" s="14" t="s">
        <v>5664</v>
      </c>
      <c r="L25" s="17">
        <v>45802.529513888891</v>
      </c>
      <c r="M25" s="17">
        <v>45802.529513888891</v>
      </c>
      <c r="N25" s="14"/>
      <c r="O25" s="17">
        <v>45802.529513888891</v>
      </c>
      <c r="P25" s="14" t="s">
        <v>5728</v>
      </c>
      <c r="Q25" s="18">
        <v>46000</v>
      </c>
      <c r="R25" s="19">
        <v>8.4</v>
      </c>
      <c r="S25" s="18">
        <v>42136</v>
      </c>
      <c r="T25" s="14">
        <v>12</v>
      </c>
      <c r="U25" s="18">
        <v>42136</v>
      </c>
      <c r="V25" s="18">
        <v>10000</v>
      </c>
      <c r="W25" s="19">
        <v>17.100000000000001</v>
      </c>
      <c r="X25" s="18">
        <v>8290</v>
      </c>
      <c r="Y25" s="14" t="s">
        <v>5665</v>
      </c>
      <c r="Z25" s="14" t="s">
        <v>5666</v>
      </c>
      <c r="AA25" s="14" t="b">
        <v>0</v>
      </c>
      <c r="AB25" s="14" t="b">
        <v>0</v>
      </c>
      <c r="AC25" s="14" t="b">
        <v>0</v>
      </c>
    </row>
    <row r="26" spans="1:29">
      <c r="A26" s="14" t="s">
        <v>1965</v>
      </c>
      <c r="B26" s="14" t="s">
        <v>5729</v>
      </c>
      <c r="C26" s="14" t="s">
        <v>488</v>
      </c>
      <c r="D26" s="14" t="s">
        <v>1964</v>
      </c>
      <c r="E26" s="14" t="s">
        <v>36</v>
      </c>
      <c r="F26" s="14" t="s">
        <v>5668</v>
      </c>
      <c r="G26" s="14" t="s">
        <v>1355</v>
      </c>
      <c r="H26" s="15">
        <v>44736.99622685185</v>
      </c>
      <c r="I26" s="14" t="s">
        <v>5663</v>
      </c>
      <c r="J26" s="14">
        <v>100</v>
      </c>
      <c r="K26" s="14" t="s">
        <v>5664</v>
      </c>
      <c r="L26" s="17">
        <v>44871.99622685185</v>
      </c>
      <c r="M26" s="17">
        <v>44841.99622685185</v>
      </c>
      <c r="N26" s="14"/>
      <c r="O26" s="17">
        <v>44841.99622685185</v>
      </c>
      <c r="P26" s="14"/>
      <c r="Q26" s="18">
        <v>88000</v>
      </c>
      <c r="R26" s="19">
        <v>4.5</v>
      </c>
      <c r="S26" s="18">
        <v>84040</v>
      </c>
      <c r="T26" s="14">
        <v>12</v>
      </c>
      <c r="U26" s="18">
        <v>84040</v>
      </c>
      <c r="V26" s="18">
        <v>20000</v>
      </c>
      <c r="W26" s="19">
        <v>24.8</v>
      </c>
      <c r="X26" s="18">
        <v>15040</v>
      </c>
      <c r="Y26" s="14" t="s">
        <v>5665</v>
      </c>
      <c r="Z26" s="14" t="s">
        <v>5666</v>
      </c>
      <c r="AA26" s="14" t="b">
        <v>0</v>
      </c>
      <c r="AB26" s="14" t="b">
        <v>0</v>
      </c>
      <c r="AC26" s="14" t="b">
        <v>1</v>
      </c>
    </row>
    <row r="27" spans="1:29">
      <c r="A27" s="14" t="s">
        <v>2027</v>
      </c>
      <c r="B27" s="14" t="s">
        <v>5730</v>
      </c>
      <c r="C27" s="14" t="s">
        <v>832</v>
      </c>
      <c r="D27" s="14" t="s">
        <v>2026</v>
      </c>
      <c r="E27" s="14" t="s">
        <v>55</v>
      </c>
      <c r="F27" s="14" t="s">
        <v>5668</v>
      </c>
      <c r="G27" s="14" t="s">
        <v>1288</v>
      </c>
      <c r="H27" s="15">
        <v>44988.191504629627</v>
      </c>
      <c r="I27" s="14" t="s">
        <v>5663</v>
      </c>
      <c r="J27" s="14">
        <v>100</v>
      </c>
      <c r="K27" s="14" t="s">
        <v>5664</v>
      </c>
      <c r="L27" s="17">
        <v>45087.191504629627</v>
      </c>
      <c r="M27" s="17">
        <v>45073.191504629627</v>
      </c>
      <c r="N27" s="14"/>
      <c r="O27" s="17">
        <v>45070.191504629627</v>
      </c>
      <c r="P27" s="14"/>
      <c r="Q27" s="18">
        <v>68000</v>
      </c>
      <c r="R27" s="19">
        <v>18.2</v>
      </c>
      <c r="S27" s="18">
        <v>55624</v>
      </c>
      <c r="T27" s="14">
        <v>12</v>
      </c>
      <c r="U27" s="18">
        <v>55624</v>
      </c>
      <c r="V27" s="18">
        <v>20000</v>
      </c>
      <c r="W27" s="19">
        <v>3.3</v>
      </c>
      <c r="X27" s="18">
        <v>19340</v>
      </c>
      <c r="Y27" s="14" t="s">
        <v>5677</v>
      </c>
      <c r="Z27" s="14" t="s">
        <v>5666</v>
      </c>
      <c r="AA27" s="14" t="b">
        <v>0</v>
      </c>
      <c r="AB27" s="14" t="b">
        <v>0</v>
      </c>
      <c r="AC27" s="14" t="b">
        <v>1</v>
      </c>
    </row>
    <row r="28" spans="1:29">
      <c r="A28" s="14" t="s">
        <v>2018</v>
      </c>
      <c r="B28" s="14" t="s">
        <v>5731</v>
      </c>
      <c r="C28" s="14" t="s">
        <v>589</v>
      </c>
      <c r="D28" s="14" t="s">
        <v>2017</v>
      </c>
      <c r="E28" s="14" t="s">
        <v>59</v>
      </c>
      <c r="F28" s="14" t="s">
        <v>5668</v>
      </c>
      <c r="G28" s="14" t="s">
        <v>1271</v>
      </c>
      <c r="H28" s="15">
        <v>46090.327928240738</v>
      </c>
      <c r="I28" s="14" t="s">
        <v>5691</v>
      </c>
      <c r="J28" s="14">
        <v>40</v>
      </c>
      <c r="K28" s="14" t="s">
        <v>5670</v>
      </c>
      <c r="L28" s="17">
        <v>46348</v>
      </c>
      <c r="M28" s="17"/>
      <c r="N28" s="14"/>
      <c r="O28" s="17">
        <v>46265</v>
      </c>
      <c r="P28" s="14"/>
      <c r="Q28" s="18">
        <v>28000</v>
      </c>
      <c r="R28" s="19">
        <v>23.9</v>
      </c>
      <c r="S28" s="18">
        <v>21308</v>
      </c>
      <c r="T28" s="14">
        <v>12</v>
      </c>
      <c r="U28" s="18">
        <v>21308</v>
      </c>
      <c r="V28" s="18">
        <v>5000</v>
      </c>
      <c r="W28" s="19">
        <v>1</v>
      </c>
      <c r="X28" s="18">
        <v>4950</v>
      </c>
      <c r="Y28" s="14" t="s">
        <v>5665</v>
      </c>
      <c r="Z28" s="14" t="s">
        <v>5693</v>
      </c>
      <c r="AA28" s="14" t="b">
        <v>0</v>
      </c>
      <c r="AB28" s="14" t="b">
        <v>0</v>
      </c>
      <c r="AC28" s="14" t="b">
        <v>1</v>
      </c>
    </row>
    <row r="29" spans="1:29">
      <c r="A29" s="14" t="s">
        <v>5732</v>
      </c>
      <c r="B29" s="14" t="s">
        <v>5733</v>
      </c>
      <c r="C29" s="14" t="s">
        <v>419</v>
      </c>
      <c r="D29" s="14" t="s">
        <v>5734</v>
      </c>
      <c r="E29" s="14" t="s">
        <v>18</v>
      </c>
      <c r="F29" s="14" t="s">
        <v>5662</v>
      </c>
      <c r="G29" s="14" t="s">
        <v>1281</v>
      </c>
      <c r="H29" s="15">
        <v>46178.283148148148</v>
      </c>
      <c r="I29" s="14" t="s">
        <v>5663</v>
      </c>
      <c r="J29" s="14">
        <v>100</v>
      </c>
      <c r="K29" s="14" t="s">
        <v>5664</v>
      </c>
      <c r="L29" s="17">
        <v>46223.283148148148</v>
      </c>
      <c r="M29" s="17">
        <v>46230.283148148148</v>
      </c>
      <c r="N29" s="14"/>
      <c r="O29" s="17">
        <v>46223.283148148148</v>
      </c>
      <c r="P29" s="14"/>
      <c r="Q29" s="18">
        <v>18000</v>
      </c>
      <c r="R29" s="19">
        <v>1.9</v>
      </c>
      <c r="S29" s="18">
        <v>17658</v>
      </c>
      <c r="T29" s="14">
        <v>24</v>
      </c>
      <c r="U29" s="18">
        <v>35316</v>
      </c>
      <c r="V29" s="18">
        <v>0</v>
      </c>
      <c r="W29" s="19">
        <v>0</v>
      </c>
      <c r="X29" s="18">
        <v>0</v>
      </c>
      <c r="Y29" s="14" t="s">
        <v>5735</v>
      </c>
      <c r="Z29" s="14" t="s">
        <v>5666</v>
      </c>
      <c r="AA29" s="14" t="b">
        <v>0</v>
      </c>
      <c r="AB29" s="14" t="b">
        <v>1</v>
      </c>
      <c r="AC29" s="14" t="b">
        <v>1</v>
      </c>
    </row>
    <row r="30" spans="1:29">
      <c r="A30" s="14" t="s">
        <v>2110</v>
      </c>
      <c r="B30" s="14" t="s">
        <v>5736</v>
      </c>
      <c r="C30" s="14" t="s">
        <v>600</v>
      </c>
      <c r="D30" s="14" t="s">
        <v>2109</v>
      </c>
      <c r="E30" s="14" t="s">
        <v>25</v>
      </c>
      <c r="F30" s="14" t="s">
        <v>5668</v>
      </c>
      <c r="G30" s="14" t="s">
        <v>1295</v>
      </c>
      <c r="H30" s="15">
        <v>46269.631562499999</v>
      </c>
      <c r="I30" s="14" t="s">
        <v>5691</v>
      </c>
      <c r="J30" s="14">
        <v>40</v>
      </c>
      <c r="K30" s="14" t="s">
        <v>5670</v>
      </c>
      <c r="L30" s="17">
        <v>46331</v>
      </c>
      <c r="M30" s="17"/>
      <c r="N30" s="14" t="s">
        <v>5692</v>
      </c>
      <c r="O30" s="17">
        <v>46233</v>
      </c>
      <c r="P30" s="14"/>
      <c r="Q30" s="18">
        <v>24000</v>
      </c>
      <c r="R30" s="19">
        <v>23.7</v>
      </c>
      <c r="S30" s="18">
        <v>18312</v>
      </c>
      <c r="T30" s="14">
        <v>12</v>
      </c>
      <c r="U30" s="18">
        <v>18312</v>
      </c>
      <c r="V30" s="18">
        <v>5000</v>
      </c>
      <c r="W30" s="19">
        <v>21.1</v>
      </c>
      <c r="X30" s="18">
        <v>3945</v>
      </c>
      <c r="Y30" s="14" t="s">
        <v>5665</v>
      </c>
      <c r="Z30" s="14" t="s">
        <v>5666</v>
      </c>
      <c r="AA30" s="14" t="b">
        <v>0</v>
      </c>
      <c r="AB30" s="14" t="b">
        <v>0</v>
      </c>
      <c r="AC30" s="14" t="b">
        <v>1</v>
      </c>
    </row>
    <row r="31" spans="1:29">
      <c r="A31" s="14" t="s">
        <v>5737</v>
      </c>
      <c r="B31" s="14" t="s">
        <v>5738</v>
      </c>
      <c r="C31" s="14" t="s">
        <v>620</v>
      </c>
      <c r="D31" s="14" t="s">
        <v>5739</v>
      </c>
      <c r="E31" s="14" t="s">
        <v>69</v>
      </c>
      <c r="F31" s="14" t="s">
        <v>5662</v>
      </c>
      <c r="G31" s="14" t="s">
        <v>1288</v>
      </c>
      <c r="H31" s="15">
        <v>46212.333333333336</v>
      </c>
      <c r="I31" s="14" t="s">
        <v>5740</v>
      </c>
      <c r="J31" s="14">
        <v>80</v>
      </c>
      <c r="K31" s="14" t="s">
        <v>5679</v>
      </c>
      <c r="L31" s="17">
        <v>46249</v>
      </c>
      <c r="M31" s="17"/>
      <c r="N31" s="14" t="s">
        <v>5741</v>
      </c>
      <c r="O31" s="17">
        <v>46264</v>
      </c>
      <c r="P31" s="14"/>
      <c r="Q31" s="18">
        <v>18000</v>
      </c>
      <c r="R31" s="19">
        <v>9.1</v>
      </c>
      <c r="S31" s="18">
        <v>16362</v>
      </c>
      <c r="T31" s="14">
        <v>12</v>
      </c>
      <c r="U31" s="18">
        <v>16362</v>
      </c>
      <c r="V31" s="18">
        <v>0</v>
      </c>
      <c r="W31" s="19">
        <v>0</v>
      </c>
      <c r="X31" s="18">
        <v>0</v>
      </c>
      <c r="Y31" s="14" t="s">
        <v>5665</v>
      </c>
      <c r="Z31" s="14" t="s">
        <v>5693</v>
      </c>
      <c r="AA31" s="14" t="b">
        <v>0</v>
      </c>
      <c r="AB31" s="14" t="b">
        <v>0</v>
      </c>
      <c r="AC31" s="14" t="b">
        <v>1</v>
      </c>
    </row>
    <row r="32" spans="1:29">
      <c r="A32" s="14" t="s">
        <v>5742</v>
      </c>
      <c r="B32" s="14" t="s">
        <v>5743</v>
      </c>
      <c r="C32" s="14" t="s">
        <v>626</v>
      </c>
      <c r="D32" s="14" t="s">
        <v>5744</v>
      </c>
      <c r="E32" s="14" t="s">
        <v>18</v>
      </c>
      <c r="F32" s="14" t="s">
        <v>5668</v>
      </c>
      <c r="G32" s="14" t="s">
        <v>1281</v>
      </c>
      <c r="H32" s="15">
        <v>45697</v>
      </c>
      <c r="I32" s="14" t="s">
        <v>5663</v>
      </c>
      <c r="J32" s="14">
        <v>100</v>
      </c>
      <c r="K32" s="14" t="s">
        <v>5664</v>
      </c>
      <c r="L32" s="17">
        <v>45741</v>
      </c>
      <c r="M32" s="17">
        <v>45755</v>
      </c>
      <c r="N32" s="14"/>
      <c r="O32" s="17">
        <v>45749</v>
      </c>
      <c r="P32" s="14"/>
      <c r="Q32" s="18">
        <v>38000</v>
      </c>
      <c r="R32" s="19">
        <v>0.6</v>
      </c>
      <c r="S32" s="18">
        <v>37772</v>
      </c>
      <c r="T32" s="14">
        <v>12</v>
      </c>
      <c r="U32" s="18">
        <v>37772</v>
      </c>
      <c r="V32" s="18">
        <v>10000</v>
      </c>
      <c r="W32" s="19">
        <v>7.9</v>
      </c>
      <c r="X32" s="18">
        <v>9210</v>
      </c>
      <c r="Y32" s="14" t="s">
        <v>5735</v>
      </c>
      <c r="Z32" s="14" t="s">
        <v>5666</v>
      </c>
      <c r="AA32" s="14" t="b">
        <v>0</v>
      </c>
      <c r="AB32" s="14" t="b">
        <v>0</v>
      </c>
      <c r="AC32" s="14" t="b">
        <v>1</v>
      </c>
    </row>
    <row r="33" spans="1:29">
      <c r="A33" s="14" t="s">
        <v>5745</v>
      </c>
      <c r="B33" s="14" t="s">
        <v>5723</v>
      </c>
      <c r="C33" s="14" t="s">
        <v>645</v>
      </c>
      <c r="D33" s="14"/>
      <c r="E33" s="14" t="s">
        <v>59</v>
      </c>
      <c r="F33" s="14" t="s">
        <v>5668</v>
      </c>
      <c r="G33" s="14" t="s">
        <v>1271</v>
      </c>
      <c r="H33" s="15">
        <v>46256.375</v>
      </c>
      <c r="I33" s="14" t="s">
        <v>5681</v>
      </c>
      <c r="J33" s="14">
        <v>25</v>
      </c>
      <c r="K33" s="14" t="s">
        <v>5670</v>
      </c>
      <c r="L33" s="17">
        <v>46358</v>
      </c>
      <c r="M33" s="17"/>
      <c r="N33" s="14" t="s">
        <v>5682</v>
      </c>
      <c r="O33" s="17">
        <v>46282</v>
      </c>
      <c r="P33" s="14"/>
      <c r="Q33" s="18">
        <v>30000</v>
      </c>
      <c r="R33" s="19">
        <v>15.7</v>
      </c>
      <c r="S33" s="18">
        <v>25290</v>
      </c>
      <c r="T33" s="14">
        <v>12</v>
      </c>
      <c r="U33" s="18">
        <v>25290</v>
      </c>
      <c r="V33" s="18">
        <v>5000</v>
      </c>
      <c r="W33" s="19">
        <v>6.2</v>
      </c>
      <c r="X33" s="18">
        <v>4690</v>
      </c>
      <c r="Y33" s="14" t="s">
        <v>5735</v>
      </c>
      <c r="Z33" s="14" t="s">
        <v>5666</v>
      </c>
      <c r="AA33" s="14" t="b">
        <v>0</v>
      </c>
      <c r="AB33" s="14" t="b">
        <v>0</v>
      </c>
      <c r="AC33" s="14" t="b">
        <v>1</v>
      </c>
    </row>
    <row r="34" spans="1:29">
      <c r="A34" s="14" t="s">
        <v>5746</v>
      </c>
      <c r="B34" s="14" t="s">
        <v>5747</v>
      </c>
      <c r="C34" s="14" t="s">
        <v>909</v>
      </c>
      <c r="D34" s="14" t="s">
        <v>5748</v>
      </c>
      <c r="E34" s="14" t="s">
        <v>25</v>
      </c>
      <c r="F34" s="14" t="s">
        <v>5668</v>
      </c>
      <c r="G34" s="14" t="s">
        <v>1295</v>
      </c>
      <c r="H34" s="15">
        <v>46247.541666666664</v>
      </c>
      <c r="I34" s="14" t="s">
        <v>5740</v>
      </c>
      <c r="J34" s="14">
        <v>60</v>
      </c>
      <c r="K34" s="14" t="s">
        <v>5679</v>
      </c>
      <c r="L34" s="17">
        <v>46317</v>
      </c>
      <c r="M34" s="17"/>
      <c r="N34" s="14" t="s">
        <v>5749</v>
      </c>
      <c r="O34" s="17">
        <v>46284</v>
      </c>
      <c r="P34" s="14"/>
      <c r="Q34" s="18">
        <v>30000</v>
      </c>
      <c r="R34" s="19">
        <v>1.7</v>
      </c>
      <c r="S34" s="18">
        <v>29490</v>
      </c>
      <c r="T34" s="14">
        <v>12</v>
      </c>
      <c r="U34" s="18">
        <v>29490</v>
      </c>
      <c r="V34" s="18">
        <v>10000</v>
      </c>
      <c r="W34" s="19">
        <v>15.9</v>
      </c>
      <c r="X34" s="18">
        <v>8410</v>
      </c>
      <c r="Y34" s="14" t="s">
        <v>5665</v>
      </c>
      <c r="Z34" s="14" t="s">
        <v>5666</v>
      </c>
      <c r="AA34" s="14" t="b">
        <v>0</v>
      </c>
      <c r="AB34" s="14" t="b">
        <v>0</v>
      </c>
      <c r="AC34" s="14" t="b">
        <v>0</v>
      </c>
    </row>
    <row r="35" spans="1:29">
      <c r="A35" s="14" t="s">
        <v>5750</v>
      </c>
      <c r="B35" s="14" t="s">
        <v>5751</v>
      </c>
      <c r="C35" s="14" t="s">
        <v>314</v>
      </c>
      <c r="D35" s="14" t="s">
        <v>5752</v>
      </c>
      <c r="E35" s="14" t="s">
        <v>82</v>
      </c>
      <c r="F35" s="14" t="s">
        <v>5662</v>
      </c>
      <c r="G35" s="14"/>
      <c r="H35" s="15">
        <v>46206.791666666664</v>
      </c>
      <c r="I35" s="14" t="s">
        <v>5725</v>
      </c>
      <c r="J35" s="14">
        <v>90</v>
      </c>
      <c r="K35" s="14" t="s">
        <v>5725</v>
      </c>
      <c r="L35" s="17">
        <v>46291</v>
      </c>
      <c r="M35" s="17"/>
      <c r="N35" s="14" t="s">
        <v>5753</v>
      </c>
      <c r="O35" s="17">
        <v>46280</v>
      </c>
      <c r="P35" s="14"/>
      <c r="Q35" s="18">
        <v>12000</v>
      </c>
      <c r="R35" s="19">
        <v>32.6</v>
      </c>
      <c r="S35" s="18">
        <v>8088</v>
      </c>
      <c r="T35" s="14">
        <v>12</v>
      </c>
      <c r="U35" s="18">
        <v>8088</v>
      </c>
      <c r="V35" s="18">
        <v>0</v>
      </c>
      <c r="W35" s="19">
        <v>0</v>
      </c>
      <c r="X35" s="18">
        <v>0</v>
      </c>
      <c r="Y35" s="14" t="s">
        <v>5665</v>
      </c>
      <c r="Z35" s="14" t="s">
        <v>5666</v>
      </c>
      <c r="AA35" s="14" t="b">
        <v>0</v>
      </c>
      <c r="AB35" s="14" t="b">
        <v>0</v>
      </c>
      <c r="AC35" s="14" t="b">
        <v>1</v>
      </c>
    </row>
    <row r="36" spans="1:29">
      <c r="A36" s="14" t="s">
        <v>5754</v>
      </c>
      <c r="B36" s="14" t="s">
        <v>5698</v>
      </c>
      <c r="C36" s="14" t="s">
        <v>786</v>
      </c>
      <c r="D36" s="14" t="s">
        <v>1512</v>
      </c>
      <c r="E36" s="14" t="s">
        <v>69</v>
      </c>
      <c r="F36" s="14" t="s">
        <v>5668</v>
      </c>
      <c r="G36" s="14" t="s">
        <v>1288</v>
      </c>
      <c r="H36" s="15">
        <v>46276.5</v>
      </c>
      <c r="I36" s="14" t="s">
        <v>5681</v>
      </c>
      <c r="J36" s="14">
        <v>25</v>
      </c>
      <c r="K36" s="14" t="s">
        <v>5670</v>
      </c>
      <c r="L36" s="17">
        <v>46244</v>
      </c>
      <c r="M36" s="17"/>
      <c r="N36" s="14" t="s">
        <v>5713</v>
      </c>
      <c r="O36" s="17">
        <v>46283</v>
      </c>
      <c r="P36" s="14"/>
      <c r="Q36" s="18">
        <v>24000</v>
      </c>
      <c r="R36" s="19">
        <v>6.9</v>
      </c>
      <c r="S36" s="18">
        <v>22344</v>
      </c>
      <c r="T36" s="14">
        <v>12</v>
      </c>
      <c r="U36" s="18">
        <v>22344</v>
      </c>
      <c r="V36" s="18">
        <v>5000</v>
      </c>
      <c r="W36" s="19">
        <v>0.2</v>
      </c>
      <c r="X36" s="18">
        <v>4990</v>
      </c>
      <c r="Y36" s="14" t="s">
        <v>5665</v>
      </c>
      <c r="Z36" s="14" t="s">
        <v>5666</v>
      </c>
      <c r="AA36" s="14" t="b">
        <v>0</v>
      </c>
      <c r="AB36" s="14" t="b">
        <v>0</v>
      </c>
      <c r="AC36" s="14" t="b">
        <v>0</v>
      </c>
    </row>
    <row r="37" spans="1:29">
      <c r="A37" s="14" t="s">
        <v>5755</v>
      </c>
      <c r="B37" s="14" t="s">
        <v>5756</v>
      </c>
      <c r="C37" s="14" t="s">
        <v>843</v>
      </c>
      <c r="D37" s="14" t="s">
        <v>5757</v>
      </c>
      <c r="E37" s="14" t="s">
        <v>36</v>
      </c>
      <c r="F37" s="14" t="s">
        <v>5662</v>
      </c>
      <c r="G37" s="14" t="s">
        <v>1295</v>
      </c>
      <c r="H37" s="15">
        <v>45385</v>
      </c>
      <c r="I37" s="14" t="s">
        <v>5663</v>
      </c>
      <c r="J37" s="14">
        <v>100</v>
      </c>
      <c r="K37" s="14" t="s">
        <v>5664</v>
      </c>
      <c r="L37" s="17">
        <v>45448</v>
      </c>
      <c r="M37" s="17">
        <v>45448</v>
      </c>
      <c r="N37" s="14"/>
      <c r="O37" s="17">
        <v>45443</v>
      </c>
      <c r="P37" s="14"/>
      <c r="Q37" s="18">
        <v>32000</v>
      </c>
      <c r="R37" s="19">
        <v>8.1999999999999993</v>
      </c>
      <c r="S37" s="18">
        <v>29376</v>
      </c>
      <c r="T37" s="14">
        <v>12</v>
      </c>
      <c r="U37" s="18">
        <v>29376</v>
      </c>
      <c r="V37" s="18">
        <v>0</v>
      </c>
      <c r="W37" s="19">
        <v>0</v>
      </c>
      <c r="X37" s="18">
        <v>0</v>
      </c>
      <c r="Y37" s="14" t="s">
        <v>5665</v>
      </c>
      <c r="Z37" s="14" t="s">
        <v>5666</v>
      </c>
      <c r="AA37" s="14" t="b">
        <v>0</v>
      </c>
      <c r="AB37" s="14" t="b">
        <v>0</v>
      </c>
      <c r="AC37" s="14" t="b">
        <v>0</v>
      </c>
    </row>
    <row r="38" spans="1:29">
      <c r="A38" s="14" t="s">
        <v>2326</v>
      </c>
      <c r="B38" s="14" t="s">
        <v>5758</v>
      </c>
      <c r="C38" s="14" t="s">
        <v>26</v>
      </c>
      <c r="D38" s="14" t="s">
        <v>2325</v>
      </c>
      <c r="E38" s="14" t="s">
        <v>18</v>
      </c>
      <c r="F38" s="14" t="s">
        <v>5668</v>
      </c>
      <c r="G38" s="14" t="s">
        <v>1295</v>
      </c>
      <c r="H38" s="15">
        <v>45507.429930555554</v>
      </c>
      <c r="I38" s="14" t="s">
        <v>5675</v>
      </c>
      <c r="J38" s="14">
        <v>0</v>
      </c>
      <c r="K38" s="14" t="s">
        <v>5664</v>
      </c>
      <c r="L38" s="17">
        <v>45556.429930555554</v>
      </c>
      <c r="M38" s="17">
        <v>45570.429930555554</v>
      </c>
      <c r="N38" s="14"/>
      <c r="O38" s="17">
        <v>45569.429930555554</v>
      </c>
      <c r="P38" s="14" t="s">
        <v>5702</v>
      </c>
      <c r="Q38" s="18">
        <v>44000</v>
      </c>
      <c r="R38" s="19">
        <v>23.8</v>
      </c>
      <c r="S38" s="18">
        <v>33528</v>
      </c>
      <c r="T38" s="14">
        <v>24</v>
      </c>
      <c r="U38" s="18">
        <v>67056</v>
      </c>
      <c r="V38" s="18">
        <v>10000</v>
      </c>
      <c r="W38" s="19">
        <v>6.6</v>
      </c>
      <c r="X38" s="18">
        <v>9340</v>
      </c>
      <c r="Y38" s="14" t="s">
        <v>5688</v>
      </c>
      <c r="Z38" s="14" t="s">
        <v>5666</v>
      </c>
      <c r="AA38" s="14" t="b">
        <v>0</v>
      </c>
      <c r="AB38" s="14" t="b">
        <v>1</v>
      </c>
      <c r="AC38" s="14" t="b">
        <v>1</v>
      </c>
    </row>
    <row r="39" spans="1:29">
      <c r="A39" s="14" t="s">
        <v>5759</v>
      </c>
      <c r="B39" s="14" t="s">
        <v>5760</v>
      </c>
      <c r="C39" s="14" t="s">
        <v>382</v>
      </c>
      <c r="D39" s="14" t="s">
        <v>5761</v>
      </c>
      <c r="E39" s="14" t="s">
        <v>18</v>
      </c>
      <c r="F39" s="14" t="s">
        <v>5662</v>
      </c>
      <c r="G39" s="14" t="s">
        <v>1355</v>
      </c>
      <c r="H39" s="15">
        <v>45346.844108796293</v>
      </c>
      <c r="I39" s="14" t="s">
        <v>5663</v>
      </c>
      <c r="J39" s="14">
        <v>60</v>
      </c>
      <c r="K39" s="14" t="s">
        <v>5664</v>
      </c>
      <c r="L39" s="17">
        <v>45415.844108796293</v>
      </c>
      <c r="M39" s="17">
        <v>45401.844108796293</v>
      </c>
      <c r="N39" s="14"/>
      <c r="O39" s="17">
        <v>45398.844108796293</v>
      </c>
      <c r="P39" s="14"/>
      <c r="Q39" s="18">
        <v>28000</v>
      </c>
      <c r="R39" s="19">
        <v>5.6</v>
      </c>
      <c r="S39" s="18">
        <v>26432</v>
      </c>
      <c r="T39" s="14">
        <v>12</v>
      </c>
      <c r="U39" s="18">
        <v>26432</v>
      </c>
      <c r="V39" s="18">
        <v>0</v>
      </c>
      <c r="W39" s="19">
        <v>0</v>
      </c>
      <c r="X39" s="18">
        <v>0</v>
      </c>
      <c r="Y39" s="14" t="s">
        <v>5665</v>
      </c>
      <c r="Z39" s="14" t="s">
        <v>5666</v>
      </c>
      <c r="AA39" s="14" t="b">
        <v>0</v>
      </c>
      <c r="AB39" s="14" t="b">
        <v>0</v>
      </c>
      <c r="AC39" s="14" t="b">
        <v>0</v>
      </c>
    </row>
    <row r="40" spans="1:29">
      <c r="A40" s="14" t="s">
        <v>5762</v>
      </c>
      <c r="B40" s="14" t="s">
        <v>5763</v>
      </c>
      <c r="C40" s="14" t="s">
        <v>739</v>
      </c>
      <c r="D40" s="14" t="s">
        <v>2455</v>
      </c>
      <c r="E40" s="14" t="s">
        <v>36</v>
      </c>
      <c r="F40" s="14" t="s">
        <v>5668</v>
      </c>
      <c r="G40" s="14" t="s">
        <v>1271</v>
      </c>
      <c r="H40" s="15">
        <v>46142</v>
      </c>
      <c r="I40" s="14" t="s">
        <v>5663</v>
      </c>
      <c r="J40" s="14">
        <v>100</v>
      </c>
      <c r="K40" s="14" t="s">
        <v>5664</v>
      </c>
      <c r="L40" s="17">
        <v>46239</v>
      </c>
      <c r="M40" s="17">
        <v>46239</v>
      </c>
      <c r="N40" s="14"/>
      <c r="O40" s="17">
        <v>46232</v>
      </c>
      <c r="P40" s="14"/>
      <c r="Q40" s="18">
        <v>92000</v>
      </c>
      <c r="R40" s="19">
        <v>6.4</v>
      </c>
      <c r="S40" s="18">
        <v>86112</v>
      </c>
      <c r="T40" s="14">
        <v>12</v>
      </c>
      <c r="U40" s="18">
        <v>86112</v>
      </c>
      <c r="V40" s="18">
        <v>20000</v>
      </c>
      <c r="W40" s="19">
        <v>2.7</v>
      </c>
      <c r="X40" s="18">
        <v>19460</v>
      </c>
      <c r="Y40" s="14" t="s">
        <v>5665</v>
      </c>
      <c r="Z40" s="14" t="s">
        <v>5666</v>
      </c>
      <c r="AA40" s="14" t="b">
        <v>0</v>
      </c>
      <c r="AB40" s="14" t="b">
        <v>0</v>
      </c>
      <c r="AC40" s="14" t="b">
        <v>0</v>
      </c>
    </row>
    <row r="41" spans="1:29">
      <c r="A41" s="14" t="s">
        <v>5764</v>
      </c>
      <c r="B41" s="14" t="s">
        <v>5765</v>
      </c>
      <c r="C41" s="14" t="s">
        <v>158</v>
      </c>
      <c r="D41" s="14" t="s">
        <v>5766</v>
      </c>
      <c r="E41" s="14" t="s">
        <v>59</v>
      </c>
      <c r="F41" s="14" t="s">
        <v>5668</v>
      </c>
      <c r="G41" s="14" t="s">
        <v>1355</v>
      </c>
      <c r="H41" s="15">
        <v>46268.958333333336</v>
      </c>
      <c r="I41" s="14" t="s">
        <v>5686</v>
      </c>
      <c r="J41" s="14">
        <v>10</v>
      </c>
      <c r="K41" s="14" t="s">
        <v>5670</v>
      </c>
      <c r="L41" s="17">
        <v>46366</v>
      </c>
      <c r="M41" s="17"/>
      <c r="N41" s="14" t="s">
        <v>5767</v>
      </c>
      <c r="O41" s="17">
        <v>46272</v>
      </c>
      <c r="P41" s="14"/>
      <c r="Q41" s="18">
        <v>12000</v>
      </c>
      <c r="R41" s="19">
        <v>12.3</v>
      </c>
      <c r="S41" s="18">
        <v>10524</v>
      </c>
      <c r="T41" s="14">
        <v>12</v>
      </c>
      <c r="U41" s="18">
        <v>10524</v>
      </c>
      <c r="V41" s="18">
        <v>5000</v>
      </c>
      <c r="W41" s="19">
        <v>7.3</v>
      </c>
      <c r="X41" s="18">
        <v>4635</v>
      </c>
      <c r="Y41" s="14" t="s">
        <v>5665</v>
      </c>
      <c r="Z41" s="14" t="s">
        <v>5666</v>
      </c>
      <c r="AA41" s="14" t="b">
        <v>0</v>
      </c>
      <c r="AB41" s="14" t="b">
        <v>0</v>
      </c>
      <c r="AC41" s="14" t="b">
        <v>1</v>
      </c>
    </row>
    <row r="42" spans="1:29">
      <c r="A42" s="14" t="s">
        <v>2369</v>
      </c>
      <c r="B42" s="14" t="s">
        <v>5768</v>
      </c>
      <c r="C42" s="14" t="s">
        <v>715</v>
      </c>
      <c r="D42" s="14" t="s">
        <v>2368</v>
      </c>
      <c r="E42" s="14" t="s">
        <v>55</v>
      </c>
      <c r="F42" s="14" t="s">
        <v>5668</v>
      </c>
      <c r="G42" s="14" t="s">
        <v>1271</v>
      </c>
      <c r="H42" s="15">
        <v>44897.470277777778</v>
      </c>
      <c r="I42" s="14" t="s">
        <v>5675</v>
      </c>
      <c r="J42" s="14">
        <v>0</v>
      </c>
      <c r="K42" s="14" t="s">
        <v>5664</v>
      </c>
      <c r="L42" s="17">
        <v>44987.470277777778</v>
      </c>
      <c r="M42" s="17">
        <v>44973.470277777778</v>
      </c>
      <c r="N42" s="14"/>
      <c r="O42" s="17">
        <v>44968.470277777778</v>
      </c>
      <c r="P42" s="14" t="s">
        <v>5769</v>
      </c>
      <c r="Q42" s="18">
        <v>38000</v>
      </c>
      <c r="R42" s="19">
        <v>29.1</v>
      </c>
      <c r="S42" s="18">
        <v>26942</v>
      </c>
      <c r="T42" s="14">
        <v>12</v>
      </c>
      <c r="U42" s="18">
        <v>26942</v>
      </c>
      <c r="V42" s="18">
        <v>10000</v>
      </c>
      <c r="W42" s="19">
        <v>8.1999999999999993</v>
      </c>
      <c r="X42" s="18">
        <v>9180</v>
      </c>
      <c r="Y42" s="14" t="s">
        <v>5665</v>
      </c>
      <c r="Z42" s="14" t="s">
        <v>5666</v>
      </c>
      <c r="AA42" s="14" t="b">
        <v>0</v>
      </c>
      <c r="AB42" s="14" t="b">
        <v>0</v>
      </c>
      <c r="AC42" s="14" t="b">
        <v>1</v>
      </c>
    </row>
    <row r="43" spans="1:29">
      <c r="A43" s="14" t="s">
        <v>5770</v>
      </c>
      <c r="B43" s="14" t="s">
        <v>5771</v>
      </c>
      <c r="C43" s="14" t="s">
        <v>834</v>
      </c>
      <c r="D43" s="14" t="s">
        <v>1954</v>
      </c>
      <c r="E43" s="14" t="s">
        <v>36</v>
      </c>
      <c r="F43" s="14" t="s">
        <v>5668</v>
      </c>
      <c r="G43" s="14" t="s">
        <v>1295</v>
      </c>
      <c r="H43" s="15">
        <v>46067.740358796298</v>
      </c>
      <c r="I43" s="14" t="s">
        <v>5663</v>
      </c>
      <c r="J43" s="14">
        <v>100</v>
      </c>
      <c r="K43" s="14" t="s">
        <v>5664</v>
      </c>
      <c r="L43" s="17">
        <v>46148.740358796298</v>
      </c>
      <c r="M43" s="17">
        <v>46118.740358796298</v>
      </c>
      <c r="N43" s="14"/>
      <c r="O43" s="17">
        <v>46114.740358796298</v>
      </c>
      <c r="P43" s="14"/>
      <c r="Q43" s="18">
        <v>60000</v>
      </c>
      <c r="R43" s="19">
        <v>3.7</v>
      </c>
      <c r="S43" s="18">
        <v>57780</v>
      </c>
      <c r="T43" s="14">
        <v>12</v>
      </c>
      <c r="U43" s="18">
        <v>57780</v>
      </c>
      <c r="V43" s="18">
        <v>20000</v>
      </c>
      <c r="W43" s="19">
        <v>16.3</v>
      </c>
      <c r="X43" s="18">
        <v>16740</v>
      </c>
      <c r="Y43" s="14" t="s">
        <v>5665</v>
      </c>
      <c r="Z43" s="14" t="s">
        <v>5666</v>
      </c>
      <c r="AA43" s="14" t="b">
        <v>0</v>
      </c>
      <c r="AB43" s="14" t="b">
        <v>0</v>
      </c>
      <c r="AC43" s="14" t="b">
        <v>0</v>
      </c>
    </row>
    <row r="44" spans="1:29">
      <c r="A44" s="14" t="s">
        <v>5772</v>
      </c>
      <c r="B44" s="14" t="s">
        <v>5727</v>
      </c>
      <c r="C44" s="14" t="s">
        <v>954</v>
      </c>
      <c r="D44" s="14" t="s">
        <v>5773</v>
      </c>
      <c r="E44" s="14" t="s">
        <v>55</v>
      </c>
      <c r="F44" s="14" t="s">
        <v>5668</v>
      </c>
      <c r="G44" s="14" t="s">
        <v>1317</v>
      </c>
      <c r="H44" s="15">
        <v>46208.416666666664</v>
      </c>
      <c r="I44" s="14" t="s">
        <v>5669</v>
      </c>
      <c r="J44" s="14">
        <v>60</v>
      </c>
      <c r="K44" s="14" t="s">
        <v>5679</v>
      </c>
      <c r="L44" s="17">
        <v>46301</v>
      </c>
      <c r="M44" s="17"/>
      <c r="N44" s="14" t="s">
        <v>5774</v>
      </c>
      <c r="O44" s="17">
        <v>46267</v>
      </c>
      <c r="P44" s="14"/>
      <c r="Q44" s="18">
        <v>34000</v>
      </c>
      <c r="R44" s="19">
        <v>7.9</v>
      </c>
      <c r="S44" s="18">
        <v>31314</v>
      </c>
      <c r="T44" s="14">
        <v>24</v>
      </c>
      <c r="U44" s="18">
        <v>62628</v>
      </c>
      <c r="V44" s="18">
        <v>10000</v>
      </c>
      <c r="W44" s="19">
        <v>23.6</v>
      </c>
      <c r="X44" s="18">
        <v>7640</v>
      </c>
      <c r="Y44" s="14" t="s">
        <v>5665</v>
      </c>
      <c r="Z44" s="14" t="s">
        <v>5666</v>
      </c>
      <c r="AA44" s="14" t="b">
        <v>0</v>
      </c>
      <c r="AB44" s="14" t="b">
        <v>0</v>
      </c>
      <c r="AC44" s="14" t="b">
        <v>1</v>
      </c>
    </row>
    <row r="45" spans="1:29">
      <c r="A45" s="14" t="s">
        <v>2168</v>
      </c>
      <c r="B45" s="14" t="s">
        <v>5775</v>
      </c>
      <c r="C45" s="14" t="s">
        <v>918</v>
      </c>
      <c r="D45" s="14" t="s">
        <v>2167</v>
      </c>
      <c r="E45" s="14" t="s">
        <v>36</v>
      </c>
      <c r="F45" s="14" t="s">
        <v>5668</v>
      </c>
      <c r="G45" s="14" t="s">
        <v>1355</v>
      </c>
      <c r="H45" s="15">
        <v>44781.050254629627</v>
      </c>
      <c r="I45" s="14" t="s">
        <v>5663</v>
      </c>
      <c r="J45" s="14">
        <v>100</v>
      </c>
      <c r="K45" s="14" t="s">
        <v>5664</v>
      </c>
      <c r="L45" s="17">
        <v>44883.050254629627</v>
      </c>
      <c r="M45" s="17">
        <v>44869.050254629627</v>
      </c>
      <c r="N45" s="14"/>
      <c r="O45" s="17">
        <v>44865.050254629627</v>
      </c>
      <c r="P45" s="14"/>
      <c r="Q45" s="18">
        <v>86000</v>
      </c>
      <c r="R45" s="19">
        <v>3.3</v>
      </c>
      <c r="S45" s="18">
        <v>83162</v>
      </c>
      <c r="T45" s="14">
        <v>12</v>
      </c>
      <c r="U45" s="18">
        <v>83162</v>
      </c>
      <c r="V45" s="18">
        <v>20000</v>
      </c>
      <c r="W45" s="19">
        <v>10.5</v>
      </c>
      <c r="X45" s="18">
        <v>17900</v>
      </c>
      <c r="Y45" s="14" t="s">
        <v>5665</v>
      </c>
      <c r="Z45" s="14" t="s">
        <v>5666</v>
      </c>
      <c r="AA45" s="14" t="b">
        <v>0</v>
      </c>
      <c r="AB45" s="14" t="b">
        <v>0</v>
      </c>
      <c r="AC45" s="14" t="b">
        <v>0</v>
      </c>
    </row>
    <row r="46" spans="1:29">
      <c r="A46" s="14" t="s">
        <v>2069</v>
      </c>
      <c r="B46" s="14" t="s">
        <v>5776</v>
      </c>
      <c r="C46" s="14" t="s">
        <v>774</v>
      </c>
      <c r="D46" s="14" t="s">
        <v>2068</v>
      </c>
      <c r="E46" s="14" t="s">
        <v>18</v>
      </c>
      <c r="F46" s="14" t="s">
        <v>5668</v>
      </c>
      <c r="G46" s="14" t="s">
        <v>1271</v>
      </c>
      <c r="H46" s="15">
        <v>46266.555937500001</v>
      </c>
      <c r="I46" s="14" t="s">
        <v>5725</v>
      </c>
      <c r="J46" s="14">
        <v>90</v>
      </c>
      <c r="K46" s="14" t="s">
        <v>5725</v>
      </c>
      <c r="L46" s="17">
        <v>46292</v>
      </c>
      <c r="M46" s="17"/>
      <c r="N46" s="14" t="s">
        <v>5777</v>
      </c>
      <c r="O46" s="17">
        <v>46272</v>
      </c>
      <c r="P46" s="14"/>
      <c r="Q46" s="18">
        <v>36000</v>
      </c>
      <c r="R46" s="19">
        <v>19</v>
      </c>
      <c r="S46" s="18">
        <v>29160</v>
      </c>
      <c r="T46" s="14">
        <v>12</v>
      </c>
      <c r="U46" s="18">
        <v>29160</v>
      </c>
      <c r="V46" s="18">
        <v>10000</v>
      </c>
      <c r="W46" s="19">
        <v>3.4</v>
      </c>
      <c r="X46" s="18">
        <v>9660</v>
      </c>
      <c r="Y46" s="14" t="s">
        <v>5665</v>
      </c>
      <c r="Z46" s="14" t="s">
        <v>5666</v>
      </c>
      <c r="AA46" s="14" t="b">
        <v>0</v>
      </c>
      <c r="AB46" s="14" t="b">
        <v>1</v>
      </c>
      <c r="AC46" s="14" t="b">
        <v>1</v>
      </c>
    </row>
    <row r="47" spans="1:29">
      <c r="A47" s="14" t="s">
        <v>5778</v>
      </c>
      <c r="B47" s="14" t="s">
        <v>5779</v>
      </c>
      <c r="C47" s="14" t="s">
        <v>780</v>
      </c>
      <c r="D47" s="14" t="s">
        <v>2364</v>
      </c>
      <c r="E47" s="14" t="s">
        <v>36</v>
      </c>
      <c r="F47" s="14" t="s">
        <v>5668</v>
      </c>
      <c r="G47" s="14" t="s">
        <v>1413</v>
      </c>
      <c r="H47" s="15">
        <v>45674</v>
      </c>
      <c r="I47" s="14" t="s">
        <v>5663</v>
      </c>
      <c r="J47" s="14">
        <v>100</v>
      </c>
      <c r="K47" s="14" t="s">
        <v>5664</v>
      </c>
      <c r="L47" s="17">
        <v>45765</v>
      </c>
      <c r="M47" s="17">
        <v>45751</v>
      </c>
      <c r="N47" s="14"/>
      <c r="O47" s="17">
        <v>45746</v>
      </c>
      <c r="P47" s="14"/>
      <c r="Q47" s="18">
        <v>42000</v>
      </c>
      <c r="R47" s="19">
        <v>2.2000000000000002</v>
      </c>
      <c r="S47" s="18">
        <v>41076</v>
      </c>
      <c r="T47" s="14">
        <v>12</v>
      </c>
      <c r="U47" s="18">
        <v>41076</v>
      </c>
      <c r="V47" s="18">
        <v>10000</v>
      </c>
      <c r="W47" s="19">
        <v>15.6</v>
      </c>
      <c r="X47" s="18">
        <v>8440</v>
      </c>
      <c r="Y47" s="14" t="s">
        <v>5665</v>
      </c>
      <c r="Z47" s="14" t="s">
        <v>5780</v>
      </c>
      <c r="AA47" s="14" t="b">
        <v>0</v>
      </c>
      <c r="AB47" s="14" t="b">
        <v>0</v>
      </c>
      <c r="AC47" s="14" t="b">
        <v>1</v>
      </c>
    </row>
    <row r="48" spans="1:29">
      <c r="A48" s="14" t="s">
        <v>2373</v>
      </c>
      <c r="B48" s="14" t="s">
        <v>5781</v>
      </c>
      <c r="C48" s="14" t="s">
        <v>360</v>
      </c>
      <c r="D48" s="14" t="s">
        <v>2372</v>
      </c>
      <c r="E48" s="14" t="s">
        <v>59</v>
      </c>
      <c r="F48" s="14" t="s">
        <v>5668</v>
      </c>
      <c r="G48" s="14" t="s">
        <v>1413</v>
      </c>
      <c r="H48" s="15">
        <v>45814.590474537035</v>
      </c>
      <c r="I48" s="14" t="s">
        <v>5675</v>
      </c>
      <c r="J48" s="14">
        <v>0</v>
      </c>
      <c r="K48" s="14" t="s">
        <v>5664</v>
      </c>
      <c r="L48" s="17">
        <v>45825.590474537035</v>
      </c>
      <c r="M48" s="17">
        <v>45839.590474537035</v>
      </c>
      <c r="N48" s="14"/>
      <c r="O48" s="17">
        <v>45832.590474537035</v>
      </c>
      <c r="P48" s="14" t="s">
        <v>5703</v>
      </c>
      <c r="Q48" s="18">
        <v>12000</v>
      </c>
      <c r="R48" s="19">
        <v>0.8</v>
      </c>
      <c r="S48" s="18">
        <v>11904</v>
      </c>
      <c r="T48" s="14">
        <v>12</v>
      </c>
      <c r="U48" s="18">
        <v>11904</v>
      </c>
      <c r="V48" s="18">
        <v>5000</v>
      </c>
      <c r="W48" s="19">
        <v>19.2</v>
      </c>
      <c r="X48" s="18">
        <v>4040</v>
      </c>
      <c r="Y48" s="14" t="s">
        <v>5665</v>
      </c>
      <c r="Z48" s="14" t="s">
        <v>5666</v>
      </c>
      <c r="AA48" s="14" t="b">
        <v>0</v>
      </c>
      <c r="AB48" s="14" t="b">
        <v>0</v>
      </c>
      <c r="AC48" s="14" t="b">
        <v>0</v>
      </c>
    </row>
    <row r="49" spans="1:29">
      <c r="A49" s="14" t="s">
        <v>2281</v>
      </c>
      <c r="B49" s="14" t="s">
        <v>5782</v>
      </c>
      <c r="C49" s="14" t="s">
        <v>557</v>
      </c>
      <c r="D49" s="14" t="s">
        <v>2280</v>
      </c>
      <c r="E49" s="14" t="s">
        <v>25</v>
      </c>
      <c r="F49" s="14" t="s">
        <v>5668</v>
      </c>
      <c r="G49" s="14" t="s">
        <v>1413</v>
      </c>
      <c r="H49" s="15">
        <v>45058.076851851853</v>
      </c>
      <c r="I49" s="14" t="s">
        <v>5675</v>
      </c>
      <c r="J49" s="14">
        <v>0</v>
      </c>
      <c r="K49" s="14" t="s">
        <v>5664</v>
      </c>
      <c r="L49" s="17">
        <v>45089.076851851853</v>
      </c>
      <c r="M49" s="17">
        <v>45089.076851851853</v>
      </c>
      <c r="N49" s="14"/>
      <c r="O49" s="17">
        <v>45089.076851851853</v>
      </c>
      <c r="P49" s="14" t="s">
        <v>5783</v>
      </c>
      <c r="Q49" s="18">
        <v>38000</v>
      </c>
      <c r="R49" s="19">
        <v>0.5</v>
      </c>
      <c r="S49" s="18">
        <v>37810</v>
      </c>
      <c r="T49" s="14">
        <v>12</v>
      </c>
      <c r="U49" s="18">
        <v>37810</v>
      </c>
      <c r="V49" s="18">
        <v>10000</v>
      </c>
      <c r="W49" s="19">
        <v>6.5</v>
      </c>
      <c r="X49" s="18">
        <v>9350</v>
      </c>
      <c r="Y49" s="14" t="s">
        <v>5665</v>
      </c>
      <c r="Z49" s="14" t="s">
        <v>5666</v>
      </c>
      <c r="AA49" s="14" t="b">
        <v>0</v>
      </c>
      <c r="AB49" s="14" t="b">
        <v>0</v>
      </c>
      <c r="AC49" s="14" t="b">
        <v>0</v>
      </c>
    </row>
    <row r="50" spans="1:29">
      <c r="A50" s="14" t="s">
        <v>2031</v>
      </c>
      <c r="B50" s="14" t="s">
        <v>5784</v>
      </c>
      <c r="C50" s="14" t="s">
        <v>867</v>
      </c>
      <c r="D50" s="14" t="s">
        <v>2030</v>
      </c>
      <c r="E50" s="14" t="s">
        <v>18</v>
      </c>
      <c r="F50" s="14" t="s">
        <v>5668</v>
      </c>
      <c r="G50" s="14" t="s">
        <v>1413</v>
      </c>
      <c r="H50" s="15">
        <v>45173.126562500001</v>
      </c>
      <c r="I50" s="14" t="s">
        <v>5675</v>
      </c>
      <c r="J50" s="14">
        <v>0</v>
      </c>
      <c r="K50" s="14" t="s">
        <v>5664</v>
      </c>
      <c r="L50" s="17">
        <v>45263.126562500001</v>
      </c>
      <c r="M50" s="17">
        <v>45256.126562500001</v>
      </c>
      <c r="N50" s="14"/>
      <c r="O50" s="17">
        <v>45252.126562500001</v>
      </c>
      <c r="P50" s="14" t="s">
        <v>5728</v>
      </c>
      <c r="Q50" s="18">
        <v>34000</v>
      </c>
      <c r="R50" s="19">
        <v>0.7</v>
      </c>
      <c r="S50" s="18">
        <v>33762</v>
      </c>
      <c r="T50" s="14">
        <v>36</v>
      </c>
      <c r="U50" s="18">
        <v>101286</v>
      </c>
      <c r="V50" s="18">
        <v>10000</v>
      </c>
      <c r="W50" s="19">
        <v>6</v>
      </c>
      <c r="X50" s="18">
        <v>9400</v>
      </c>
      <c r="Y50" s="14" t="s">
        <v>5688</v>
      </c>
      <c r="Z50" s="14" t="s">
        <v>5666</v>
      </c>
      <c r="AA50" s="14" t="b">
        <v>1</v>
      </c>
      <c r="AB50" s="14" t="b">
        <v>0</v>
      </c>
      <c r="AC50" s="14" t="b">
        <v>1</v>
      </c>
    </row>
    <row r="51" spans="1:29">
      <c r="A51" s="14" t="s">
        <v>1629</v>
      </c>
      <c r="B51" s="14" t="s">
        <v>5785</v>
      </c>
      <c r="C51" s="14" t="s">
        <v>891</v>
      </c>
      <c r="D51" s="14" t="s">
        <v>1628</v>
      </c>
      <c r="E51" s="14" t="s">
        <v>82</v>
      </c>
      <c r="F51" s="14" t="s">
        <v>5668</v>
      </c>
      <c r="G51" s="14" t="s">
        <v>1271</v>
      </c>
      <c r="H51" s="15">
        <v>46018.142650462964</v>
      </c>
      <c r="I51" s="14" t="s">
        <v>5675</v>
      </c>
      <c r="J51" s="14">
        <v>0</v>
      </c>
      <c r="K51" s="14" t="s">
        <v>5664</v>
      </c>
      <c r="L51" s="17">
        <v>46080.142650462964</v>
      </c>
      <c r="M51" s="17">
        <v>46066.142650462964</v>
      </c>
      <c r="N51" s="14"/>
      <c r="O51" s="17">
        <v>46066.142650462964</v>
      </c>
      <c r="P51" s="14" t="s">
        <v>5769</v>
      </c>
      <c r="Q51" s="18">
        <v>50000</v>
      </c>
      <c r="R51" s="19">
        <v>22.7</v>
      </c>
      <c r="S51" s="18">
        <v>38650</v>
      </c>
      <c r="T51" s="14">
        <v>24</v>
      </c>
      <c r="U51" s="18">
        <v>77300</v>
      </c>
      <c r="V51" s="18">
        <v>10000</v>
      </c>
      <c r="W51" s="19">
        <v>4.0999999999999996</v>
      </c>
      <c r="X51" s="18">
        <v>9590</v>
      </c>
      <c r="Y51" s="14" t="s">
        <v>5665</v>
      </c>
      <c r="Z51" s="14" t="s">
        <v>5666</v>
      </c>
      <c r="AA51" s="14" t="b">
        <v>0</v>
      </c>
      <c r="AB51" s="14" t="b">
        <v>0</v>
      </c>
      <c r="AC51" s="14" t="b">
        <v>1</v>
      </c>
    </row>
    <row r="52" spans="1:29">
      <c r="A52" s="14" t="s">
        <v>2074</v>
      </c>
      <c r="B52" s="14" t="s">
        <v>5786</v>
      </c>
      <c r="C52" s="14" t="s">
        <v>612</v>
      </c>
      <c r="D52" s="14" t="s">
        <v>2073</v>
      </c>
      <c r="E52" s="14" t="s">
        <v>82</v>
      </c>
      <c r="F52" s="14" t="s">
        <v>5668</v>
      </c>
      <c r="G52" s="14" t="s">
        <v>1295</v>
      </c>
      <c r="H52" s="15">
        <v>46222.636111111111</v>
      </c>
      <c r="I52" s="14" t="s">
        <v>5675</v>
      </c>
      <c r="J52" s="14">
        <v>0</v>
      </c>
      <c r="K52" s="14" t="s">
        <v>5664</v>
      </c>
      <c r="L52" s="17">
        <v>46276.636111111111</v>
      </c>
      <c r="M52" s="17">
        <v>46269.636111111111</v>
      </c>
      <c r="N52" s="14"/>
      <c r="O52" s="17">
        <v>46264.636111111111</v>
      </c>
      <c r="P52" s="14" t="s">
        <v>5783</v>
      </c>
      <c r="Q52" s="18">
        <v>34000</v>
      </c>
      <c r="R52" s="19">
        <v>11.3</v>
      </c>
      <c r="S52" s="18">
        <v>30158</v>
      </c>
      <c r="T52" s="14">
        <v>36</v>
      </c>
      <c r="U52" s="18">
        <v>90474</v>
      </c>
      <c r="V52" s="18">
        <v>10000</v>
      </c>
      <c r="W52" s="19">
        <v>6.2</v>
      </c>
      <c r="X52" s="18">
        <v>9380</v>
      </c>
      <c r="Y52" s="14" t="s">
        <v>5688</v>
      </c>
      <c r="Z52" s="14" t="s">
        <v>5666</v>
      </c>
      <c r="AA52" s="14" t="b">
        <v>0</v>
      </c>
      <c r="AB52" s="14" t="b">
        <v>0</v>
      </c>
      <c r="AC52" s="14" t="b">
        <v>1</v>
      </c>
    </row>
    <row r="53" spans="1:29">
      <c r="A53" s="14" t="s">
        <v>5787</v>
      </c>
      <c r="B53" s="14" t="s">
        <v>5788</v>
      </c>
      <c r="C53" s="14" t="s">
        <v>302</v>
      </c>
      <c r="D53" s="14" t="s">
        <v>5789</v>
      </c>
      <c r="E53" s="14" t="s">
        <v>36</v>
      </c>
      <c r="F53" s="14" t="s">
        <v>5662</v>
      </c>
      <c r="G53" s="14" t="s">
        <v>1355</v>
      </c>
      <c r="H53" s="15">
        <v>45516</v>
      </c>
      <c r="I53" s="14" t="s">
        <v>5663</v>
      </c>
      <c r="J53" s="14">
        <v>100</v>
      </c>
      <c r="K53" s="14" t="s">
        <v>5664</v>
      </c>
      <c r="L53" s="17">
        <v>45572</v>
      </c>
      <c r="M53" s="17">
        <v>45572</v>
      </c>
      <c r="N53" s="14"/>
      <c r="O53" s="17">
        <v>45565</v>
      </c>
      <c r="P53" s="14"/>
      <c r="Q53" s="18">
        <v>16000</v>
      </c>
      <c r="R53" s="19">
        <v>5.0999999999999996</v>
      </c>
      <c r="S53" s="18">
        <v>15184</v>
      </c>
      <c r="T53" s="14">
        <v>24</v>
      </c>
      <c r="U53" s="18">
        <v>30368</v>
      </c>
      <c r="V53" s="18">
        <v>0</v>
      </c>
      <c r="W53" s="19">
        <v>0</v>
      </c>
      <c r="X53" s="18">
        <v>0</v>
      </c>
      <c r="Y53" s="14" t="s">
        <v>5665</v>
      </c>
      <c r="Z53" s="14" t="s">
        <v>5666</v>
      </c>
      <c r="AA53" s="14" t="b">
        <v>0</v>
      </c>
      <c r="AB53" s="14" t="b">
        <v>0</v>
      </c>
      <c r="AC53" s="14" t="b">
        <v>0</v>
      </c>
    </row>
    <row r="54" spans="1:29">
      <c r="A54" s="14" t="s">
        <v>5790</v>
      </c>
      <c r="B54" s="14" t="s">
        <v>5791</v>
      </c>
      <c r="C54" s="14" t="s">
        <v>512</v>
      </c>
      <c r="D54" s="14" t="s">
        <v>5792</v>
      </c>
      <c r="E54" s="14" t="s">
        <v>25</v>
      </c>
      <c r="F54" s="14" t="s">
        <v>5668</v>
      </c>
      <c r="G54" s="14" t="s">
        <v>1317</v>
      </c>
      <c r="H54" s="15">
        <v>46185.75</v>
      </c>
      <c r="I54" s="14" t="s">
        <v>5725</v>
      </c>
      <c r="J54" s="14">
        <v>90</v>
      </c>
      <c r="K54" s="14" t="s">
        <v>5725</v>
      </c>
      <c r="L54" s="17">
        <v>46297</v>
      </c>
      <c r="M54" s="17"/>
      <c r="N54" s="14" t="s">
        <v>5777</v>
      </c>
      <c r="O54" s="17">
        <v>46266</v>
      </c>
      <c r="P54" s="14"/>
      <c r="Q54" s="18">
        <v>34000</v>
      </c>
      <c r="R54" s="19">
        <v>5.5</v>
      </c>
      <c r="S54" s="18">
        <v>32130</v>
      </c>
      <c r="T54" s="14">
        <v>36</v>
      </c>
      <c r="U54" s="18">
        <v>96390</v>
      </c>
      <c r="V54" s="18">
        <v>5000</v>
      </c>
      <c r="W54" s="19">
        <v>2.8</v>
      </c>
      <c r="X54" s="18">
        <v>4860</v>
      </c>
      <c r="Y54" s="14" t="s">
        <v>5665</v>
      </c>
      <c r="Z54" s="14" t="s">
        <v>5666</v>
      </c>
      <c r="AA54" s="14" t="b">
        <v>0</v>
      </c>
      <c r="AB54" s="14" t="b">
        <v>0</v>
      </c>
      <c r="AC54" s="14" t="b">
        <v>0</v>
      </c>
    </row>
    <row r="55" spans="1:29">
      <c r="A55" s="14" t="s">
        <v>2321</v>
      </c>
      <c r="B55" s="14" t="s">
        <v>5793</v>
      </c>
      <c r="C55" s="14" t="s">
        <v>675</v>
      </c>
      <c r="D55" s="14" t="s">
        <v>2320</v>
      </c>
      <c r="E55" s="14" t="s">
        <v>55</v>
      </c>
      <c r="F55" s="14" t="s">
        <v>5668</v>
      </c>
      <c r="G55" s="14" t="s">
        <v>1288</v>
      </c>
      <c r="H55" s="15">
        <v>46066.127847222226</v>
      </c>
      <c r="I55" s="14" t="s">
        <v>5675</v>
      </c>
      <c r="J55" s="14">
        <v>0</v>
      </c>
      <c r="K55" s="14" t="s">
        <v>5664</v>
      </c>
      <c r="L55" s="17">
        <v>46166.127847222226</v>
      </c>
      <c r="M55" s="17">
        <v>46136.127847222226</v>
      </c>
      <c r="N55" s="14"/>
      <c r="O55" s="17">
        <v>46130.127847222226</v>
      </c>
      <c r="P55" s="14" t="s">
        <v>5769</v>
      </c>
      <c r="Q55" s="18">
        <v>54000</v>
      </c>
      <c r="R55" s="19">
        <v>5.4</v>
      </c>
      <c r="S55" s="18">
        <v>51084</v>
      </c>
      <c r="T55" s="14">
        <v>24</v>
      </c>
      <c r="U55" s="18">
        <v>102168</v>
      </c>
      <c r="V55" s="18">
        <v>10000</v>
      </c>
      <c r="W55" s="19">
        <v>15.3</v>
      </c>
      <c r="X55" s="18">
        <v>8470</v>
      </c>
      <c r="Y55" s="14" t="s">
        <v>5665</v>
      </c>
      <c r="Z55" s="14" t="s">
        <v>5666</v>
      </c>
      <c r="AA55" s="14" t="b">
        <v>0</v>
      </c>
      <c r="AB55" s="14" t="b">
        <v>0</v>
      </c>
      <c r="AC55" s="14" t="b">
        <v>0</v>
      </c>
    </row>
    <row r="56" spans="1:29">
      <c r="A56" s="14" t="s">
        <v>5794</v>
      </c>
      <c r="B56" s="14" t="s">
        <v>5795</v>
      </c>
      <c r="C56" s="14" t="s">
        <v>412</v>
      </c>
      <c r="D56" s="14" t="s">
        <v>5796</v>
      </c>
      <c r="E56" s="14" t="s">
        <v>55</v>
      </c>
      <c r="F56" s="14" t="s">
        <v>5662</v>
      </c>
      <c r="G56" s="14" t="s">
        <v>1413</v>
      </c>
      <c r="H56" s="15">
        <v>45610</v>
      </c>
      <c r="I56" s="14" t="s">
        <v>5663</v>
      </c>
      <c r="J56" s="14">
        <v>100</v>
      </c>
      <c r="K56" s="14" t="s">
        <v>5664</v>
      </c>
      <c r="L56" s="17">
        <v>45728</v>
      </c>
      <c r="M56" s="17">
        <v>45698</v>
      </c>
      <c r="N56" s="14"/>
      <c r="O56" s="17">
        <v>45698</v>
      </c>
      <c r="P56" s="14"/>
      <c r="Q56" s="18">
        <v>12000</v>
      </c>
      <c r="R56" s="19">
        <v>5</v>
      </c>
      <c r="S56" s="18">
        <v>11400</v>
      </c>
      <c r="T56" s="14">
        <v>24</v>
      </c>
      <c r="U56" s="18">
        <v>22800</v>
      </c>
      <c r="V56" s="18">
        <v>0</v>
      </c>
      <c r="W56" s="19">
        <v>0</v>
      </c>
      <c r="X56" s="18">
        <v>0</v>
      </c>
      <c r="Y56" s="14" t="s">
        <v>5665</v>
      </c>
      <c r="Z56" s="14" t="s">
        <v>5666</v>
      </c>
      <c r="AA56" s="14" t="b">
        <v>0</v>
      </c>
      <c r="AB56" s="14" t="b">
        <v>0</v>
      </c>
      <c r="AC56" s="14" t="b">
        <v>0</v>
      </c>
    </row>
    <row r="57" spans="1:29">
      <c r="A57" s="14" t="s">
        <v>2062</v>
      </c>
      <c r="B57" s="14" t="s">
        <v>5797</v>
      </c>
      <c r="C57" s="14" t="s">
        <v>183</v>
      </c>
      <c r="D57" s="14" t="s">
        <v>2061</v>
      </c>
      <c r="E57" s="14" t="s">
        <v>25</v>
      </c>
      <c r="F57" s="14" t="s">
        <v>5668</v>
      </c>
      <c r="G57" s="14" t="s">
        <v>1317</v>
      </c>
      <c r="H57" s="15">
        <v>45185.249502314815</v>
      </c>
      <c r="I57" s="14" t="s">
        <v>5675</v>
      </c>
      <c r="J57" s="14">
        <v>0</v>
      </c>
      <c r="K57" s="14" t="s">
        <v>5664</v>
      </c>
      <c r="L57" s="17">
        <v>45255.249502314815</v>
      </c>
      <c r="M57" s="17">
        <v>45225.249502314815</v>
      </c>
      <c r="N57" s="14"/>
      <c r="O57" s="17">
        <v>45220.249502314815</v>
      </c>
      <c r="P57" s="14" t="s">
        <v>5703</v>
      </c>
      <c r="Q57" s="18">
        <v>12000</v>
      </c>
      <c r="R57" s="19">
        <v>3</v>
      </c>
      <c r="S57" s="18">
        <v>11640</v>
      </c>
      <c r="T57" s="14">
        <v>12</v>
      </c>
      <c r="U57" s="18">
        <v>11640</v>
      </c>
      <c r="V57" s="18">
        <v>5000</v>
      </c>
      <c r="W57" s="19">
        <v>7.2</v>
      </c>
      <c r="X57" s="18">
        <v>4640</v>
      </c>
      <c r="Y57" s="14" t="s">
        <v>5665</v>
      </c>
      <c r="Z57" s="14" t="s">
        <v>5693</v>
      </c>
      <c r="AA57" s="14" t="b">
        <v>0</v>
      </c>
      <c r="AB57" s="14" t="b">
        <v>1</v>
      </c>
      <c r="AC57" s="14" t="b">
        <v>1</v>
      </c>
    </row>
    <row r="58" spans="1:29">
      <c r="A58" s="14" t="s">
        <v>5798</v>
      </c>
      <c r="B58" s="14" t="s">
        <v>5799</v>
      </c>
      <c r="C58" s="14" t="s">
        <v>864</v>
      </c>
      <c r="D58" s="14" t="s">
        <v>5800</v>
      </c>
      <c r="E58" s="14" t="s">
        <v>59</v>
      </c>
      <c r="F58" s="14" t="s">
        <v>5668</v>
      </c>
      <c r="G58" s="14" t="s">
        <v>1288</v>
      </c>
      <c r="H58" s="15">
        <v>46279.464583333334</v>
      </c>
      <c r="I58" s="14" t="s">
        <v>5691</v>
      </c>
      <c r="J58" s="14">
        <v>40</v>
      </c>
      <c r="K58" s="14" t="s">
        <v>5670</v>
      </c>
      <c r="L58" s="17">
        <v>46309</v>
      </c>
      <c r="M58" s="17"/>
      <c r="N58" s="14" t="s">
        <v>5801</v>
      </c>
      <c r="O58" s="17">
        <v>46279</v>
      </c>
      <c r="P58" s="14"/>
      <c r="Q58" s="18">
        <v>12000</v>
      </c>
      <c r="R58" s="19">
        <v>4.0999999999999996</v>
      </c>
      <c r="S58" s="18">
        <v>11508</v>
      </c>
      <c r="T58" s="14">
        <v>24</v>
      </c>
      <c r="U58" s="18">
        <v>23016</v>
      </c>
      <c r="V58" s="18">
        <v>5000</v>
      </c>
      <c r="W58" s="19">
        <v>5.4</v>
      </c>
      <c r="X58" s="18">
        <v>4730</v>
      </c>
      <c r="Y58" s="14" t="s">
        <v>5665</v>
      </c>
      <c r="Z58" s="14" t="s">
        <v>5666</v>
      </c>
      <c r="AA58" s="14" t="b">
        <v>0</v>
      </c>
      <c r="AB58" s="14" t="b">
        <v>0</v>
      </c>
      <c r="AC58" s="14" t="b">
        <v>0</v>
      </c>
    </row>
    <row r="59" spans="1:29">
      <c r="A59" s="14" t="s">
        <v>5802</v>
      </c>
      <c r="B59" s="14" t="s">
        <v>5803</v>
      </c>
      <c r="C59" s="14" t="s">
        <v>103</v>
      </c>
      <c r="D59" s="14" t="s">
        <v>2220</v>
      </c>
      <c r="E59" s="14" t="s">
        <v>69</v>
      </c>
      <c r="F59" s="14" t="s">
        <v>5668</v>
      </c>
      <c r="G59" s="14" t="s">
        <v>1271</v>
      </c>
      <c r="H59" s="15">
        <v>46263.958333333336</v>
      </c>
      <c r="I59" s="14" t="s">
        <v>5681</v>
      </c>
      <c r="J59" s="14">
        <v>25</v>
      </c>
      <c r="K59" s="14" t="s">
        <v>5670</v>
      </c>
      <c r="L59" s="17">
        <v>46364</v>
      </c>
      <c r="M59" s="17"/>
      <c r="N59" s="14" t="s">
        <v>5713</v>
      </c>
      <c r="O59" s="17">
        <v>46269</v>
      </c>
      <c r="P59" s="14"/>
      <c r="Q59" s="18">
        <v>36000</v>
      </c>
      <c r="R59" s="19">
        <v>9.1999999999999993</v>
      </c>
      <c r="S59" s="18">
        <v>32688</v>
      </c>
      <c r="T59" s="14">
        <v>12</v>
      </c>
      <c r="U59" s="18">
        <v>32688</v>
      </c>
      <c r="V59" s="18">
        <v>10000</v>
      </c>
      <c r="W59" s="19">
        <v>17</v>
      </c>
      <c r="X59" s="18">
        <v>8300</v>
      </c>
      <c r="Y59" s="14" t="s">
        <v>5665</v>
      </c>
      <c r="Z59" s="14" t="s">
        <v>5666</v>
      </c>
      <c r="AA59" s="14" t="b">
        <v>0</v>
      </c>
      <c r="AB59" s="14" t="b">
        <v>0</v>
      </c>
      <c r="AC59" s="14" t="b">
        <v>0</v>
      </c>
    </row>
    <row r="60" spans="1:29">
      <c r="A60" s="14" t="s">
        <v>2436</v>
      </c>
      <c r="B60" s="14" t="s">
        <v>5804</v>
      </c>
      <c r="C60" s="14" t="s">
        <v>912</v>
      </c>
      <c r="D60" s="14" t="s">
        <v>2435</v>
      </c>
      <c r="E60" s="14" t="s">
        <v>18</v>
      </c>
      <c r="F60" s="14" t="s">
        <v>5668</v>
      </c>
      <c r="G60" s="14" t="s">
        <v>1288</v>
      </c>
      <c r="H60" s="15">
        <v>44786.094270833331</v>
      </c>
      <c r="I60" s="14" t="s">
        <v>5675</v>
      </c>
      <c r="J60" s="14">
        <v>0</v>
      </c>
      <c r="K60" s="14" t="s">
        <v>5664</v>
      </c>
      <c r="L60" s="17">
        <v>44853.094270833331</v>
      </c>
      <c r="M60" s="17">
        <v>44853.094270833331</v>
      </c>
      <c r="N60" s="14"/>
      <c r="O60" s="17">
        <v>44851.094270833331</v>
      </c>
      <c r="P60" s="14" t="s">
        <v>5702</v>
      </c>
      <c r="Q60" s="18">
        <v>38000</v>
      </c>
      <c r="R60" s="19">
        <v>9.8000000000000007</v>
      </c>
      <c r="S60" s="18">
        <v>34276</v>
      </c>
      <c r="T60" s="14">
        <v>24</v>
      </c>
      <c r="U60" s="18">
        <v>68552</v>
      </c>
      <c r="V60" s="18">
        <v>10000</v>
      </c>
      <c r="W60" s="19">
        <v>16</v>
      </c>
      <c r="X60" s="18">
        <v>8400</v>
      </c>
      <c r="Y60" s="14" t="s">
        <v>5665</v>
      </c>
      <c r="Z60" s="14" t="s">
        <v>5666</v>
      </c>
      <c r="AA60" s="14" t="b">
        <v>0</v>
      </c>
      <c r="AB60" s="14" t="b">
        <v>0</v>
      </c>
      <c r="AC60" s="14" t="b">
        <v>0</v>
      </c>
    </row>
    <row r="61" spans="1:29">
      <c r="A61" s="14" t="s">
        <v>5805</v>
      </c>
      <c r="B61" s="14" t="s">
        <v>5806</v>
      </c>
      <c r="C61" s="14" t="s">
        <v>983</v>
      </c>
      <c r="D61" s="14" t="s">
        <v>1673</v>
      </c>
      <c r="E61" s="14" t="s">
        <v>25</v>
      </c>
      <c r="F61" s="14" t="s">
        <v>5668</v>
      </c>
      <c r="G61" s="14" t="s">
        <v>1271</v>
      </c>
      <c r="H61" s="15">
        <v>46260.25</v>
      </c>
      <c r="I61" s="14" t="s">
        <v>5686</v>
      </c>
      <c r="J61" s="14">
        <v>10</v>
      </c>
      <c r="K61" s="14" t="s">
        <v>5670</v>
      </c>
      <c r="L61" s="17">
        <v>46348</v>
      </c>
      <c r="M61" s="17"/>
      <c r="N61" s="14" t="s">
        <v>5767</v>
      </c>
      <c r="O61" s="17">
        <v>46272</v>
      </c>
      <c r="P61" s="14"/>
      <c r="Q61" s="18">
        <v>12000</v>
      </c>
      <c r="R61" s="19">
        <v>9.6</v>
      </c>
      <c r="S61" s="18">
        <v>10848</v>
      </c>
      <c r="T61" s="14">
        <v>24</v>
      </c>
      <c r="U61" s="18">
        <v>21696</v>
      </c>
      <c r="V61" s="18">
        <v>5000</v>
      </c>
      <c r="W61" s="19">
        <v>9.3000000000000007</v>
      </c>
      <c r="X61" s="18">
        <v>4535</v>
      </c>
      <c r="Y61" s="14" t="s">
        <v>5665</v>
      </c>
      <c r="Z61" s="14" t="s">
        <v>5666</v>
      </c>
      <c r="AA61" s="14" t="b">
        <v>0</v>
      </c>
      <c r="AB61" s="14" t="b">
        <v>0</v>
      </c>
      <c r="AC61" s="14" t="b">
        <v>0</v>
      </c>
    </row>
    <row r="62" spans="1:29">
      <c r="A62" s="14" t="s">
        <v>2452</v>
      </c>
      <c r="B62" s="14" t="s">
        <v>5673</v>
      </c>
      <c r="C62" s="14" t="s">
        <v>240</v>
      </c>
      <c r="D62" s="14" t="s">
        <v>2451</v>
      </c>
      <c r="E62" s="14" t="s">
        <v>55</v>
      </c>
      <c r="F62" s="14" t="s">
        <v>5668</v>
      </c>
      <c r="G62" s="14" t="s">
        <v>1355</v>
      </c>
      <c r="H62" s="15">
        <v>44912.16646990741</v>
      </c>
      <c r="I62" s="14" t="s">
        <v>5675</v>
      </c>
      <c r="J62" s="14">
        <v>0</v>
      </c>
      <c r="K62" s="14" t="s">
        <v>5664</v>
      </c>
      <c r="L62" s="17">
        <v>44977.16646990741</v>
      </c>
      <c r="M62" s="17">
        <v>44977.16646990741</v>
      </c>
      <c r="N62" s="14"/>
      <c r="O62" s="17">
        <v>44977.16646990741</v>
      </c>
      <c r="P62" s="14" t="s">
        <v>5721</v>
      </c>
      <c r="Q62" s="18">
        <v>56000</v>
      </c>
      <c r="R62" s="19">
        <v>3.2</v>
      </c>
      <c r="S62" s="18">
        <v>54208</v>
      </c>
      <c r="T62" s="14">
        <v>24</v>
      </c>
      <c r="U62" s="18">
        <v>108416</v>
      </c>
      <c r="V62" s="18">
        <v>10000</v>
      </c>
      <c r="W62" s="19">
        <v>4.7</v>
      </c>
      <c r="X62" s="18">
        <v>9530</v>
      </c>
      <c r="Y62" s="14" t="s">
        <v>5665</v>
      </c>
      <c r="Z62" s="14" t="s">
        <v>5666</v>
      </c>
      <c r="AA62" s="14" t="b">
        <v>0</v>
      </c>
      <c r="AB62" s="14" t="b">
        <v>0</v>
      </c>
      <c r="AC62" s="14" t="b">
        <v>0</v>
      </c>
    </row>
    <row r="63" spans="1:29">
      <c r="A63" s="14" t="s">
        <v>1955</v>
      </c>
      <c r="B63" s="14" t="s">
        <v>5771</v>
      </c>
      <c r="C63" s="14" t="s">
        <v>834</v>
      </c>
      <c r="D63" s="14" t="s">
        <v>1954</v>
      </c>
      <c r="E63" s="14" t="s">
        <v>36</v>
      </c>
      <c r="F63" s="14" t="s">
        <v>5668</v>
      </c>
      <c r="G63" s="14" t="s">
        <v>1295</v>
      </c>
      <c r="H63" s="15">
        <v>46202</v>
      </c>
      <c r="I63" s="14" t="s">
        <v>5663</v>
      </c>
      <c r="J63" s="14">
        <v>100</v>
      </c>
      <c r="K63" s="14" t="s">
        <v>5664</v>
      </c>
      <c r="L63" s="17">
        <v>46282</v>
      </c>
      <c r="M63" s="17">
        <v>46282</v>
      </c>
      <c r="N63" s="14"/>
      <c r="O63" s="17">
        <v>46277</v>
      </c>
      <c r="P63" s="14"/>
      <c r="Q63" s="18">
        <v>60000</v>
      </c>
      <c r="R63" s="19">
        <v>17.2</v>
      </c>
      <c r="S63" s="18">
        <v>49680</v>
      </c>
      <c r="T63" s="14">
        <v>12</v>
      </c>
      <c r="U63" s="18">
        <v>49680</v>
      </c>
      <c r="V63" s="18">
        <v>20000</v>
      </c>
      <c r="W63" s="19">
        <v>2</v>
      </c>
      <c r="X63" s="18">
        <v>19600</v>
      </c>
      <c r="Y63" s="14" t="s">
        <v>5665</v>
      </c>
      <c r="Z63" s="14" t="s">
        <v>5666</v>
      </c>
      <c r="AA63" s="14" t="b">
        <v>0</v>
      </c>
      <c r="AB63" s="14" t="b">
        <v>0</v>
      </c>
      <c r="AC63" s="14" t="b">
        <v>1</v>
      </c>
    </row>
    <row r="64" spans="1:29">
      <c r="A64" s="14" t="s">
        <v>1862</v>
      </c>
      <c r="B64" s="14" t="s">
        <v>5807</v>
      </c>
      <c r="C64" s="14" t="s">
        <v>815</v>
      </c>
      <c r="D64" s="14" t="s">
        <v>1861</v>
      </c>
      <c r="E64" s="14" t="s">
        <v>59</v>
      </c>
      <c r="F64" s="14" t="s">
        <v>5668</v>
      </c>
      <c r="G64" s="14" t="s">
        <v>1339</v>
      </c>
      <c r="H64" s="15">
        <v>45407.088171296295</v>
      </c>
      <c r="I64" s="14" t="s">
        <v>5675</v>
      </c>
      <c r="J64" s="14">
        <v>0</v>
      </c>
      <c r="K64" s="14" t="s">
        <v>5664</v>
      </c>
      <c r="L64" s="17">
        <v>45435.088171296295</v>
      </c>
      <c r="M64" s="17">
        <v>45435.088171296295</v>
      </c>
      <c r="N64" s="14"/>
      <c r="O64" s="17">
        <v>45433.088171296295</v>
      </c>
      <c r="P64" s="14" t="s">
        <v>5702</v>
      </c>
      <c r="Q64" s="18">
        <v>18000</v>
      </c>
      <c r="R64" s="19">
        <v>3.9</v>
      </c>
      <c r="S64" s="18">
        <v>17298</v>
      </c>
      <c r="T64" s="14">
        <v>36</v>
      </c>
      <c r="U64" s="18">
        <v>51894</v>
      </c>
      <c r="V64" s="18">
        <v>5000</v>
      </c>
      <c r="W64" s="19">
        <v>0.2</v>
      </c>
      <c r="X64" s="18">
        <v>4990</v>
      </c>
      <c r="Y64" s="14" t="s">
        <v>5665</v>
      </c>
      <c r="Z64" s="14" t="s">
        <v>5666</v>
      </c>
      <c r="AA64" s="14" t="b">
        <v>0</v>
      </c>
      <c r="AB64" s="14" t="b">
        <v>0</v>
      </c>
      <c r="AC64" s="14" t="b">
        <v>0</v>
      </c>
    </row>
    <row r="65" spans="1:29">
      <c r="A65" s="14" t="s">
        <v>5808</v>
      </c>
      <c r="B65" s="14" t="s">
        <v>5809</v>
      </c>
      <c r="C65" s="14" t="s">
        <v>876</v>
      </c>
      <c r="D65" s="14" t="s">
        <v>2376</v>
      </c>
      <c r="E65" s="14" t="s">
        <v>82</v>
      </c>
      <c r="F65" s="14" t="s">
        <v>5662</v>
      </c>
      <c r="G65" s="14" t="s">
        <v>1413</v>
      </c>
      <c r="H65" s="15">
        <v>46037.287094907406</v>
      </c>
      <c r="I65" s="14" t="s">
        <v>5663</v>
      </c>
      <c r="J65" s="14">
        <v>100</v>
      </c>
      <c r="K65" s="14" t="s">
        <v>5664</v>
      </c>
      <c r="L65" s="17">
        <v>46116.287094907406</v>
      </c>
      <c r="M65" s="17">
        <v>46116.287094907406</v>
      </c>
      <c r="N65" s="14"/>
      <c r="O65" s="17">
        <v>46116.287094907406</v>
      </c>
      <c r="P65" s="14"/>
      <c r="Q65" s="18">
        <v>14000</v>
      </c>
      <c r="R65" s="19">
        <v>20.5</v>
      </c>
      <c r="S65" s="18">
        <v>11130</v>
      </c>
      <c r="T65" s="14">
        <v>12</v>
      </c>
      <c r="U65" s="18">
        <v>11130</v>
      </c>
      <c r="V65" s="18">
        <v>0</v>
      </c>
      <c r="W65" s="19">
        <v>0</v>
      </c>
      <c r="X65" s="18">
        <v>0</v>
      </c>
      <c r="Y65" s="14" t="s">
        <v>5688</v>
      </c>
      <c r="Z65" s="14" t="s">
        <v>5666</v>
      </c>
      <c r="AA65" s="14" t="b">
        <v>0</v>
      </c>
      <c r="AB65" s="14" t="b">
        <v>0</v>
      </c>
      <c r="AC65" s="14" t="b">
        <v>1</v>
      </c>
    </row>
    <row r="66" spans="1:29">
      <c r="A66" s="14" t="s">
        <v>5810</v>
      </c>
      <c r="B66" s="14" t="s">
        <v>5811</v>
      </c>
      <c r="C66" s="14" t="s">
        <v>389</v>
      </c>
      <c r="D66" s="14" t="s">
        <v>5812</v>
      </c>
      <c r="E66" s="14" t="s">
        <v>69</v>
      </c>
      <c r="F66" s="14" t="s">
        <v>5668</v>
      </c>
      <c r="G66" s="14" t="s">
        <v>1295</v>
      </c>
      <c r="H66" s="15">
        <v>46238.458333333336</v>
      </c>
      <c r="I66" s="14" t="s">
        <v>5669</v>
      </c>
      <c r="J66" s="14">
        <v>60</v>
      </c>
      <c r="K66" s="14" t="s">
        <v>5679</v>
      </c>
      <c r="L66" s="17">
        <v>46277</v>
      </c>
      <c r="M66" s="17"/>
      <c r="N66" s="14" t="s">
        <v>5774</v>
      </c>
      <c r="O66" s="17">
        <v>46278</v>
      </c>
      <c r="P66" s="14"/>
      <c r="Q66" s="18">
        <v>42000</v>
      </c>
      <c r="R66" s="19">
        <v>0.1</v>
      </c>
      <c r="S66" s="18">
        <v>41958</v>
      </c>
      <c r="T66" s="14">
        <v>36</v>
      </c>
      <c r="U66" s="18">
        <v>125874</v>
      </c>
      <c r="V66" s="18">
        <v>10000</v>
      </c>
      <c r="W66" s="19">
        <v>9.1999999999999993</v>
      </c>
      <c r="X66" s="18">
        <v>9080</v>
      </c>
      <c r="Y66" s="14" t="s">
        <v>5665</v>
      </c>
      <c r="Z66" s="14" t="s">
        <v>5666</v>
      </c>
      <c r="AA66" s="14" t="b">
        <v>0</v>
      </c>
      <c r="AB66" s="14" t="b">
        <v>0</v>
      </c>
      <c r="AC66" s="14" t="b">
        <v>0</v>
      </c>
    </row>
    <row r="67" spans="1:29">
      <c r="A67" s="14" t="s">
        <v>5813</v>
      </c>
      <c r="B67" s="14" t="s">
        <v>5814</v>
      </c>
      <c r="C67" s="14" t="s">
        <v>873</v>
      </c>
      <c r="D67" s="14" t="s">
        <v>5815</v>
      </c>
      <c r="E67" s="14" t="s">
        <v>59</v>
      </c>
      <c r="F67" s="14" t="s">
        <v>5668</v>
      </c>
      <c r="G67" s="14"/>
      <c r="H67" s="15">
        <v>45942.60974537037</v>
      </c>
      <c r="I67" s="14" t="s">
        <v>5663</v>
      </c>
      <c r="J67" s="14">
        <v>100</v>
      </c>
      <c r="K67" s="14" t="s">
        <v>5664</v>
      </c>
      <c r="L67" s="17">
        <v>45964.60974537037</v>
      </c>
      <c r="M67" s="17">
        <v>45978.60974537037</v>
      </c>
      <c r="N67" s="14"/>
      <c r="O67" s="17">
        <v>45977.60974537037</v>
      </c>
      <c r="P67" s="14"/>
      <c r="Q67" s="18">
        <v>12000</v>
      </c>
      <c r="R67" s="19">
        <v>1.1000000000000001</v>
      </c>
      <c r="S67" s="18">
        <v>11868</v>
      </c>
      <c r="T67" s="14">
        <v>12</v>
      </c>
      <c r="U67" s="18">
        <v>11868</v>
      </c>
      <c r="V67" s="18">
        <v>5000</v>
      </c>
      <c r="W67" s="19">
        <v>8.3000000000000007</v>
      </c>
      <c r="X67" s="18">
        <v>4585</v>
      </c>
      <c r="Y67" s="14" t="s">
        <v>5665</v>
      </c>
      <c r="Z67" s="14" t="s">
        <v>5693</v>
      </c>
      <c r="AA67" s="14" t="b">
        <v>1</v>
      </c>
      <c r="AB67" s="14" t="b">
        <v>0</v>
      </c>
      <c r="AC67" s="14" t="b">
        <v>1</v>
      </c>
    </row>
    <row r="68" spans="1:29">
      <c r="A68" s="14" t="s">
        <v>1589</v>
      </c>
      <c r="B68" s="14" t="s">
        <v>5816</v>
      </c>
      <c r="C68" s="14" t="s">
        <v>292</v>
      </c>
      <c r="D68" s="14" t="s">
        <v>1588</v>
      </c>
      <c r="E68" s="14" t="s">
        <v>82</v>
      </c>
      <c r="F68" s="14" t="s">
        <v>5668</v>
      </c>
      <c r="G68" s="14" t="s">
        <v>1295</v>
      </c>
      <c r="H68" s="15">
        <v>45284.18959490741</v>
      </c>
      <c r="I68" s="14" t="s">
        <v>5675</v>
      </c>
      <c r="J68" s="14">
        <v>0</v>
      </c>
      <c r="K68" s="14" t="s">
        <v>5664</v>
      </c>
      <c r="L68" s="17">
        <v>45337.18959490741</v>
      </c>
      <c r="M68" s="17">
        <v>45367.18959490741</v>
      </c>
      <c r="N68" s="14"/>
      <c r="O68" s="17">
        <v>45367.18959490741</v>
      </c>
      <c r="P68" s="14" t="s">
        <v>5769</v>
      </c>
      <c r="Q68" s="18">
        <v>44000</v>
      </c>
      <c r="R68" s="19">
        <v>13.2</v>
      </c>
      <c r="S68" s="18">
        <v>38192</v>
      </c>
      <c r="T68" s="14">
        <v>36</v>
      </c>
      <c r="U68" s="18">
        <v>114576</v>
      </c>
      <c r="V68" s="18">
        <v>5000</v>
      </c>
      <c r="W68" s="19">
        <v>15.2</v>
      </c>
      <c r="X68" s="18">
        <v>4240</v>
      </c>
      <c r="Y68" s="14" t="s">
        <v>5735</v>
      </c>
      <c r="Z68" s="14" t="s">
        <v>5666</v>
      </c>
      <c r="AA68" s="14" t="b">
        <v>0</v>
      </c>
      <c r="AB68" s="14" t="b">
        <v>0</v>
      </c>
      <c r="AC68" s="14" t="b">
        <v>1</v>
      </c>
    </row>
    <row r="69" spans="1:29">
      <c r="A69" s="14" t="s">
        <v>5817</v>
      </c>
      <c r="B69" s="14" t="s">
        <v>5818</v>
      </c>
      <c r="C69" s="14" t="s">
        <v>998</v>
      </c>
      <c r="D69" s="14" t="s">
        <v>5819</v>
      </c>
      <c r="E69" s="14" t="s">
        <v>18</v>
      </c>
      <c r="F69" s="14" t="s">
        <v>5668</v>
      </c>
      <c r="G69" s="14" t="s">
        <v>1413</v>
      </c>
      <c r="H69" s="15">
        <v>46170.026597222219</v>
      </c>
      <c r="I69" s="14" t="s">
        <v>5663</v>
      </c>
      <c r="J69" s="14">
        <v>100</v>
      </c>
      <c r="K69" s="14" t="s">
        <v>5664</v>
      </c>
      <c r="L69" s="17">
        <v>46242.026597222219</v>
      </c>
      <c r="M69" s="17">
        <v>46242.026597222219</v>
      </c>
      <c r="N69" s="14"/>
      <c r="O69" s="17">
        <v>46240.026597222219</v>
      </c>
      <c r="P69" s="14"/>
      <c r="Q69" s="18">
        <v>54000</v>
      </c>
      <c r="R69" s="19">
        <v>5.8</v>
      </c>
      <c r="S69" s="18">
        <v>50868</v>
      </c>
      <c r="T69" s="14">
        <v>12</v>
      </c>
      <c r="U69" s="18">
        <v>50868</v>
      </c>
      <c r="V69" s="18">
        <v>10000</v>
      </c>
      <c r="W69" s="19">
        <v>13.5</v>
      </c>
      <c r="X69" s="18">
        <v>8650</v>
      </c>
      <c r="Y69" s="14" t="s">
        <v>5665</v>
      </c>
      <c r="Z69" s="14" t="s">
        <v>5666</v>
      </c>
      <c r="AA69" s="14" t="b">
        <v>0</v>
      </c>
      <c r="AB69" s="14" t="b">
        <v>0</v>
      </c>
      <c r="AC69" s="14" t="b">
        <v>0</v>
      </c>
    </row>
    <row r="70" spans="1:29">
      <c r="A70" s="14" t="s">
        <v>5820</v>
      </c>
      <c r="B70" s="14" t="s">
        <v>5821</v>
      </c>
      <c r="C70" s="14" t="s">
        <v>957</v>
      </c>
      <c r="D70" s="14" t="s">
        <v>1922</v>
      </c>
      <c r="E70" s="14" t="s">
        <v>25</v>
      </c>
      <c r="F70" s="14" t="s">
        <v>5668</v>
      </c>
      <c r="G70" s="14" t="s">
        <v>1271</v>
      </c>
      <c r="H70" s="15">
        <v>46272</v>
      </c>
      <c r="I70" s="14" t="s">
        <v>5686</v>
      </c>
      <c r="J70" s="14">
        <v>10</v>
      </c>
      <c r="K70" s="14" t="s">
        <v>5670</v>
      </c>
      <c r="L70" s="17">
        <v>46336</v>
      </c>
      <c r="M70" s="17"/>
      <c r="N70" s="14" t="s">
        <v>5687</v>
      </c>
      <c r="O70" s="17">
        <v>46266</v>
      </c>
      <c r="P70" s="14"/>
      <c r="Q70" s="18">
        <v>12000</v>
      </c>
      <c r="R70" s="19">
        <v>17.7</v>
      </c>
      <c r="S70" s="18">
        <v>9876</v>
      </c>
      <c r="T70" s="14">
        <v>12</v>
      </c>
      <c r="U70" s="18">
        <v>9876</v>
      </c>
      <c r="V70" s="18">
        <v>5000</v>
      </c>
      <c r="W70" s="19">
        <v>0.1</v>
      </c>
      <c r="X70" s="18">
        <v>4995</v>
      </c>
      <c r="Y70" s="14" t="s">
        <v>5665</v>
      </c>
      <c r="Z70" s="14" t="s">
        <v>5666</v>
      </c>
      <c r="AA70" s="14" t="b">
        <v>1</v>
      </c>
      <c r="AB70" s="14" t="b">
        <v>0</v>
      </c>
      <c r="AC70" s="14" t="b">
        <v>1</v>
      </c>
    </row>
    <row r="71" spans="1:29">
      <c r="A71" s="14" t="s">
        <v>5822</v>
      </c>
      <c r="B71" s="14" t="s">
        <v>5823</v>
      </c>
      <c r="C71" s="14" t="s">
        <v>561</v>
      </c>
      <c r="D71" s="14" t="s">
        <v>2487</v>
      </c>
      <c r="E71" s="14" t="s">
        <v>69</v>
      </c>
      <c r="F71" s="14" t="s">
        <v>5668</v>
      </c>
      <c r="G71" s="14" t="s">
        <v>1317</v>
      </c>
      <c r="H71" s="15">
        <v>46191.15047453704</v>
      </c>
      <c r="I71" s="14" t="s">
        <v>5663</v>
      </c>
      <c r="J71" s="14">
        <v>100</v>
      </c>
      <c r="K71" s="14" t="s">
        <v>5664</v>
      </c>
      <c r="L71" s="17">
        <v>46230.15047453704</v>
      </c>
      <c r="M71" s="17">
        <v>46216.15047453704</v>
      </c>
      <c r="N71" s="14"/>
      <c r="O71" s="17">
        <v>46212.15047453704</v>
      </c>
      <c r="P71" s="14"/>
      <c r="Q71" s="18">
        <v>22000</v>
      </c>
      <c r="R71" s="19">
        <v>20.2</v>
      </c>
      <c r="S71" s="18">
        <v>17556</v>
      </c>
      <c r="T71" s="14">
        <v>12</v>
      </c>
      <c r="U71" s="18">
        <v>17556</v>
      </c>
      <c r="V71" s="18">
        <v>5000</v>
      </c>
      <c r="W71" s="19">
        <v>0.9</v>
      </c>
      <c r="X71" s="18">
        <v>4955</v>
      </c>
      <c r="Y71" s="14" t="s">
        <v>5677</v>
      </c>
      <c r="Z71" s="14" t="s">
        <v>5666</v>
      </c>
      <c r="AA71" s="14" t="b">
        <v>0</v>
      </c>
      <c r="AB71" s="14" t="b">
        <v>0</v>
      </c>
      <c r="AC71" s="14" t="b">
        <v>1</v>
      </c>
    </row>
    <row r="72" spans="1:29">
      <c r="A72" s="14" t="s">
        <v>5824</v>
      </c>
      <c r="B72" s="14" t="s">
        <v>5825</v>
      </c>
      <c r="C72" s="14" t="s">
        <v>936</v>
      </c>
      <c r="D72" s="14" t="s">
        <v>2405</v>
      </c>
      <c r="E72" s="14" t="s">
        <v>36</v>
      </c>
      <c r="F72" s="14" t="s">
        <v>5668</v>
      </c>
      <c r="G72" s="14" t="s">
        <v>1317</v>
      </c>
      <c r="H72" s="15">
        <v>46261.708333333336</v>
      </c>
      <c r="I72" s="14" t="s">
        <v>5686</v>
      </c>
      <c r="J72" s="14">
        <v>10</v>
      </c>
      <c r="K72" s="14" t="s">
        <v>5670</v>
      </c>
      <c r="L72" s="17">
        <v>46378</v>
      </c>
      <c r="M72" s="17"/>
      <c r="N72" s="14"/>
      <c r="O72" s="17">
        <v>46264</v>
      </c>
      <c r="P72" s="14"/>
      <c r="Q72" s="18">
        <v>38000</v>
      </c>
      <c r="R72" s="19">
        <v>19.600000000000001</v>
      </c>
      <c r="S72" s="18">
        <v>30552</v>
      </c>
      <c r="T72" s="14">
        <v>24</v>
      </c>
      <c r="U72" s="18">
        <v>61104</v>
      </c>
      <c r="V72" s="18">
        <v>5000</v>
      </c>
      <c r="W72" s="19">
        <v>9.6</v>
      </c>
      <c r="X72" s="18">
        <v>4520</v>
      </c>
      <c r="Y72" s="14" t="s">
        <v>5665</v>
      </c>
      <c r="Z72" s="14" t="s">
        <v>5666</v>
      </c>
      <c r="AA72" s="14" t="b">
        <v>0</v>
      </c>
      <c r="AB72" s="14" t="b">
        <v>0</v>
      </c>
      <c r="AC72" s="14" t="b">
        <v>1</v>
      </c>
    </row>
    <row r="73" spans="1:29">
      <c r="A73" s="14" t="s">
        <v>5826</v>
      </c>
      <c r="B73" s="14" t="s">
        <v>5683</v>
      </c>
      <c r="C73" s="14" t="s">
        <v>567</v>
      </c>
      <c r="D73" s="14" t="s">
        <v>2118</v>
      </c>
      <c r="E73" s="14" t="s">
        <v>69</v>
      </c>
      <c r="F73" s="14" t="s">
        <v>5668</v>
      </c>
      <c r="G73" s="14" t="s">
        <v>1281</v>
      </c>
      <c r="H73" s="15">
        <v>46225.666666666664</v>
      </c>
      <c r="I73" s="14" t="s">
        <v>5691</v>
      </c>
      <c r="J73" s="14">
        <v>40</v>
      </c>
      <c r="K73" s="14" t="s">
        <v>5670</v>
      </c>
      <c r="L73" s="17">
        <v>46330</v>
      </c>
      <c r="M73" s="17"/>
      <c r="N73" s="14" t="s">
        <v>5801</v>
      </c>
      <c r="O73" s="17">
        <v>46267</v>
      </c>
      <c r="P73" s="14"/>
      <c r="Q73" s="18">
        <v>24000</v>
      </c>
      <c r="R73" s="19">
        <v>31.9</v>
      </c>
      <c r="S73" s="18">
        <v>16344</v>
      </c>
      <c r="T73" s="14">
        <v>12</v>
      </c>
      <c r="U73" s="18">
        <v>16344</v>
      </c>
      <c r="V73" s="18">
        <v>5000</v>
      </c>
      <c r="W73" s="19">
        <v>7</v>
      </c>
      <c r="X73" s="18">
        <v>4650</v>
      </c>
      <c r="Y73" s="14" t="s">
        <v>5665</v>
      </c>
      <c r="Z73" s="14" t="s">
        <v>5666</v>
      </c>
      <c r="AA73" s="14" t="b">
        <v>0</v>
      </c>
      <c r="AB73" s="14" t="b">
        <v>0</v>
      </c>
      <c r="AC73" s="14" t="b">
        <v>0</v>
      </c>
    </row>
    <row r="74" spans="1:29">
      <c r="A74" s="14" t="s">
        <v>2191</v>
      </c>
      <c r="B74" s="14" t="s">
        <v>5827</v>
      </c>
      <c r="C74" s="14" t="s">
        <v>227</v>
      </c>
      <c r="D74" s="14" t="s">
        <v>2190</v>
      </c>
      <c r="E74" s="14" t="s">
        <v>36</v>
      </c>
      <c r="F74" s="14" t="s">
        <v>5668</v>
      </c>
      <c r="G74" s="14" t="s">
        <v>1288</v>
      </c>
      <c r="H74" s="15">
        <v>46023.40353009259</v>
      </c>
      <c r="I74" s="14" t="s">
        <v>5675</v>
      </c>
      <c r="J74" s="14">
        <v>0</v>
      </c>
      <c r="K74" s="14" t="s">
        <v>5664</v>
      </c>
      <c r="L74" s="17">
        <v>46133.40353009259</v>
      </c>
      <c r="M74" s="17">
        <v>46133.40353009259</v>
      </c>
      <c r="N74" s="14"/>
      <c r="O74" s="17">
        <v>46129.40353009259</v>
      </c>
      <c r="P74" s="14" t="s">
        <v>5769</v>
      </c>
      <c r="Q74" s="18">
        <v>88000</v>
      </c>
      <c r="R74" s="19">
        <v>1.8</v>
      </c>
      <c r="S74" s="18">
        <v>86416</v>
      </c>
      <c r="T74" s="14">
        <v>12</v>
      </c>
      <c r="U74" s="18">
        <v>86416</v>
      </c>
      <c r="V74" s="18">
        <v>20000</v>
      </c>
      <c r="W74" s="19">
        <v>4.5999999999999996</v>
      </c>
      <c r="X74" s="18">
        <v>19080</v>
      </c>
      <c r="Y74" s="14" t="s">
        <v>5665</v>
      </c>
      <c r="Z74" s="14" t="s">
        <v>5666</v>
      </c>
      <c r="AA74" s="14" t="b">
        <v>0</v>
      </c>
      <c r="AB74" s="14" t="b">
        <v>0</v>
      </c>
      <c r="AC74" s="14" t="b">
        <v>0</v>
      </c>
    </row>
    <row r="75" spans="1:29">
      <c r="A75" s="14" t="s">
        <v>5828</v>
      </c>
      <c r="B75" s="14" t="s">
        <v>5829</v>
      </c>
      <c r="C75" s="14" t="s">
        <v>636</v>
      </c>
      <c r="D75" s="14" t="s">
        <v>5830</v>
      </c>
      <c r="E75" s="14" t="s">
        <v>55</v>
      </c>
      <c r="F75" s="14" t="s">
        <v>5662</v>
      </c>
      <c r="G75" s="14" t="s">
        <v>1295</v>
      </c>
      <c r="H75" s="15">
        <v>45860</v>
      </c>
      <c r="I75" s="14" t="s">
        <v>5663</v>
      </c>
      <c r="J75" s="14">
        <v>100</v>
      </c>
      <c r="K75" s="14" t="s">
        <v>5664</v>
      </c>
      <c r="L75" s="17">
        <v>45926</v>
      </c>
      <c r="M75" s="17">
        <v>45912</v>
      </c>
      <c r="N75" s="14"/>
      <c r="O75" s="17">
        <v>45908</v>
      </c>
      <c r="P75" s="14"/>
      <c r="Q75" s="18">
        <v>12000</v>
      </c>
      <c r="R75" s="19">
        <v>34.200000000000003</v>
      </c>
      <c r="S75" s="18">
        <v>7896</v>
      </c>
      <c r="T75" s="14">
        <v>12</v>
      </c>
      <c r="U75" s="18">
        <v>7896</v>
      </c>
      <c r="V75" s="18">
        <v>0</v>
      </c>
      <c r="W75" s="19">
        <v>0</v>
      </c>
      <c r="X75" s="18">
        <v>0</v>
      </c>
      <c r="Y75" s="14" t="s">
        <v>5735</v>
      </c>
      <c r="Z75" s="14" t="s">
        <v>5666</v>
      </c>
      <c r="AA75" s="14" t="b">
        <v>0</v>
      </c>
      <c r="AB75" s="14" t="b">
        <v>0</v>
      </c>
      <c r="AC75" s="14" t="b">
        <v>1</v>
      </c>
    </row>
    <row r="76" spans="1:29">
      <c r="A76" s="14" t="s">
        <v>5831</v>
      </c>
      <c r="B76" s="14" t="s">
        <v>5723</v>
      </c>
      <c r="C76" s="14" t="s">
        <v>645</v>
      </c>
      <c r="D76" s="14" t="s">
        <v>5724</v>
      </c>
      <c r="E76" s="14" t="s">
        <v>59</v>
      </c>
      <c r="F76" s="14" t="s">
        <v>5668</v>
      </c>
      <c r="G76" s="14"/>
      <c r="H76" s="15">
        <v>46221.25</v>
      </c>
      <c r="I76" s="14" t="s">
        <v>5669</v>
      </c>
      <c r="J76" s="14">
        <v>60</v>
      </c>
      <c r="K76" s="14" t="s">
        <v>5679</v>
      </c>
      <c r="L76" s="17">
        <v>46311</v>
      </c>
      <c r="M76" s="17"/>
      <c r="N76" s="14" t="s">
        <v>5774</v>
      </c>
      <c r="O76" s="17">
        <v>46283</v>
      </c>
      <c r="P76" s="14"/>
      <c r="Q76" s="18">
        <v>36000</v>
      </c>
      <c r="R76" s="19">
        <v>17.399999999999999</v>
      </c>
      <c r="S76" s="18">
        <v>29736</v>
      </c>
      <c r="T76" s="14">
        <v>12</v>
      </c>
      <c r="U76" s="18">
        <v>29736</v>
      </c>
      <c r="V76" s="18">
        <v>5000</v>
      </c>
      <c r="W76" s="19">
        <v>7.3</v>
      </c>
      <c r="X76" s="18">
        <v>4635</v>
      </c>
      <c r="Y76" s="14" t="s">
        <v>5665</v>
      </c>
      <c r="Z76" s="14" t="s">
        <v>5666</v>
      </c>
      <c r="AA76" s="14" t="b">
        <v>0</v>
      </c>
      <c r="AB76" s="14" t="b">
        <v>0</v>
      </c>
      <c r="AC76" s="14" t="b">
        <v>1</v>
      </c>
    </row>
    <row r="77" spans="1:29">
      <c r="A77" s="14" t="s">
        <v>1821</v>
      </c>
      <c r="B77" s="14" t="s">
        <v>5832</v>
      </c>
      <c r="C77" s="14" t="s">
        <v>861</v>
      </c>
      <c r="D77" s="14" t="s">
        <v>1820</v>
      </c>
      <c r="E77" s="14" t="s">
        <v>91</v>
      </c>
      <c r="F77" s="14" t="s">
        <v>5668</v>
      </c>
      <c r="G77" s="14" t="s">
        <v>1339</v>
      </c>
      <c r="H77" s="15">
        <v>45804.729849537034</v>
      </c>
      <c r="I77" s="14" t="s">
        <v>5675</v>
      </c>
      <c r="J77" s="14">
        <v>0</v>
      </c>
      <c r="K77" s="14" t="s">
        <v>5664</v>
      </c>
      <c r="L77" s="17">
        <v>45825.729849537034</v>
      </c>
      <c r="M77" s="17">
        <v>45825.729849537034</v>
      </c>
      <c r="N77" s="14"/>
      <c r="O77" s="17">
        <v>45825.729849537034</v>
      </c>
      <c r="P77" s="14" t="s">
        <v>5728</v>
      </c>
      <c r="Q77" s="18">
        <v>28000</v>
      </c>
      <c r="R77" s="19">
        <v>11.9</v>
      </c>
      <c r="S77" s="18">
        <v>24668</v>
      </c>
      <c r="T77" s="14">
        <v>24</v>
      </c>
      <c r="U77" s="18">
        <v>49336</v>
      </c>
      <c r="V77" s="18">
        <v>5000</v>
      </c>
      <c r="W77" s="19">
        <v>2.9</v>
      </c>
      <c r="X77" s="18">
        <v>4855</v>
      </c>
      <c r="Y77" s="14" t="s">
        <v>5665</v>
      </c>
      <c r="Z77" s="14" t="s">
        <v>5666</v>
      </c>
      <c r="AA77" s="14" t="b">
        <v>0</v>
      </c>
      <c r="AB77" s="14" t="b">
        <v>1</v>
      </c>
      <c r="AC77" s="14" t="b">
        <v>1</v>
      </c>
    </row>
    <row r="78" spans="1:29">
      <c r="A78" s="14" t="s">
        <v>5833</v>
      </c>
      <c r="B78" s="14" t="s">
        <v>5834</v>
      </c>
      <c r="C78" s="14" t="s">
        <v>626</v>
      </c>
      <c r="D78" s="14" t="s">
        <v>5744</v>
      </c>
      <c r="E78" s="14" t="s">
        <v>18</v>
      </c>
      <c r="F78" s="14" t="s">
        <v>5662</v>
      </c>
      <c r="G78" s="14" t="s">
        <v>1281</v>
      </c>
      <c r="H78" s="15">
        <v>45225</v>
      </c>
      <c r="I78" s="14" t="s">
        <v>5663</v>
      </c>
      <c r="J78" s="14">
        <v>100</v>
      </c>
      <c r="K78" s="14" t="s">
        <v>5664</v>
      </c>
      <c r="L78" s="17">
        <v>45320</v>
      </c>
      <c r="M78" s="17">
        <v>45306</v>
      </c>
      <c r="N78" s="14"/>
      <c r="O78" s="17">
        <v>45304</v>
      </c>
      <c r="P78" s="14"/>
      <c r="Q78" s="18">
        <v>6000</v>
      </c>
      <c r="R78" s="19">
        <v>5.5</v>
      </c>
      <c r="S78" s="18">
        <v>5670</v>
      </c>
      <c r="T78" s="14">
        <v>12</v>
      </c>
      <c r="U78" s="18">
        <v>5670</v>
      </c>
      <c r="V78" s="18">
        <v>0</v>
      </c>
      <c r="W78" s="19">
        <v>0</v>
      </c>
      <c r="X78" s="18">
        <v>0</v>
      </c>
      <c r="Y78" s="14" t="s">
        <v>5665</v>
      </c>
      <c r="Z78" s="14" t="s">
        <v>5693</v>
      </c>
      <c r="AA78" s="14" t="b">
        <v>0</v>
      </c>
      <c r="AB78" s="14" t="b">
        <v>0</v>
      </c>
      <c r="AC78" s="14" t="b">
        <v>1</v>
      </c>
    </row>
    <row r="79" spans="1:29">
      <c r="A79" s="14" t="s">
        <v>5835</v>
      </c>
      <c r="B79" s="14" t="s">
        <v>5836</v>
      </c>
      <c r="C79" s="14" t="s">
        <v>832</v>
      </c>
      <c r="D79" s="14" t="s">
        <v>2026</v>
      </c>
      <c r="E79" s="14" t="s">
        <v>55</v>
      </c>
      <c r="F79" s="14" t="s">
        <v>5662</v>
      </c>
      <c r="G79" s="14" t="s">
        <v>1288</v>
      </c>
      <c r="H79" s="15">
        <v>45516</v>
      </c>
      <c r="I79" s="14" t="s">
        <v>5663</v>
      </c>
      <c r="J79" s="14">
        <v>40</v>
      </c>
      <c r="K79" s="14" t="s">
        <v>5664</v>
      </c>
      <c r="L79" s="17">
        <v>45555</v>
      </c>
      <c r="M79" s="17">
        <v>45562</v>
      </c>
      <c r="N79" s="14"/>
      <c r="O79" s="17">
        <v>45555</v>
      </c>
      <c r="P79" s="14"/>
      <c r="Q79" s="18">
        <v>6000</v>
      </c>
      <c r="R79" s="19">
        <v>6.9</v>
      </c>
      <c r="S79" s="18">
        <v>5586</v>
      </c>
      <c r="T79" s="14">
        <v>12</v>
      </c>
      <c r="U79" s="18">
        <v>5586</v>
      </c>
      <c r="V79" s="18">
        <v>0</v>
      </c>
      <c r="W79" s="19">
        <v>0</v>
      </c>
      <c r="X79" s="18">
        <v>0</v>
      </c>
      <c r="Y79" s="14" t="s">
        <v>5665</v>
      </c>
      <c r="Z79" s="14" t="s">
        <v>5666</v>
      </c>
      <c r="AA79" s="14" t="b">
        <v>0</v>
      </c>
      <c r="AB79" s="14" t="b">
        <v>0</v>
      </c>
      <c r="AC79" s="14" t="b">
        <v>0</v>
      </c>
    </row>
    <row r="80" spans="1:29">
      <c r="A80" s="14" t="s">
        <v>1653</v>
      </c>
      <c r="B80" s="14" t="s">
        <v>5837</v>
      </c>
      <c r="C80" s="14" t="s">
        <v>606</v>
      </c>
      <c r="D80" s="14" t="s">
        <v>1652</v>
      </c>
      <c r="E80" s="14" t="s">
        <v>55</v>
      </c>
      <c r="F80" s="14" t="s">
        <v>5668</v>
      </c>
      <c r="G80" s="14" t="s">
        <v>1355</v>
      </c>
      <c r="H80" s="15">
        <v>45089.339247685188</v>
      </c>
      <c r="I80" s="14" t="s">
        <v>5675</v>
      </c>
      <c r="J80" s="14">
        <v>0</v>
      </c>
      <c r="K80" s="14" t="s">
        <v>5664</v>
      </c>
      <c r="L80" s="17">
        <v>45162.339247685188</v>
      </c>
      <c r="M80" s="17">
        <v>45162.339247685188</v>
      </c>
      <c r="N80" s="14"/>
      <c r="O80" s="17">
        <v>45158.339247685188</v>
      </c>
      <c r="P80" s="14" t="s">
        <v>5676</v>
      </c>
      <c r="Q80" s="18">
        <v>38000</v>
      </c>
      <c r="R80" s="19">
        <v>9.4</v>
      </c>
      <c r="S80" s="18">
        <v>34428</v>
      </c>
      <c r="T80" s="14">
        <v>12</v>
      </c>
      <c r="U80" s="18">
        <v>34428</v>
      </c>
      <c r="V80" s="18">
        <v>10000</v>
      </c>
      <c r="W80" s="19">
        <v>11.8</v>
      </c>
      <c r="X80" s="18">
        <v>8820</v>
      </c>
      <c r="Y80" s="14" t="s">
        <v>5665</v>
      </c>
      <c r="Z80" s="14" t="s">
        <v>5666</v>
      </c>
      <c r="AA80" s="14" t="b">
        <v>0</v>
      </c>
      <c r="AB80" s="14" t="b">
        <v>0</v>
      </c>
      <c r="AC80" s="14" t="b">
        <v>0</v>
      </c>
    </row>
    <row r="81" spans="1:29">
      <c r="A81" s="14" t="s">
        <v>5838</v>
      </c>
      <c r="B81" s="14" t="s">
        <v>5758</v>
      </c>
      <c r="C81" s="14" t="s">
        <v>26</v>
      </c>
      <c r="D81" s="14" t="s">
        <v>1528</v>
      </c>
      <c r="E81" s="14" t="s">
        <v>18</v>
      </c>
      <c r="F81" s="14" t="s">
        <v>5668</v>
      </c>
      <c r="G81" s="14"/>
      <c r="H81" s="15">
        <v>46268.416666666664</v>
      </c>
      <c r="I81" s="14" t="s">
        <v>5686</v>
      </c>
      <c r="J81" s="14">
        <v>10</v>
      </c>
      <c r="K81" s="14" t="s">
        <v>5670</v>
      </c>
      <c r="L81" s="17">
        <v>46367</v>
      </c>
      <c r="M81" s="17"/>
      <c r="N81" s="14" t="s">
        <v>5767</v>
      </c>
      <c r="O81" s="17">
        <v>46283</v>
      </c>
      <c r="P81" s="14"/>
      <c r="Q81" s="18">
        <v>80000</v>
      </c>
      <c r="R81" s="19">
        <v>8.8000000000000007</v>
      </c>
      <c r="S81" s="18">
        <v>72960</v>
      </c>
      <c r="T81" s="14">
        <v>12</v>
      </c>
      <c r="U81" s="18">
        <v>72960</v>
      </c>
      <c r="V81" s="18">
        <v>20000</v>
      </c>
      <c r="W81" s="19">
        <v>8.4</v>
      </c>
      <c r="X81" s="18">
        <v>18320</v>
      </c>
      <c r="Y81" s="14" t="s">
        <v>5735</v>
      </c>
      <c r="Z81" s="14" t="s">
        <v>5666</v>
      </c>
      <c r="AA81" s="14" t="b">
        <v>0</v>
      </c>
      <c r="AB81" s="14" t="b">
        <v>0</v>
      </c>
      <c r="AC81" s="14" t="b">
        <v>1</v>
      </c>
    </row>
    <row r="82" spans="1:29">
      <c r="A82" s="14" t="s">
        <v>2396</v>
      </c>
      <c r="B82" s="14" t="s">
        <v>5839</v>
      </c>
      <c r="C82" s="14" t="s">
        <v>199</v>
      </c>
      <c r="D82" s="14" t="s">
        <v>2395</v>
      </c>
      <c r="E82" s="14" t="s">
        <v>91</v>
      </c>
      <c r="F82" s="14" t="s">
        <v>5668</v>
      </c>
      <c r="G82" s="14" t="s">
        <v>1288</v>
      </c>
      <c r="H82" s="15">
        <v>45940.963136574072</v>
      </c>
      <c r="I82" s="14" t="s">
        <v>5675</v>
      </c>
      <c r="J82" s="14">
        <v>0</v>
      </c>
      <c r="K82" s="14" t="s">
        <v>5664</v>
      </c>
      <c r="L82" s="17">
        <v>45972.963136574072</v>
      </c>
      <c r="M82" s="17">
        <v>45979.963136574072</v>
      </c>
      <c r="N82" s="14"/>
      <c r="O82" s="17">
        <v>45975.963136574072</v>
      </c>
      <c r="P82" s="14" t="s">
        <v>5702</v>
      </c>
      <c r="Q82" s="18">
        <v>30000</v>
      </c>
      <c r="R82" s="19">
        <v>19.5</v>
      </c>
      <c r="S82" s="18">
        <v>24150</v>
      </c>
      <c r="T82" s="14">
        <v>12</v>
      </c>
      <c r="U82" s="18">
        <v>24150</v>
      </c>
      <c r="V82" s="18">
        <v>5000</v>
      </c>
      <c r="W82" s="19">
        <v>13.8</v>
      </c>
      <c r="X82" s="18">
        <v>4310</v>
      </c>
      <c r="Y82" s="14" t="s">
        <v>5665</v>
      </c>
      <c r="Z82" s="14" t="s">
        <v>5666</v>
      </c>
      <c r="AA82" s="14" t="b">
        <v>0</v>
      </c>
      <c r="AB82" s="14" t="b">
        <v>0</v>
      </c>
      <c r="AC82" s="14" t="b">
        <v>1</v>
      </c>
    </row>
    <row r="83" spans="1:29">
      <c r="A83" s="14" t="s">
        <v>5840</v>
      </c>
      <c r="B83" s="14" t="s">
        <v>5841</v>
      </c>
      <c r="C83" s="14" t="s">
        <v>425</v>
      </c>
      <c r="D83" s="14" t="s">
        <v>2384</v>
      </c>
      <c r="E83" s="14" t="s">
        <v>91</v>
      </c>
      <c r="F83" s="14" t="s">
        <v>5662</v>
      </c>
      <c r="G83" s="14" t="s">
        <v>1288</v>
      </c>
      <c r="H83" s="15">
        <v>45457</v>
      </c>
      <c r="I83" s="14" t="s">
        <v>5663</v>
      </c>
      <c r="J83" s="14">
        <v>100</v>
      </c>
      <c r="K83" s="14" t="s">
        <v>5664</v>
      </c>
      <c r="L83" s="17">
        <v>45500</v>
      </c>
      <c r="M83" s="17">
        <v>45500</v>
      </c>
      <c r="N83" s="14"/>
      <c r="O83" s="17">
        <v>45498</v>
      </c>
      <c r="P83" s="14"/>
      <c r="Q83" s="18">
        <v>14000</v>
      </c>
      <c r="R83" s="19">
        <v>5.4</v>
      </c>
      <c r="S83" s="18">
        <v>13244</v>
      </c>
      <c r="T83" s="14">
        <v>24</v>
      </c>
      <c r="U83" s="18">
        <v>26488</v>
      </c>
      <c r="V83" s="18">
        <v>0</v>
      </c>
      <c r="W83" s="19">
        <v>0</v>
      </c>
      <c r="X83" s="18">
        <v>0</v>
      </c>
      <c r="Y83" s="14" t="s">
        <v>5665</v>
      </c>
      <c r="Z83" s="14" t="s">
        <v>5666</v>
      </c>
      <c r="AA83" s="14" t="b">
        <v>0</v>
      </c>
      <c r="AB83" s="14" t="b">
        <v>0</v>
      </c>
      <c r="AC83" s="14" t="b">
        <v>0</v>
      </c>
    </row>
    <row r="84" spans="1:29">
      <c r="A84" s="14" t="s">
        <v>5842</v>
      </c>
      <c r="B84" s="14" t="s">
        <v>5843</v>
      </c>
      <c r="C84" s="14" t="s">
        <v>479</v>
      </c>
      <c r="D84" s="14" t="s">
        <v>5844</v>
      </c>
      <c r="E84" s="14" t="s">
        <v>55</v>
      </c>
      <c r="F84" s="14" t="s">
        <v>5668</v>
      </c>
      <c r="G84" s="14" t="s">
        <v>1317</v>
      </c>
      <c r="H84" s="15">
        <v>46247.666666666664</v>
      </c>
      <c r="I84" s="14" t="s">
        <v>5740</v>
      </c>
      <c r="J84" s="14">
        <v>80</v>
      </c>
      <c r="K84" s="14" t="s">
        <v>5679</v>
      </c>
      <c r="L84" s="17">
        <v>46318</v>
      </c>
      <c r="M84" s="17"/>
      <c r="N84" s="14" t="s">
        <v>5845</v>
      </c>
      <c r="O84" s="17">
        <v>46251</v>
      </c>
      <c r="P84" s="14"/>
      <c r="Q84" s="18">
        <v>30000</v>
      </c>
      <c r="R84" s="19">
        <v>6</v>
      </c>
      <c r="S84" s="18">
        <v>28200</v>
      </c>
      <c r="T84" s="14">
        <v>12</v>
      </c>
      <c r="U84" s="18">
        <v>28200</v>
      </c>
      <c r="V84" s="18">
        <v>10000</v>
      </c>
      <c r="W84" s="19">
        <v>5</v>
      </c>
      <c r="X84" s="18">
        <v>9500</v>
      </c>
      <c r="Y84" s="14" t="s">
        <v>5665</v>
      </c>
      <c r="Z84" s="14" t="s">
        <v>5666</v>
      </c>
      <c r="AA84" s="14" t="b">
        <v>0</v>
      </c>
      <c r="AB84" s="14" t="b">
        <v>0</v>
      </c>
      <c r="AC84" s="14" t="b">
        <v>0</v>
      </c>
    </row>
    <row r="85" spans="1:29">
      <c r="A85" s="14" t="s">
        <v>1415</v>
      </c>
      <c r="B85" s="14" t="s">
        <v>5846</v>
      </c>
      <c r="C85" s="14" t="s">
        <v>1028</v>
      </c>
      <c r="D85" s="14" t="s">
        <v>1414</v>
      </c>
      <c r="E85" s="14" t="s">
        <v>91</v>
      </c>
      <c r="F85" s="14" t="s">
        <v>5668</v>
      </c>
      <c r="G85" s="14" t="s">
        <v>1413</v>
      </c>
      <c r="H85" s="15">
        <v>45423.012835648151</v>
      </c>
      <c r="I85" s="14" t="s">
        <v>5675</v>
      </c>
      <c r="J85" s="14">
        <v>0</v>
      </c>
      <c r="K85" s="14" t="s">
        <v>5664</v>
      </c>
      <c r="L85" s="17">
        <v>45475.012835648151</v>
      </c>
      <c r="M85" s="17">
        <v>45461.012835648151</v>
      </c>
      <c r="N85" s="14"/>
      <c r="O85" s="17">
        <v>45456.012835648151</v>
      </c>
      <c r="P85" s="14" t="s">
        <v>5721</v>
      </c>
      <c r="Q85" s="18">
        <v>18000</v>
      </c>
      <c r="R85" s="19">
        <v>15.9</v>
      </c>
      <c r="S85" s="18">
        <v>15138</v>
      </c>
      <c r="T85" s="14">
        <v>12</v>
      </c>
      <c r="U85" s="18">
        <v>15138</v>
      </c>
      <c r="V85" s="18">
        <v>5000</v>
      </c>
      <c r="W85" s="19">
        <v>3.2</v>
      </c>
      <c r="X85" s="18">
        <v>4840</v>
      </c>
      <c r="Y85" s="14" t="s">
        <v>5665</v>
      </c>
      <c r="Z85" s="14" t="s">
        <v>5666</v>
      </c>
      <c r="AA85" s="14" t="b">
        <v>0</v>
      </c>
      <c r="AB85" s="14" t="b">
        <v>0</v>
      </c>
      <c r="AC85" s="14" t="b">
        <v>1</v>
      </c>
    </row>
    <row r="86" spans="1:29">
      <c r="A86" s="14" t="s">
        <v>5847</v>
      </c>
      <c r="B86" s="14" t="s">
        <v>5848</v>
      </c>
      <c r="C86" s="14" t="s">
        <v>777</v>
      </c>
      <c r="D86" s="14" t="s">
        <v>5849</v>
      </c>
      <c r="E86" s="14" t="s">
        <v>25</v>
      </c>
      <c r="F86" s="14" t="s">
        <v>5668</v>
      </c>
      <c r="G86" s="14" t="s">
        <v>1288</v>
      </c>
      <c r="H86" s="15">
        <v>46226.291666666664</v>
      </c>
      <c r="I86" s="14" t="s">
        <v>5669</v>
      </c>
      <c r="J86" s="14">
        <v>60</v>
      </c>
      <c r="K86" s="14" t="s">
        <v>5679</v>
      </c>
      <c r="L86" s="17">
        <v>46305</v>
      </c>
      <c r="M86" s="17"/>
      <c r="N86" s="14" t="s">
        <v>5850</v>
      </c>
      <c r="O86" s="17">
        <v>46269</v>
      </c>
      <c r="P86" s="14"/>
      <c r="Q86" s="18">
        <v>24000</v>
      </c>
      <c r="R86" s="19">
        <v>2.4</v>
      </c>
      <c r="S86" s="18">
        <v>23424</v>
      </c>
      <c r="T86" s="14">
        <v>12</v>
      </c>
      <c r="U86" s="18">
        <v>23424</v>
      </c>
      <c r="V86" s="18">
        <v>5000</v>
      </c>
      <c r="W86" s="19">
        <v>8.1999999999999993</v>
      </c>
      <c r="X86" s="18">
        <v>4590</v>
      </c>
      <c r="Y86" s="14" t="s">
        <v>5665</v>
      </c>
      <c r="Z86" s="14" t="s">
        <v>5666</v>
      </c>
      <c r="AA86" s="14" t="b">
        <v>1</v>
      </c>
      <c r="AB86" s="14" t="b">
        <v>0</v>
      </c>
      <c r="AC86" s="14" t="b">
        <v>1</v>
      </c>
    </row>
    <row r="87" spans="1:29">
      <c r="A87" s="14" t="s">
        <v>1709</v>
      </c>
      <c r="B87" s="14" t="s">
        <v>5851</v>
      </c>
      <c r="C87" s="14" t="s">
        <v>142</v>
      </c>
      <c r="D87" s="14" t="s">
        <v>1708</v>
      </c>
      <c r="E87" s="14" t="s">
        <v>59</v>
      </c>
      <c r="F87" s="14" t="s">
        <v>5668</v>
      </c>
      <c r="G87" s="14" t="s">
        <v>1413</v>
      </c>
      <c r="H87" s="15">
        <v>45014.487673611111</v>
      </c>
      <c r="I87" s="14" t="s">
        <v>5663</v>
      </c>
      <c r="J87" s="14">
        <v>100</v>
      </c>
      <c r="K87" s="14" t="s">
        <v>5664</v>
      </c>
      <c r="L87" s="17">
        <v>45039.487673611111</v>
      </c>
      <c r="M87" s="17">
        <v>45053.487673611111</v>
      </c>
      <c r="N87" s="14"/>
      <c r="O87" s="17">
        <v>45053.487673611111</v>
      </c>
      <c r="P87" s="14"/>
      <c r="Q87" s="18">
        <v>12000</v>
      </c>
      <c r="R87" s="19">
        <v>21</v>
      </c>
      <c r="S87" s="18">
        <v>9480</v>
      </c>
      <c r="T87" s="14">
        <v>12</v>
      </c>
      <c r="U87" s="18">
        <v>9480</v>
      </c>
      <c r="V87" s="18">
        <v>5000</v>
      </c>
      <c r="W87" s="19">
        <v>1.5</v>
      </c>
      <c r="X87" s="18">
        <v>4925</v>
      </c>
      <c r="Y87" s="14" t="s">
        <v>5665</v>
      </c>
      <c r="Z87" s="14" t="s">
        <v>5666</v>
      </c>
      <c r="AA87" s="14" t="b">
        <v>0</v>
      </c>
      <c r="AB87" s="14" t="b">
        <v>0</v>
      </c>
      <c r="AC87" s="14" t="b">
        <v>1</v>
      </c>
    </row>
    <row r="88" spans="1:29">
      <c r="A88" s="14" t="s">
        <v>1829</v>
      </c>
      <c r="B88" s="14" t="s">
        <v>5852</v>
      </c>
      <c r="C88" s="14" t="s">
        <v>128</v>
      </c>
      <c r="D88" s="14" t="s">
        <v>1828</v>
      </c>
      <c r="E88" s="14" t="s">
        <v>55</v>
      </c>
      <c r="F88" s="14" t="s">
        <v>5668</v>
      </c>
      <c r="G88" s="14" t="s">
        <v>1288</v>
      </c>
      <c r="H88" s="15">
        <v>46260.814108796294</v>
      </c>
      <c r="I88" s="14" t="s">
        <v>5740</v>
      </c>
      <c r="J88" s="14">
        <v>80</v>
      </c>
      <c r="K88" s="14" t="s">
        <v>5679</v>
      </c>
      <c r="L88" s="17">
        <v>46296</v>
      </c>
      <c r="M88" s="17"/>
      <c r="N88" s="14" t="s">
        <v>5749</v>
      </c>
      <c r="O88" s="17">
        <v>46275</v>
      </c>
      <c r="P88" s="14"/>
      <c r="Q88" s="18">
        <v>60000</v>
      </c>
      <c r="R88" s="19">
        <v>7.9</v>
      </c>
      <c r="S88" s="18">
        <v>55260</v>
      </c>
      <c r="T88" s="14">
        <v>12</v>
      </c>
      <c r="U88" s="18">
        <v>55260</v>
      </c>
      <c r="V88" s="18">
        <v>20000</v>
      </c>
      <c r="W88" s="19">
        <v>9.6</v>
      </c>
      <c r="X88" s="18">
        <v>18080</v>
      </c>
      <c r="Y88" s="14" t="s">
        <v>5665</v>
      </c>
      <c r="Z88" s="14" t="s">
        <v>5666</v>
      </c>
      <c r="AA88" s="14" t="b">
        <v>0</v>
      </c>
      <c r="AB88" s="14" t="b">
        <v>0</v>
      </c>
      <c r="AC88" s="14" t="b">
        <v>0</v>
      </c>
    </row>
    <row r="89" spans="1:29">
      <c r="A89" s="14" t="s">
        <v>5853</v>
      </c>
      <c r="B89" s="14" t="s">
        <v>5854</v>
      </c>
      <c r="C89" s="14" t="s">
        <v>706</v>
      </c>
      <c r="D89" s="14" t="s">
        <v>2354</v>
      </c>
      <c r="E89" s="14" t="s">
        <v>55</v>
      </c>
      <c r="F89" s="14" t="s">
        <v>5668</v>
      </c>
      <c r="G89" s="14" t="s">
        <v>1295</v>
      </c>
      <c r="H89" s="15">
        <v>46267.75</v>
      </c>
      <c r="I89" s="14" t="s">
        <v>5686</v>
      </c>
      <c r="J89" s="14">
        <v>10</v>
      </c>
      <c r="K89" s="14" t="s">
        <v>5670</v>
      </c>
      <c r="L89" s="17">
        <v>46330</v>
      </c>
      <c r="M89" s="17"/>
      <c r="N89" s="14" t="s">
        <v>5687</v>
      </c>
      <c r="O89" s="17">
        <v>46267</v>
      </c>
      <c r="P89" s="14"/>
      <c r="Q89" s="18">
        <v>98000</v>
      </c>
      <c r="R89" s="19">
        <v>16.3</v>
      </c>
      <c r="S89" s="18">
        <v>82026</v>
      </c>
      <c r="T89" s="14">
        <v>12</v>
      </c>
      <c r="U89" s="18">
        <v>82026</v>
      </c>
      <c r="V89" s="18">
        <v>20000</v>
      </c>
      <c r="W89" s="19">
        <v>4.3</v>
      </c>
      <c r="X89" s="18">
        <v>19140</v>
      </c>
      <c r="Y89" s="14" t="s">
        <v>5665</v>
      </c>
      <c r="Z89" s="14" t="s">
        <v>5666</v>
      </c>
      <c r="AA89" s="14" t="b">
        <v>0</v>
      </c>
      <c r="AB89" s="14" t="b">
        <v>0</v>
      </c>
      <c r="AC89" s="14" t="b">
        <v>1</v>
      </c>
    </row>
    <row r="90" spans="1:29">
      <c r="A90" s="14" t="s">
        <v>5855</v>
      </c>
      <c r="B90" s="14" t="s">
        <v>5856</v>
      </c>
      <c r="C90" s="14" t="s">
        <v>395</v>
      </c>
      <c r="D90" s="14" t="s">
        <v>2548</v>
      </c>
      <c r="E90" s="14" t="s">
        <v>25</v>
      </c>
      <c r="F90" s="14" t="s">
        <v>5668</v>
      </c>
      <c r="G90" s="14"/>
      <c r="H90" s="15">
        <v>46250.833333333336</v>
      </c>
      <c r="I90" s="14" t="s">
        <v>5740</v>
      </c>
      <c r="J90" s="14">
        <v>80</v>
      </c>
      <c r="K90" s="14" t="s">
        <v>5679</v>
      </c>
      <c r="L90" s="17">
        <v>46294</v>
      </c>
      <c r="M90" s="17"/>
      <c r="N90" s="14" t="s">
        <v>5741</v>
      </c>
      <c r="O90" s="17">
        <v>46281</v>
      </c>
      <c r="P90" s="14"/>
      <c r="Q90" s="18">
        <v>12000</v>
      </c>
      <c r="R90" s="19">
        <v>31</v>
      </c>
      <c r="S90" s="18">
        <v>8280</v>
      </c>
      <c r="T90" s="14">
        <v>12</v>
      </c>
      <c r="U90" s="18">
        <v>8280</v>
      </c>
      <c r="V90" s="18">
        <v>5000</v>
      </c>
      <c r="W90" s="19">
        <v>10.4</v>
      </c>
      <c r="X90" s="18">
        <v>4480</v>
      </c>
      <c r="Y90" s="14" t="s">
        <v>5665</v>
      </c>
      <c r="Z90" s="14" t="s">
        <v>5666</v>
      </c>
      <c r="AA90" s="14" t="b">
        <v>0</v>
      </c>
      <c r="AB90" s="14" t="b">
        <v>0</v>
      </c>
      <c r="AC90" s="14" t="b">
        <v>1</v>
      </c>
    </row>
    <row r="91" spans="1:29">
      <c r="A91" s="14" t="s">
        <v>1556</v>
      </c>
      <c r="B91" s="14" t="s">
        <v>5857</v>
      </c>
      <c r="C91" s="14" t="s">
        <v>51</v>
      </c>
      <c r="D91" s="14" t="s">
        <v>1555</v>
      </c>
      <c r="E91" s="14" t="s">
        <v>55</v>
      </c>
      <c r="F91" s="14" t="s">
        <v>5668</v>
      </c>
      <c r="G91" s="14" t="s">
        <v>1317</v>
      </c>
      <c r="H91" s="15">
        <v>45446.83116898148</v>
      </c>
      <c r="I91" s="14" t="s">
        <v>5675</v>
      </c>
      <c r="J91" s="14">
        <v>0</v>
      </c>
      <c r="K91" s="14" t="s">
        <v>5664</v>
      </c>
      <c r="L91" s="17">
        <v>45484.83116898148</v>
      </c>
      <c r="M91" s="17">
        <v>45514.83116898148</v>
      </c>
      <c r="N91" s="14"/>
      <c r="O91" s="17">
        <v>45510.83116898148</v>
      </c>
      <c r="P91" s="14" t="s">
        <v>5676</v>
      </c>
      <c r="Q91" s="18">
        <v>80000</v>
      </c>
      <c r="R91" s="19">
        <v>1.1000000000000001</v>
      </c>
      <c r="S91" s="18">
        <v>79120</v>
      </c>
      <c r="T91" s="14">
        <v>24</v>
      </c>
      <c r="U91" s="18">
        <v>158240</v>
      </c>
      <c r="V91" s="18">
        <v>20000</v>
      </c>
      <c r="W91" s="19">
        <v>18.600000000000001</v>
      </c>
      <c r="X91" s="18">
        <v>16280</v>
      </c>
      <c r="Y91" s="14" t="s">
        <v>5665</v>
      </c>
      <c r="Z91" s="14" t="s">
        <v>5693</v>
      </c>
      <c r="AA91" s="14" t="b">
        <v>0</v>
      </c>
      <c r="AB91" s="14" t="b">
        <v>0</v>
      </c>
      <c r="AC91" s="14" t="b">
        <v>1</v>
      </c>
    </row>
    <row r="92" spans="1:29">
      <c r="A92" s="14" t="s">
        <v>5858</v>
      </c>
      <c r="B92" s="14" t="s">
        <v>5859</v>
      </c>
      <c r="C92" s="14" t="s">
        <v>766</v>
      </c>
      <c r="D92" s="14" t="s">
        <v>2459</v>
      </c>
      <c r="E92" s="14" t="s">
        <v>91</v>
      </c>
      <c r="F92" s="14" t="s">
        <v>5668</v>
      </c>
      <c r="G92" s="14"/>
      <c r="H92" s="15">
        <v>46220.513715277775</v>
      </c>
      <c r="I92" s="14" t="s">
        <v>5663</v>
      </c>
      <c r="J92" s="14">
        <v>100</v>
      </c>
      <c r="K92" s="14" t="s">
        <v>5664</v>
      </c>
      <c r="L92" s="17">
        <v>46279.513715277775</v>
      </c>
      <c r="M92" s="17">
        <v>46249.513715277775</v>
      </c>
      <c r="N92" s="14"/>
      <c r="O92" s="17">
        <v>46248.513715277775</v>
      </c>
      <c r="P92" s="14"/>
      <c r="Q92" s="18">
        <v>36000</v>
      </c>
      <c r="R92" s="19">
        <v>22.5</v>
      </c>
      <c r="S92" s="18">
        <v>27900</v>
      </c>
      <c r="T92" s="14">
        <v>12</v>
      </c>
      <c r="U92" s="18">
        <v>27900</v>
      </c>
      <c r="V92" s="18">
        <v>5000</v>
      </c>
      <c r="W92" s="19">
        <v>5.9</v>
      </c>
      <c r="X92" s="18">
        <v>4705</v>
      </c>
      <c r="Y92" s="14" t="s">
        <v>5665</v>
      </c>
      <c r="Z92" s="14" t="s">
        <v>5666</v>
      </c>
      <c r="AA92" s="14" t="b">
        <v>0</v>
      </c>
      <c r="AB92" s="14" t="b">
        <v>0</v>
      </c>
      <c r="AC92" s="14" t="b">
        <v>1</v>
      </c>
    </row>
    <row r="93" spans="1:29">
      <c r="A93" s="14" t="s">
        <v>1466</v>
      </c>
      <c r="B93" s="14" t="s">
        <v>5715</v>
      </c>
      <c r="C93" s="14" t="s">
        <v>723</v>
      </c>
      <c r="D93" s="14" t="s">
        <v>1465</v>
      </c>
      <c r="E93" s="14" t="s">
        <v>36</v>
      </c>
      <c r="F93" s="14" t="s">
        <v>5668</v>
      </c>
      <c r="G93" s="14" t="s">
        <v>1317</v>
      </c>
      <c r="H93" s="15">
        <v>45355.941435185188</v>
      </c>
      <c r="I93" s="14" t="s">
        <v>5663</v>
      </c>
      <c r="J93" s="14">
        <v>100</v>
      </c>
      <c r="K93" s="14" t="s">
        <v>5664</v>
      </c>
      <c r="L93" s="17">
        <v>45446.941435185188</v>
      </c>
      <c r="M93" s="17">
        <v>45446.941435185188</v>
      </c>
      <c r="N93" s="14"/>
      <c r="O93" s="17">
        <v>45445.941435185188</v>
      </c>
      <c r="P93" s="14"/>
      <c r="Q93" s="18">
        <v>92000</v>
      </c>
      <c r="R93" s="19">
        <v>3.1</v>
      </c>
      <c r="S93" s="18">
        <v>89148</v>
      </c>
      <c r="T93" s="14">
        <v>12</v>
      </c>
      <c r="U93" s="18">
        <v>89148</v>
      </c>
      <c r="V93" s="18">
        <v>20000</v>
      </c>
      <c r="W93" s="19">
        <v>2</v>
      </c>
      <c r="X93" s="18">
        <v>19600</v>
      </c>
      <c r="Y93" s="14" t="s">
        <v>5735</v>
      </c>
      <c r="Z93" s="14" t="s">
        <v>5666</v>
      </c>
      <c r="AA93" s="14" t="b">
        <v>0</v>
      </c>
      <c r="AB93" s="14" t="b">
        <v>0</v>
      </c>
      <c r="AC93" s="14" t="b">
        <v>1</v>
      </c>
    </row>
    <row r="94" spans="1:29">
      <c r="A94" s="14" t="s">
        <v>1923</v>
      </c>
      <c r="B94" s="14" t="s">
        <v>5821</v>
      </c>
      <c r="C94" s="14" t="s">
        <v>957</v>
      </c>
      <c r="D94" s="14" t="s">
        <v>1922</v>
      </c>
      <c r="E94" s="14" t="s">
        <v>25</v>
      </c>
      <c r="F94" s="14" t="s">
        <v>5668</v>
      </c>
      <c r="G94" s="14" t="s">
        <v>1271</v>
      </c>
      <c r="H94" s="15">
        <v>45455.573414351849</v>
      </c>
      <c r="I94" s="14" t="s">
        <v>5675</v>
      </c>
      <c r="J94" s="14">
        <v>0</v>
      </c>
      <c r="K94" s="14" t="s">
        <v>5664</v>
      </c>
      <c r="L94" s="17">
        <v>45511.573414351849</v>
      </c>
      <c r="M94" s="17">
        <v>45497.573414351849</v>
      </c>
      <c r="N94" s="14"/>
      <c r="O94" s="17">
        <v>45496.573414351849</v>
      </c>
      <c r="P94" s="14" t="s">
        <v>5783</v>
      </c>
      <c r="Q94" s="18">
        <v>24000</v>
      </c>
      <c r="R94" s="19">
        <v>4.4000000000000004</v>
      </c>
      <c r="S94" s="18">
        <v>22944</v>
      </c>
      <c r="T94" s="14">
        <v>12</v>
      </c>
      <c r="U94" s="18">
        <v>22944</v>
      </c>
      <c r="V94" s="18">
        <v>5000</v>
      </c>
      <c r="W94" s="19">
        <v>2.2999999999999998</v>
      </c>
      <c r="X94" s="18">
        <v>4885</v>
      </c>
      <c r="Y94" s="14" t="s">
        <v>5665</v>
      </c>
      <c r="Z94" s="14" t="s">
        <v>5666</v>
      </c>
      <c r="AA94" s="14" t="b">
        <v>0</v>
      </c>
      <c r="AB94" s="14" t="b">
        <v>0</v>
      </c>
      <c r="AC94" s="14" t="b">
        <v>0</v>
      </c>
    </row>
    <row r="95" spans="1:29">
      <c r="A95" s="14" t="s">
        <v>2090</v>
      </c>
      <c r="B95" s="14" t="s">
        <v>5860</v>
      </c>
      <c r="C95" s="14" t="s">
        <v>465</v>
      </c>
      <c r="D95" s="14" t="s">
        <v>2089</v>
      </c>
      <c r="E95" s="14" t="s">
        <v>18</v>
      </c>
      <c r="F95" s="14" t="s">
        <v>5668</v>
      </c>
      <c r="G95" s="14" t="s">
        <v>1339</v>
      </c>
      <c r="H95" s="15">
        <v>45878.439432870371</v>
      </c>
      <c r="I95" s="14" t="s">
        <v>5675</v>
      </c>
      <c r="J95" s="14">
        <v>0</v>
      </c>
      <c r="K95" s="14" t="s">
        <v>5664</v>
      </c>
      <c r="L95" s="17">
        <v>45924.439432870371</v>
      </c>
      <c r="M95" s="17">
        <v>45931.439432870371</v>
      </c>
      <c r="N95" s="14"/>
      <c r="O95" s="17">
        <v>45924.439432870371</v>
      </c>
      <c r="P95" s="14" t="s">
        <v>5721</v>
      </c>
      <c r="Q95" s="18">
        <v>50000</v>
      </c>
      <c r="R95" s="19">
        <v>9.5</v>
      </c>
      <c r="S95" s="18">
        <v>45250</v>
      </c>
      <c r="T95" s="14">
        <v>12</v>
      </c>
      <c r="U95" s="18">
        <v>45250</v>
      </c>
      <c r="V95" s="18">
        <v>10000</v>
      </c>
      <c r="W95" s="19">
        <v>9</v>
      </c>
      <c r="X95" s="18">
        <v>9100</v>
      </c>
      <c r="Y95" s="14" t="s">
        <v>5665</v>
      </c>
      <c r="Z95" s="14" t="s">
        <v>5666</v>
      </c>
      <c r="AA95" s="14" t="b">
        <v>1</v>
      </c>
      <c r="AB95" s="14" t="b">
        <v>0</v>
      </c>
      <c r="AC95" s="14" t="b">
        <v>1</v>
      </c>
    </row>
    <row r="96" spans="1:29">
      <c r="A96" s="14" t="s">
        <v>5861</v>
      </c>
      <c r="B96" s="14" t="s">
        <v>5856</v>
      </c>
      <c r="C96" s="14" t="s">
        <v>395</v>
      </c>
      <c r="D96" s="14" t="s">
        <v>2548</v>
      </c>
      <c r="E96" s="14" t="s">
        <v>25</v>
      </c>
      <c r="F96" s="14" t="s">
        <v>5668</v>
      </c>
      <c r="G96" s="14"/>
      <c r="H96" s="15">
        <v>46263.708333333336</v>
      </c>
      <c r="I96" s="14" t="s">
        <v>5686</v>
      </c>
      <c r="J96" s="14">
        <v>10</v>
      </c>
      <c r="K96" s="14" t="s">
        <v>5670</v>
      </c>
      <c r="L96" s="17">
        <v>46372</v>
      </c>
      <c r="M96" s="17"/>
      <c r="N96" s="14" t="s">
        <v>5862</v>
      </c>
      <c r="O96" s="17">
        <v>46281</v>
      </c>
      <c r="P96" s="14"/>
      <c r="Q96" s="18">
        <v>42000</v>
      </c>
      <c r="R96" s="19">
        <v>7.4</v>
      </c>
      <c r="S96" s="18">
        <v>38892</v>
      </c>
      <c r="T96" s="14">
        <v>36</v>
      </c>
      <c r="U96" s="18">
        <v>116676</v>
      </c>
      <c r="V96" s="18">
        <v>10000</v>
      </c>
      <c r="W96" s="19">
        <v>3</v>
      </c>
      <c r="X96" s="18">
        <v>9700</v>
      </c>
      <c r="Y96" s="14" t="s">
        <v>5665</v>
      </c>
      <c r="Z96" s="14" t="s">
        <v>5666</v>
      </c>
      <c r="AA96" s="14" t="b">
        <v>0</v>
      </c>
      <c r="AB96" s="14" t="b">
        <v>0</v>
      </c>
      <c r="AC96" s="14" t="b">
        <v>0</v>
      </c>
    </row>
    <row r="97" spans="1:29">
      <c r="A97" s="14" t="s">
        <v>2561</v>
      </c>
      <c r="B97" s="14" t="s">
        <v>5863</v>
      </c>
      <c r="C97" s="14" t="s">
        <v>342</v>
      </c>
      <c r="D97" s="14" t="s">
        <v>2560</v>
      </c>
      <c r="E97" s="14" t="s">
        <v>69</v>
      </c>
      <c r="F97" s="14" t="s">
        <v>5668</v>
      </c>
      <c r="G97" s="14" t="s">
        <v>1295</v>
      </c>
      <c r="H97" s="15">
        <v>45509.79314814815</v>
      </c>
      <c r="I97" s="14" t="s">
        <v>5675</v>
      </c>
      <c r="J97" s="14">
        <v>0</v>
      </c>
      <c r="K97" s="14" t="s">
        <v>5664</v>
      </c>
      <c r="L97" s="17">
        <v>45563.79314814815</v>
      </c>
      <c r="M97" s="17">
        <v>45549.79314814815</v>
      </c>
      <c r="N97" s="14"/>
      <c r="O97" s="17">
        <v>45542.79314814815</v>
      </c>
      <c r="P97" s="14" t="s">
        <v>5676</v>
      </c>
      <c r="Q97" s="18">
        <v>44000</v>
      </c>
      <c r="R97" s="19">
        <v>24.7</v>
      </c>
      <c r="S97" s="18">
        <v>33132</v>
      </c>
      <c r="T97" s="14">
        <v>24</v>
      </c>
      <c r="U97" s="18">
        <v>66264</v>
      </c>
      <c r="V97" s="18">
        <v>10000</v>
      </c>
      <c r="W97" s="19">
        <v>3.2</v>
      </c>
      <c r="X97" s="18">
        <v>9680</v>
      </c>
      <c r="Y97" s="14" t="s">
        <v>5665</v>
      </c>
      <c r="Z97" s="14" t="s">
        <v>5666</v>
      </c>
      <c r="AA97" s="14" t="b">
        <v>0</v>
      </c>
      <c r="AB97" s="14" t="b">
        <v>0</v>
      </c>
      <c r="AC97" s="14" t="b">
        <v>1</v>
      </c>
    </row>
    <row r="98" spans="1:29">
      <c r="A98" s="14" t="s">
        <v>5864</v>
      </c>
      <c r="B98" s="14" t="s">
        <v>5865</v>
      </c>
      <c r="C98" s="14" t="s">
        <v>852</v>
      </c>
      <c r="D98" s="14" t="s">
        <v>5866</v>
      </c>
      <c r="E98" s="14" t="s">
        <v>69</v>
      </c>
      <c r="F98" s="14" t="s">
        <v>5662</v>
      </c>
      <c r="G98" s="14" t="s">
        <v>1271</v>
      </c>
      <c r="H98" s="15">
        <v>46220.214398148149</v>
      </c>
      <c r="I98" s="14" t="s">
        <v>5663</v>
      </c>
      <c r="J98" s="14">
        <v>100</v>
      </c>
      <c r="K98" s="14" t="s">
        <v>5664</v>
      </c>
      <c r="L98" s="17">
        <v>46247.214398148149</v>
      </c>
      <c r="M98" s="17">
        <v>46261.214398148149</v>
      </c>
      <c r="N98" s="14"/>
      <c r="O98" s="17">
        <v>46259.214398148149</v>
      </c>
      <c r="P98" s="14"/>
      <c r="Q98" s="18">
        <v>20000</v>
      </c>
      <c r="R98" s="19">
        <v>11.9</v>
      </c>
      <c r="S98" s="18">
        <v>17620</v>
      </c>
      <c r="T98" s="14">
        <v>12</v>
      </c>
      <c r="U98" s="18">
        <v>17620</v>
      </c>
      <c r="V98" s="18">
        <v>0</v>
      </c>
      <c r="W98" s="19">
        <v>0</v>
      </c>
      <c r="X98" s="18">
        <v>0</v>
      </c>
      <c r="Y98" s="14" t="s">
        <v>5665</v>
      </c>
      <c r="Z98" s="14" t="s">
        <v>5666</v>
      </c>
      <c r="AA98" s="14" t="b">
        <v>0</v>
      </c>
      <c r="AB98" s="14" t="b">
        <v>0</v>
      </c>
      <c r="AC98" s="14" t="b">
        <v>1</v>
      </c>
    </row>
    <row r="99" spans="1:29">
      <c r="A99" s="14" t="s">
        <v>2206</v>
      </c>
      <c r="B99" s="14" t="s">
        <v>5867</v>
      </c>
      <c r="C99" s="14" t="s">
        <v>951</v>
      </c>
      <c r="D99" s="14" t="s">
        <v>2205</v>
      </c>
      <c r="E99" s="14" t="s">
        <v>59</v>
      </c>
      <c r="F99" s="14" t="s">
        <v>5668</v>
      </c>
      <c r="G99" s="14" t="s">
        <v>1413</v>
      </c>
      <c r="H99" s="15">
        <v>45827.330069444448</v>
      </c>
      <c r="I99" s="14" t="s">
        <v>5675</v>
      </c>
      <c r="J99" s="14">
        <v>0</v>
      </c>
      <c r="K99" s="14" t="s">
        <v>5664</v>
      </c>
      <c r="L99" s="17">
        <v>45882.330069444448</v>
      </c>
      <c r="M99" s="17">
        <v>45868.330069444448</v>
      </c>
      <c r="N99" s="14"/>
      <c r="O99" s="17">
        <v>45866.330069444448</v>
      </c>
      <c r="P99" s="14" t="s">
        <v>5783</v>
      </c>
      <c r="Q99" s="18">
        <v>24000</v>
      </c>
      <c r="R99" s="19">
        <v>9.5</v>
      </c>
      <c r="S99" s="18">
        <v>21720</v>
      </c>
      <c r="T99" s="14">
        <v>12</v>
      </c>
      <c r="U99" s="18">
        <v>21720</v>
      </c>
      <c r="V99" s="18">
        <v>5000</v>
      </c>
      <c r="W99" s="19">
        <v>3.7</v>
      </c>
      <c r="X99" s="18">
        <v>4815</v>
      </c>
      <c r="Y99" s="14" t="s">
        <v>5665</v>
      </c>
      <c r="Z99" s="14" t="s">
        <v>5666</v>
      </c>
      <c r="AA99" s="14" t="b">
        <v>0</v>
      </c>
      <c r="AB99" s="14" t="b">
        <v>0</v>
      </c>
      <c r="AC99" s="14" t="b">
        <v>0</v>
      </c>
    </row>
    <row r="100" spans="1:29">
      <c r="A100" s="14" t="s">
        <v>2568</v>
      </c>
      <c r="B100" s="14" t="s">
        <v>5868</v>
      </c>
      <c r="C100" s="14" t="s">
        <v>809</v>
      </c>
      <c r="D100" s="14" t="s">
        <v>2567</v>
      </c>
      <c r="E100" s="14" t="s">
        <v>82</v>
      </c>
      <c r="F100" s="14" t="s">
        <v>5668</v>
      </c>
      <c r="G100" s="14" t="s">
        <v>1339</v>
      </c>
      <c r="H100" s="15">
        <v>46015.834953703707</v>
      </c>
      <c r="I100" s="14" t="s">
        <v>5675</v>
      </c>
      <c r="J100" s="14">
        <v>0</v>
      </c>
      <c r="K100" s="14" t="s">
        <v>5664</v>
      </c>
      <c r="L100" s="17">
        <v>46085.834953703707</v>
      </c>
      <c r="M100" s="17">
        <v>46099.834953703707</v>
      </c>
      <c r="N100" s="14"/>
      <c r="O100" s="17">
        <v>46099.834953703707</v>
      </c>
      <c r="P100" s="14" t="s">
        <v>5676</v>
      </c>
      <c r="Q100" s="18">
        <v>46000</v>
      </c>
      <c r="R100" s="19">
        <v>14</v>
      </c>
      <c r="S100" s="18">
        <v>39560</v>
      </c>
      <c r="T100" s="14">
        <v>12</v>
      </c>
      <c r="U100" s="18">
        <v>39560</v>
      </c>
      <c r="V100" s="18">
        <v>10000</v>
      </c>
      <c r="W100" s="19">
        <v>7.5</v>
      </c>
      <c r="X100" s="18">
        <v>9250</v>
      </c>
      <c r="Y100" s="14" t="s">
        <v>5665</v>
      </c>
      <c r="Z100" s="14" t="s">
        <v>5666</v>
      </c>
      <c r="AA100" s="14" t="b">
        <v>0</v>
      </c>
      <c r="AB100" s="14" t="b">
        <v>0</v>
      </c>
      <c r="AC100" s="14" t="b">
        <v>1</v>
      </c>
    </row>
    <row r="101" spans="1:29">
      <c r="A101" s="14" t="s">
        <v>2365</v>
      </c>
      <c r="B101" s="14" t="s">
        <v>5779</v>
      </c>
      <c r="C101" s="14" t="s">
        <v>780</v>
      </c>
      <c r="D101" s="14" t="s">
        <v>2364</v>
      </c>
      <c r="E101" s="14" t="s">
        <v>36</v>
      </c>
      <c r="F101" s="14" t="s">
        <v>5668</v>
      </c>
      <c r="G101" s="14" t="s">
        <v>1413</v>
      </c>
      <c r="H101" s="15">
        <v>45411.003321759257</v>
      </c>
      <c r="I101" s="14" t="s">
        <v>5663</v>
      </c>
      <c r="J101" s="14">
        <v>100</v>
      </c>
      <c r="K101" s="14" t="s">
        <v>5664</v>
      </c>
      <c r="L101" s="17">
        <v>45463.003321759257</v>
      </c>
      <c r="M101" s="17">
        <v>45463.003321759257</v>
      </c>
      <c r="N101" s="14"/>
      <c r="O101" s="17">
        <v>45458.003321759257</v>
      </c>
      <c r="P101" s="14"/>
      <c r="Q101" s="18">
        <v>44000</v>
      </c>
      <c r="R101" s="19">
        <v>14</v>
      </c>
      <c r="S101" s="18">
        <v>37840</v>
      </c>
      <c r="T101" s="14">
        <v>12</v>
      </c>
      <c r="U101" s="18">
        <v>37840</v>
      </c>
      <c r="V101" s="18">
        <v>10000</v>
      </c>
      <c r="W101" s="19">
        <v>26.5</v>
      </c>
      <c r="X101" s="18">
        <v>7350</v>
      </c>
      <c r="Y101" s="14" t="s">
        <v>5665</v>
      </c>
      <c r="Z101" s="14" t="s">
        <v>5666</v>
      </c>
      <c r="AA101" s="14" t="b">
        <v>0</v>
      </c>
      <c r="AB101" s="14" t="b">
        <v>0</v>
      </c>
      <c r="AC101" s="14" t="b">
        <v>0</v>
      </c>
    </row>
    <row r="102" spans="1:29">
      <c r="A102" s="14" t="s">
        <v>2309</v>
      </c>
      <c r="B102" s="14" t="s">
        <v>5854</v>
      </c>
      <c r="C102" s="14" t="s">
        <v>706</v>
      </c>
      <c r="D102" s="14" t="s">
        <v>2308</v>
      </c>
      <c r="E102" s="14" t="s">
        <v>55</v>
      </c>
      <c r="F102" s="14" t="s">
        <v>5668</v>
      </c>
      <c r="G102" s="14" t="s">
        <v>1295</v>
      </c>
      <c r="H102" s="15">
        <v>46284.055868055555</v>
      </c>
      <c r="I102" s="14" t="s">
        <v>5725</v>
      </c>
      <c r="J102" s="14">
        <v>90</v>
      </c>
      <c r="K102" s="14" t="s">
        <v>5725</v>
      </c>
      <c r="L102" s="17">
        <v>46295</v>
      </c>
      <c r="M102" s="17"/>
      <c r="N102" s="14" t="s">
        <v>5777</v>
      </c>
      <c r="O102" s="17">
        <v>46272</v>
      </c>
      <c r="P102" s="14"/>
      <c r="Q102" s="18">
        <v>94000</v>
      </c>
      <c r="R102" s="19">
        <v>7.3</v>
      </c>
      <c r="S102" s="18">
        <v>87138</v>
      </c>
      <c r="T102" s="14">
        <v>12</v>
      </c>
      <c r="U102" s="18">
        <v>87138</v>
      </c>
      <c r="V102" s="18">
        <v>20000</v>
      </c>
      <c r="W102" s="19">
        <v>2.4</v>
      </c>
      <c r="X102" s="18">
        <v>19520</v>
      </c>
      <c r="Y102" s="14" t="s">
        <v>5665</v>
      </c>
      <c r="Z102" s="14" t="s">
        <v>5666</v>
      </c>
      <c r="AA102" s="14" t="b">
        <v>0</v>
      </c>
      <c r="AB102" s="14" t="b">
        <v>0</v>
      </c>
      <c r="AC102" s="14" t="b">
        <v>1</v>
      </c>
    </row>
    <row r="103" spans="1:29">
      <c r="A103" s="14" t="s">
        <v>5869</v>
      </c>
      <c r="B103" s="14" t="s">
        <v>5870</v>
      </c>
      <c r="C103" s="14" t="s">
        <v>422</v>
      </c>
      <c r="D103" s="14" t="s">
        <v>5871</v>
      </c>
      <c r="E103" s="14" t="s">
        <v>91</v>
      </c>
      <c r="F103" s="14" t="s">
        <v>5668</v>
      </c>
      <c r="G103" s="14"/>
      <c r="H103" s="15">
        <v>45352</v>
      </c>
      <c r="I103" s="14" t="s">
        <v>5663</v>
      </c>
      <c r="J103" s="14">
        <v>100</v>
      </c>
      <c r="K103" s="14" t="s">
        <v>5664</v>
      </c>
      <c r="L103" s="17">
        <v>45373</v>
      </c>
      <c r="M103" s="17">
        <v>45387</v>
      </c>
      <c r="N103" s="14"/>
      <c r="O103" s="17">
        <v>45386</v>
      </c>
      <c r="P103" s="14"/>
      <c r="Q103" s="18">
        <v>18000</v>
      </c>
      <c r="R103" s="19">
        <v>38.4</v>
      </c>
      <c r="S103" s="18">
        <v>11088</v>
      </c>
      <c r="T103" s="14">
        <v>12</v>
      </c>
      <c r="U103" s="18">
        <v>11088</v>
      </c>
      <c r="V103" s="18">
        <v>5000</v>
      </c>
      <c r="W103" s="19">
        <v>7.8</v>
      </c>
      <c r="X103" s="18">
        <v>4610</v>
      </c>
      <c r="Y103" s="14" t="s">
        <v>5665</v>
      </c>
      <c r="Z103" s="14" t="s">
        <v>5666</v>
      </c>
      <c r="AA103" s="14" t="b">
        <v>0</v>
      </c>
      <c r="AB103" s="14" t="b">
        <v>0</v>
      </c>
      <c r="AC103" s="14" t="b">
        <v>1</v>
      </c>
    </row>
    <row r="104" spans="1:29">
      <c r="A104" s="14" t="s">
        <v>5872</v>
      </c>
      <c r="B104" s="14" t="s">
        <v>5873</v>
      </c>
      <c r="C104" s="14" t="s">
        <v>509</v>
      </c>
      <c r="D104" s="14" t="s">
        <v>1977</v>
      </c>
      <c r="E104" s="14" t="s">
        <v>59</v>
      </c>
      <c r="F104" s="14" t="s">
        <v>5662</v>
      </c>
      <c r="G104" s="14" t="s">
        <v>1295</v>
      </c>
      <c r="H104" s="15">
        <v>46063</v>
      </c>
      <c r="I104" s="14" t="s">
        <v>5663</v>
      </c>
      <c r="J104" s="14">
        <v>100</v>
      </c>
      <c r="K104" s="14" t="s">
        <v>5664</v>
      </c>
      <c r="L104" s="17">
        <v>46099</v>
      </c>
      <c r="M104" s="17">
        <v>46099</v>
      </c>
      <c r="N104" s="14"/>
      <c r="O104" s="17">
        <v>46093</v>
      </c>
      <c r="P104" s="14"/>
      <c r="Q104" s="18">
        <v>6000</v>
      </c>
      <c r="R104" s="19">
        <v>5.4</v>
      </c>
      <c r="S104" s="18">
        <v>5676</v>
      </c>
      <c r="T104" s="14">
        <v>12</v>
      </c>
      <c r="U104" s="18">
        <v>5676</v>
      </c>
      <c r="V104" s="18">
        <v>0</v>
      </c>
      <c r="W104" s="19">
        <v>0</v>
      </c>
      <c r="X104" s="18">
        <v>0</v>
      </c>
      <c r="Y104" s="14" t="s">
        <v>5735</v>
      </c>
      <c r="Z104" s="14" t="s">
        <v>5666</v>
      </c>
      <c r="AA104" s="14" t="b">
        <v>0</v>
      </c>
      <c r="AB104" s="14" t="b">
        <v>0</v>
      </c>
      <c r="AC104" s="14" t="b">
        <v>1</v>
      </c>
    </row>
    <row r="105" spans="1:29">
      <c r="A105" s="14" t="s">
        <v>5874</v>
      </c>
      <c r="B105" s="14" t="s">
        <v>5821</v>
      </c>
      <c r="C105" s="14" t="s">
        <v>957</v>
      </c>
      <c r="D105" s="14" t="s">
        <v>1922</v>
      </c>
      <c r="E105" s="14"/>
      <c r="F105" s="14" t="s">
        <v>5668</v>
      </c>
      <c r="G105" s="14" t="s">
        <v>1271</v>
      </c>
      <c r="H105" s="15">
        <v>46245.916666666664</v>
      </c>
      <c r="I105" s="14" t="s">
        <v>5740</v>
      </c>
      <c r="J105" s="14">
        <v>80</v>
      </c>
      <c r="K105" s="14" t="s">
        <v>5679</v>
      </c>
      <c r="L105" s="17">
        <v>46295</v>
      </c>
      <c r="M105" s="17"/>
      <c r="N105" s="14" t="s">
        <v>5749</v>
      </c>
      <c r="O105" s="17">
        <v>46284</v>
      </c>
      <c r="P105" s="14"/>
      <c r="Q105" s="18">
        <v>30000</v>
      </c>
      <c r="R105" s="19">
        <v>7.4</v>
      </c>
      <c r="S105" s="18">
        <v>27780</v>
      </c>
      <c r="T105" s="14">
        <v>12</v>
      </c>
      <c r="U105" s="18">
        <v>27780</v>
      </c>
      <c r="V105" s="18">
        <v>10000</v>
      </c>
      <c r="W105" s="19">
        <v>27.6</v>
      </c>
      <c r="X105" s="18">
        <v>7240</v>
      </c>
      <c r="Y105" s="14" t="s">
        <v>5665</v>
      </c>
      <c r="Z105" s="14" t="s">
        <v>5666</v>
      </c>
      <c r="AA105" s="14" t="b">
        <v>0</v>
      </c>
      <c r="AB105" s="14" t="b">
        <v>0</v>
      </c>
      <c r="AC105" s="14" t="b">
        <v>1</v>
      </c>
    </row>
    <row r="106" spans="1:29">
      <c r="A106" s="14" t="s">
        <v>2221</v>
      </c>
      <c r="B106" s="14" t="s">
        <v>5803</v>
      </c>
      <c r="C106" s="14" t="s">
        <v>103</v>
      </c>
      <c r="D106" s="14" t="s">
        <v>2220</v>
      </c>
      <c r="E106" s="14" t="s">
        <v>69</v>
      </c>
      <c r="F106" s="14" t="s">
        <v>5668</v>
      </c>
      <c r="G106" s="14" t="s">
        <v>1295</v>
      </c>
      <c r="H106" s="15">
        <v>46034.699884259258</v>
      </c>
      <c r="I106" s="14" t="s">
        <v>5675</v>
      </c>
      <c r="J106" s="14">
        <v>0</v>
      </c>
      <c r="K106" s="14" t="s">
        <v>5664</v>
      </c>
      <c r="L106" s="17">
        <v>46068.699884259258</v>
      </c>
      <c r="M106" s="17">
        <v>46068.699884259258</v>
      </c>
      <c r="N106" s="14"/>
      <c r="O106" s="17">
        <v>46065.699884259258</v>
      </c>
      <c r="P106" s="14" t="s">
        <v>5676</v>
      </c>
      <c r="Q106" s="18">
        <v>12000</v>
      </c>
      <c r="R106" s="19">
        <v>22.1</v>
      </c>
      <c r="S106" s="18">
        <v>9348</v>
      </c>
      <c r="T106" s="14">
        <v>12</v>
      </c>
      <c r="U106" s="18">
        <v>9348</v>
      </c>
      <c r="V106" s="18">
        <v>5000</v>
      </c>
      <c r="W106" s="19">
        <v>5.8</v>
      </c>
      <c r="X106" s="18">
        <v>4710</v>
      </c>
      <c r="Y106" s="14" t="s">
        <v>5665</v>
      </c>
      <c r="Z106" s="14" t="s">
        <v>5666</v>
      </c>
      <c r="AA106" s="14" t="b">
        <v>0</v>
      </c>
      <c r="AB106" s="14" t="b">
        <v>0</v>
      </c>
      <c r="AC106" s="14" t="b">
        <v>1</v>
      </c>
    </row>
    <row r="107" spans="1:29">
      <c r="A107" s="14" t="s">
        <v>2521</v>
      </c>
      <c r="B107" s="14" t="s">
        <v>5785</v>
      </c>
      <c r="C107" s="14" t="s">
        <v>891</v>
      </c>
      <c r="D107" s="14" t="s">
        <v>2520</v>
      </c>
      <c r="E107" s="14" t="s">
        <v>82</v>
      </c>
      <c r="F107" s="14" t="s">
        <v>5668</v>
      </c>
      <c r="G107" s="14" t="s">
        <v>1339</v>
      </c>
      <c r="H107" s="15">
        <v>46000.920717592591</v>
      </c>
      <c r="I107" s="14" t="s">
        <v>5675</v>
      </c>
      <c r="J107" s="14">
        <v>0</v>
      </c>
      <c r="K107" s="14" t="s">
        <v>5664</v>
      </c>
      <c r="L107" s="17">
        <v>46056.920717592591</v>
      </c>
      <c r="M107" s="17">
        <v>46063.920717592591</v>
      </c>
      <c r="N107" s="14"/>
      <c r="O107" s="17">
        <v>46059.920717592591</v>
      </c>
      <c r="P107" s="14" t="s">
        <v>5702</v>
      </c>
      <c r="Q107" s="18">
        <v>50000</v>
      </c>
      <c r="R107" s="19">
        <v>11.9</v>
      </c>
      <c r="S107" s="18">
        <v>44050</v>
      </c>
      <c r="T107" s="14">
        <v>12</v>
      </c>
      <c r="U107" s="18">
        <v>44050</v>
      </c>
      <c r="V107" s="18">
        <v>10000</v>
      </c>
      <c r="W107" s="19">
        <v>27.6</v>
      </c>
      <c r="X107" s="18">
        <v>7240</v>
      </c>
      <c r="Y107" s="14" t="s">
        <v>5665</v>
      </c>
      <c r="Z107" s="14" t="s">
        <v>5666</v>
      </c>
      <c r="AA107" s="14" t="b">
        <v>0</v>
      </c>
      <c r="AB107" s="14" t="b">
        <v>0</v>
      </c>
      <c r="AC107" s="14" t="b">
        <v>1</v>
      </c>
    </row>
    <row r="108" spans="1:29">
      <c r="A108" s="14" t="s">
        <v>5875</v>
      </c>
      <c r="B108" s="14" t="s">
        <v>5876</v>
      </c>
      <c r="C108" s="14" t="s">
        <v>296</v>
      </c>
      <c r="D108" s="14" t="s">
        <v>5877</v>
      </c>
      <c r="E108" s="14" t="s">
        <v>36</v>
      </c>
      <c r="F108" s="14" t="s">
        <v>5668</v>
      </c>
      <c r="G108" s="14" t="s">
        <v>1271</v>
      </c>
      <c r="H108" s="15">
        <v>46247.625</v>
      </c>
      <c r="I108" s="14" t="s">
        <v>5681</v>
      </c>
      <c r="J108" s="14">
        <v>25</v>
      </c>
      <c r="K108" s="14" t="s">
        <v>5670</v>
      </c>
      <c r="L108" s="17">
        <v>46348</v>
      </c>
      <c r="M108" s="17"/>
      <c r="N108" s="14" t="s">
        <v>5713</v>
      </c>
      <c r="O108" s="17">
        <v>46276</v>
      </c>
      <c r="P108" s="14"/>
      <c r="Q108" s="18">
        <v>50000</v>
      </c>
      <c r="R108" s="19">
        <v>1.8</v>
      </c>
      <c r="S108" s="18">
        <v>49100</v>
      </c>
      <c r="T108" s="14">
        <v>12</v>
      </c>
      <c r="U108" s="18">
        <v>49100</v>
      </c>
      <c r="V108" s="18">
        <v>10000</v>
      </c>
      <c r="W108" s="19">
        <v>9.1999999999999993</v>
      </c>
      <c r="X108" s="18">
        <v>9080</v>
      </c>
      <c r="Y108" s="14" t="s">
        <v>5665</v>
      </c>
      <c r="Z108" s="14" t="s">
        <v>5666</v>
      </c>
      <c r="AA108" s="14" t="b">
        <v>0</v>
      </c>
      <c r="AB108" s="14" t="b">
        <v>0</v>
      </c>
      <c r="AC108" s="14" t="b">
        <v>0</v>
      </c>
    </row>
    <row r="109" spans="1:29">
      <c r="A109" s="14" t="s">
        <v>2553</v>
      </c>
      <c r="B109" s="14" t="s">
        <v>5878</v>
      </c>
      <c r="C109" s="14" t="s">
        <v>311</v>
      </c>
      <c r="D109" s="14" t="s">
        <v>2552</v>
      </c>
      <c r="E109" s="14" t="s">
        <v>36</v>
      </c>
      <c r="F109" s="14" t="s">
        <v>5668</v>
      </c>
      <c r="G109" s="14" t="s">
        <v>1355</v>
      </c>
      <c r="H109" s="15">
        <v>45696.56454861111</v>
      </c>
      <c r="I109" s="14" t="s">
        <v>5675</v>
      </c>
      <c r="J109" s="14">
        <v>0</v>
      </c>
      <c r="K109" s="14" t="s">
        <v>5664</v>
      </c>
      <c r="L109" s="17">
        <v>45746.56454861111</v>
      </c>
      <c r="M109" s="17">
        <v>45746.56454861111</v>
      </c>
      <c r="N109" s="14"/>
      <c r="O109" s="17">
        <v>45746.56454861111</v>
      </c>
      <c r="P109" s="14" t="s">
        <v>5728</v>
      </c>
      <c r="Q109" s="18">
        <v>66000</v>
      </c>
      <c r="R109" s="19">
        <v>5.4</v>
      </c>
      <c r="S109" s="18">
        <v>62436</v>
      </c>
      <c r="T109" s="14">
        <v>12</v>
      </c>
      <c r="U109" s="18">
        <v>62436</v>
      </c>
      <c r="V109" s="18">
        <v>20000</v>
      </c>
      <c r="W109" s="19">
        <v>6.1</v>
      </c>
      <c r="X109" s="18">
        <v>18780</v>
      </c>
      <c r="Y109" s="14" t="s">
        <v>5665</v>
      </c>
      <c r="Z109" s="14" t="s">
        <v>5666</v>
      </c>
      <c r="AA109" s="14" t="b">
        <v>0</v>
      </c>
      <c r="AB109" s="14" t="b">
        <v>0</v>
      </c>
      <c r="AC109" s="14" t="b">
        <v>0</v>
      </c>
    </row>
    <row r="110" spans="1:29">
      <c r="A110" s="14" t="s">
        <v>1369</v>
      </c>
      <c r="B110" s="14" t="s">
        <v>5879</v>
      </c>
      <c r="C110" s="14" t="s">
        <v>577</v>
      </c>
      <c r="D110" s="14" t="s">
        <v>1368</v>
      </c>
      <c r="E110" s="14" t="s">
        <v>59</v>
      </c>
      <c r="F110" s="14" t="s">
        <v>5668</v>
      </c>
      <c r="G110" s="14" t="s">
        <v>1295</v>
      </c>
      <c r="H110" s="15">
        <v>45541.680138888885</v>
      </c>
      <c r="I110" s="14" t="s">
        <v>5675</v>
      </c>
      <c r="J110" s="14">
        <v>0</v>
      </c>
      <c r="K110" s="14" t="s">
        <v>5664</v>
      </c>
      <c r="L110" s="17">
        <v>45573.680138888885</v>
      </c>
      <c r="M110" s="17">
        <v>45573.680138888885</v>
      </c>
      <c r="N110" s="14"/>
      <c r="O110" s="17">
        <v>45567.680138888885</v>
      </c>
      <c r="P110" s="14" t="s">
        <v>5721</v>
      </c>
      <c r="Q110" s="18">
        <v>32000</v>
      </c>
      <c r="R110" s="19">
        <v>1.4</v>
      </c>
      <c r="S110" s="18">
        <v>31552</v>
      </c>
      <c r="T110" s="14">
        <v>12</v>
      </c>
      <c r="U110" s="18">
        <v>31552</v>
      </c>
      <c r="V110" s="18">
        <v>5000</v>
      </c>
      <c r="W110" s="19">
        <v>5.7</v>
      </c>
      <c r="X110" s="18">
        <v>4715</v>
      </c>
      <c r="Y110" s="14" t="s">
        <v>5665</v>
      </c>
      <c r="Z110" s="14" t="s">
        <v>5666</v>
      </c>
      <c r="AA110" s="14" t="b">
        <v>0</v>
      </c>
      <c r="AB110" s="14" t="b">
        <v>0</v>
      </c>
      <c r="AC110" s="14" t="b">
        <v>0</v>
      </c>
    </row>
    <row r="111" spans="1:29">
      <c r="A111" s="14" t="s">
        <v>5880</v>
      </c>
      <c r="B111" s="14" t="s">
        <v>5881</v>
      </c>
      <c r="C111" s="14" t="s">
        <v>533</v>
      </c>
      <c r="D111" s="14" t="s">
        <v>5882</v>
      </c>
      <c r="E111" s="14" t="s">
        <v>18</v>
      </c>
      <c r="F111" s="14" t="s">
        <v>5668</v>
      </c>
      <c r="G111" s="14" t="s">
        <v>1339</v>
      </c>
      <c r="H111" s="15">
        <v>46283.583333333336</v>
      </c>
      <c r="I111" s="14" t="s">
        <v>5686</v>
      </c>
      <c r="J111" s="14">
        <v>10</v>
      </c>
      <c r="K111" s="14" t="s">
        <v>5670</v>
      </c>
      <c r="L111" s="17">
        <v>46352</v>
      </c>
      <c r="M111" s="17"/>
      <c r="N111" s="14" t="s">
        <v>5862</v>
      </c>
      <c r="O111" s="17">
        <v>46287</v>
      </c>
      <c r="P111" s="14"/>
      <c r="Q111" s="18">
        <v>30000</v>
      </c>
      <c r="R111" s="19">
        <v>13.3</v>
      </c>
      <c r="S111" s="18">
        <v>26010</v>
      </c>
      <c r="T111" s="14">
        <v>12</v>
      </c>
      <c r="U111" s="18">
        <v>26010</v>
      </c>
      <c r="V111" s="18">
        <v>10000</v>
      </c>
      <c r="W111" s="19">
        <v>22.2</v>
      </c>
      <c r="X111" s="18">
        <v>7780</v>
      </c>
      <c r="Y111" s="14" t="s">
        <v>5665</v>
      </c>
      <c r="Z111" s="14" t="s">
        <v>5666</v>
      </c>
      <c r="AA111" s="14" t="b">
        <v>0</v>
      </c>
      <c r="AB111" s="14" t="b">
        <v>0</v>
      </c>
      <c r="AC111" s="14" t="b">
        <v>1</v>
      </c>
    </row>
    <row r="112" spans="1:29">
      <c r="A112" s="14" t="s">
        <v>5883</v>
      </c>
      <c r="B112" s="14" t="s">
        <v>5884</v>
      </c>
      <c r="C112" s="14" t="s">
        <v>137</v>
      </c>
      <c r="D112" s="14" t="s">
        <v>5885</v>
      </c>
      <c r="E112" s="14" t="s">
        <v>82</v>
      </c>
      <c r="F112" s="14" t="s">
        <v>5668</v>
      </c>
      <c r="G112" s="14" t="s">
        <v>1317</v>
      </c>
      <c r="H112" s="15">
        <v>46186.791666666664</v>
      </c>
      <c r="I112" s="14" t="s">
        <v>5725</v>
      </c>
      <c r="J112" s="14">
        <v>90</v>
      </c>
      <c r="K112" s="14" t="s">
        <v>5725</v>
      </c>
      <c r="L112" s="17">
        <v>46302</v>
      </c>
      <c r="M112" s="17"/>
      <c r="N112" s="14" t="s">
        <v>5753</v>
      </c>
      <c r="O112" s="17">
        <v>46289</v>
      </c>
      <c r="P112" s="14"/>
      <c r="Q112" s="18">
        <v>80000</v>
      </c>
      <c r="R112" s="19">
        <v>8.1</v>
      </c>
      <c r="S112" s="18">
        <v>73520</v>
      </c>
      <c r="T112" s="14">
        <v>12</v>
      </c>
      <c r="U112" s="18">
        <v>73520</v>
      </c>
      <c r="V112" s="18">
        <v>20000</v>
      </c>
      <c r="W112" s="19">
        <v>8.3000000000000007</v>
      </c>
      <c r="X112" s="18">
        <v>18340</v>
      </c>
      <c r="Y112" s="14" t="s">
        <v>5665</v>
      </c>
      <c r="Z112" s="14" t="s">
        <v>5666</v>
      </c>
      <c r="AA112" s="14" t="b">
        <v>0</v>
      </c>
      <c r="AB112" s="14" t="b">
        <v>0</v>
      </c>
      <c r="AC112" s="14" t="b">
        <v>0</v>
      </c>
    </row>
    <row r="113" spans="1:29">
      <c r="A113" s="14" t="s">
        <v>1576</v>
      </c>
      <c r="B113" s="14" t="s">
        <v>5886</v>
      </c>
      <c r="C113" s="14" t="s">
        <v>209</v>
      </c>
      <c r="D113" s="14" t="s">
        <v>1575</v>
      </c>
      <c r="E113" s="14" t="s">
        <v>55</v>
      </c>
      <c r="F113" s="14" t="s">
        <v>5668</v>
      </c>
      <c r="G113" s="14" t="s">
        <v>1295</v>
      </c>
      <c r="H113" s="15">
        <v>45763.751689814817</v>
      </c>
      <c r="I113" s="14" t="s">
        <v>5675</v>
      </c>
      <c r="J113" s="14">
        <v>0</v>
      </c>
      <c r="K113" s="14" t="s">
        <v>5664</v>
      </c>
      <c r="L113" s="17">
        <v>45859.751689814817</v>
      </c>
      <c r="M113" s="17">
        <v>45829.751689814817</v>
      </c>
      <c r="N113" s="14"/>
      <c r="O113" s="17">
        <v>45828.751689814817</v>
      </c>
      <c r="P113" s="14" t="s">
        <v>5702</v>
      </c>
      <c r="Q113" s="18">
        <v>68000</v>
      </c>
      <c r="R113" s="19">
        <v>6.4</v>
      </c>
      <c r="S113" s="18">
        <v>63648</v>
      </c>
      <c r="T113" s="14">
        <v>12</v>
      </c>
      <c r="U113" s="18">
        <v>63648</v>
      </c>
      <c r="V113" s="18">
        <v>20000</v>
      </c>
      <c r="W113" s="19">
        <v>10.5</v>
      </c>
      <c r="X113" s="18">
        <v>17900</v>
      </c>
      <c r="Y113" s="14" t="s">
        <v>5665</v>
      </c>
      <c r="Z113" s="14" t="s">
        <v>5666</v>
      </c>
      <c r="AA113" s="14" t="b">
        <v>0</v>
      </c>
      <c r="AB113" s="14" t="b">
        <v>0</v>
      </c>
      <c r="AC113" s="14" t="b">
        <v>1</v>
      </c>
    </row>
    <row r="114" spans="1:29">
      <c r="A114" s="14" t="s">
        <v>1536</v>
      </c>
      <c r="B114" s="14" t="s">
        <v>5887</v>
      </c>
      <c r="C114" s="14" t="s">
        <v>772</v>
      </c>
      <c r="D114" s="14" t="s">
        <v>1535</v>
      </c>
      <c r="E114" s="14" t="s">
        <v>91</v>
      </c>
      <c r="F114" s="14" t="s">
        <v>5668</v>
      </c>
      <c r="G114" s="14" t="s">
        <v>1295</v>
      </c>
      <c r="H114" s="15">
        <v>46271.345347222225</v>
      </c>
      <c r="I114" s="14" t="s">
        <v>5681</v>
      </c>
      <c r="J114" s="14">
        <v>25</v>
      </c>
      <c r="K114" s="14" t="s">
        <v>5670</v>
      </c>
      <c r="L114" s="17">
        <v>46355</v>
      </c>
      <c r="M114" s="17"/>
      <c r="N114" s="14" t="s">
        <v>5713</v>
      </c>
      <c r="O114" s="17">
        <v>46274</v>
      </c>
      <c r="P114" s="14"/>
      <c r="Q114" s="18">
        <v>12000</v>
      </c>
      <c r="R114" s="19">
        <v>3.6</v>
      </c>
      <c r="S114" s="18">
        <v>11568</v>
      </c>
      <c r="T114" s="14">
        <v>12</v>
      </c>
      <c r="U114" s="18">
        <v>11568</v>
      </c>
      <c r="V114" s="18">
        <v>5000</v>
      </c>
      <c r="W114" s="19">
        <v>15</v>
      </c>
      <c r="X114" s="18">
        <v>4250</v>
      </c>
      <c r="Y114" s="14" t="s">
        <v>5735</v>
      </c>
      <c r="Z114" s="14" t="s">
        <v>5666</v>
      </c>
      <c r="AA114" s="14" t="b">
        <v>0</v>
      </c>
      <c r="AB114" s="14" t="b">
        <v>0</v>
      </c>
      <c r="AC114" s="14" t="b">
        <v>1</v>
      </c>
    </row>
    <row r="115" spans="1:29">
      <c r="A115" s="14" t="s">
        <v>5888</v>
      </c>
      <c r="B115" s="14" t="s">
        <v>5889</v>
      </c>
      <c r="C115" s="14" t="s">
        <v>92</v>
      </c>
      <c r="D115" s="14" t="s">
        <v>2142</v>
      </c>
      <c r="E115" s="14" t="s">
        <v>91</v>
      </c>
      <c r="F115" s="14" t="s">
        <v>5668</v>
      </c>
      <c r="G115" s="14" t="s">
        <v>1413</v>
      </c>
      <c r="H115" s="15">
        <v>46241</v>
      </c>
      <c r="I115" s="14" t="s">
        <v>5669</v>
      </c>
      <c r="J115" s="14">
        <v>60</v>
      </c>
      <c r="K115" s="14" t="s">
        <v>5679</v>
      </c>
      <c r="L115" s="17">
        <v>46300</v>
      </c>
      <c r="M115" s="17"/>
      <c r="N115" s="14" t="s">
        <v>5671</v>
      </c>
      <c r="O115" s="17">
        <v>46280</v>
      </c>
      <c r="P115" s="14"/>
      <c r="Q115" s="18">
        <v>26000</v>
      </c>
      <c r="R115" s="19">
        <v>1.4</v>
      </c>
      <c r="S115" s="18">
        <v>25636</v>
      </c>
      <c r="T115" s="14">
        <v>12</v>
      </c>
      <c r="U115" s="18">
        <v>25636</v>
      </c>
      <c r="V115" s="18">
        <v>5000</v>
      </c>
      <c r="W115" s="19">
        <v>7.3</v>
      </c>
      <c r="X115" s="18">
        <v>4635</v>
      </c>
      <c r="Y115" s="14" t="s">
        <v>5665</v>
      </c>
      <c r="Z115" s="14" t="s">
        <v>5666</v>
      </c>
      <c r="AA115" s="14" t="b">
        <v>0</v>
      </c>
      <c r="AB115" s="14" t="b">
        <v>0</v>
      </c>
      <c r="AC115" s="14" t="b">
        <v>0</v>
      </c>
    </row>
    <row r="116" spans="1:29">
      <c r="A116" s="14" t="s">
        <v>2358</v>
      </c>
      <c r="B116" s="14" t="s">
        <v>5890</v>
      </c>
      <c r="C116" s="14" t="s">
        <v>1025</v>
      </c>
      <c r="D116" s="14" t="s">
        <v>2357</v>
      </c>
      <c r="E116" s="14" t="s">
        <v>18</v>
      </c>
      <c r="F116" s="14" t="s">
        <v>5668</v>
      </c>
      <c r="G116" s="14" t="s">
        <v>1288</v>
      </c>
      <c r="H116" s="15">
        <v>45474.077314814815</v>
      </c>
      <c r="I116" s="14" t="s">
        <v>5663</v>
      </c>
      <c r="J116" s="14">
        <v>100</v>
      </c>
      <c r="K116" s="14" t="s">
        <v>5664</v>
      </c>
      <c r="L116" s="17">
        <v>45553.077314814815</v>
      </c>
      <c r="M116" s="17">
        <v>45553.077314814815</v>
      </c>
      <c r="N116" s="14"/>
      <c r="O116" s="17">
        <v>45552.077314814815</v>
      </c>
      <c r="P116" s="14"/>
      <c r="Q116" s="18">
        <v>80000</v>
      </c>
      <c r="R116" s="19">
        <v>3.2</v>
      </c>
      <c r="S116" s="18">
        <v>77440</v>
      </c>
      <c r="T116" s="14">
        <v>12</v>
      </c>
      <c r="U116" s="18">
        <v>77440</v>
      </c>
      <c r="V116" s="18">
        <v>20000</v>
      </c>
      <c r="W116" s="19">
        <v>19.2</v>
      </c>
      <c r="X116" s="18">
        <v>16160</v>
      </c>
      <c r="Y116" s="14" t="s">
        <v>5665</v>
      </c>
      <c r="Z116" s="14" t="s">
        <v>5666</v>
      </c>
      <c r="AA116" s="14" t="b">
        <v>0</v>
      </c>
      <c r="AB116" s="14" t="b">
        <v>0</v>
      </c>
      <c r="AC116" s="14" t="b">
        <v>0</v>
      </c>
    </row>
    <row r="117" spans="1:29">
      <c r="A117" s="14" t="s">
        <v>1408</v>
      </c>
      <c r="B117" s="14" t="s">
        <v>5884</v>
      </c>
      <c r="C117" s="14" t="s">
        <v>137</v>
      </c>
      <c r="D117" s="14" t="s">
        <v>1407</v>
      </c>
      <c r="E117" s="14" t="s">
        <v>82</v>
      </c>
      <c r="F117" s="14" t="s">
        <v>5668</v>
      </c>
      <c r="G117" s="14"/>
      <c r="H117" s="15">
        <v>45106.169074074074</v>
      </c>
      <c r="I117" s="14" t="s">
        <v>5663</v>
      </c>
      <c r="J117" s="14">
        <v>100</v>
      </c>
      <c r="K117" s="14" t="s">
        <v>5670</v>
      </c>
      <c r="L117" s="17">
        <v>45221.169074074074</v>
      </c>
      <c r="M117" s="17">
        <v>45221.169074074074</v>
      </c>
      <c r="N117" s="14"/>
      <c r="O117" s="17">
        <v>45216.169074074074</v>
      </c>
      <c r="P117" s="14"/>
      <c r="Q117" s="18">
        <v>68000</v>
      </c>
      <c r="R117" s="19">
        <v>34.4</v>
      </c>
      <c r="S117" s="18">
        <v>44608</v>
      </c>
      <c r="T117" s="14">
        <v>12</v>
      </c>
      <c r="U117" s="18">
        <v>44608</v>
      </c>
      <c r="V117" s="18">
        <v>10000</v>
      </c>
      <c r="W117" s="19">
        <v>3.2</v>
      </c>
      <c r="X117" s="18">
        <v>9680</v>
      </c>
      <c r="Y117" s="14" t="s">
        <v>5665</v>
      </c>
      <c r="Z117" s="14" t="s">
        <v>5666</v>
      </c>
      <c r="AA117" s="14" t="b">
        <v>0</v>
      </c>
      <c r="AB117" s="14" t="b">
        <v>0</v>
      </c>
      <c r="AC117" s="14" t="b">
        <v>1</v>
      </c>
    </row>
    <row r="118" spans="1:29">
      <c r="A118" s="14" t="s">
        <v>5891</v>
      </c>
      <c r="B118" s="14" t="s">
        <v>5892</v>
      </c>
      <c r="C118" s="14" t="s">
        <v>885</v>
      </c>
      <c r="D118" s="14"/>
      <c r="E118" s="14" t="s">
        <v>25</v>
      </c>
      <c r="F118" s="14" t="s">
        <v>5668</v>
      </c>
      <c r="G118" s="14" t="s">
        <v>1288</v>
      </c>
      <c r="H118" s="15">
        <v>46217.333333333336</v>
      </c>
      <c r="I118" s="14" t="s">
        <v>5740</v>
      </c>
      <c r="J118" s="14">
        <v>80</v>
      </c>
      <c r="K118" s="14" t="s">
        <v>5679</v>
      </c>
      <c r="L118" s="17">
        <v>46297</v>
      </c>
      <c r="M118" s="17"/>
      <c r="N118" s="14"/>
      <c r="O118" s="17">
        <v>46243</v>
      </c>
      <c r="P118" s="14"/>
      <c r="Q118" s="18">
        <v>24000</v>
      </c>
      <c r="R118" s="19">
        <v>8.8000000000000007</v>
      </c>
      <c r="S118" s="18">
        <v>21888</v>
      </c>
      <c r="T118" s="14">
        <v>12</v>
      </c>
      <c r="U118" s="18">
        <v>21888</v>
      </c>
      <c r="V118" s="18">
        <v>5000</v>
      </c>
      <c r="W118" s="19">
        <v>8.6999999999999993</v>
      </c>
      <c r="X118" s="18">
        <v>4565</v>
      </c>
      <c r="Y118" s="14" t="s">
        <v>5665</v>
      </c>
      <c r="Z118" s="14" t="s">
        <v>5666</v>
      </c>
      <c r="AA118" s="14" t="b">
        <v>0</v>
      </c>
      <c r="AB118" s="14" t="b">
        <v>0</v>
      </c>
      <c r="AC118" s="14" t="b">
        <v>0</v>
      </c>
    </row>
    <row r="119" spans="1:29">
      <c r="A119" s="14" t="s">
        <v>5893</v>
      </c>
      <c r="B119" s="14" t="s">
        <v>5894</v>
      </c>
      <c r="C119" s="14" t="s">
        <v>651</v>
      </c>
      <c r="D119" s="14" t="s">
        <v>5895</v>
      </c>
      <c r="E119" s="14" t="s">
        <v>25</v>
      </c>
      <c r="F119" s="14" t="s">
        <v>5668</v>
      </c>
      <c r="G119" s="14" t="s">
        <v>1271</v>
      </c>
      <c r="H119" s="15">
        <v>46278.625</v>
      </c>
      <c r="I119" s="14" t="s">
        <v>5681</v>
      </c>
      <c r="J119" s="14">
        <v>25</v>
      </c>
      <c r="K119" s="14" t="s">
        <v>5664</v>
      </c>
      <c r="L119" s="17">
        <v>46332</v>
      </c>
      <c r="M119" s="17"/>
      <c r="N119" s="14" t="s">
        <v>5699</v>
      </c>
      <c r="O119" s="17">
        <v>46277</v>
      </c>
      <c r="P119" s="14"/>
      <c r="Q119" s="18">
        <v>42000</v>
      </c>
      <c r="R119" s="19">
        <v>7.5</v>
      </c>
      <c r="S119" s="18">
        <v>38850</v>
      </c>
      <c r="T119" s="14">
        <v>24</v>
      </c>
      <c r="U119" s="18">
        <v>77700</v>
      </c>
      <c r="V119" s="18">
        <v>10000</v>
      </c>
      <c r="W119" s="19">
        <v>9.1</v>
      </c>
      <c r="X119" s="18">
        <v>9090</v>
      </c>
      <c r="Y119" s="14" t="s">
        <v>5665</v>
      </c>
      <c r="Z119" s="14" t="s">
        <v>5666</v>
      </c>
      <c r="AA119" s="14" t="b">
        <v>0</v>
      </c>
      <c r="AB119" s="14" t="b">
        <v>0</v>
      </c>
      <c r="AC119" s="14" t="b">
        <v>0</v>
      </c>
    </row>
    <row r="120" spans="1:29">
      <c r="A120" s="14" t="s">
        <v>5896</v>
      </c>
      <c r="B120" s="14" t="s">
        <v>5897</v>
      </c>
      <c r="C120" s="14" t="s">
        <v>530</v>
      </c>
      <c r="D120" s="14" t="s">
        <v>5898</v>
      </c>
      <c r="E120" s="14" t="s">
        <v>25</v>
      </c>
      <c r="F120" s="14" t="s">
        <v>5668</v>
      </c>
      <c r="G120" s="14" t="s">
        <v>1288</v>
      </c>
      <c r="H120" s="15">
        <v>46209.5</v>
      </c>
      <c r="I120" s="14" t="s">
        <v>5725</v>
      </c>
      <c r="J120" s="14">
        <v>90</v>
      </c>
      <c r="K120" s="14" t="s">
        <v>5725</v>
      </c>
      <c r="L120" s="17">
        <v>46255</v>
      </c>
      <c r="M120" s="17"/>
      <c r="N120" s="14" t="s">
        <v>5726</v>
      </c>
      <c r="O120" s="17">
        <v>46265</v>
      </c>
      <c r="P120" s="14"/>
      <c r="Q120" s="18">
        <v>20000</v>
      </c>
      <c r="R120" s="19">
        <v>7.4</v>
      </c>
      <c r="S120" s="18">
        <v>18520</v>
      </c>
      <c r="T120" s="14">
        <v>12</v>
      </c>
      <c r="U120" s="18">
        <v>18520</v>
      </c>
      <c r="V120" s="18">
        <v>5000</v>
      </c>
      <c r="W120" s="19">
        <v>3.2</v>
      </c>
      <c r="X120" s="18">
        <v>4840</v>
      </c>
      <c r="Y120" s="14" t="s">
        <v>5665</v>
      </c>
      <c r="Z120" s="14" t="s">
        <v>5666</v>
      </c>
      <c r="AA120" s="14" t="b">
        <v>0</v>
      </c>
      <c r="AB120" s="14" t="b">
        <v>0</v>
      </c>
      <c r="AC120" s="14" t="b">
        <v>0</v>
      </c>
    </row>
    <row r="121" spans="1:29">
      <c r="A121" s="14" t="s">
        <v>5899</v>
      </c>
      <c r="B121" s="14" t="s">
        <v>5900</v>
      </c>
      <c r="C121" s="14" t="s">
        <v>680</v>
      </c>
      <c r="D121" s="14"/>
      <c r="E121" s="14" t="s">
        <v>82</v>
      </c>
      <c r="F121" s="14" t="s">
        <v>5668</v>
      </c>
      <c r="G121" s="14"/>
      <c r="H121" s="15">
        <v>46224.958333333336</v>
      </c>
      <c r="I121" s="14" t="s">
        <v>5669</v>
      </c>
      <c r="J121" s="14">
        <v>60</v>
      </c>
      <c r="K121" s="14" t="s">
        <v>5679</v>
      </c>
      <c r="L121" s="17">
        <v>46324</v>
      </c>
      <c r="M121" s="17"/>
      <c r="N121" s="14" t="s">
        <v>5671</v>
      </c>
      <c r="O121" s="17">
        <v>46269</v>
      </c>
      <c r="P121" s="14"/>
      <c r="Q121" s="18">
        <v>80000</v>
      </c>
      <c r="R121" s="19">
        <v>18.100000000000001</v>
      </c>
      <c r="S121" s="18">
        <v>65520</v>
      </c>
      <c r="T121" s="14">
        <v>12</v>
      </c>
      <c r="U121" s="18">
        <v>65520</v>
      </c>
      <c r="V121" s="18">
        <v>20000</v>
      </c>
      <c r="W121" s="19">
        <v>9.6</v>
      </c>
      <c r="X121" s="18">
        <v>18080</v>
      </c>
      <c r="Y121" s="14" t="s">
        <v>5665</v>
      </c>
      <c r="Z121" s="14" t="s">
        <v>5666</v>
      </c>
      <c r="AA121" s="14" t="b">
        <v>0</v>
      </c>
      <c r="AB121" s="14" t="b">
        <v>0</v>
      </c>
      <c r="AC121" s="14" t="b">
        <v>1</v>
      </c>
    </row>
    <row r="122" spans="1:29">
      <c r="A122" s="14" t="s">
        <v>1817</v>
      </c>
      <c r="B122" s="14" t="s">
        <v>5901</v>
      </c>
      <c r="C122" s="14" t="s">
        <v>56</v>
      </c>
      <c r="D122" s="14" t="s">
        <v>1816</v>
      </c>
      <c r="E122" s="14" t="s">
        <v>59</v>
      </c>
      <c r="F122" s="14" t="s">
        <v>5668</v>
      </c>
      <c r="G122" s="14" t="s">
        <v>1339</v>
      </c>
      <c r="H122" s="15">
        <v>46249.798344907409</v>
      </c>
      <c r="I122" s="14" t="s">
        <v>5691</v>
      </c>
      <c r="J122" s="14">
        <v>40</v>
      </c>
      <c r="K122" s="14" t="s">
        <v>5670</v>
      </c>
      <c r="L122" s="17">
        <v>46348</v>
      </c>
      <c r="M122" s="17"/>
      <c r="N122" s="14"/>
      <c r="O122" s="17">
        <v>46283</v>
      </c>
      <c r="P122" s="14"/>
      <c r="Q122" s="18">
        <v>36000</v>
      </c>
      <c r="R122" s="19">
        <v>20.3</v>
      </c>
      <c r="S122" s="18">
        <v>28692</v>
      </c>
      <c r="T122" s="14">
        <v>12</v>
      </c>
      <c r="U122" s="18">
        <v>28692</v>
      </c>
      <c r="V122" s="18">
        <v>5000</v>
      </c>
      <c r="W122" s="19">
        <v>0.7</v>
      </c>
      <c r="X122" s="18">
        <v>4965</v>
      </c>
      <c r="Y122" s="14" t="s">
        <v>5677</v>
      </c>
      <c r="Z122" s="14" t="s">
        <v>5666</v>
      </c>
      <c r="AA122" s="14" t="b">
        <v>0</v>
      </c>
      <c r="AB122" s="14" t="b">
        <v>0</v>
      </c>
      <c r="AC122" s="14" t="b">
        <v>1</v>
      </c>
    </row>
    <row r="123" spans="1:29">
      <c r="A123" s="14" t="s">
        <v>5902</v>
      </c>
      <c r="B123" s="14" t="s">
        <v>5903</v>
      </c>
      <c r="C123" s="14" t="s">
        <v>240</v>
      </c>
      <c r="D123" s="14" t="s">
        <v>2451</v>
      </c>
      <c r="E123" s="14" t="s">
        <v>55</v>
      </c>
      <c r="F123" s="14" t="s">
        <v>5662</v>
      </c>
      <c r="G123" s="14" t="s">
        <v>1281</v>
      </c>
      <c r="H123" s="15">
        <v>45565</v>
      </c>
      <c r="I123" s="14" t="s">
        <v>5663</v>
      </c>
      <c r="J123" s="14">
        <v>100</v>
      </c>
      <c r="K123" s="14" t="s">
        <v>5664</v>
      </c>
      <c r="L123" s="17">
        <v>45615</v>
      </c>
      <c r="M123" s="17">
        <v>45645</v>
      </c>
      <c r="N123" s="14"/>
      <c r="O123" s="17">
        <v>45643</v>
      </c>
      <c r="P123" s="14"/>
      <c r="Q123" s="18">
        <v>28000</v>
      </c>
      <c r="R123" s="19">
        <v>9.1999999999999993</v>
      </c>
      <c r="S123" s="18">
        <v>25424</v>
      </c>
      <c r="T123" s="14">
        <v>12</v>
      </c>
      <c r="U123" s="18">
        <v>25424</v>
      </c>
      <c r="V123" s="18">
        <v>0</v>
      </c>
      <c r="W123" s="19">
        <v>0</v>
      </c>
      <c r="X123" s="18">
        <v>0</v>
      </c>
      <c r="Y123" s="14" t="s">
        <v>5688</v>
      </c>
      <c r="Z123" s="14" t="s">
        <v>5666</v>
      </c>
      <c r="AA123" s="14" t="b">
        <v>0</v>
      </c>
      <c r="AB123" s="14" t="b">
        <v>0</v>
      </c>
      <c r="AC123" s="14" t="b">
        <v>1</v>
      </c>
    </row>
    <row r="124" spans="1:29">
      <c r="A124" s="14" t="s">
        <v>5904</v>
      </c>
      <c r="B124" s="14" t="s">
        <v>5905</v>
      </c>
      <c r="C124" s="14" t="s">
        <v>345</v>
      </c>
      <c r="D124" s="14" t="s">
        <v>5906</v>
      </c>
      <c r="E124" s="14" t="s">
        <v>91</v>
      </c>
      <c r="F124" s="14" t="s">
        <v>5668</v>
      </c>
      <c r="G124" s="14" t="s">
        <v>1413</v>
      </c>
      <c r="H124" s="15">
        <v>46205.958333333336</v>
      </c>
      <c r="I124" s="14" t="s">
        <v>5740</v>
      </c>
      <c r="J124" s="14">
        <v>80</v>
      </c>
      <c r="K124" s="14" t="s">
        <v>5679</v>
      </c>
      <c r="L124" s="17">
        <v>46277</v>
      </c>
      <c r="M124" s="17"/>
      <c r="N124" s="14" t="s">
        <v>5845</v>
      </c>
      <c r="O124" s="17">
        <v>46238</v>
      </c>
      <c r="P124" s="14"/>
      <c r="Q124" s="18">
        <v>12000</v>
      </c>
      <c r="R124" s="19">
        <v>6.8</v>
      </c>
      <c r="S124" s="18">
        <v>11184</v>
      </c>
      <c r="T124" s="14">
        <v>12</v>
      </c>
      <c r="U124" s="18">
        <v>11184</v>
      </c>
      <c r="V124" s="18">
        <v>5000</v>
      </c>
      <c r="W124" s="19">
        <v>6.7</v>
      </c>
      <c r="X124" s="18">
        <v>4665</v>
      </c>
      <c r="Y124" s="14" t="s">
        <v>5665</v>
      </c>
      <c r="Z124" s="14" t="s">
        <v>5677</v>
      </c>
      <c r="AA124" s="14" t="b">
        <v>0</v>
      </c>
      <c r="AB124" s="14" t="b">
        <v>0</v>
      </c>
      <c r="AC124" s="14" t="b">
        <v>1</v>
      </c>
    </row>
    <row r="125" spans="1:29">
      <c r="A125" s="14" t="s">
        <v>1999</v>
      </c>
      <c r="B125" s="14" t="s">
        <v>5673</v>
      </c>
      <c r="C125" s="14" t="s">
        <v>240</v>
      </c>
      <c r="D125" s="14" t="s">
        <v>1998</v>
      </c>
      <c r="E125" s="14" t="s">
        <v>55</v>
      </c>
      <c r="F125" s="14" t="s">
        <v>5668</v>
      </c>
      <c r="G125" s="14" t="s">
        <v>1281</v>
      </c>
      <c r="H125" s="15">
        <v>45188.692407407405</v>
      </c>
      <c r="I125" s="14" t="s">
        <v>5675</v>
      </c>
      <c r="J125" s="14">
        <v>0</v>
      </c>
      <c r="K125" s="14" t="s">
        <v>5664</v>
      </c>
      <c r="L125" s="17">
        <v>45297.692407407405</v>
      </c>
      <c r="M125" s="17">
        <v>45267.692407407405</v>
      </c>
      <c r="N125" s="14"/>
      <c r="O125" s="17">
        <v>45264.692407407405</v>
      </c>
      <c r="P125" s="14" t="s">
        <v>5728</v>
      </c>
      <c r="Q125" s="18">
        <v>50000</v>
      </c>
      <c r="R125" s="19">
        <v>17.2</v>
      </c>
      <c r="S125" s="18">
        <v>41400</v>
      </c>
      <c r="T125" s="14">
        <v>12</v>
      </c>
      <c r="U125" s="18">
        <v>41400</v>
      </c>
      <c r="V125" s="18">
        <v>10000</v>
      </c>
      <c r="W125" s="19">
        <v>1.8</v>
      </c>
      <c r="X125" s="18">
        <v>9820</v>
      </c>
      <c r="Y125" s="14" t="s">
        <v>5735</v>
      </c>
      <c r="Z125" s="14" t="s">
        <v>5666</v>
      </c>
      <c r="AA125" s="14" t="b">
        <v>0</v>
      </c>
      <c r="AB125" s="14" t="b">
        <v>0</v>
      </c>
      <c r="AC125" s="14" t="b">
        <v>1</v>
      </c>
    </row>
    <row r="126" spans="1:29">
      <c r="A126" s="14" t="s">
        <v>1311</v>
      </c>
      <c r="B126" s="14" t="s">
        <v>5907</v>
      </c>
      <c r="C126" s="14" t="s">
        <v>977</v>
      </c>
      <c r="D126" s="14" t="s">
        <v>1310</v>
      </c>
      <c r="E126" s="14" t="s">
        <v>25</v>
      </c>
      <c r="F126" s="14" t="s">
        <v>5668</v>
      </c>
      <c r="G126" s="14" t="s">
        <v>1271</v>
      </c>
      <c r="H126" s="15">
        <v>46249.459710648145</v>
      </c>
      <c r="I126" s="14" t="s">
        <v>5740</v>
      </c>
      <c r="J126" s="14">
        <v>80</v>
      </c>
      <c r="K126" s="14" t="s">
        <v>5679</v>
      </c>
      <c r="L126" s="17">
        <v>46316</v>
      </c>
      <c r="M126" s="17"/>
      <c r="N126" s="14" t="s">
        <v>5749</v>
      </c>
      <c r="O126" s="17">
        <v>46285</v>
      </c>
      <c r="P126" s="14"/>
      <c r="Q126" s="18">
        <v>16000</v>
      </c>
      <c r="R126" s="19">
        <v>1.1000000000000001</v>
      </c>
      <c r="S126" s="18">
        <v>15824</v>
      </c>
      <c r="T126" s="14">
        <v>12</v>
      </c>
      <c r="U126" s="18">
        <v>15824</v>
      </c>
      <c r="V126" s="18">
        <v>5000</v>
      </c>
      <c r="W126" s="19">
        <v>4</v>
      </c>
      <c r="X126" s="18">
        <v>4800</v>
      </c>
      <c r="Y126" s="14" t="s">
        <v>5735</v>
      </c>
      <c r="Z126" s="14" t="s">
        <v>5677</v>
      </c>
      <c r="AA126" s="14" t="b">
        <v>0</v>
      </c>
      <c r="AB126" s="14" t="b">
        <v>0</v>
      </c>
      <c r="AC126" s="14" t="b">
        <v>1</v>
      </c>
    </row>
    <row r="127" spans="1:29">
      <c r="A127" s="14" t="s">
        <v>1747</v>
      </c>
      <c r="B127" s="14" t="s">
        <v>5908</v>
      </c>
      <c r="C127" s="14" t="s">
        <v>803</v>
      </c>
      <c r="D127" s="14" t="s">
        <v>1746</v>
      </c>
      <c r="E127" s="14" t="s">
        <v>18</v>
      </c>
      <c r="F127" s="14" t="s">
        <v>5668</v>
      </c>
      <c r="G127" s="14" t="s">
        <v>1355</v>
      </c>
      <c r="H127" s="15">
        <v>46151.372731481482</v>
      </c>
      <c r="I127" s="14" t="s">
        <v>5675</v>
      </c>
      <c r="J127" s="14">
        <v>0</v>
      </c>
      <c r="K127" s="14" t="s">
        <v>5664</v>
      </c>
      <c r="L127" s="17">
        <v>46205.372731481482</v>
      </c>
      <c r="M127" s="17">
        <v>46212.372731481482</v>
      </c>
      <c r="N127" s="14"/>
      <c r="O127" s="17">
        <v>46210.372731481482</v>
      </c>
      <c r="P127" s="14" t="s">
        <v>5721</v>
      </c>
      <c r="Q127" s="18">
        <v>50000</v>
      </c>
      <c r="R127" s="19">
        <v>18.7</v>
      </c>
      <c r="S127" s="18">
        <v>40650</v>
      </c>
      <c r="T127" s="14">
        <v>24</v>
      </c>
      <c r="U127" s="18">
        <v>81300</v>
      </c>
      <c r="V127" s="18">
        <v>10000</v>
      </c>
      <c r="W127" s="19">
        <v>0.6</v>
      </c>
      <c r="X127" s="18">
        <v>9940</v>
      </c>
      <c r="Y127" s="14" t="s">
        <v>5665</v>
      </c>
      <c r="Z127" s="14" t="s">
        <v>5666</v>
      </c>
      <c r="AA127" s="14" t="b">
        <v>0</v>
      </c>
      <c r="AB127" s="14" t="b">
        <v>0</v>
      </c>
      <c r="AC127" s="14" t="b">
        <v>1</v>
      </c>
    </row>
    <row r="128" spans="1:29">
      <c r="A128" s="14" t="s">
        <v>1742</v>
      </c>
      <c r="B128" s="14" t="s">
        <v>5909</v>
      </c>
      <c r="C128" s="14" t="s">
        <v>265</v>
      </c>
      <c r="D128" s="14" t="s">
        <v>1741</v>
      </c>
      <c r="E128" s="14" t="s">
        <v>82</v>
      </c>
      <c r="F128" s="14" t="s">
        <v>5668</v>
      </c>
      <c r="G128" s="14" t="s">
        <v>1317</v>
      </c>
      <c r="H128" s="15">
        <v>45968.226030092592</v>
      </c>
      <c r="I128" s="14" t="s">
        <v>5675</v>
      </c>
      <c r="J128" s="14">
        <v>0</v>
      </c>
      <c r="K128" s="14" t="s">
        <v>5664</v>
      </c>
      <c r="L128" s="17">
        <v>46054.226030092592</v>
      </c>
      <c r="M128" s="17">
        <v>46040.226030092592</v>
      </c>
      <c r="N128" s="14"/>
      <c r="O128" s="17">
        <v>46033.226030092592</v>
      </c>
      <c r="P128" s="14" t="s">
        <v>5728</v>
      </c>
      <c r="Q128" s="18">
        <v>68000</v>
      </c>
      <c r="R128" s="19">
        <v>6.4</v>
      </c>
      <c r="S128" s="18">
        <v>63648</v>
      </c>
      <c r="T128" s="14">
        <v>12</v>
      </c>
      <c r="U128" s="18">
        <v>63648</v>
      </c>
      <c r="V128" s="18">
        <v>10000</v>
      </c>
      <c r="W128" s="19">
        <v>6.8</v>
      </c>
      <c r="X128" s="18">
        <v>9320</v>
      </c>
      <c r="Y128" s="14" t="s">
        <v>5677</v>
      </c>
      <c r="Z128" s="14" t="s">
        <v>5693</v>
      </c>
      <c r="AA128" s="14" t="b">
        <v>0</v>
      </c>
      <c r="AB128" s="14" t="b">
        <v>0</v>
      </c>
      <c r="AC128" s="14" t="b">
        <v>1</v>
      </c>
    </row>
    <row r="129" spans="1:29">
      <c r="A129" s="14" t="s">
        <v>2252</v>
      </c>
      <c r="B129" s="14" t="s">
        <v>5797</v>
      </c>
      <c r="C129" s="14" t="s">
        <v>183</v>
      </c>
      <c r="D129" s="14" t="s">
        <v>2251</v>
      </c>
      <c r="E129" s="14" t="s">
        <v>25</v>
      </c>
      <c r="F129" s="14" t="s">
        <v>5668</v>
      </c>
      <c r="G129" s="14"/>
      <c r="H129" s="15">
        <v>45202.146631944444</v>
      </c>
      <c r="I129" s="14" t="s">
        <v>5675</v>
      </c>
      <c r="J129" s="14">
        <v>0</v>
      </c>
      <c r="K129" s="14" t="s">
        <v>5664</v>
      </c>
      <c r="L129" s="17">
        <v>45227.146631944444</v>
      </c>
      <c r="M129" s="17">
        <v>45227.146631944444</v>
      </c>
      <c r="N129" s="14"/>
      <c r="O129" s="17">
        <v>45224.146631944444</v>
      </c>
      <c r="P129" s="14" t="s">
        <v>5721</v>
      </c>
      <c r="Q129" s="18">
        <v>30000</v>
      </c>
      <c r="R129" s="19">
        <v>8.1999999999999993</v>
      </c>
      <c r="S129" s="18">
        <v>27540</v>
      </c>
      <c r="T129" s="14">
        <v>12</v>
      </c>
      <c r="U129" s="18">
        <v>27540</v>
      </c>
      <c r="V129" s="18">
        <v>10000</v>
      </c>
      <c r="W129" s="19">
        <v>5.5</v>
      </c>
      <c r="X129" s="18">
        <v>9450</v>
      </c>
      <c r="Y129" s="14" t="s">
        <v>5735</v>
      </c>
      <c r="Z129" s="14" t="s">
        <v>5677</v>
      </c>
      <c r="AA129" s="14" t="b">
        <v>0</v>
      </c>
      <c r="AB129" s="14" t="b">
        <v>0</v>
      </c>
      <c r="AC129" s="14" t="b">
        <v>1</v>
      </c>
    </row>
    <row r="130" spans="1:29">
      <c r="A130" s="14" t="s">
        <v>5910</v>
      </c>
      <c r="B130" s="14" t="s">
        <v>5736</v>
      </c>
      <c r="C130" s="14" t="s">
        <v>600</v>
      </c>
      <c r="D130" s="14" t="s">
        <v>2109</v>
      </c>
      <c r="E130" s="14" t="s">
        <v>25</v>
      </c>
      <c r="F130" s="14" t="s">
        <v>5668</v>
      </c>
      <c r="G130" s="14" t="s">
        <v>1295</v>
      </c>
      <c r="H130" s="15">
        <v>46281.333333333336</v>
      </c>
      <c r="I130" s="14" t="s">
        <v>5686</v>
      </c>
      <c r="J130" s="14">
        <v>10</v>
      </c>
      <c r="K130" s="14" t="s">
        <v>5670</v>
      </c>
      <c r="L130" s="17">
        <v>46326</v>
      </c>
      <c r="M130" s="17"/>
      <c r="N130" s="14" t="s">
        <v>5687</v>
      </c>
      <c r="O130" s="17">
        <v>46269</v>
      </c>
      <c r="P130" s="14"/>
      <c r="Q130" s="18">
        <v>50000</v>
      </c>
      <c r="R130" s="19">
        <v>22.8</v>
      </c>
      <c r="S130" s="18">
        <v>38600</v>
      </c>
      <c r="T130" s="14">
        <v>12</v>
      </c>
      <c r="U130" s="18">
        <v>38600</v>
      </c>
      <c r="V130" s="18">
        <v>10000</v>
      </c>
      <c r="W130" s="19">
        <v>17.7</v>
      </c>
      <c r="X130" s="18">
        <v>8230</v>
      </c>
      <c r="Y130" s="14" t="s">
        <v>5665</v>
      </c>
      <c r="Z130" s="14" t="s">
        <v>5666</v>
      </c>
      <c r="AA130" s="14" t="b">
        <v>0</v>
      </c>
      <c r="AB130" s="14" t="b">
        <v>0</v>
      </c>
      <c r="AC130" s="14" t="b">
        <v>0</v>
      </c>
    </row>
    <row r="131" spans="1:29">
      <c r="A131" s="14" t="s">
        <v>5911</v>
      </c>
      <c r="B131" s="14" t="s">
        <v>5912</v>
      </c>
      <c r="C131" s="14" t="s">
        <v>942</v>
      </c>
      <c r="D131" s="14"/>
      <c r="E131" s="14" t="s">
        <v>55</v>
      </c>
      <c r="F131" s="14" t="s">
        <v>5668</v>
      </c>
      <c r="G131" s="14" t="s">
        <v>1413</v>
      </c>
      <c r="H131" s="15">
        <v>45587</v>
      </c>
      <c r="I131" s="14" t="s">
        <v>5663</v>
      </c>
      <c r="J131" s="14">
        <v>100</v>
      </c>
      <c r="K131" s="14" t="s">
        <v>5664</v>
      </c>
      <c r="L131" s="17">
        <v>45664</v>
      </c>
      <c r="M131" s="17">
        <v>45664</v>
      </c>
      <c r="N131" s="14"/>
      <c r="O131" s="17">
        <v>45663</v>
      </c>
      <c r="P131" s="14"/>
      <c r="Q131" s="18">
        <v>38000</v>
      </c>
      <c r="R131" s="19">
        <v>5.7</v>
      </c>
      <c r="S131" s="18">
        <v>35834</v>
      </c>
      <c r="T131" s="14">
        <v>12</v>
      </c>
      <c r="U131" s="18">
        <v>35834</v>
      </c>
      <c r="V131" s="18">
        <v>5000</v>
      </c>
      <c r="W131" s="19">
        <v>5.2</v>
      </c>
      <c r="X131" s="18">
        <v>4740</v>
      </c>
      <c r="Y131" s="14" t="s">
        <v>5665</v>
      </c>
      <c r="Z131" s="14" t="s">
        <v>5666</v>
      </c>
      <c r="AA131" s="14" t="b">
        <v>0</v>
      </c>
      <c r="AB131" s="14" t="b">
        <v>0</v>
      </c>
      <c r="AC131" s="14" t="b">
        <v>0</v>
      </c>
    </row>
    <row r="132" spans="1:29">
      <c r="A132" s="14" t="s">
        <v>1571</v>
      </c>
      <c r="B132" s="14" t="s">
        <v>5678</v>
      </c>
      <c r="C132" s="14" t="s">
        <v>73</v>
      </c>
      <c r="D132" s="14" t="s">
        <v>1570</v>
      </c>
      <c r="E132" s="14" t="s">
        <v>36</v>
      </c>
      <c r="F132" s="14" t="s">
        <v>5668</v>
      </c>
      <c r="G132" s="14" t="s">
        <v>1317</v>
      </c>
      <c r="H132" s="15">
        <v>46284.341828703706</v>
      </c>
      <c r="I132" s="14" t="s">
        <v>5691</v>
      </c>
      <c r="J132" s="14">
        <v>40</v>
      </c>
      <c r="K132" s="14" t="s">
        <v>5670</v>
      </c>
      <c r="L132" s="17">
        <v>46342</v>
      </c>
      <c r="M132" s="17"/>
      <c r="N132" s="14" t="s">
        <v>5801</v>
      </c>
      <c r="O132" s="17">
        <v>46281</v>
      </c>
      <c r="P132" s="14"/>
      <c r="Q132" s="18">
        <v>60000</v>
      </c>
      <c r="R132" s="19">
        <v>18</v>
      </c>
      <c r="S132" s="18">
        <v>49200</v>
      </c>
      <c r="T132" s="14">
        <v>24</v>
      </c>
      <c r="U132" s="18">
        <v>98400</v>
      </c>
      <c r="V132" s="18">
        <v>20000</v>
      </c>
      <c r="W132" s="19">
        <v>1.9</v>
      </c>
      <c r="X132" s="18">
        <v>19620</v>
      </c>
      <c r="Y132" s="14" t="s">
        <v>5735</v>
      </c>
      <c r="Z132" s="14" t="s">
        <v>5666</v>
      </c>
      <c r="AA132" s="14" t="b">
        <v>1</v>
      </c>
      <c r="AB132" s="14" t="b">
        <v>0</v>
      </c>
      <c r="AC132" s="14" t="b">
        <v>1</v>
      </c>
    </row>
    <row r="133" spans="1:29">
      <c r="A133" s="14" t="s">
        <v>5913</v>
      </c>
      <c r="B133" s="14" t="s">
        <v>5914</v>
      </c>
      <c r="C133" s="14" t="s">
        <v>165</v>
      </c>
      <c r="D133" s="14" t="s">
        <v>5915</v>
      </c>
      <c r="E133" s="14" t="s">
        <v>25</v>
      </c>
      <c r="F133" s="14" t="s">
        <v>5662</v>
      </c>
      <c r="G133" s="14" t="s">
        <v>1295</v>
      </c>
      <c r="H133" s="15">
        <v>45989.616377314815</v>
      </c>
      <c r="I133" s="14" t="s">
        <v>5663</v>
      </c>
      <c r="J133" s="14">
        <v>100</v>
      </c>
      <c r="K133" s="14" t="s">
        <v>5664</v>
      </c>
      <c r="L133" s="17">
        <v>46000.616377314815</v>
      </c>
      <c r="M133" s="17">
        <v>46014.616377314815</v>
      </c>
      <c r="N133" s="14"/>
      <c r="O133" s="17">
        <v>46007.616377314815</v>
      </c>
      <c r="P133" s="14"/>
      <c r="Q133" s="18">
        <v>20000</v>
      </c>
      <c r="R133" s="19">
        <v>6.4</v>
      </c>
      <c r="S133" s="18">
        <v>18720</v>
      </c>
      <c r="T133" s="14">
        <v>12</v>
      </c>
      <c r="U133" s="18">
        <v>18720</v>
      </c>
      <c r="V133" s="18">
        <v>0</v>
      </c>
      <c r="W133" s="19">
        <v>0</v>
      </c>
      <c r="X133" s="18">
        <v>0</v>
      </c>
      <c r="Y133" s="14" t="s">
        <v>5665</v>
      </c>
      <c r="Z133" s="14" t="s">
        <v>5666</v>
      </c>
      <c r="AA133" s="14" t="b">
        <v>0</v>
      </c>
      <c r="AB133" s="14" t="b">
        <v>0</v>
      </c>
      <c r="AC133" s="14" t="b">
        <v>0</v>
      </c>
    </row>
    <row r="134" spans="1:29">
      <c r="A134" s="14" t="s">
        <v>2175</v>
      </c>
      <c r="B134" s="14" t="s">
        <v>5912</v>
      </c>
      <c r="C134" s="14" t="s">
        <v>942</v>
      </c>
      <c r="D134" s="14" t="s">
        <v>2174</v>
      </c>
      <c r="E134" s="14" t="s">
        <v>55</v>
      </c>
      <c r="F134" s="14" t="s">
        <v>5668</v>
      </c>
      <c r="G134" s="14" t="s">
        <v>1281</v>
      </c>
      <c r="H134" s="15">
        <v>44971.75854166667</v>
      </c>
      <c r="I134" s="14" t="s">
        <v>5663</v>
      </c>
      <c r="J134" s="14">
        <v>100</v>
      </c>
      <c r="K134" s="14" t="s">
        <v>5664</v>
      </c>
      <c r="L134" s="17">
        <v>45035.75854166667</v>
      </c>
      <c r="M134" s="17">
        <v>45021.75854166667</v>
      </c>
      <c r="N134" s="14"/>
      <c r="O134" s="17">
        <v>45014.75854166667</v>
      </c>
      <c r="P134" s="14"/>
      <c r="Q134" s="18">
        <v>64000</v>
      </c>
      <c r="R134" s="19">
        <v>2.8</v>
      </c>
      <c r="S134" s="18">
        <v>62208</v>
      </c>
      <c r="T134" s="14">
        <v>12</v>
      </c>
      <c r="U134" s="18">
        <v>62208</v>
      </c>
      <c r="V134" s="18">
        <v>20000</v>
      </c>
      <c r="W134" s="19">
        <v>3.4</v>
      </c>
      <c r="X134" s="18">
        <v>19320</v>
      </c>
      <c r="Y134" s="14" t="s">
        <v>5665</v>
      </c>
      <c r="Z134" s="14" t="s">
        <v>5780</v>
      </c>
      <c r="AA134" s="14" t="b">
        <v>0</v>
      </c>
      <c r="AB134" s="14" t="b">
        <v>0</v>
      </c>
      <c r="AC134" s="14" t="b">
        <v>1</v>
      </c>
    </row>
    <row r="135" spans="1:29">
      <c r="A135" s="14" t="s">
        <v>5916</v>
      </c>
      <c r="B135" s="14" t="s">
        <v>5917</v>
      </c>
      <c r="C135" s="14" t="s">
        <v>623</v>
      </c>
      <c r="D135" s="14"/>
      <c r="E135" s="14" t="s">
        <v>91</v>
      </c>
      <c r="F135" s="14" t="s">
        <v>5662</v>
      </c>
      <c r="G135" s="14" t="s">
        <v>1317</v>
      </c>
      <c r="H135" s="15">
        <v>46199.625</v>
      </c>
      <c r="I135" s="14" t="s">
        <v>5740</v>
      </c>
      <c r="J135" s="14">
        <v>80</v>
      </c>
      <c r="K135" s="14" t="s">
        <v>5679</v>
      </c>
      <c r="L135" s="17">
        <v>46319</v>
      </c>
      <c r="M135" s="17"/>
      <c r="N135" s="14" t="s">
        <v>5845</v>
      </c>
      <c r="O135" s="17">
        <v>46273</v>
      </c>
      <c r="P135" s="14"/>
      <c r="Q135" s="18">
        <v>18000</v>
      </c>
      <c r="R135" s="19">
        <v>21.4</v>
      </c>
      <c r="S135" s="18">
        <v>14148</v>
      </c>
      <c r="T135" s="14">
        <v>12</v>
      </c>
      <c r="U135" s="18">
        <v>14148</v>
      </c>
      <c r="V135" s="18">
        <v>0</v>
      </c>
      <c r="W135" s="19">
        <v>0</v>
      </c>
      <c r="X135" s="18">
        <v>0</v>
      </c>
      <c r="Y135" s="14" t="s">
        <v>5665</v>
      </c>
      <c r="Z135" s="14" t="s">
        <v>5666</v>
      </c>
      <c r="AA135" s="14" t="b">
        <v>0</v>
      </c>
      <c r="AB135" s="14" t="b">
        <v>0</v>
      </c>
      <c r="AC135" s="14" t="b">
        <v>1</v>
      </c>
    </row>
    <row r="136" spans="1:29">
      <c r="A136" s="14" t="s">
        <v>1719</v>
      </c>
      <c r="B136" s="14" t="s">
        <v>5918</v>
      </c>
      <c r="C136" s="14" t="s">
        <v>509</v>
      </c>
      <c r="D136" s="14" t="s">
        <v>1718</v>
      </c>
      <c r="E136" s="14" t="s">
        <v>59</v>
      </c>
      <c r="F136" s="14" t="s">
        <v>5668</v>
      </c>
      <c r="G136" s="14" t="s">
        <v>1295</v>
      </c>
      <c r="H136" s="15">
        <v>45365.489317129628</v>
      </c>
      <c r="I136" s="14" t="s">
        <v>5663</v>
      </c>
      <c r="J136" s="14">
        <v>100</v>
      </c>
      <c r="K136" s="14" t="s">
        <v>5664</v>
      </c>
      <c r="L136" s="17">
        <v>45380.489317129628</v>
      </c>
      <c r="M136" s="17">
        <v>45394.489317129628</v>
      </c>
      <c r="N136" s="14"/>
      <c r="O136" s="17">
        <v>45389.489317129628</v>
      </c>
      <c r="P136" s="14"/>
      <c r="Q136" s="18">
        <v>18000</v>
      </c>
      <c r="R136" s="19">
        <v>16.5</v>
      </c>
      <c r="S136" s="18">
        <v>15030</v>
      </c>
      <c r="T136" s="14">
        <v>12</v>
      </c>
      <c r="U136" s="18">
        <v>15030</v>
      </c>
      <c r="V136" s="18">
        <v>5000</v>
      </c>
      <c r="W136" s="19">
        <v>14.7</v>
      </c>
      <c r="X136" s="18">
        <v>4265</v>
      </c>
      <c r="Y136" s="14" t="s">
        <v>5665</v>
      </c>
      <c r="Z136" s="14" t="s">
        <v>5666</v>
      </c>
      <c r="AA136" s="14" t="b">
        <v>0</v>
      </c>
      <c r="AB136" s="14" t="b">
        <v>0</v>
      </c>
      <c r="AC136" s="14" t="b">
        <v>1</v>
      </c>
    </row>
    <row r="137" spans="1:29">
      <c r="A137" s="14" t="s">
        <v>5919</v>
      </c>
      <c r="B137" s="14" t="s">
        <v>5920</v>
      </c>
      <c r="C137" s="14" t="s">
        <v>945</v>
      </c>
      <c r="D137" s="14" t="s">
        <v>2312</v>
      </c>
      <c r="E137" s="14" t="s">
        <v>82</v>
      </c>
      <c r="F137" s="14" t="s">
        <v>5668</v>
      </c>
      <c r="G137" s="14" t="s">
        <v>1355</v>
      </c>
      <c r="H137" s="15">
        <v>45991</v>
      </c>
      <c r="I137" s="14" t="s">
        <v>5663</v>
      </c>
      <c r="J137" s="14">
        <v>100</v>
      </c>
      <c r="K137" s="14" t="s">
        <v>5664</v>
      </c>
      <c r="L137" s="17">
        <v>46070</v>
      </c>
      <c r="M137" s="17">
        <v>46040</v>
      </c>
      <c r="N137" s="14"/>
      <c r="O137" s="17">
        <v>46034</v>
      </c>
      <c r="P137" s="14"/>
      <c r="Q137" s="18">
        <v>42000</v>
      </c>
      <c r="R137" s="19">
        <v>21.4</v>
      </c>
      <c r="S137" s="18">
        <v>33012</v>
      </c>
      <c r="T137" s="14">
        <v>12</v>
      </c>
      <c r="U137" s="18">
        <v>33012</v>
      </c>
      <c r="V137" s="18">
        <v>10000</v>
      </c>
      <c r="W137" s="19">
        <v>3.9</v>
      </c>
      <c r="X137" s="18">
        <v>9610</v>
      </c>
      <c r="Y137" s="14" t="s">
        <v>5665</v>
      </c>
      <c r="Z137" s="14" t="s">
        <v>5666</v>
      </c>
      <c r="AA137" s="14" t="b">
        <v>0</v>
      </c>
      <c r="AB137" s="14" t="b">
        <v>0</v>
      </c>
      <c r="AC137" s="14" t="b">
        <v>1</v>
      </c>
    </row>
    <row r="138" spans="1:29">
      <c r="A138" s="14" t="s">
        <v>5921</v>
      </c>
      <c r="B138" s="14" t="s">
        <v>5922</v>
      </c>
      <c r="C138" s="14" t="s">
        <v>748</v>
      </c>
      <c r="D138" s="14" t="s">
        <v>2255</v>
      </c>
      <c r="E138" s="14" t="s">
        <v>36</v>
      </c>
      <c r="F138" s="14" t="s">
        <v>5668</v>
      </c>
      <c r="G138" s="14" t="s">
        <v>1288</v>
      </c>
      <c r="H138" s="15">
        <v>45995.803912037038</v>
      </c>
      <c r="I138" s="14" t="s">
        <v>5663</v>
      </c>
      <c r="J138" s="14">
        <v>100</v>
      </c>
      <c r="K138" s="14" t="s">
        <v>5664</v>
      </c>
      <c r="L138" s="17">
        <v>46060.803912037038</v>
      </c>
      <c r="M138" s="17">
        <v>46053.803912037038</v>
      </c>
      <c r="N138" s="14"/>
      <c r="O138" s="17">
        <v>46048.803912037038</v>
      </c>
      <c r="P138" s="14"/>
      <c r="Q138" s="18">
        <v>58000</v>
      </c>
      <c r="R138" s="19">
        <v>8.3000000000000007</v>
      </c>
      <c r="S138" s="18">
        <v>53186</v>
      </c>
      <c r="T138" s="14">
        <v>36</v>
      </c>
      <c r="U138" s="18">
        <v>159558</v>
      </c>
      <c r="V138" s="18">
        <v>10000</v>
      </c>
      <c r="W138" s="19">
        <v>2.4</v>
      </c>
      <c r="X138" s="18">
        <v>9760</v>
      </c>
      <c r="Y138" s="14" t="s">
        <v>5665</v>
      </c>
      <c r="Z138" s="14" t="s">
        <v>5693</v>
      </c>
      <c r="AA138" s="14" t="b">
        <v>0</v>
      </c>
      <c r="AB138" s="14" t="b">
        <v>0</v>
      </c>
      <c r="AC138" s="14" t="b">
        <v>1</v>
      </c>
    </row>
    <row r="139" spans="1:29">
      <c r="A139" s="14" t="s">
        <v>2377</v>
      </c>
      <c r="B139" s="14" t="s">
        <v>5923</v>
      </c>
      <c r="C139" s="14" t="s">
        <v>876</v>
      </c>
      <c r="D139" s="14" t="s">
        <v>2376</v>
      </c>
      <c r="E139" s="14" t="s">
        <v>82</v>
      </c>
      <c r="F139" s="14" t="s">
        <v>5668</v>
      </c>
      <c r="G139" s="14" t="s">
        <v>1413</v>
      </c>
      <c r="H139" s="15">
        <v>46102.585081018522</v>
      </c>
      <c r="I139" s="14" t="s">
        <v>5740</v>
      </c>
      <c r="J139" s="14">
        <v>80</v>
      </c>
      <c r="K139" s="14" t="s">
        <v>5679</v>
      </c>
      <c r="L139" s="17">
        <v>46258</v>
      </c>
      <c r="M139" s="17"/>
      <c r="N139" s="14" t="s">
        <v>5741</v>
      </c>
      <c r="O139" s="17">
        <v>46266</v>
      </c>
      <c r="P139" s="14"/>
      <c r="Q139" s="18">
        <v>42000</v>
      </c>
      <c r="R139" s="19">
        <v>22.2</v>
      </c>
      <c r="S139" s="18">
        <v>32676</v>
      </c>
      <c r="T139" s="14">
        <v>12</v>
      </c>
      <c r="U139" s="18">
        <v>32676</v>
      </c>
      <c r="V139" s="18">
        <v>10000</v>
      </c>
      <c r="W139" s="19">
        <v>2.6</v>
      </c>
      <c r="X139" s="18">
        <v>9740</v>
      </c>
      <c r="Y139" s="14" t="s">
        <v>5665</v>
      </c>
      <c r="Z139" s="14" t="s">
        <v>5666</v>
      </c>
      <c r="AA139" s="14" t="b">
        <v>0</v>
      </c>
      <c r="AB139" s="14" t="b">
        <v>1</v>
      </c>
      <c r="AC139" s="14" t="b">
        <v>1</v>
      </c>
    </row>
    <row r="140" spans="1:29">
      <c r="A140" s="14" t="s">
        <v>2443</v>
      </c>
      <c r="B140" s="14" t="s">
        <v>5924</v>
      </c>
      <c r="C140" s="14" t="s">
        <v>246</v>
      </c>
      <c r="D140" s="14" t="s">
        <v>2442</v>
      </c>
      <c r="E140" s="14" t="s">
        <v>36</v>
      </c>
      <c r="F140" s="14" t="s">
        <v>5668</v>
      </c>
      <c r="G140" s="14" t="s">
        <v>1288</v>
      </c>
      <c r="H140" s="15">
        <v>46088.479050925926</v>
      </c>
      <c r="I140" s="14" t="s">
        <v>5725</v>
      </c>
      <c r="J140" s="14">
        <v>90</v>
      </c>
      <c r="K140" s="14" t="s">
        <v>5725</v>
      </c>
      <c r="L140" s="17">
        <v>46298</v>
      </c>
      <c r="M140" s="17"/>
      <c r="N140" s="14" t="s">
        <v>5726</v>
      </c>
      <c r="O140" s="17">
        <v>46288</v>
      </c>
      <c r="P140" s="14"/>
      <c r="Q140" s="18">
        <v>88000</v>
      </c>
      <c r="R140" s="19">
        <v>6.4</v>
      </c>
      <c r="S140" s="18">
        <v>82368</v>
      </c>
      <c r="T140" s="14">
        <v>12</v>
      </c>
      <c r="U140" s="18">
        <v>82368</v>
      </c>
      <c r="V140" s="18">
        <v>20000</v>
      </c>
      <c r="W140" s="19">
        <v>13.4</v>
      </c>
      <c r="X140" s="18">
        <v>17320</v>
      </c>
      <c r="Y140" s="14" t="s">
        <v>5665</v>
      </c>
      <c r="Z140" s="14" t="s">
        <v>5666</v>
      </c>
      <c r="AA140" s="14" t="b">
        <v>0</v>
      </c>
      <c r="AB140" s="14" t="b">
        <v>0</v>
      </c>
      <c r="AC140" s="14" t="b">
        <v>0</v>
      </c>
    </row>
    <row r="141" spans="1:29">
      <c r="A141" s="14" t="s">
        <v>5925</v>
      </c>
      <c r="B141" s="14" t="s">
        <v>5797</v>
      </c>
      <c r="C141" s="14" t="s">
        <v>183</v>
      </c>
      <c r="D141" s="14" t="s">
        <v>2251</v>
      </c>
      <c r="E141" s="14" t="s">
        <v>25</v>
      </c>
      <c r="F141" s="14" t="s">
        <v>5668</v>
      </c>
      <c r="G141" s="14" t="s">
        <v>1317</v>
      </c>
      <c r="H141" s="15">
        <v>46280.875</v>
      </c>
      <c r="I141" s="14" t="s">
        <v>5686</v>
      </c>
      <c r="J141" s="14">
        <v>90</v>
      </c>
      <c r="K141" s="14" t="s">
        <v>5670</v>
      </c>
      <c r="L141" s="17">
        <v>46351</v>
      </c>
      <c r="M141" s="17"/>
      <c r="N141" s="14" t="s">
        <v>5687</v>
      </c>
      <c r="O141" s="17">
        <v>46286</v>
      </c>
      <c r="P141" s="14"/>
      <c r="Q141" s="18">
        <v>16000</v>
      </c>
      <c r="R141" s="19">
        <v>6.1</v>
      </c>
      <c r="S141" s="18">
        <v>15024</v>
      </c>
      <c r="T141" s="14">
        <v>12</v>
      </c>
      <c r="U141" s="18">
        <v>15024</v>
      </c>
      <c r="V141" s="18">
        <v>5000</v>
      </c>
      <c r="W141" s="19">
        <v>4.2</v>
      </c>
      <c r="X141" s="18">
        <v>4790</v>
      </c>
      <c r="Y141" s="14" t="s">
        <v>5665</v>
      </c>
      <c r="Z141" s="14" t="s">
        <v>5666</v>
      </c>
      <c r="AA141" s="14" t="b">
        <v>0</v>
      </c>
      <c r="AB141" s="14" t="b">
        <v>0</v>
      </c>
      <c r="AC141" s="14" t="b">
        <v>0</v>
      </c>
    </row>
    <row r="142" spans="1:29">
      <c r="A142" s="14" t="s">
        <v>1382</v>
      </c>
      <c r="B142" s="14" t="s">
        <v>5926</v>
      </c>
      <c r="C142" s="14" t="s">
        <v>230</v>
      </c>
      <c r="D142" s="14" t="s">
        <v>1381</v>
      </c>
      <c r="E142" s="14" t="s">
        <v>91</v>
      </c>
      <c r="F142" s="14" t="s">
        <v>5668</v>
      </c>
      <c r="G142" s="14" t="s">
        <v>1288</v>
      </c>
      <c r="H142" s="15">
        <v>46172.246030092596</v>
      </c>
      <c r="I142" s="14" t="s">
        <v>5681</v>
      </c>
      <c r="J142" s="14">
        <v>25</v>
      </c>
      <c r="K142" s="14" t="s">
        <v>5670</v>
      </c>
      <c r="L142" s="17">
        <v>46362</v>
      </c>
      <c r="M142" s="17"/>
      <c r="N142" s="14" t="s">
        <v>5682</v>
      </c>
      <c r="O142" s="17">
        <v>46289</v>
      </c>
      <c r="P142" s="14"/>
      <c r="Q142" s="18">
        <v>34000</v>
      </c>
      <c r="R142" s="19">
        <v>7.9</v>
      </c>
      <c r="S142" s="18">
        <v>31314</v>
      </c>
      <c r="T142" s="14">
        <v>12</v>
      </c>
      <c r="U142" s="18">
        <v>31314</v>
      </c>
      <c r="V142" s="18">
        <v>5000</v>
      </c>
      <c r="W142" s="19">
        <v>8</v>
      </c>
      <c r="X142" s="18">
        <v>4600</v>
      </c>
      <c r="Y142" s="14" t="s">
        <v>5665</v>
      </c>
      <c r="Z142" s="14" t="s">
        <v>5666</v>
      </c>
      <c r="AA142" s="14" t="b">
        <v>0</v>
      </c>
      <c r="AB142" s="14" t="b">
        <v>0</v>
      </c>
      <c r="AC142" s="14" t="b">
        <v>0</v>
      </c>
    </row>
    <row r="143" spans="1:29">
      <c r="A143" s="14" t="s">
        <v>1561</v>
      </c>
      <c r="B143" s="14" t="s">
        <v>5927</v>
      </c>
      <c r="C143" s="14" t="s">
        <v>382</v>
      </c>
      <c r="D143" s="14" t="s">
        <v>1560</v>
      </c>
      <c r="E143" s="14" t="s">
        <v>18</v>
      </c>
      <c r="F143" s="14" t="s">
        <v>5668</v>
      </c>
      <c r="G143" s="14" t="s">
        <v>1355</v>
      </c>
      <c r="H143" s="15">
        <v>45464.457916666666</v>
      </c>
      <c r="I143" s="14" t="s">
        <v>5675</v>
      </c>
      <c r="J143" s="14">
        <v>0</v>
      </c>
      <c r="K143" s="14" t="s">
        <v>5664</v>
      </c>
      <c r="L143" s="17">
        <v>45504.457916666666</v>
      </c>
      <c r="M143" s="17">
        <v>45518.457916666666</v>
      </c>
      <c r="N143" s="14"/>
      <c r="O143" s="17">
        <v>45516.457916666666</v>
      </c>
      <c r="P143" s="14" t="s">
        <v>5721</v>
      </c>
      <c r="Q143" s="18">
        <v>72000</v>
      </c>
      <c r="R143" s="19">
        <v>6.8</v>
      </c>
      <c r="S143" s="18">
        <v>67104</v>
      </c>
      <c r="T143" s="14">
        <v>12</v>
      </c>
      <c r="U143" s="18">
        <v>67104</v>
      </c>
      <c r="V143" s="18">
        <v>20000</v>
      </c>
      <c r="W143" s="19">
        <v>7.9</v>
      </c>
      <c r="X143" s="18">
        <v>18420</v>
      </c>
      <c r="Y143" s="14" t="s">
        <v>5665</v>
      </c>
      <c r="Z143" s="14" t="s">
        <v>5666</v>
      </c>
      <c r="AA143" s="14" t="b">
        <v>0</v>
      </c>
      <c r="AB143" s="14" t="b">
        <v>0</v>
      </c>
      <c r="AC143" s="14" t="b">
        <v>0</v>
      </c>
    </row>
    <row r="144" spans="1:29">
      <c r="A144" s="14" t="s">
        <v>5928</v>
      </c>
      <c r="B144" s="14" t="s">
        <v>5781</v>
      </c>
      <c r="C144" s="14" t="s">
        <v>360</v>
      </c>
      <c r="D144" s="14" t="s">
        <v>2372</v>
      </c>
      <c r="E144" s="14" t="s">
        <v>59</v>
      </c>
      <c r="F144" s="14" t="s">
        <v>5668</v>
      </c>
      <c r="G144" s="14" t="s">
        <v>1413</v>
      </c>
      <c r="H144" s="15">
        <v>45781.626736111109</v>
      </c>
      <c r="I144" s="14" t="s">
        <v>5663</v>
      </c>
      <c r="J144" s="14">
        <v>100</v>
      </c>
      <c r="K144" s="14" t="s">
        <v>5664</v>
      </c>
      <c r="L144" s="17">
        <v>45817.626736111109</v>
      </c>
      <c r="M144" s="17">
        <v>45817.626736111109</v>
      </c>
      <c r="N144" s="14"/>
      <c r="O144" s="17">
        <v>45814.626736111109</v>
      </c>
      <c r="P144" s="14"/>
      <c r="Q144" s="18">
        <v>30000</v>
      </c>
      <c r="R144" s="19">
        <v>4.5</v>
      </c>
      <c r="S144" s="18">
        <v>28650</v>
      </c>
      <c r="T144" s="14">
        <v>36</v>
      </c>
      <c r="U144" s="18">
        <v>85950</v>
      </c>
      <c r="V144" s="18">
        <v>5000</v>
      </c>
      <c r="W144" s="19">
        <v>20</v>
      </c>
      <c r="X144" s="18">
        <v>4000</v>
      </c>
      <c r="Y144" s="14" t="s">
        <v>5665</v>
      </c>
      <c r="Z144" s="14" t="s">
        <v>5666</v>
      </c>
      <c r="AA144" s="14" t="b">
        <v>0</v>
      </c>
      <c r="AB144" s="14" t="b">
        <v>0</v>
      </c>
      <c r="AC144" s="14" t="b">
        <v>0</v>
      </c>
    </row>
    <row r="145" spans="1:29">
      <c r="A145" s="14" t="s">
        <v>2114</v>
      </c>
      <c r="B145" s="14" t="s">
        <v>5775</v>
      </c>
      <c r="C145" s="14" t="s">
        <v>918</v>
      </c>
      <c r="D145" s="14" t="s">
        <v>2113</v>
      </c>
      <c r="E145" s="14" t="s">
        <v>36</v>
      </c>
      <c r="F145" s="14" t="s">
        <v>5668</v>
      </c>
      <c r="G145" s="14" t="s">
        <v>1413</v>
      </c>
      <c r="H145" s="15">
        <v>44819.677152777775</v>
      </c>
      <c r="I145" s="14" t="s">
        <v>5663</v>
      </c>
      <c r="J145" s="14">
        <v>100</v>
      </c>
      <c r="K145" s="14" t="s">
        <v>5664</v>
      </c>
      <c r="L145" s="17">
        <v>44901.677152777775</v>
      </c>
      <c r="M145" s="17">
        <v>44901.677152777775</v>
      </c>
      <c r="N145" s="14"/>
      <c r="O145" s="17">
        <v>44898.677152777775</v>
      </c>
      <c r="P145" s="14"/>
      <c r="Q145" s="18">
        <v>86000</v>
      </c>
      <c r="R145" s="19">
        <v>3</v>
      </c>
      <c r="S145" s="18">
        <v>83420</v>
      </c>
      <c r="T145" s="14">
        <v>12</v>
      </c>
      <c r="U145" s="18">
        <v>83420</v>
      </c>
      <c r="V145" s="18">
        <v>20000</v>
      </c>
      <c r="W145" s="19">
        <v>11.5</v>
      </c>
      <c r="X145" s="18">
        <v>17700</v>
      </c>
      <c r="Y145" s="14" t="s">
        <v>5665</v>
      </c>
      <c r="Z145" s="14" t="s">
        <v>5666</v>
      </c>
      <c r="AA145" s="14" t="b">
        <v>0</v>
      </c>
      <c r="AB145" s="14" t="b">
        <v>0</v>
      </c>
      <c r="AC145" s="14" t="b">
        <v>0</v>
      </c>
    </row>
    <row r="146" spans="1:29">
      <c r="A146" s="14" t="s">
        <v>5929</v>
      </c>
      <c r="B146" s="14" t="s">
        <v>5930</v>
      </c>
      <c r="C146" s="14" t="s">
        <v>453</v>
      </c>
      <c r="D146" s="14" t="s">
        <v>2413</v>
      </c>
      <c r="E146" s="14" t="s">
        <v>59</v>
      </c>
      <c r="F146" s="14" t="s">
        <v>5668</v>
      </c>
      <c r="G146" s="14"/>
      <c r="H146" s="15">
        <v>46272.833333333336</v>
      </c>
      <c r="I146" s="14" t="s">
        <v>5681</v>
      </c>
      <c r="J146" s="14">
        <v>25</v>
      </c>
      <c r="K146" s="14" t="s">
        <v>5670</v>
      </c>
      <c r="L146" s="17">
        <v>46323</v>
      </c>
      <c r="M146" s="17"/>
      <c r="N146" s="14"/>
      <c r="O146" s="17">
        <v>46272</v>
      </c>
      <c r="P146" s="14"/>
      <c r="Q146" s="18">
        <v>36000</v>
      </c>
      <c r="R146" s="19">
        <v>3.8</v>
      </c>
      <c r="S146" s="18">
        <v>34632</v>
      </c>
      <c r="T146" s="14">
        <v>36</v>
      </c>
      <c r="U146" s="18">
        <v>103896</v>
      </c>
      <c r="V146" s="18">
        <v>5000</v>
      </c>
      <c r="W146" s="19">
        <v>7.2</v>
      </c>
      <c r="X146" s="18">
        <v>4640</v>
      </c>
      <c r="Y146" s="14" t="s">
        <v>5665</v>
      </c>
      <c r="Z146" s="14" t="s">
        <v>5693</v>
      </c>
      <c r="AA146" s="14" t="b">
        <v>0</v>
      </c>
      <c r="AB146" s="14" t="b">
        <v>0</v>
      </c>
      <c r="AC146" s="14" t="b">
        <v>1</v>
      </c>
    </row>
    <row r="147" spans="1:29">
      <c r="A147" s="14" t="s">
        <v>2537</v>
      </c>
      <c r="B147" s="14" t="s">
        <v>5931</v>
      </c>
      <c r="C147" s="14" t="s">
        <v>789</v>
      </c>
      <c r="D147" s="14" t="s">
        <v>2536</v>
      </c>
      <c r="E147" s="14" t="s">
        <v>59</v>
      </c>
      <c r="F147" s="14" t="s">
        <v>5668</v>
      </c>
      <c r="G147" s="14" t="s">
        <v>1288</v>
      </c>
      <c r="H147" s="15">
        <v>46001.729641203703</v>
      </c>
      <c r="I147" s="14" t="s">
        <v>5675</v>
      </c>
      <c r="J147" s="14">
        <v>25</v>
      </c>
      <c r="K147" s="14" t="s">
        <v>5664</v>
      </c>
      <c r="L147" s="17">
        <v>46025.729641203703</v>
      </c>
      <c r="M147" s="17">
        <v>46025.729641203703</v>
      </c>
      <c r="N147" s="14"/>
      <c r="O147" s="17">
        <v>46023.729641203703</v>
      </c>
      <c r="P147" s="14" t="s">
        <v>5703</v>
      </c>
      <c r="Q147" s="18">
        <v>32000</v>
      </c>
      <c r="R147" s="19">
        <v>13.8</v>
      </c>
      <c r="S147" s="18">
        <v>27584</v>
      </c>
      <c r="T147" s="14">
        <v>12</v>
      </c>
      <c r="U147" s="18">
        <v>27584</v>
      </c>
      <c r="V147" s="18">
        <v>5000</v>
      </c>
      <c r="W147" s="19">
        <v>4.3</v>
      </c>
      <c r="X147" s="18">
        <v>4785</v>
      </c>
      <c r="Y147" s="14" t="s">
        <v>5665</v>
      </c>
      <c r="Z147" s="14" t="s">
        <v>5666</v>
      </c>
      <c r="AA147" s="14" t="b">
        <v>0</v>
      </c>
      <c r="AB147" s="14" t="b">
        <v>0</v>
      </c>
      <c r="AC147" s="14" t="b">
        <v>1</v>
      </c>
    </row>
    <row r="148" spans="1:29">
      <c r="A148" s="14" t="s">
        <v>5932</v>
      </c>
      <c r="B148" s="14" t="s">
        <v>5933</v>
      </c>
      <c r="C148" s="14" t="s">
        <v>963</v>
      </c>
      <c r="D148" s="14" t="s">
        <v>5934</v>
      </c>
      <c r="E148" s="14" t="s">
        <v>36</v>
      </c>
      <c r="F148" s="14" t="s">
        <v>5668</v>
      </c>
      <c r="G148" s="14" t="s">
        <v>1413</v>
      </c>
      <c r="H148" s="15">
        <v>46282.541666666664</v>
      </c>
      <c r="I148" s="14" t="s">
        <v>5686</v>
      </c>
      <c r="J148" s="14">
        <v>10</v>
      </c>
      <c r="K148" s="14" t="s">
        <v>5670</v>
      </c>
      <c r="L148" s="17">
        <v>46338</v>
      </c>
      <c r="M148" s="17"/>
      <c r="N148" s="14" t="s">
        <v>5687</v>
      </c>
      <c r="O148" s="17">
        <v>46268</v>
      </c>
      <c r="P148" s="14"/>
      <c r="Q148" s="18">
        <v>34000</v>
      </c>
      <c r="R148" s="19">
        <v>4.0999999999999996</v>
      </c>
      <c r="S148" s="18">
        <v>32606</v>
      </c>
      <c r="T148" s="14">
        <v>12</v>
      </c>
      <c r="U148" s="18">
        <v>32606</v>
      </c>
      <c r="V148" s="18">
        <v>10000</v>
      </c>
      <c r="W148" s="19">
        <v>0.8</v>
      </c>
      <c r="X148" s="18">
        <v>9920</v>
      </c>
      <c r="Y148" s="14" t="s">
        <v>5665</v>
      </c>
      <c r="Z148" s="14" t="s">
        <v>5666</v>
      </c>
      <c r="AA148" s="14" t="b">
        <v>0</v>
      </c>
      <c r="AB148" s="14" t="b">
        <v>0</v>
      </c>
      <c r="AC148" s="14" t="b">
        <v>0</v>
      </c>
    </row>
    <row r="149" spans="1:29">
      <c r="A149" s="14" t="s">
        <v>1324</v>
      </c>
      <c r="B149" s="14" t="s">
        <v>5935</v>
      </c>
      <c r="C149" s="14" t="s">
        <v>703</v>
      </c>
      <c r="D149" s="14" t="s">
        <v>1323</v>
      </c>
      <c r="E149" s="14" t="s">
        <v>25</v>
      </c>
      <c r="F149" s="14" t="s">
        <v>5668</v>
      </c>
      <c r="G149" s="14" t="s">
        <v>1288</v>
      </c>
      <c r="H149" s="15">
        <v>45562.728043981479</v>
      </c>
      <c r="I149" s="14" t="s">
        <v>5675</v>
      </c>
      <c r="J149" s="14">
        <v>0</v>
      </c>
      <c r="K149" s="14" t="s">
        <v>5664</v>
      </c>
      <c r="L149" s="17">
        <v>45613.728043981479</v>
      </c>
      <c r="M149" s="17">
        <v>45599.728043981479</v>
      </c>
      <c r="N149" s="14"/>
      <c r="O149" s="17">
        <v>45599.728043981479</v>
      </c>
      <c r="P149" s="14" t="s">
        <v>5721</v>
      </c>
      <c r="Q149" s="18">
        <v>12000</v>
      </c>
      <c r="R149" s="19">
        <v>3.2</v>
      </c>
      <c r="S149" s="18">
        <v>11616</v>
      </c>
      <c r="T149" s="14">
        <v>12</v>
      </c>
      <c r="U149" s="18">
        <v>11616</v>
      </c>
      <c r="V149" s="18">
        <v>5000</v>
      </c>
      <c r="W149" s="19">
        <v>0.2</v>
      </c>
      <c r="X149" s="18">
        <v>4990</v>
      </c>
      <c r="Y149" s="14" t="s">
        <v>5688</v>
      </c>
      <c r="Z149" s="14" t="s">
        <v>5666</v>
      </c>
      <c r="AA149" s="14" t="b">
        <v>0</v>
      </c>
      <c r="AB149" s="14" t="b">
        <v>0</v>
      </c>
      <c r="AC149" s="14" t="b">
        <v>1</v>
      </c>
    </row>
    <row r="150" spans="1:29">
      <c r="A150" s="14" t="s">
        <v>2513</v>
      </c>
      <c r="B150" s="14" t="s">
        <v>5786</v>
      </c>
      <c r="C150" s="14" t="s">
        <v>612</v>
      </c>
      <c r="D150" s="14" t="s">
        <v>2512</v>
      </c>
      <c r="E150" s="14" t="s">
        <v>82</v>
      </c>
      <c r="F150" s="14" t="s">
        <v>5668</v>
      </c>
      <c r="G150" s="14" t="s">
        <v>1288</v>
      </c>
      <c r="H150" s="15">
        <v>46120.377824074072</v>
      </c>
      <c r="I150" s="14" t="s">
        <v>5740</v>
      </c>
      <c r="J150" s="14">
        <v>80</v>
      </c>
      <c r="K150" s="14" t="s">
        <v>5679</v>
      </c>
      <c r="L150" s="17">
        <v>46281</v>
      </c>
      <c r="M150" s="17"/>
      <c r="N150" s="14" t="s">
        <v>5749</v>
      </c>
      <c r="O150" s="17">
        <v>46271</v>
      </c>
      <c r="P150" s="14"/>
      <c r="Q150" s="18">
        <v>60000</v>
      </c>
      <c r="R150" s="19">
        <v>12.7</v>
      </c>
      <c r="S150" s="18">
        <v>52380</v>
      </c>
      <c r="T150" s="14">
        <v>12</v>
      </c>
      <c r="U150" s="18">
        <v>52380</v>
      </c>
      <c r="V150" s="18">
        <v>20000</v>
      </c>
      <c r="W150" s="19">
        <v>1.8</v>
      </c>
      <c r="X150" s="18">
        <v>19640</v>
      </c>
      <c r="Y150" s="14" t="s">
        <v>5665</v>
      </c>
      <c r="Z150" s="14" t="s">
        <v>5693</v>
      </c>
      <c r="AA150" s="14" t="b">
        <v>0</v>
      </c>
      <c r="AB150" s="14" t="b">
        <v>0</v>
      </c>
      <c r="AC150" s="14" t="b">
        <v>1</v>
      </c>
    </row>
    <row r="151" spans="1:29">
      <c r="A151" s="14" t="s">
        <v>1350</v>
      </c>
      <c r="B151" s="14" t="s">
        <v>5936</v>
      </c>
      <c r="C151" s="14" t="s">
        <v>975</v>
      </c>
      <c r="D151" s="14" t="s">
        <v>1349</v>
      </c>
      <c r="E151" s="14" t="s">
        <v>25</v>
      </c>
      <c r="F151" s="14" t="s">
        <v>5668</v>
      </c>
      <c r="G151" s="14" t="s">
        <v>1317</v>
      </c>
      <c r="H151" s="15">
        <v>45705.744942129626</v>
      </c>
      <c r="I151" s="14" t="s">
        <v>5663</v>
      </c>
      <c r="J151" s="14">
        <v>100</v>
      </c>
      <c r="K151" s="14" t="s">
        <v>5664</v>
      </c>
      <c r="L151" s="17">
        <v>45706.744942129626</v>
      </c>
      <c r="M151" s="17">
        <v>45736.744942129626</v>
      </c>
      <c r="N151" s="14"/>
      <c r="O151" s="17">
        <v>45733.744942129626</v>
      </c>
      <c r="P151" s="14"/>
      <c r="Q151" s="18">
        <v>30000</v>
      </c>
      <c r="R151" s="19">
        <v>16.899999999999999</v>
      </c>
      <c r="S151" s="18">
        <v>24930</v>
      </c>
      <c r="T151" s="14">
        <v>12</v>
      </c>
      <c r="U151" s="18">
        <v>24930</v>
      </c>
      <c r="V151" s="18">
        <v>10000</v>
      </c>
      <c r="W151" s="19">
        <v>24</v>
      </c>
      <c r="X151" s="18">
        <v>7600</v>
      </c>
      <c r="Y151" s="14" t="s">
        <v>5665</v>
      </c>
      <c r="Z151" s="14" t="s">
        <v>5666</v>
      </c>
      <c r="AA151" s="14" t="b">
        <v>0</v>
      </c>
      <c r="AB151" s="14" t="b">
        <v>0</v>
      </c>
      <c r="AC151" s="14" t="b">
        <v>1</v>
      </c>
    </row>
    <row r="152" spans="1:29">
      <c r="A152" s="14" t="s">
        <v>5937</v>
      </c>
      <c r="B152" s="14" t="s">
        <v>5763</v>
      </c>
      <c r="C152" s="14" t="s">
        <v>739</v>
      </c>
      <c r="D152" s="14" t="s">
        <v>5938</v>
      </c>
      <c r="E152" s="14" t="s">
        <v>36</v>
      </c>
      <c r="F152" s="14" t="s">
        <v>5668</v>
      </c>
      <c r="G152" s="14" t="s">
        <v>1271</v>
      </c>
      <c r="H152" s="15">
        <v>45949</v>
      </c>
      <c r="I152" s="14" t="s">
        <v>5663</v>
      </c>
      <c r="J152" s="14">
        <v>100</v>
      </c>
      <c r="K152" s="14" t="s">
        <v>5664</v>
      </c>
      <c r="L152" s="17">
        <v>46032</v>
      </c>
      <c r="M152" s="17">
        <v>46062</v>
      </c>
      <c r="N152" s="14"/>
      <c r="O152" s="17">
        <v>46059</v>
      </c>
      <c r="P152" s="14"/>
      <c r="Q152" s="18">
        <v>92000</v>
      </c>
      <c r="R152" s="19">
        <v>1.6</v>
      </c>
      <c r="S152" s="18">
        <v>90528</v>
      </c>
      <c r="T152" s="14">
        <v>12</v>
      </c>
      <c r="U152" s="18">
        <v>90528</v>
      </c>
      <c r="V152" s="18">
        <v>20000</v>
      </c>
      <c r="W152" s="19">
        <v>7.1</v>
      </c>
      <c r="X152" s="18">
        <v>18580</v>
      </c>
      <c r="Y152" s="14" t="s">
        <v>5665</v>
      </c>
      <c r="Z152" s="14" t="s">
        <v>5666</v>
      </c>
      <c r="AA152" s="14" t="b">
        <v>1</v>
      </c>
      <c r="AB152" s="14" t="b">
        <v>0</v>
      </c>
      <c r="AC152" s="14" t="b">
        <v>1</v>
      </c>
    </row>
    <row r="153" spans="1:29">
      <c r="A153" s="14" t="s">
        <v>5939</v>
      </c>
      <c r="B153" s="14" t="s">
        <v>5940</v>
      </c>
      <c r="C153" s="14" t="s">
        <v>906</v>
      </c>
      <c r="D153" s="14" t="s">
        <v>1872</v>
      </c>
      <c r="E153" s="14" t="s">
        <v>82</v>
      </c>
      <c r="F153" s="14" t="s">
        <v>5668</v>
      </c>
      <c r="G153" s="14" t="s">
        <v>1355</v>
      </c>
      <c r="H153" s="15">
        <v>46270.708333333336</v>
      </c>
      <c r="I153" s="14" t="s">
        <v>5681</v>
      </c>
      <c r="J153" s="14">
        <v>25</v>
      </c>
      <c r="K153" s="14" t="s">
        <v>5670</v>
      </c>
      <c r="L153" s="17">
        <v>46344</v>
      </c>
      <c r="M153" s="17"/>
      <c r="N153" s="14" t="s">
        <v>5699</v>
      </c>
      <c r="O153" s="17">
        <v>46270</v>
      </c>
      <c r="P153" s="14"/>
      <c r="Q153" s="18">
        <v>88000</v>
      </c>
      <c r="R153" s="19">
        <v>6.1</v>
      </c>
      <c r="S153" s="18">
        <v>82632</v>
      </c>
      <c r="T153" s="14">
        <v>12</v>
      </c>
      <c r="U153" s="18">
        <v>82632</v>
      </c>
      <c r="V153" s="18">
        <v>20000</v>
      </c>
      <c r="W153" s="19">
        <v>8.3000000000000007</v>
      </c>
      <c r="X153" s="18">
        <v>18340</v>
      </c>
      <c r="Y153" s="14" t="s">
        <v>5665</v>
      </c>
      <c r="Z153" s="14" t="s">
        <v>5666</v>
      </c>
      <c r="AA153" s="14" t="b">
        <v>0</v>
      </c>
      <c r="AB153" s="14" t="b">
        <v>0</v>
      </c>
      <c r="AC153" s="14" t="b">
        <v>0</v>
      </c>
    </row>
    <row r="154" spans="1:29">
      <c r="A154" s="14" t="s">
        <v>5941</v>
      </c>
      <c r="B154" s="14" t="s">
        <v>5942</v>
      </c>
      <c r="C154" s="14" t="s">
        <v>763</v>
      </c>
      <c r="D154" s="14" t="s">
        <v>5943</v>
      </c>
      <c r="E154" s="14" t="s">
        <v>18</v>
      </c>
      <c r="F154" s="14" t="s">
        <v>5662</v>
      </c>
      <c r="G154" s="14" t="s">
        <v>1317</v>
      </c>
      <c r="H154" s="15">
        <v>45404.647118055553</v>
      </c>
      <c r="I154" s="14" t="s">
        <v>5663</v>
      </c>
      <c r="J154" s="14">
        <v>100</v>
      </c>
      <c r="K154" s="14" t="s">
        <v>5664</v>
      </c>
      <c r="L154" s="17">
        <v>45503.647118055553</v>
      </c>
      <c r="M154" s="17">
        <v>45473.647118055553</v>
      </c>
      <c r="N154" s="14"/>
      <c r="O154" s="17">
        <v>45467.647118055553</v>
      </c>
      <c r="P154" s="14"/>
      <c r="Q154" s="18">
        <v>12000</v>
      </c>
      <c r="R154" s="19">
        <v>14</v>
      </c>
      <c r="S154" s="18">
        <v>10320</v>
      </c>
      <c r="T154" s="14">
        <v>12</v>
      </c>
      <c r="U154" s="18">
        <v>10320</v>
      </c>
      <c r="V154" s="18">
        <v>0</v>
      </c>
      <c r="W154" s="19">
        <v>0</v>
      </c>
      <c r="X154" s="18">
        <v>0</v>
      </c>
      <c r="Y154" s="14" t="s">
        <v>5665</v>
      </c>
      <c r="Z154" s="14" t="s">
        <v>5693</v>
      </c>
      <c r="AA154" s="14" t="b">
        <v>0</v>
      </c>
      <c r="AB154" s="14" t="b">
        <v>0</v>
      </c>
      <c r="AC154" s="14" t="b">
        <v>1</v>
      </c>
    </row>
    <row r="155" spans="1:29">
      <c r="A155" s="14" t="s">
        <v>2123</v>
      </c>
      <c r="B155" s="14" t="s">
        <v>5944</v>
      </c>
      <c r="C155" s="14" t="s">
        <v>447</v>
      </c>
      <c r="D155" s="14" t="s">
        <v>2122</v>
      </c>
      <c r="E155" s="14" t="s">
        <v>91</v>
      </c>
      <c r="F155" s="14" t="s">
        <v>5668</v>
      </c>
      <c r="G155" s="14" t="s">
        <v>1271</v>
      </c>
      <c r="H155" s="15">
        <v>44989.610682870371</v>
      </c>
      <c r="I155" s="14" t="s">
        <v>5675</v>
      </c>
      <c r="J155" s="14">
        <v>0</v>
      </c>
      <c r="K155" s="14" t="s">
        <v>5664</v>
      </c>
      <c r="L155" s="17">
        <v>45060.610682870371</v>
      </c>
      <c r="M155" s="17">
        <v>45030.610682870371</v>
      </c>
      <c r="N155" s="14"/>
      <c r="O155" s="17">
        <v>45023.610682870371</v>
      </c>
      <c r="P155" s="14" t="s">
        <v>5783</v>
      </c>
      <c r="Q155" s="18">
        <v>42000</v>
      </c>
      <c r="R155" s="19">
        <v>10.5</v>
      </c>
      <c r="S155" s="18">
        <v>37590</v>
      </c>
      <c r="T155" s="14">
        <v>24</v>
      </c>
      <c r="U155" s="18">
        <v>75180</v>
      </c>
      <c r="V155" s="18">
        <v>10000</v>
      </c>
      <c r="W155" s="19">
        <v>6.8</v>
      </c>
      <c r="X155" s="18">
        <v>9320</v>
      </c>
      <c r="Y155" s="14" t="s">
        <v>5665</v>
      </c>
      <c r="Z155" s="14" t="s">
        <v>5666</v>
      </c>
      <c r="AA155" s="14" t="b">
        <v>0</v>
      </c>
      <c r="AB155" s="14" t="b">
        <v>0</v>
      </c>
      <c r="AC155" s="14" t="b">
        <v>1</v>
      </c>
    </row>
    <row r="156" spans="1:29">
      <c r="A156" s="14" t="s">
        <v>1882</v>
      </c>
      <c r="B156" s="14" t="s">
        <v>5945</v>
      </c>
      <c r="C156" s="14" t="s">
        <v>897</v>
      </c>
      <c r="D156" s="14" t="s">
        <v>1881</v>
      </c>
      <c r="E156" s="14" t="s">
        <v>55</v>
      </c>
      <c r="F156" s="14" t="s">
        <v>5668</v>
      </c>
      <c r="G156" s="14" t="s">
        <v>1295</v>
      </c>
      <c r="H156" s="15">
        <v>45186.356099537035</v>
      </c>
      <c r="I156" s="14" t="s">
        <v>5675</v>
      </c>
      <c r="J156" s="14">
        <v>0</v>
      </c>
      <c r="K156" s="14" t="s">
        <v>5664</v>
      </c>
      <c r="L156" s="17">
        <v>45295.356099537035</v>
      </c>
      <c r="M156" s="17">
        <v>45265.356099537035</v>
      </c>
      <c r="N156" s="14"/>
      <c r="O156" s="17">
        <v>45264.356099537035</v>
      </c>
      <c r="P156" s="14" t="s">
        <v>5783</v>
      </c>
      <c r="Q156" s="18">
        <v>58000</v>
      </c>
      <c r="R156" s="19">
        <v>8</v>
      </c>
      <c r="S156" s="18">
        <v>53360</v>
      </c>
      <c r="T156" s="14">
        <v>24</v>
      </c>
      <c r="U156" s="18">
        <v>106720</v>
      </c>
      <c r="V156" s="18">
        <v>10000</v>
      </c>
      <c r="W156" s="19">
        <v>14.5</v>
      </c>
      <c r="X156" s="18">
        <v>8550</v>
      </c>
      <c r="Y156" s="14" t="s">
        <v>5665</v>
      </c>
      <c r="Z156" s="14" t="s">
        <v>5666</v>
      </c>
      <c r="AA156" s="14" t="b">
        <v>0</v>
      </c>
      <c r="AB156" s="14" t="b">
        <v>0</v>
      </c>
      <c r="AC156" s="14" t="b">
        <v>0</v>
      </c>
    </row>
    <row r="157" spans="1:29">
      <c r="A157" s="14" t="s">
        <v>1375</v>
      </c>
      <c r="B157" s="14" t="s">
        <v>5695</v>
      </c>
      <c r="C157" s="14" t="s">
        <v>363</v>
      </c>
      <c r="D157" s="14" t="s">
        <v>1374</v>
      </c>
      <c r="E157" s="14" t="s">
        <v>18</v>
      </c>
      <c r="F157" s="14" t="s">
        <v>5668</v>
      </c>
      <c r="G157" s="14" t="s">
        <v>1355</v>
      </c>
      <c r="H157" s="15">
        <v>45774.668182870373</v>
      </c>
      <c r="I157" s="14" t="s">
        <v>5675</v>
      </c>
      <c r="J157" s="14">
        <v>0</v>
      </c>
      <c r="K157" s="14" t="s">
        <v>5664</v>
      </c>
      <c r="L157" s="17">
        <v>45873.668182870373</v>
      </c>
      <c r="M157" s="17">
        <v>45873.668182870373</v>
      </c>
      <c r="N157" s="14"/>
      <c r="O157" s="17">
        <v>45872.668182870373</v>
      </c>
      <c r="P157" s="14" t="s">
        <v>5728</v>
      </c>
      <c r="Q157" s="18">
        <v>66000</v>
      </c>
      <c r="R157" s="19">
        <v>17</v>
      </c>
      <c r="S157" s="18">
        <v>54780</v>
      </c>
      <c r="T157" s="14">
        <v>12</v>
      </c>
      <c r="U157" s="18">
        <v>54780</v>
      </c>
      <c r="V157" s="18">
        <v>20000</v>
      </c>
      <c r="W157" s="19">
        <v>7.5</v>
      </c>
      <c r="X157" s="18">
        <v>18500</v>
      </c>
      <c r="Y157" s="14" t="s">
        <v>5665</v>
      </c>
      <c r="Z157" s="14" t="s">
        <v>5666</v>
      </c>
      <c r="AA157" s="14" t="b">
        <v>0</v>
      </c>
      <c r="AB157" s="14" t="b">
        <v>0</v>
      </c>
      <c r="AC157" s="14" t="b">
        <v>1</v>
      </c>
    </row>
    <row r="158" spans="1:29">
      <c r="A158" s="14" t="s">
        <v>2259</v>
      </c>
      <c r="B158" s="14" t="s">
        <v>5946</v>
      </c>
      <c r="C158" s="14" t="s">
        <v>497</v>
      </c>
      <c r="D158" s="14" t="s">
        <v>2258</v>
      </c>
      <c r="E158" s="14" t="s">
        <v>59</v>
      </c>
      <c r="F158" s="14" t="s">
        <v>5668</v>
      </c>
      <c r="G158" s="14" t="s">
        <v>1317</v>
      </c>
      <c r="H158" s="15">
        <v>45633.823298611111</v>
      </c>
      <c r="I158" s="14" t="s">
        <v>5663</v>
      </c>
      <c r="J158" s="14">
        <v>100</v>
      </c>
      <c r="K158" s="14" t="s">
        <v>5664</v>
      </c>
      <c r="L158" s="17">
        <v>45657.823298611111</v>
      </c>
      <c r="M158" s="17">
        <v>45657.823298611111</v>
      </c>
      <c r="N158" s="14"/>
      <c r="O158" s="17">
        <v>45652.823298611111</v>
      </c>
      <c r="P158" s="14"/>
      <c r="Q158" s="18">
        <v>16000</v>
      </c>
      <c r="R158" s="19">
        <v>2.5</v>
      </c>
      <c r="S158" s="18">
        <v>15600</v>
      </c>
      <c r="T158" s="14">
        <v>12</v>
      </c>
      <c r="U158" s="18">
        <v>15600</v>
      </c>
      <c r="V158" s="18">
        <v>5000</v>
      </c>
      <c r="W158" s="19">
        <v>1.4</v>
      </c>
      <c r="X158" s="18">
        <v>4930</v>
      </c>
      <c r="Y158" s="14" t="s">
        <v>5665</v>
      </c>
      <c r="Z158" s="14" t="s">
        <v>5666</v>
      </c>
      <c r="AA158" s="14" t="b">
        <v>0</v>
      </c>
      <c r="AB158" s="14" t="b">
        <v>0</v>
      </c>
      <c r="AC158" s="14" t="b">
        <v>0</v>
      </c>
    </row>
    <row r="159" spans="1:29">
      <c r="A159" s="14" t="s">
        <v>1498</v>
      </c>
      <c r="B159" s="14" t="s">
        <v>5947</v>
      </c>
      <c r="C159" s="14" t="s">
        <v>812</v>
      </c>
      <c r="D159" s="14" t="s">
        <v>1497</v>
      </c>
      <c r="E159" s="14" t="s">
        <v>59</v>
      </c>
      <c r="F159" s="14" t="s">
        <v>5668</v>
      </c>
      <c r="G159" s="14" t="s">
        <v>1281</v>
      </c>
      <c r="H159" s="15">
        <v>44944.90934027778</v>
      </c>
      <c r="I159" s="14" t="s">
        <v>5675</v>
      </c>
      <c r="J159" s="14">
        <v>0</v>
      </c>
      <c r="K159" s="14" t="s">
        <v>5664</v>
      </c>
      <c r="L159" s="17">
        <v>45013.90934027778</v>
      </c>
      <c r="M159" s="17">
        <v>44983.90934027778</v>
      </c>
      <c r="N159" s="14"/>
      <c r="O159" s="17">
        <v>44977.90934027778</v>
      </c>
      <c r="P159" s="14" t="s">
        <v>5721</v>
      </c>
      <c r="Q159" s="18">
        <v>20000</v>
      </c>
      <c r="R159" s="19">
        <v>4.0999999999999996</v>
      </c>
      <c r="S159" s="18">
        <v>19180</v>
      </c>
      <c r="T159" s="14">
        <v>12</v>
      </c>
      <c r="U159" s="18">
        <v>19180</v>
      </c>
      <c r="V159" s="18">
        <v>5000</v>
      </c>
      <c r="W159" s="19">
        <v>19</v>
      </c>
      <c r="X159" s="18">
        <v>4050</v>
      </c>
      <c r="Y159" s="14" t="s">
        <v>5665</v>
      </c>
      <c r="Z159" s="14" t="s">
        <v>5666</v>
      </c>
      <c r="AA159" s="14" t="b">
        <v>0</v>
      </c>
      <c r="AB159" s="14" t="b">
        <v>0</v>
      </c>
      <c r="AC159" s="14" t="b">
        <v>0</v>
      </c>
    </row>
    <row r="160" spans="1:29">
      <c r="A160" s="14" t="s">
        <v>2040</v>
      </c>
      <c r="B160" s="14" t="s">
        <v>5948</v>
      </c>
      <c r="C160" s="14" t="s">
        <v>639</v>
      </c>
      <c r="D160" s="14" t="s">
        <v>2039</v>
      </c>
      <c r="E160" s="14" t="s">
        <v>82</v>
      </c>
      <c r="F160" s="14" t="s">
        <v>5668</v>
      </c>
      <c r="G160" s="14" t="s">
        <v>1288</v>
      </c>
      <c r="H160" s="15">
        <v>45653.947476851848</v>
      </c>
      <c r="I160" s="14" t="s">
        <v>5675</v>
      </c>
      <c r="J160" s="14">
        <v>0</v>
      </c>
      <c r="K160" s="14" t="s">
        <v>5664</v>
      </c>
      <c r="L160" s="17">
        <v>45722.947476851848</v>
      </c>
      <c r="M160" s="17">
        <v>45722.947476851848</v>
      </c>
      <c r="N160" s="14"/>
      <c r="O160" s="17">
        <v>45715.947476851848</v>
      </c>
      <c r="P160" s="14" t="s">
        <v>5703</v>
      </c>
      <c r="Q160" s="18">
        <v>68000</v>
      </c>
      <c r="R160" s="19">
        <v>2.8</v>
      </c>
      <c r="S160" s="18">
        <v>66096</v>
      </c>
      <c r="T160" s="14">
        <v>12</v>
      </c>
      <c r="U160" s="18">
        <v>66096</v>
      </c>
      <c r="V160" s="18">
        <v>20000</v>
      </c>
      <c r="W160" s="19">
        <v>4.0999999999999996</v>
      </c>
      <c r="X160" s="18">
        <v>19180</v>
      </c>
      <c r="Y160" s="14" t="s">
        <v>5677</v>
      </c>
      <c r="Z160" s="14" t="s">
        <v>5666</v>
      </c>
      <c r="AA160" s="14" t="b">
        <v>0</v>
      </c>
      <c r="AB160" s="14" t="b">
        <v>0</v>
      </c>
      <c r="AC160" s="14" t="b">
        <v>1</v>
      </c>
    </row>
    <row r="161" spans="1:29">
      <c r="A161" s="14" t="s">
        <v>1728</v>
      </c>
      <c r="B161" s="14" t="s">
        <v>5949</v>
      </c>
      <c r="C161" s="14" t="s">
        <v>31</v>
      </c>
      <c r="D161" s="14" t="s">
        <v>1727</v>
      </c>
      <c r="E161" s="14" t="s">
        <v>36</v>
      </c>
      <c r="F161" s="14" t="s">
        <v>5668</v>
      </c>
      <c r="G161" s="14" t="s">
        <v>1295</v>
      </c>
      <c r="H161" s="15">
        <v>46245.865879629629</v>
      </c>
      <c r="I161" s="14" t="s">
        <v>5669</v>
      </c>
      <c r="J161" s="14">
        <v>60</v>
      </c>
      <c r="K161" s="14" t="s">
        <v>5679</v>
      </c>
      <c r="L161" s="17">
        <v>46280</v>
      </c>
      <c r="M161" s="17"/>
      <c r="N161" s="14" t="s">
        <v>5850</v>
      </c>
      <c r="O161" s="17">
        <v>46282</v>
      </c>
      <c r="P161" s="14"/>
      <c r="Q161" s="18">
        <v>30000</v>
      </c>
      <c r="R161" s="19">
        <v>22.9</v>
      </c>
      <c r="S161" s="18">
        <v>23130</v>
      </c>
      <c r="T161" s="14">
        <v>12</v>
      </c>
      <c r="U161" s="18">
        <v>23130</v>
      </c>
      <c r="V161" s="18">
        <v>10000</v>
      </c>
      <c r="W161" s="19">
        <v>8.1</v>
      </c>
      <c r="X161" s="18">
        <v>9190</v>
      </c>
      <c r="Y161" s="14" t="s">
        <v>5665</v>
      </c>
      <c r="Z161" s="14" t="s">
        <v>5666</v>
      </c>
      <c r="AA161" s="14" t="b">
        <v>0</v>
      </c>
      <c r="AB161" s="14" t="b">
        <v>0</v>
      </c>
      <c r="AC161" s="14" t="b">
        <v>1</v>
      </c>
    </row>
    <row r="162" spans="1:29">
      <c r="A162" s="14" t="s">
        <v>2130</v>
      </c>
      <c r="B162" s="14" t="s">
        <v>5950</v>
      </c>
      <c r="C162" s="14" t="s">
        <v>151</v>
      </c>
      <c r="D162" s="14" t="s">
        <v>2129</v>
      </c>
      <c r="E162" s="14" t="s">
        <v>25</v>
      </c>
      <c r="F162" s="14" t="s">
        <v>5668</v>
      </c>
      <c r="G162" s="14" t="s">
        <v>1288</v>
      </c>
      <c r="H162" s="15">
        <v>45495.050694444442</v>
      </c>
      <c r="I162" s="14" t="s">
        <v>5675</v>
      </c>
      <c r="J162" s="14">
        <v>0</v>
      </c>
      <c r="K162" s="14" t="s">
        <v>5664</v>
      </c>
      <c r="L162" s="17">
        <v>45516.050694444442</v>
      </c>
      <c r="M162" s="17">
        <v>45530.050694444442</v>
      </c>
      <c r="N162" s="14"/>
      <c r="O162" s="17">
        <v>45525.050694444442</v>
      </c>
      <c r="P162" s="14" t="s">
        <v>5702</v>
      </c>
      <c r="Q162" s="18">
        <v>36000</v>
      </c>
      <c r="R162" s="19">
        <v>8.4</v>
      </c>
      <c r="S162" s="18">
        <v>32976</v>
      </c>
      <c r="T162" s="14">
        <v>12</v>
      </c>
      <c r="U162" s="18">
        <v>32976</v>
      </c>
      <c r="V162" s="18">
        <v>10000</v>
      </c>
      <c r="W162" s="19">
        <v>23</v>
      </c>
      <c r="X162" s="18">
        <v>7700</v>
      </c>
      <c r="Y162" s="14" t="s">
        <v>5665</v>
      </c>
      <c r="Z162" s="14" t="s">
        <v>5666</v>
      </c>
      <c r="AA162" s="14" t="b">
        <v>0</v>
      </c>
      <c r="AB162" s="14" t="b">
        <v>0</v>
      </c>
      <c r="AC162" s="14" t="b">
        <v>1</v>
      </c>
    </row>
    <row r="163" spans="1:29">
      <c r="A163" s="14" t="s">
        <v>5951</v>
      </c>
      <c r="B163" s="14" t="s">
        <v>5848</v>
      </c>
      <c r="C163" s="14" t="s">
        <v>777</v>
      </c>
      <c r="D163" s="14" t="s">
        <v>2431</v>
      </c>
      <c r="E163" s="14" t="s">
        <v>25</v>
      </c>
      <c r="F163" s="14" t="s">
        <v>5668</v>
      </c>
      <c r="G163" s="14" t="s">
        <v>1295</v>
      </c>
      <c r="H163" s="15">
        <v>46222.833333333336</v>
      </c>
      <c r="I163" s="14" t="s">
        <v>5669</v>
      </c>
      <c r="J163" s="14">
        <v>60</v>
      </c>
      <c r="K163" s="14" t="s">
        <v>5679</v>
      </c>
      <c r="L163" s="17">
        <v>46327</v>
      </c>
      <c r="M163" s="17"/>
      <c r="N163" s="14" t="s">
        <v>5774</v>
      </c>
      <c r="O163" s="17">
        <v>46257</v>
      </c>
      <c r="P163" s="14"/>
      <c r="Q163" s="18">
        <v>30000</v>
      </c>
      <c r="R163" s="19">
        <v>7.3</v>
      </c>
      <c r="S163" s="18">
        <v>27810</v>
      </c>
      <c r="T163" s="14">
        <v>12</v>
      </c>
      <c r="U163" s="18">
        <v>27810</v>
      </c>
      <c r="V163" s="18">
        <v>5000</v>
      </c>
      <c r="W163" s="19">
        <v>5.4</v>
      </c>
      <c r="X163" s="18">
        <v>4730</v>
      </c>
      <c r="Y163" s="14" t="s">
        <v>5665</v>
      </c>
      <c r="Z163" s="14" t="s">
        <v>5780</v>
      </c>
      <c r="AA163" s="14" t="b">
        <v>0</v>
      </c>
      <c r="AB163" s="14" t="b">
        <v>0</v>
      </c>
      <c r="AC163" s="14" t="b">
        <v>1</v>
      </c>
    </row>
    <row r="164" spans="1:29">
      <c r="A164" s="14" t="s">
        <v>5952</v>
      </c>
      <c r="B164" s="14" t="s">
        <v>5953</v>
      </c>
      <c r="C164" s="14" t="s">
        <v>1016</v>
      </c>
      <c r="D164" s="14" t="s">
        <v>5954</v>
      </c>
      <c r="E164" s="14" t="s">
        <v>36</v>
      </c>
      <c r="F164" s="14" t="s">
        <v>5668</v>
      </c>
      <c r="G164" s="14" t="s">
        <v>1355</v>
      </c>
      <c r="H164" s="15">
        <v>46285.458333333336</v>
      </c>
      <c r="I164" s="14" t="s">
        <v>5686</v>
      </c>
      <c r="J164" s="14">
        <v>10</v>
      </c>
      <c r="K164" s="14" t="s">
        <v>5670</v>
      </c>
      <c r="L164" s="17">
        <v>46269</v>
      </c>
      <c r="M164" s="17"/>
      <c r="N164" s="14" t="s">
        <v>5862</v>
      </c>
      <c r="O164" s="17">
        <v>46283</v>
      </c>
      <c r="P164" s="14"/>
      <c r="Q164" s="18">
        <v>54000</v>
      </c>
      <c r="R164" s="19">
        <v>3.6</v>
      </c>
      <c r="S164" s="18">
        <v>52056</v>
      </c>
      <c r="T164" s="14">
        <v>12</v>
      </c>
      <c r="U164" s="18">
        <v>52056</v>
      </c>
      <c r="V164" s="18">
        <v>10000</v>
      </c>
      <c r="W164" s="19">
        <v>2.2999999999999998</v>
      </c>
      <c r="X164" s="18">
        <v>9770</v>
      </c>
      <c r="Y164" s="14" t="s">
        <v>5665</v>
      </c>
      <c r="Z164" s="14" t="s">
        <v>5666</v>
      </c>
      <c r="AA164" s="14" t="b">
        <v>0</v>
      </c>
      <c r="AB164" s="14" t="b">
        <v>0</v>
      </c>
      <c r="AC164" s="14" t="b">
        <v>0</v>
      </c>
    </row>
    <row r="165" spans="1:29">
      <c r="A165" s="14" t="s">
        <v>5955</v>
      </c>
      <c r="B165" s="14" t="s">
        <v>5814</v>
      </c>
      <c r="C165" s="14" t="s">
        <v>873</v>
      </c>
      <c r="D165" s="14" t="s">
        <v>5815</v>
      </c>
      <c r="E165" s="14" t="s">
        <v>69</v>
      </c>
      <c r="F165" s="14" t="s">
        <v>5668</v>
      </c>
      <c r="G165" s="14" t="s">
        <v>1288</v>
      </c>
      <c r="H165" s="15">
        <v>46095.60974537037</v>
      </c>
      <c r="I165" s="14" t="s">
        <v>5663</v>
      </c>
      <c r="J165" s="14">
        <v>100</v>
      </c>
      <c r="K165" s="14" t="s">
        <v>5664</v>
      </c>
      <c r="L165" s="17">
        <v>46128.60974537037</v>
      </c>
      <c r="M165" s="17">
        <v>46135.60974537037</v>
      </c>
      <c r="N165" s="14"/>
      <c r="O165" s="17">
        <v>46135.60974537037</v>
      </c>
      <c r="P165" s="14"/>
      <c r="Q165" s="18">
        <v>12000</v>
      </c>
      <c r="R165" s="19">
        <v>6.2</v>
      </c>
      <c r="S165" s="18">
        <v>11256</v>
      </c>
      <c r="T165" s="14">
        <v>12</v>
      </c>
      <c r="U165" s="18">
        <v>11256</v>
      </c>
      <c r="V165" s="18">
        <v>5000</v>
      </c>
      <c r="W165" s="19">
        <v>3.2</v>
      </c>
      <c r="X165" s="18">
        <v>4840</v>
      </c>
      <c r="Y165" s="14" t="s">
        <v>5735</v>
      </c>
      <c r="Z165" s="14" t="s">
        <v>5666</v>
      </c>
      <c r="AA165" s="14" t="b">
        <v>0</v>
      </c>
      <c r="AB165" s="14" t="b">
        <v>0</v>
      </c>
      <c r="AC165" s="14" t="b">
        <v>1</v>
      </c>
    </row>
    <row r="166" spans="1:29">
      <c r="A166" s="14" t="s">
        <v>2576</v>
      </c>
      <c r="B166" s="14" t="s">
        <v>5956</v>
      </c>
      <c r="C166" s="14" t="s">
        <v>548</v>
      </c>
      <c r="D166" s="14" t="s">
        <v>2575</v>
      </c>
      <c r="E166" s="14" t="s">
        <v>36</v>
      </c>
      <c r="F166" s="14" t="s">
        <v>5668</v>
      </c>
      <c r="G166" s="14" t="s">
        <v>1355</v>
      </c>
      <c r="H166" s="15">
        <v>46224.832511574074</v>
      </c>
      <c r="I166" s="14" t="s">
        <v>5725</v>
      </c>
      <c r="J166" s="14">
        <v>10</v>
      </c>
      <c r="K166" s="14" t="s">
        <v>5725</v>
      </c>
      <c r="L166" s="17">
        <v>46298</v>
      </c>
      <c r="M166" s="17"/>
      <c r="N166" s="14" t="s">
        <v>5777</v>
      </c>
      <c r="O166" s="17">
        <v>46269</v>
      </c>
      <c r="P166" s="14"/>
      <c r="Q166" s="18">
        <v>46000</v>
      </c>
      <c r="R166" s="19">
        <v>5.9</v>
      </c>
      <c r="S166" s="18">
        <v>43286</v>
      </c>
      <c r="T166" s="14">
        <v>24</v>
      </c>
      <c r="U166" s="18">
        <v>86572</v>
      </c>
      <c r="V166" s="18">
        <v>10000</v>
      </c>
      <c r="W166" s="19">
        <v>8.1</v>
      </c>
      <c r="X166" s="18">
        <v>9190</v>
      </c>
      <c r="Y166" s="14" t="s">
        <v>5665</v>
      </c>
      <c r="Z166" s="14" t="s">
        <v>5666</v>
      </c>
      <c r="AA166" s="14" t="b">
        <v>0</v>
      </c>
      <c r="AB166" s="14" t="b">
        <v>0</v>
      </c>
      <c r="AC166" s="14" t="b">
        <v>0</v>
      </c>
    </row>
    <row r="167" spans="1:29">
      <c r="A167" s="14" t="s">
        <v>2428</v>
      </c>
      <c r="B167" s="14" t="s">
        <v>5957</v>
      </c>
      <c r="C167" s="14" t="s">
        <v>694</v>
      </c>
      <c r="D167" s="14" t="s">
        <v>2427</v>
      </c>
      <c r="E167" s="14" t="s">
        <v>18</v>
      </c>
      <c r="F167" s="14" t="s">
        <v>5668</v>
      </c>
      <c r="G167" s="14" t="s">
        <v>1413</v>
      </c>
      <c r="H167" s="15">
        <v>45377.093530092592</v>
      </c>
      <c r="I167" s="14" t="s">
        <v>5675</v>
      </c>
      <c r="J167" s="14">
        <v>0</v>
      </c>
      <c r="K167" s="14" t="s">
        <v>5664</v>
      </c>
      <c r="L167" s="17">
        <v>45479.093530092592</v>
      </c>
      <c r="M167" s="17">
        <v>45472.093530092592</v>
      </c>
      <c r="N167" s="14"/>
      <c r="O167" s="17">
        <v>45466.093530092592</v>
      </c>
      <c r="P167" s="14" t="s">
        <v>5783</v>
      </c>
      <c r="Q167" s="18">
        <v>50000</v>
      </c>
      <c r="R167" s="19">
        <v>5.6</v>
      </c>
      <c r="S167" s="18">
        <v>47200</v>
      </c>
      <c r="T167" s="14">
        <v>12</v>
      </c>
      <c r="U167" s="18">
        <v>47200</v>
      </c>
      <c r="V167" s="18">
        <v>10000</v>
      </c>
      <c r="W167" s="19">
        <v>3.4</v>
      </c>
      <c r="X167" s="18">
        <v>9660</v>
      </c>
      <c r="Y167" s="14" t="s">
        <v>5735</v>
      </c>
      <c r="Z167" s="14" t="s">
        <v>5666</v>
      </c>
      <c r="AA167" s="14" t="b">
        <v>0</v>
      </c>
      <c r="AB167" s="14" t="b">
        <v>0</v>
      </c>
      <c r="AC167" s="14" t="b">
        <v>1</v>
      </c>
    </row>
    <row r="168" spans="1:29">
      <c r="A168" s="14" t="s">
        <v>5958</v>
      </c>
      <c r="B168" s="14" t="s">
        <v>5959</v>
      </c>
      <c r="C168" s="14" t="s">
        <v>921</v>
      </c>
      <c r="D168" s="14" t="s">
        <v>5960</v>
      </c>
      <c r="E168" s="14" t="s">
        <v>59</v>
      </c>
      <c r="F168" s="14" t="s">
        <v>5668</v>
      </c>
      <c r="G168" s="14" t="s">
        <v>1295</v>
      </c>
      <c r="H168" s="15">
        <v>45636</v>
      </c>
      <c r="I168" s="14" t="s">
        <v>5663</v>
      </c>
      <c r="J168" s="14">
        <v>100</v>
      </c>
      <c r="K168" s="14" t="s">
        <v>5664</v>
      </c>
      <c r="L168" s="17">
        <v>45705</v>
      </c>
      <c r="M168" s="17">
        <v>45675</v>
      </c>
      <c r="N168" s="14"/>
      <c r="O168" s="17">
        <v>45675</v>
      </c>
      <c r="P168" s="14"/>
      <c r="Q168" s="18">
        <v>16000</v>
      </c>
      <c r="R168" s="19">
        <v>19</v>
      </c>
      <c r="S168" s="18">
        <v>12960</v>
      </c>
      <c r="T168" s="14">
        <v>24</v>
      </c>
      <c r="U168" s="18">
        <v>25920</v>
      </c>
      <c r="V168" s="18">
        <v>5000</v>
      </c>
      <c r="W168" s="19">
        <v>15.1</v>
      </c>
      <c r="X168" s="18">
        <v>4245</v>
      </c>
      <c r="Y168" s="14" t="s">
        <v>5665</v>
      </c>
      <c r="Z168" s="14" t="s">
        <v>5666</v>
      </c>
      <c r="AA168" s="14" t="b">
        <v>0</v>
      </c>
      <c r="AB168" s="14" t="b">
        <v>0</v>
      </c>
      <c r="AC168" s="14" t="b">
        <v>1</v>
      </c>
    </row>
    <row r="169" spans="1:29">
      <c r="A169" s="14" t="s">
        <v>5961</v>
      </c>
      <c r="B169" s="14" t="s">
        <v>5962</v>
      </c>
      <c r="C169" s="14" t="s">
        <v>60</v>
      </c>
      <c r="D169" s="14" t="s">
        <v>5963</v>
      </c>
      <c r="E169" s="14" t="s">
        <v>55</v>
      </c>
      <c r="F169" s="14" t="s">
        <v>5668</v>
      </c>
      <c r="G169" s="14" t="s">
        <v>1295</v>
      </c>
      <c r="H169" s="15">
        <v>46238.708333333336</v>
      </c>
      <c r="I169" s="14" t="s">
        <v>5691</v>
      </c>
      <c r="J169" s="14">
        <v>40</v>
      </c>
      <c r="K169" s="14" t="s">
        <v>5670</v>
      </c>
      <c r="L169" s="17">
        <v>46313</v>
      </c>
      <c r="M169" s="17"/>
      <c r="N169" s="14" t="s">
        <v>5801</v>
      </c>
      <c r="O169" s="17">
        <v>46275</v>
      </c>
      <c r="P169" s="14"/>
      <c r="Q169" s="18">
        <v>98000</v>
      </c>
      <c r="R169" s="19">
        <v>9.9</v>
      </c>
      <c r="S169" s="18">
        <v>88298</v>
      </c>
      <c r="T169" s="14">
        <v>12</v>
      </c>
      <c r="U169" s="18">
        <v>88298</v>
      </c>
      <c r="V169" s="18">
        <v>20000</v>
      </c>
      <c r="W169" s="19">
        <v>8.5</v>
      </c>
      <c r="X169" s="18">
        <v>18300</v>
      </c>
      <c r="Y169" s="14" t="s">
        <v>5665</v>
      </c>
      <c r="Z169" s="14" t="s">
        <v>5666</v>
      </c>
      <c r="AA169" s="14" t="b">
        <v>0</v>
      </c>
      <c r="AB169" s="14" t="b">
        <v>0</v>
      </c>
      <c r="AC169" s="14" t="b">
        <v>0</v>
      </c>
    </row>
    <row r="170" spans="1:29">
      <c r="A170" s="14" t="s">
        <v>2313</v>
      </c>
      <c r="B170" s="14" t="s">
        <v>5920</v>
      </c>
      <c r="C170" s="14" t="s">
        <v>945</v>
      </c>
      <c r="D170" s="14" t="s">
        <v>2312</v>
      </c>
      <c r="E170" s="14" t="s">
        <v>82</v>
      </c>
      <c r="F170" s="14" t="s">
        <v>5668</v>
      </c>
      <c r="G170" s="14" t="s">
        <v>1355</v>
      </c>
      <c r="H170" s="15">
        <v>45047.170555555553</v>
      </c>
      <c r="I170" s="14" t="s">
        <v>5663</v>
      </c>
      <c r="J170" s="14">
        <v>100</v>
      </c>
      <c r="K170" s="14" t="s">
        <v>5664</v>
      </c>
      <c r="L170" s="17">
        <v>45092.170555555553</v>
      </c>
      <c r="M170" s="17">
        <v>45092.170555555553</v>
      </c>
      <c r="N170" s="14"/>
      <c r="O170" s="17">
        <v>45086.170555555553</v>
      </c>
      <c r="P170" s="14"/>
      <c r="Q170" s="18">
        <v>72000</v>
      </c>
      <c r="R170" s="19">
        <v>6.6</v>
      </c>
      <c r="S170" s="18">
        <v>67248</v>
      </c>
      <c r="T170" s="14">
        <v>12</v>
      </c>
      <c r="U170" s="18">
        <v>67248</v>
      </c>
      <c r="V170" s="18">
        <v>20000</v>
      </c>
      <c r="W170" s="19">
        <v>0.2</v>
      </c>
      <c r="X170" s="18">
        <v>19960</v>
      </c>
      <c r="Y170" s="14" t="s">
        <v>5665</v>
      </c>
      <c r="Z170" s="14" t="s">
        <v>5666</v>
      </c>
      <c r="AA170" s="14" t="b">
        <v>0</v>
      </c>
      <c r="AB170" s="14" t="b">
        <v>0</v>
      </c>
      <c r="AC170" s="14" t="b">
        <v>0</v>
      </c>
    </row>
    <row r="171" spans="1:29">
      <c r="A171" s="14" t="s">
        <v>1678</v>
      </c>
      <c r="B171" s="14" t="s">
        <v>5964</v>
      </c>
      <c r="C171" s="14" t="s">
        <v>870</v>
      </c>
      <c r="D171" s="14" t="s">
        <v>1677</v>
      </c>
      <c r="E171" s="14" t="s">
        <v>91</v>
      </c>
      <c r="F171" s="14" t="s">
        <v>5668</v>
      </c>
      <c r="G171" s="14" t="s">
        <v>1355</v>
      </c>
      <c r="H171" s="15">
        <v>45941.957280092596</v>
      </c>
      <c r="I171" s="14" t="s">
        <v>5675</v>
      </c>
      <c r="J171" s="14">
        <v>0</v>
      </c>
      <c r="K171" s="14" t="s">
        <v>5664</v>
      </c>
      <c r="L171" s="17">
        <v>45996.957280092596</v>
      </c>
      <c r="M171" s="17">
        <v>45982.957280092596</v>
      </c>
      <c r="N171" s="14"/>
      <c r="O171" s="17">
        <v>45977.957280092596</v>
      </c>
      <c r="P171" s="14" t="s">
        <v>5721</v>
      </c>
      <c r="Q171" s="18">
        <v>42000</v>
      </c>
      <c r="R171" s="19">
        <v>12.7</v>
      </c>
      <c r="S171" s="18">
        <v>36666</v>
      </c>
      <c r="T171" s="14">
        <v>24</v>
      </c>
      <c r="U171" s="18">
        <v>73332</v>
      </c>
      <c r="V171" s="18">
        <v>10000</v>
      </c>
      <c r="W171" s="19">
        <v>1.6</v>
      </c>
      <c r="X171" s="18">
        <v>9840</v>
      </c>
      <c r="Y171" s="14" t="s">
        <v>5688</v>
      </c>
      <c r="Z171" s="14" t="s">
        <v>5666</v>
      </c>
      <c r="AA171" s="14" t="b">
        <v>0</v>
      </c>
      <c r="AB171" s="14" t="b">
        <v>0</v>
      </c>
      <c r="AC171" s="14" t="b">
        <v>1</v>
      </c>
    </row>
    <row r="172" spans="1:29">
      <c r="A172" s="14" t="s">
        <v>1669</v>
      </c>
      <c r="B172" s="14" t="s">
        <v>5965</v>
      </c>
      <c r="C172" s="14" t="s">
        <v>995</v>
      </c>
      <c r="D172" s="14" t="s">
        <v>1668</v>
      </c>
      <c r="E172" s="14" t="s">
        <v>82</v>
      </c>
      <c r="F172" s="14" t="s">
        <v>5668</v>
      </c>
      <c r="G172" s="14" t="s">
        <v>1271</v>
      </c>
      <c r="H172" s="15">
        <v>45157.689687500002</v>
      </c>
      <c r="I172" s="14" t="s">
        <v>5675</v>
      </c>
      <c r="J172" s="14">
        <v>0</v>
      </c>
      <c r="K172" s="14" t="s">
        <v>5664</v>
      </c>
      <c r="L172" s="17">
        <v>45265.689687500002</v>
      </c>
      <c r="M172" s="17">
        <v>45251.689687500002</v>
      </c>
      <c r="N172" s="14"/>
      <c r="O172" s="17">
        <v>45249.689687500002</v>
      </c>
      <c r="P172" s="14" t="s">
        <v>5721</v>
      </c>
      <c r="Q172" s="18">
        <v>88000</v>
      </c>
      <c r="R172" s="19">
        <v>2</v>
      </c>
      <c r="S172" s="18">
        <v>86240</v>
      </c>
      <c r="T172" s="14">
        <v>24</v>
      </c>
      <c r="U172" s="18">
        <v>172480</v>
      </c>
      <c r="V172" s="18">
        <v>20000</v>
      </c>
      <c r="W172" s="19">
        <v>2.2999999999999998</v>
      </c>
      <c r="X172" s="18">
        <v>19540</v>
      </c>
      <c r="Y172" s="14" t="s">
        <v>5665</v>
      </c>
      <c r="Z172" s="14" t="s">
        <v>5666</v>
      </c>
      <c r="AA172" s="14" t="b">
        <v>0</v>
      </c>
      <c r="AB172" s="14" t="b">
        <v>0</v>
      </c>
      <c r="AC172" s="14" t="b">
        <v>0</v>
      </c>
    </row>
    <row r="173" spans="1:29">
      <c r="A173" s="14" t="s">
        <v>5966</v>
      </c>
      <c r="B173" s="14" t="s">
        <v>5705</v>
      </c>
      <c r="C173" s="14" t="s">
        <v>279</v>
      </c>
      <c r="D173" s="14" t="s">
        <v>5967</v>
      </c>
      <c r="E173" s="14" t="s">
        <v>25</v>
      </c>
      <c r="F173" s="14" t="s">
        <v>5668</v>
      </c>
      <c r="G173" s="14" t="s">
        <v>1355</v>
      </c>
      <c r="H173" s="15">
        <v>46062</v>
      </c>
      <c r="I173" s="14" t="s">
        <v>5663</v>
      </c>
      <c r="J173" s="14">
        <v>100</v>
      </c>
      <c r="K173" s="14" t="s">
        <v>5664</v>
      </c>
      <c r="L173" s="17">
        <v>46100</v>
      </c>
      <c r="M173" s="17">
        <v>46100</v>
      </c>
      <c r="N173" s="14"/>
      <c r="O173" s="17">
        <v>46094</v>
      </c>
      <c r="P173" s="14"/>
      <c r="Q173" s="18">
        <v>20000</v>
      </c>
      <c r="R173" s="19">
        <v>6.7</v>
      </c>
      <c r="S173" s="18">
        <v>18660</v>
      </c>
      <c r="T173" s="14">
        <v>36</v>
      </c>
      <c r="U173" s="18">
        <v>55980</v>
      </c>
      <c r="V173" s="18">
        <v>5000</v>
      </c>
      <c r="W173" s="19">
        <v>6.1</v>
      </c>
      <c r="X173" s="18">
        <v>4695</v>
      </c>
      <c r="Y173" s="14" t="s">
        <v>5665</v>
      </c>
      <c r="Z173" s="14" t="s">
        <v>5666</v>
      </c>
      <c r="AA173" s="14" t="b">
        <v>0</v>
      </c>
      <c r="AB173" s="14" t="b">
        <v>0</v>
      </c>
      <c r="AC173" s="14" t="b">
        <v>0</v>
      </c>
    </row>
    <row r="174" spans="1:29">
      <c r="A174" s="14" t="s">
        <v>2056</v>
      </c>
      <c r="B174" s="14" t="s">
        <v>5729</v>
      </c>
      <c r="C174" s="14" t="s">
        <v>488</v>
      </c>
      <c r="D174" s="14" t="s">
        <v>2055</v>
      </c>
      <c r="E174" s="14" t="s">
        <v>36</v>
      </c>
      <c r="F174" s="14" t="s">
        <v>5668</v>
      </c>
      <c r="G174" s="14" t="s">
        <v>1281</v>
      </c>
      <c r="H174" s="15">
        <v>44955.491747685184</v>
      </c>
      <c r="I174" s="14" t="s">
        <v>5663</v>
      </c>
      <c r="J174" s="14">
        <v>100</v>
      </c>
      <c r="K174" s="14" t="s">
        <v>5664</v>
      </c>
      <c r="L174" s="17">
        <v>45050.491747685184</v>
      </c>
      <c r="M174" s="17">
        <v>45050.491747685184</v>
      </c>
      <c r="N174" s="14"/>
      <c r="O174" s="17">
        <v>45049.491747685184</v>
      </c>
      <c r="P174" s="14"/>
      <c r="Q174" s="18">
        <v>88000</v>
      </c>
      <c r="R174" s="19">
        <v>0.1</v>
      </c>
      <c r="S174" s="18">
        <v>87912</v>
      </c>
      <c r="T174" s="14">
        <v>12</v>
      </c>
      <c r="U174" s="18">
        <v>87912</v>
      </c>
      <c r="V174" s="18">
        <v>20000</v>
      </c>
      <c r="W174" s="19">
        <v>16.2</v>
      </c>
      <c r="X174" s="18">
        <v>16760</v>
      </c>
      <c r="Y174" s="14" t="s">
        <v>5665</v>
      </c>
      <c r="Z174" s="14" t="s">
        <v>5666</v>
      </c>
      <c r="AA174" s="14" t="b">
        <v>0</v>
      </c>
      <c r="AB174" s="14" t="b">
        <v>0</v>
      </c>
      <c r="AC174" s="14" t="b">
        <v>0</v>
      </c>
    </row>
    <row r="175" spans="1:29">
      <c r="A175" s="14" t="s">
        <v>1544</v>
      </c>
      <c r="B175" s="14" t="s">
        <v>5729</v>
      </c>
      <c r="C175" s="14" t="s">
        <v>488</v>
      </c>
      <c r="D175" s="14" t="s">
        <v>1543</v>
      </c>
      <c r="E175" s="14" t="s">
        <v>36</v>
      </c>
      <c r="F175" s="14" t="s">
        <v>5668</v>
      </c>
      <c r="G175" s="14" t="s">
        <v>1271</v>
      </c>
      <c r="H175" s="15">
        <v>44893.45511574074</v>
      </c>
      <c r="I175" s="14" t="s">
        <v>5675</v>
      </c>
      <c r="J175" s="14">
        <v>0</v>
      </c>
      <c r="K175" s="14" t="s">
        <v>5664</v>
      </c>
      <c r="L175" s="17">
        <v>44965.45511574074</v>
      </c>
      <c r="M175" s="17">
        <v>44979.45511574074</v>
      </c>
      <c r="N175" s="14"/>
      <c r="O175" s="17">
        <v>44978.45511574074</v>
      </c>
      <c r="P175" s="14" t="s">
        <v>5703</v>
      </c>
      <c r="Q175" s="18">
        <v>92000</v>
      </c>
      <c r="R175" s="19">
        <v>1.3</v>
      </c>
      <c r="S175" s="18">
        <v>90804</v>
      </c>
      <c r="T175" s="14">
        <v>12</v>
      </c>
      <c r="U175" s="18">
        <v>90804</v>
      </c>
      <c r="V175" s="18">
        <v>20000</v>
      </c>
      <c r="W175" s="19">
        <v>4.4000000000000004</v>
      </c>
      <c r="X175" s="18">
        <v>19120</v>
      </c>
      <c r="Y175" s="14" t="s">
        <v>5688</v>
      </c>
      <c r="Z175" s="14" t="s">
        <v>5666</v>
      </c>
      <c r="AA175" s="14" t="b">
        <v>0</v>
      </c>
      <c r="AB175" s="14" t="b">
        <v>0</v>
      </c>
      <c r="AC175" s="14" t="b">
        <v>1</v>
      </c>
    </row>
    <row r="176" spans="1:29">
      <c r="A176" s="14" t="s">
        <v>5968</v>
      </c>
      <c r="B176" s="14" t="s">
        <v>5720</v>
      </c>
      <c r="C176" s="14" t="s">
        <v>100</v>
      </c>
      <c r="D176" s="14" t="s">
        <v>2491</v>
      </c>
      <c r="E176" s="14" t="s">
        <v>59</v>
      </c>
      <c r="F176" s="14" t="s">
        <v>5668</v>
      </c>
      <c r="G176" s="14" t="s">
        <v>1339</v>
      </c>
      <c r="H176" s="15">
        <v>46090.238206018519</v>
      </c>
      <c r="I176" s="14" t="s">
        <v>5663</v>
      </c>
      <c r="J176" s="14">
        <v>100</v>
      </c>
      <c r="K176" s="14" t="s">
        <v>5664</v>
      </c>
      <c r="L176" s="17">
        <v>46143.238206018519</v>
      </c>
      <c r="M176" s="17">
        <v>46129.238206018519</v>
      </c>
      <c r="N176" s="14"/>
      <c r="O176" s="17">
        <v>46125.238206018519</v>
      </c>
      <c r="P176" s="14"/>
      <c r="Q176" s="18">
        <v>42000</v>
      </c>
      <c r="R176" s="19">
        <v>8.1999999999999993</v>
      </c>
      <c r="S176" s="18">
        <v>38556</v>
      </c>
      <c r="T176" s="14">
        <v>36</v>
      </c>
      <c r="U176" s="18">
        <v>115668</v>
      </c>
      <c r="V176" s="18">
        <v>10000</v>
      </c>
      <c r="W176" s="19">
        <v>5.9</v>
      </c>
      <c r="X176" s="18">
        <v>9410</v>
      </c>
      <c r="Y176" s="14" t="s">
        <v>5665</v>
      </c>
      <c r="Z176" s="14" t="s">
        <v>5666</v>
      </c>
      <c r="AA176" s="14" t="b">
        <v>0</v>
      </c>
      <c r="AB176" s="14" t="b">
        <v>0</v>
      </c>
      <c r="AC176" s="14" t="b">
        <v>0</v>
      </c>
    </row>
    <row r="177" spans="1:29">
      <c r="A177" s="14" t="s">
        <v>5969</v>
      </c>
      <c r="B177" s="14" t="s">
        <v>5797</v>
      </c>
      <c r="C177" s="14" t="s">
        <v>183</v>
      </c>
      <c r="D177" s="14" t="s">
        <v>2251</v>
      </c>
      <c r="E177" s="14" t="s">
        <v>25</v>
      </c>
      <c r="F177" s="14" t="s">
        <v>5668</v>
      </c>
      <c r="G177" s="14" t="s">
        <v>1413</v>
      </c>
      <c r="H177" s="15">
        <v>46232.375</v>
      </c>
      <c r="I177" s="14" t="s">
        <v>5691</v>
      </c>
      <c r="J177" s="14">
        <v>40</v>
      </c>
      <c r="K177" s="14" t="s">
        <v>5670</v>
      </c>
      <c r="L177" s="17">
        <v>46324</v>
      </c>
      <c r="M177" s="17"/>
      <c r="N177" s="14" t="s">
        <v>5970</v>
      </c>
      <c r="O177" s="17">
        <v>46209</v>
      </c>
      <c r="P177" s="14"/>
      <c r="Q177" s="18">
        <v>28000</v>
      </c>
      <c r="R177" s="19">
        <v>6.7</v>
      </c>
      <c r="S177" s="18">
        <v>26124</v>
      </c>
      <c r="T177" s="14">
        <v>12</v>
      </c>
      <c r="U177" s="18">
        <v>26124</v>
      </c>
      <c r="V177" s="18">
        <v>5000</v>
      </c>
      <c r="W177" s="19">
        <v>8.1</v>
      </c>
      <c r="X177" s="18">
        <v>4595</v>
      </c>
      <c r="Y177" s="14" t="s">
        <v>5665</v>
      </c>
      <c r="Z177" s="14" t="s">
        <v>5666</v>
      </c>
      <c r="AA177" s="14" t="b">
        <v>0</v>
      </c>
      <c r="AB177" s="14" t="b">
        <v>0</v>
      </c>
      <c r="AC177" s="14" t="b">
        <v>0</v>
      </c>
    </row>
    <row r="178" spans="1:29">
      <c r="A178" s="14" t="s">
        <v>1902</v>
      </c>
      <c r="B178" s="14" t="s">
        <v>5678</v>
      </c>
      <c r="C178" s="14" t="s">
        <v>73</v>
      </c>
      <c r="D178" s="14" t="s">
        <v>1901</v>
      </c>
      <c r="E178" s="14" t="s">
        <v>36</v>
      </c>
      <c r="F178" s="14" t="s">
        <v>5668</v>
      </c>
      <c r="G178" s="14" t="s">
        <v>1317</v>
      </c>
      <c r="H178" s="15">
        <v>46254.851365740738</v>
      </c>
      <c r="I178" s="14" t="s">
        <v>5691</v>
      </c>
      <c r="J178" s="14">
        <v>40</v>
      </c>
      <c r="K178" s="14" t="s">
        <v>5670</v>
      </c>
      <c r="L178" s="17">
        <v>46312</v>
      </c>
      <c r="M178" s="17"/>
      <c r="N178" s="14" t="s">
        <v>5970</v>
      </c>
      <c r="O178" s="17">
        <v>46282</v>
      </c>
      <c r="P178" s="14"/>
      <c r="Q178" s="18">
        <v>92000</v>
      </c>
      <c r="R178" s="19">
        <v>15.2</v>
      </c>
      <c r="S178" s="18">
        <v>78016</v>
      </c>
      <c r="T178" s="14">
        <v>24</v>
      </c>
      <c r="U178" s="18">
        <v>156032</v>
      </c>
      <c r="V178" s="18">
        <v>20000</v>
      </c>
      <c r="W178" s="19">
        <v>6</v>
      </c>
      <c r="X178" s="18">
        <v>18800</v>
      </c>
      <c r="Y178" s="14" t="s">
        <v>5665</v>
      </c>
      <c r="Z178" s="14" t="s">
        <v>5666</v>
      </c>
      <c r="AA178" s="14" t="b">
        <v>0</v>
      </c>
      <c r="AB178" s="14" t="b">
        <v>0</v>
      </c>
      <c r="AC178" s="14" t="b">
        <v>1</v>
      </c>
    </row>
    <row r="179" spans="1:29">
      <c r="A179" s="14" t="s">
        <v>5971</v>
      </c>
      <c r="B179" s="14" t="s">
        <v>5881</v>
      </c>
      <c r="C179" s="14" t="s">
        <v>533</v>
      </c>
      <c r="D179" s="14"/>
      <c r="E179" s="14" t="s">
        <v>18</v>
      </c>
      <c r="F179" s="14" t="s">
        <v>5668</v>
      </c>
      <c r="G179" s="14" t="s">
        <v>1295</v>
      </c>
      <c r="H179" s="15">
        <v>46263.75</v>
      </c>
      <c r="I179" s="14" t="s">
        <v>5686</v>
      </c>
      <c r="J179" s="14">
        <v>10</v>
      </c>
      <c r="K179" s="14" t="s">
        <v>5670</v>
      </c>
      <c r="L179" s="17">
        <v>46375</v>
      </c>
      <c r="M179" s="17"/>
      <c r="N179" s="14" t="s">
        <v>5767</v>
      </c>
      <c r="O179" s="17">
        <v>46252</v>
      </c>
      <c r="P179" s="14"/>
      <c r="Q179" s="18">
        <v>68000</v>
      </c>
      <c r="R179" s="19">
        <v>9.6999999999999993</v>
      </c>
      <c r="S179" s="18">
        <v>61404</v>
      </c>
      <c r="T179" s="14">
        <v>12</v>
      </c>
      <c r="U179" s="18">
        <v>61404</v>
      </c>
      <c r="V179" s="18">
        <v>20000</v>
      </c>
      <c r="W179" s="19">
        <v>4.9000000000000004</v>
      </c>
      <c r="X179" s="18">
        <v>19020</v>
      </c>
      <c r="Y179" s="14" t="s">
        <v>5665</v>
      </c>
      <c r="Z179" s="14" t="s">
        <v>5666</v>
      </c>
      <c r="AA179" s="14" t="b">
        <v>0</v>
      </c>
      <c r="AB179" s="14" t="b">
        <v>0</v>
      </c>
      <c r="AC179" s="14" t="b">
        <v>0</v>
      </c>
    </row>
    <row r="180" spans="1:29">
      <c r="A180" s="14" t="s">
        <v>1508</v>
      </c>
      <c r="B180" s="14" t="s">
        <v>5972</v>
      </c>
      <c r="C180" s="14" t="s">
        <v>441</v>
      </c>
      <c r="D180" s="14" t="s">
        <v>1507</v>
      </c>
      <c r="E180" s="14" t="s">
        <v>18</v>
      </c>
      <c r="F180" s="14" t="s">
        <v>5668</v>
      </c>
      <c r="G180" s="14" t="s">
        <v>1355</v>
      </c>
      <c r="H180" s="15">
        <v>46263.540925925925</v>
      </c>
      <c r="I180" s="14" t="s">
        <v>5681</v>
      </c>
      <c r="J180" s="14">
        <v>25</v>
      </c>
      <c r="K180" s="14" t="s">
        <v>5670</v>
      </c>
      <c r="L180" s="17">
        <v>46321</v>
      </c>
      <c r="M180" s="17"/>
      <c r="N180" s="14" t="s">
        <v>5713</v>
      </c>
      <c r="O180" s="17">
        <v>46283</v>
      </c>
      <c r="P180" s="14"/>
      <c r="Q180" s="18">
        <v>46000</v>
      </c>
      <c r="R180" s="19">
        <v>6.1</v>
      </c>
      <c r="S180" s="18">
        <v>43194</v>
      </c>
      <c r="T180" s="14">
        <v>12</v>
      </c>
      <c r="U180" s="18">
        <v>43194</v>
      </c>
      <c r="V180" s="18">
        <v>10000</v>
      </c>
      <c r="W180" s="19">
        <v>4.3</v>
      </c>
      <c r="X180" s="18">
        <v>9570</v>
      </c>
      <c r="Y180" s="14" t="s">
        <v>5665</v>
      </c>
      <c r="Z180" s="14" t="s">
        <v>5666</v>
      </c>
      <c r="AA180" s="14" t="b">
        <v>0</v>
      </c>
      <c r="AB180" s="14" t="b">
        <v>0</v>
      </c>
      <c r="AC180" s="14" t="b">
        <v>0</v>
      </c>
    </row>
    <row r="181" spans="1:29">
      <c r="A181" s="14" t="s">
        <v>5973</v>
      </c>
      <c r="B181" s="14" t="s">
        <v>5720</v>
      </c>
      <c r="C181" s="14" t="s">
        <v>100</v>
      </c>
      <c r="D181" s="14" t="s">
        <v>5974</v>
      </c>
      <c r="E181" s="14" t="s">
        <v>59</v>
      </c>
      <c r="F181" s="14" t="s">
        <v>5668</v>
      </c>
      <c r="G181" s="14" t="s">
        <v>1288</v>
      </c>
      <c r="H181" s="15">
        <v>45962.238206018519</v>
      </c>
      <c r="I181" s="14" t="s">
        <v>5663</v>
      </c>
      <c r="J181" s="14">
        <v>100</v>
      </c>
      <c r="K181" s="14" t="s">
        <v>5664</v>
      </c>
      <c r="L181" s="17">
        <v>45987.238206018519</v>
      </c>
      <c r="M181" s="17">
        <v>45994.238206018519</v>
      </c>
      <c r="N181" s="14"/>
      <c r="O181" s="17">
        <v>45992.238206018519</v>
      </c>
      <c r="P181" s="14"/>
      <c r="Q181" s="18">
        <v>12000</v>
      </c>
      <c r="R181" s="19">
        <v>20.9</v>
      </c>
      <c r="S181" s="18">
        <v>9492</v>
      </c>
      <c r="T181" s="14">
        <v>12</v>
      </c>
      <c r="U181" s="18">
        <v>9492</v>
      </c>
      <c r="V181" s="18">
        <v>5000</v>
      </c>
      <c r="W181" s="19">
        <v>5.2</v>
      </c>
      <c r="X181" s="18">
        <v>4740</v>
      </c>
      <c r="Y181" s="14" t="s">
        <v>5665</v>
      </c>
      <c r="Z181" s="14" t="s">
        <v>5666</v>
      </c>
      <c r="AA181" s="14" t="b">
        <v>1</v>
      </c>
      <c r="AB181" s="14" t="b">
        <v>0</v>
      </c>
      <c r="AC181" s="14" t="b">
        <v>1</v>
      </c>
    </row>
    <row r="182" spans="1:29">
      <c r="A182" s="14" t="s">
        <v>1873</v>
      </c>
      <c r="B182" s="14" t="s">
        <v>5940</v>
      </c>
      <c r="C182" s="14" t="s">
        <v>906</v>
      </c>
      <c r="D182" s="14" t="s">
        <v>1872</v>
      </c>
      <c r="E182" s="14" t="s">
        <v>82</v>
      </c>
      <c r="F182" s="14" t="s">
        <v>5668</v>
      </c>
      <c r="G182" s="14" t="s">
        <v>1288</v>
      </c>
      <c r="H182" s="15">
        <v>45649.593553240738</v>
      </c>
      <c r="I182" s="14" t="s">
        <v>5691</v>
      </c>
      <c r="J182" s="14">
        <v>40</v>
      </c>
      <c r="K182" s="14" t="s">
        <v>5670</v>
      </c>
      <c r="L182" s="17">
        <v>46241</v>
      </c>
      <c r="M182" s="17"/>
      <c r="N182" s="14" t="s">
        <v>5970</v>
      </c>
      <c r="O182" s="17">
        <v>46277</v>
      </c>
      <c r="P182" s="14"/>
      <c r="Q182" s="18">
        <v>92000</v>
      </c>
      <c r="R182" s="19">
        <v>4.5999999999999996</v>
      </c>
      <c r="S182" s="18">
        <v>87768</v>
      </c>
      <c r="T182" s="14">
        <v>36</v>
      </c>
      <c r="U182" s="18">
        <v>263304</v>
      </c>
      <c r="V182" s="18">
        <v>20000</v>
      </c>
      <c r="W182" s="19">
        <v>9.4</v>
      </c>
      <c r="X182" s="18">
        <v>18120</v>
      </c>
      <c r="Y182" s="14" t="s">
        <v>5665</v>
      </c>
      <c r="Z182" s="14" t="s">
        <v>5666</v>
      </c>
      <c r="AA182" s="14" t="b">
        <v>0</v>
      </c>
      <c r="AB182" s="14" t="b">
        <v>0</v>
      </c>
      <c r="AC182" s="14" t="b">
        <v>0</v>
      </c>
    </row>
    <row r="183" spans="1:29">
      <c r="A183" s="14" t="s">
        <v>1752</v>
      </c>
      <c r="B183" s="14" t="s">
        <v>5923</v>
      </c>
      <c r="C183" s="14" t="s">
        <v>876</v>
      </c>
      <c r="D183" s="14" t="s">
        <v>1751</v>
      </c>
      <c r="E183" s="14" t="s">
        <v>82</v>
      </c>
      <c r="F183" s="14" t="s">
        <v>5668</v>
      </c>
      <c r="G183" s="14" t="s">
        <v>1413</v>
      </c>
      <c r="H183" s="15">
        <v>46196.459074074075</v>
      </c>
      <c r="I183" s="14" t="s">
        <v>5663</v>
      </c>
      <c r="J183" s="14">
        <v>100</v>
      </c>
      <c r="K183" s="14" t="s">
        <v>5664</v>
      </c>
      <c r="L183" s="17">
        <v>46257.459074074075</v>
      </c>
      <c r="M183" s="17">
        <v>46257.459074074075</v>
      </c>
      <c r="N183" s="14"/>
      <c r="O183" s="17">
        <v>46253.459074074075</v>
      </c>
      <c r="P183" s="14"/>
      <c r="Q183" s="18">
        <v>50000</v>
      </c>
      <c r="R183" s="19">
        <v>7.9</v>
      </c>
      <c r="S183" s="18">
        <v>46050</v>
      </c>
      <c r="T183" s="14">
        <v>24</v>
      </c>
      <c r="U183" s="18">
        <v>92100</v>
      </c>
      <c r="V183" s="18">
        <v>10000</v>
      </c>
      <c r="W183" s="19">
        <v>2</v>
      </c>
      <c r="X183" s="18">
        <v>9800</v>
      </c>
      <c r="Y183" s="14" t="s">
        <v>5735</v>
      </c>
      <c r="Z183" s="14" t="s">
        <v>5666</v>
      </c>
      <c r="AA183" s="14" t="b">
        <v>0</v>
      </c>
      <c r="AB183" s="14" t="b">
        <v>0</v>
      </c>
      <c r="AC183" s="14" t="b">
        <v>1</v>
      </c>
    </row>
    <row r="184" spans="1:29">
      <c r="A184" s="14" t="s">
        <v>5975</v>
      </c>
      <c r="B184" s="14" t="s">
        <v>5976</v>
      </c>
      <c r="C184" s="14" t="s">
        <v>450</v>
      </c>
      <c r="D184" s="14" t="s">
        <v>5977</v>
      </c>
      <c r="E184" s="14" t="s">
        <v>55</v>
      </c>
      <c r="F184" s="14" t="s">
        <v>5668</v>
      </c>
      <c r="G184" s="14" t="s">
        <v>1271</v>
      </c>
      <c r="H184" s="15">
        <v>45931</v>
      </c>
      <c r="I184" s="14" t="s">
        <v>5663</v>
      </c>
      <c r="J184" s="14">
        <v>100</v>
      </c>
      <c r="K184" s="14" t="s">
        <v>5664</v>
      </c>
      <c r="L184" s="17">
        <v>45972</v>
      </c>
      <c r="M184" s="17">
        <v>45979</v>
      </c>
      <c r="N184" s="14"/>
      <c r="O184" s="17">
        <v>45977</v>
      </c>
      <c r="P184" s="14"/>
      <c r="Q184" s="18">
        <v>46000</v>
      </c>
      <c r="R184" s="19">
        <v>11.5</v>
      </c>
      <c r="S184" s="18">
        <v>40710</v>
      </c>
      <c r="T184" s="14">
        <v>12</v>
      </c>
      <c r="U184" s="18">
        <v>40710</v>
      </c>
      <c r="V184" s="18">
        <v>10000</v>
      </c>
      <c r="W184" s="19">
        <v>6</v>
      </c>
      <c r="X184" s="18">
        <v>9400</v>
      </c>
      <c r="Y184" s="14" t="s">
        <v>5665</v>
      </c>
      <c r="Z184" s="14" t="s">
        <v>5666</v>
      </c>
      <c r="AA184" s="14" t="b">
        <v>0</v>
      </c>
      <c r="AB184" s="14" t="b">
        <v>0</v>
      </c>
      <c r="AC184" s="14" t="b">
        <v>1</v>
      </c>
    </row>
    <row r="185" spans="1:29">
      <c r="A185" s="14" t="s">
        <v>1565</v>
      </c>
      <c r="B185" s="14" t="s">
        <v>5775</v>
      </c>
      <c r="C185" s="14" t="s">
        <v>918</v>
      </c>
      <c r="D185" s="14" t="s">
        <v>1564</v>
      </c>
      <c r="E185" s="14" t="s">
        <v>36</v>
      </c>
      <c r="F185" s="14" t="s">
        <v>5668</v>
      </c>
      <c r="G185" s="14" t="s">
        <v>1317</v>
      </c>
      <c r="H185" s="15">
        <v>44707.830381944441</v>
      </c>
      <c r="I185" s="14" t="s">
        <v>5663</v>
      </c>
      <c r="J185" s="14">
        <v>100</v>
      </c>
      <c r="K185" s="14" t="s">
        <v>5664</v>
      </c>
      <c r="L185" s="17">
        <v>44799.830381944441</v>
      </c>
      <c r="M185" s="17">
        <v>44799.830381944441</v>
      </c>
      <c r="N185" s="14"/>
      <c r="O185" s="17">
        <v>44793.830381944441</v>
      </c>
      <c r="P185" s="14"/>
      <c r="Q185" s="18">
        <v>92000</v>
      </c>
      <c r="R185" s="19">
        <v>30.1</v>
      </c>
      <c r="S185" s="18">
        <v>64308</v>
      </c>
      <c r="T185" s="14">
        <v>12</v>
      </c>
      <c r="U185" s="18">
        <v>64308</v>
      </c>
      <c r="V185" s="18">
        <v>20000</v>
      </c>
      <c r="W185" s="19">
        <v>4.7</v>
      </c>
      <c r="X185" s="18">
        <v>19060</v>
      </c>
      <c r="Y185" s="14" t="s">
        <v>5665</v>
      </c>
      <c r="Z185" s="14" t="s">
        <v>5677</v>
      </c>
      <c r="AA185" s="14" t="b">
        <v>0</v>
      </c>
      <c r="AB185" s="14" t="b">
        <v>0</v>
      </c>
      <c r="AC185" s="14" t="b">
        <v>1</v>
      </c>
    </row>
    <row r="186" spans="1:29">
      <c r="A186" s="14" t="s">
        <v>1914</v>
      </c>
      <c r="B186" s="14" t="s">
        <v>5978</v>
      </c>
      <c r="C186" s="14" t="s">
        <v>731</v>
      </c>
      <c r="D186" s="14" t="s">
        <v>1913</v>
      </c>
      <c r="E186" s="14" t="s">
        <v>59</v>
      </c>
      <c r="F186" s="14" t="s">
        <v>5668</v>
      </c>
      <c r="G186" s="14" t="s">
        <v>1317</v>
      </c>
      <c r="H186" s="15">
        <v>45452.900995370372</v>
      </c>
      <c r="I186" s="14" t="s">
        <v>5675</v>
      </c>
      <c r="J186" s="14">
        <v>10</v>
      </c>
      <c r="K186" s="14" t="s">
        <v>5725</v>
      </c>
      <c r="L186" s="17">
        <v>45483.900995370372</v>
      </c>
      <c r="M186" s="17">
        <v>45483.900995370372</v>
      </c>
      <c r="N186" s="14"/>
      <c r="O186" s="17">
        <v>45479.900995370372</v>
      </c>
      <c r="P186" s="14" t="s">
        <v>5703</v>
      </c>
      <c r="Q186" s="18">
        <v>12000</v>
      </c>
      <c r="R186" s="19">
        <v>8</v>
      </c>
      <c r="S186" s="18">
        <v>11040</v>
      </c>
      <c r="T186" s="14">
        <v>12</v>
      </c>
      <c r="U186" s="18">
        <v>11040</v>
      </c>
      <c r="V186" s="18">
        <v>5000</v>
      </c>
      <c r="W186" s="19">
        <v>1.9</v>
      </c>
      <c r="X186" s="18">
        <v>4905</v>
      </c>
      <c r="Y186" s="14" t="s">
        <v>5665</v>
      </c>
      <c r="Z186" s="14" t="s">
        <v>5666</v>
      </c>
      <c r="AA186" s="14" t="b">
        <v>0</v>
      </c>
      <c r="AB186" s="14" t="b">
        <v>0</v>
      </c>
      <c r="AC186" s="14" t="b">
        <v>0</v>
      </c>
    </row>
    <row r="187" spans="1:29">
      <c r="A187" s="14" t="s">
        <v>5979</v>
      </c>
      <c r="B187" s="14" t="s">
        <v>5980</v>
      </c>
      <c r="C187" s="14" t="s">
        <v>801</v>
      </c>
      <c r="D187" s="14" t="s">
        <v>1934</v>
      </c>
      <c r="E187" s="14" t="s">
        <v>36</v>
      </c>
      <c r="F187" s="14" t="s">
        <v>5668</v>
      </c>
      <c r="G187" s="14" t="s">
        <v>1281</v>
      </c>
      <c r="H187" s="15">
        <v>45828</v>
      </c>
      <c r="I187" s="14" t="s">
        <v>5663</v>
      </c>
      <c r="J187" s="14">
        <v>100</v>
      </c>
      <c r="K187" s="14" t="s">
        <v>5664</v>
      </c>
      <c r="L187" s="17">
        <v>45953</v>
      </c>
      <c r="M187" s="17">
        <v>45923</v>
      </c>
      <c r="N187" s="14"/>
      <c r="O187" s="17">
        <v>45921</v>
      </c>
      <c r="P187" s="14"/>
      <c r="Q187" s="18">
        <v>66000</v>
      </c>
      <c r="R187" s="19">
        <v>2.9</v>
      </c>
      <c r="S187" s="18">
        <v>64086</v>
      </c>
      <c r="T187" s="14">
        <v>24</v>
      </c>
      <c r="U187" s="18">
        <v>128172</v>
      </c>
      <c r="V187" s="18">
        <v>20000</v>
      </c>
      <c r="W187" s="19">
        <v>13.3</v>
      </c>
      <c r="X187" s="18">
        <v>17340</v>
      </c>
      <c r="Y187" s="14" t="s">
        <v>5665</v>
      </c>
      <c r="Z187" s="14" t="s">
        <v>5666</v>
      </c>
      <c r="AA187" s="14" t="b">
        <v>1</v>
      </c>
      <c r="AB187" s="14" t="b">
        <v>0</v>
      </c>
      <c r="AC187" s="14" t="b">
        <v>1</v>
      </c>
    </row>
    <row r="188" spans="1:29">
      <c r="A188" s="14" t="s">
        <v>5981</v>
      </c>
      <c r="B188" s="14" t="s">
        <v>5982</v>
      </c>
      <c r="C188" s="14" t="s">
        <v>843</v>
      </c>
      <c r="D188" s="14" t="s">
        <v>5983</v>
      </c>
      <c r="E188" s="14" t="s">
        <v>36</v>
      </c>
      <c r="F188" s="14" t="s">
        <v>5668</v>
      </c>
      <c r="G188" s="14" t="s">
        <v>1413</v>
      </c>
      <c r="H188" s="15">
        <v>45450</v>
      </c>
      <c r="I188" s="14" t="s">
        <v>5663</v>
      </c>
      <c r="J188" s="14">
        <v>100</v>
      </c>
      <c r="K188" s="14" t="s">
        <v>5725</v>
      </c>
      <c r="L188" s="17">
        <v>45536</v>
      </c>
      <c r="M188" s="17">
        <v>45536</v>
      </c>
      <c r="N188" s="14"/>
      <c r="O188" s="17">
        <v>45535</v>
      </c>
      <c r="P188" s="14"/>
      <c r="Q188" s="18">
        <v>40000</v>
      </c>
      <c r="R188" s="19">
        <v>9.1</v>
      </c>
      <c r="S188" s="18">
        <v>36360</v>
      </c>
      <c r="T188" s="14">
        <v>12</v>
      </c>
      <c r="U188" s="18">
        <v>36360</v>
      </c>
      <c r="V188" s="18">
        <v>10000</v>
      </c>
      <c r="W188" s="19">
        <v>15.1</v>
      </c>
      <c r="X188" s="18">
        <v>8490</v>
      </c>
      <c r="Y188" s="14" t="s">
        <v>5665</v>
      </c>
      <c r="Z188" s="14" t="s">
        <v>5666</v>
      </c>
      <c r="AA188" s="14" t="b">
        <v>0</v>
      </c>
      <c r="AB188" s="14" t="b">
        <v>0</v>
      </c>
      <c r="AC188" s="14" t="b">
        <v>0</v>
      </c>
    </row>
    <row r="189" spans="1:29">
      <c r="A189" s="14" t="s">
        <v>1275</v>
      </c>
      <c r="B189" s="14" t="s">
        <v>5984</v>
      </c>
      <c r="C189" s="14" t="s">
        <v>354</v>
      </c>
      <c r="D189" s="14" t="s">
        <v>1274</v>
      </c>
      <c r="E189" s="14" t="s">
        <v>55</v>
      </c>
      <c r="F189" s="14" t="s">
        <v>5668</v>
      </c>
      <c r="G189" s="14" t="s">
        <v>1271</v>
      </c>
      <c r="H189" s="15">
        <v>46242.973043981481</v>
      </c>
      <c r="I189" s="14" t="s">
        <v>5740</v>
      </c>
      <c r="J189" s="14">
        <v>80</v>
      </c>
      <c r="K189" s="14" t="s">
        <v>5679</v>
      </c>
      <c r="L189" s="17">
        <v>46274</v>
      </c>
      <c r="M189" s="17"/>
      <c r="N189" s="14" t="s">
        <v>5749</v>
      </c>
      <c r="O189" s="17">
        <v>46282</v>
      </c>
      <c r="P189" s="14"/>
      <c r="Q189" s="18">
        <v>56000</v>
      </c>
      <c r="R189" s="19">
        <v>4.9000000000000004</v>
      </c>
      <c r="S189" s="18">
        <v>53256</v>
      </c>
      <c r="T189" s="14">
        <v>12</v>
      </c>
      <c r="U189" s="18">
        <v>53256</v>
      </c>
      <c r="V189" s="18">
        <v>10000</v>
      </c>
      <c r="W189" s="19">
        <v>3.1</v>
      </c>
      <c r="X189" s="18">
        <v>9690</v>
      </c>
      <c r="Y189" s="14" t="s">
        <v>5665</v>
      </c>
      <c r="Z189" s="14" t="s">
        <v>5666</v>
      </c>
      <c r="AA189" s="14" t="b">
        <v>0</v>
      </c>
      <c r="AB189" s="14" t="b">
        <v>0</v>
      </c>
      <c r="AC189" s="14" t="b">
        <v>0</v>
      </c>
    </row>
    <row r="190" spans="1:29">
      <c r="A190" s="14" t="s">
        <v>2182</v>
      </c>
      <c r="B190" s="14" t="s">
        <v>5985</v>
      </c>
      <c r="C190" s="14" t="s">
        <v>677</v>
      </c>
      <c r="D190" s="14" t="s">
        <v>2181</v>
      </c>
      <c r="E190" s="14" t="s">
        <v>55</v>
      </c>
      <c r="F190" s="14" t="s">
        <v>5668</v>
      </c>
      <c r="G190" s="14" t="s">
        <v>1271</v>
      </c>
      <c r="H190" s="15">
        <v>45720.142175925925</v>
      </c>
      <c r="I190" s="14" t="s">
        <v>5663</v>
      </c>
      <c r="J190" s="14">
        <v>100</v>
      </c>
      <c r="K190" s="14" t="s">
        <v>5664</v>
      </c>
      <c r="L190" s="17">
        <v>45826.142175925925</v>
      </c>
      <c r="M190" s="17">
        <v>45812.142175925925</v>
      </c>
      <c r="N190" s="14"/>
      <c r="O190" s="17">
        <v>45809.142175925925</v>
      </c>
      <c r="P190" s="14"/>
      <c r="Q190" s="18">
        <v>82000</v>
      </c>
      <c r="R190" s="19">
        <v>35.200000000000003</v>
      </c>
      <c r="S190" s="18">
        <v>53136</v>
      </c>
      <c r="T190" s="14">
        <v>36</v>
      </c>
      <c r="U190" s="18">
        <v>159408</v>
      </c>
      <c r="V190" s="18">
        <v>20000</v>
      </c>
      <c r="W190" s="19">
        <v>7</v>
      </c>
      <c r="X190" s="18">
        <v>18600</v>
      </c>
      <c r="Y190" s="14" t="s">
        <v>5665</v>
      </c>
      <c r="Z190" s="14" t="s">
        <v>5666</v>
      </c>
      <c r="AA190" s="14" t="b">
        <v>0</v>
      </c>
      <c r="AB190" s="14" t="b">
        <v>0</v>
      </c>
      <c r="AC190" s="14" t="b">
        <v>1</v>
      </c>
    </row>
    <row r="191" spans="1:29">
      <c r="A191" s="14" t="s">
        <v>5986</v>
      </c>
      <c r="B191" s="14" t="s">
        <v>5987</v>
      </c>
      <c r="C191" s="14" t="s">
        <v>302</v>
      </c>
      <c r="D191" s="14" t="s">
        <v>5789</v>
      </c>
      <c r="E191" s="14" t="s">
        <v>36</v>
      </c>
      <c r="F191" s="14" t="s">
        <v>5668</v>
      </c>
      <c r="G191" s="14" t="s">
        <v>1355</v>
      </c>
      <c r="H191" s="15">
        <v>45850</v>
      </c>
      <c r="I191" s="14" t="s">
        <v>5663</v>
      </c>
      <c r="J191" s="14">
        <v>100</v>
      </c>
      <c r="K191" s="14" t="s">
        <v>5664</v>
      </c>
      <c r="L191" s="17">
        <v>45910</v>
      </c>
      <c r="M191" s="17">
        <v>45940</v>
      </c>
      <c r="N191" s="14"/>
      <c r="O191" s="17">
        <v>45937</v>
      </c>
      <c r="P191" s="14"/>
      <c r="Q191" s="18">
        <v>50000</v>
      </c>
      <c r="R191" s="19">
        <v>6.8</v>
      </c>
      <c r="S191" s="18">
        <v>46600</v>
      </c>
      <c r="T191" s="14">
        <v>12</v>
      </c>
      <c r="U191" s="18">
        <v>46600</v>
      </c>
      <c r="V191" s="18">
        <v>10000</v>
      </c>
      <c r="W191" s="19">
        <v>2.2000000000000002</v>
      </c>
      <c r="X191" s="18">
        <v>9780</v>
      </c>
      <c r="Y191" s="14" t="s">
        <v>5665</v>
      </c>
      <c r="Z191" s="14" t="s">
        <v>5666</v>
      </c>
      <c r="AA191" s="14" t="b">
        <v>0</v>
      </c>
      <c r="AB191" s="14" t="b">
        <v>0</v>
      </c>
      <c r="AC191" s="14" t="b">
        <v>0</v>
      </c>
    </row>
    <row r="192" spans="1:29">
      <c r="A192" s="14" t="s">
        <v>1328</v>
      </c>
      <c r="B192" s="14" t="s">
        <v>5976</v>
      </c>
      <c r="C192" s="14" t="s">
        <v>450</v>
      </c>
      <c r="D192" s="14" t="s">
        <v>1327</v>
      </c>
      <c r="E192" s="14" t="s">
        <v>55</v>
      </c>
      <c r="F192" s="14" t="s">
        <v>5668</v>
      </c>
      <c r="G192" s="14" t="s">
        <v>1271</v>
      </c>
      <c r="H192" s="15">
        <v>44641.15766203704</v>
      </c>
      <c r="I192" s="14" t="s">
        <v>5663</v>
      </c>
      <c r="J192" s="14">
        <v>60</v>
      </c>
      <c r="K192" s="14" t="s">
        <v>5725</v>
      </c>
      <c r="L192" s="17">
        <v>44695.15766203704</v>
      </c>
      <c r="M192" s="17">
        <v>44702.15766203704</v>
      </c>
      <c r="N192" s="14"/>
      <c r="O192" s="17">
        <v>44699.15766203704</v>
      </c>
      <c r="P192" s="14"/>
      <c r="Q192" s="18">
        <v>46000</v>
      </c>
      <c r="R192" s="19">
        <v>19.8</v>
      </c>
      <c r="S192" s="18">
        <v>36892</v>
      </c>
      <c r="T192" s="14">
        <v>12</v>
      </c>
      <c r="U192" s="18">
        <v>36892</v>
      </c>
      <c r="V192" s="18">
        <v>10000</v>
      </c>
      <c r="W192" s="19">
        <v>5.3</v>
      </c>
      <c r="X192" s="18">
        <v>9470</v>
      </c>
      <c r="Y192" s="14" t="s">
        <v>5735</v>
      </c>
      <c r="Z192" s="14" t="s">
        <v>5666</v>
      </c>
      <c r="AA192" s="14" t="b">
        <v>1</v>
      </c>
      <c r="AB192" s="14" t="b">
        <v>0</v>
      </c>
      <c r="AC192" s="14" t="b">
        <v>0</v>
      </c>
    </row>
    <row r="193" spans="1:29">
      <c r="A193" s="14" t="s">
        <v>2305</v>
      </c>
      <c r="B193" s="14" t="s">
        <v>5957</v>
      </c>
      <c r="C193" s="14" t="s">
        <v>694</v>
      </c>
      <c r="D193" s="14" t="s">
        <v>2304</v>
      </c>
      <c r="E193" s="14" t="s">
        <v>18</v>
      </c>
      <c r="F193" s="14" t="s">
        <v>5668</v>
      </c>
      <c r="G193" s="14" t="s">
        <v>1271</v>
      </c>
      <c r="H193" s="15">
        <v>45590.638773148145</v>
      </c>
      <c r="I193" s="14" t="s">
        <v>5681</v>
      </c>
      <c r="J193" s="14">
        <v>25</v>
      </c>
      <c r="K193" s="14" t="s">
        <v>5670</v>
      </c>
      <c r="L193" s="17">
        <v>46255</v>
      </c>
      <c r="M193" s="17"/>
      <c r="N193" s="14" t="s">
        <v>5699</v>
      </c>
      <c r="O193" s="17">
        <v>46272</v>
      </c>
      <c r="P193" s="14"/>
      <c r="Q193" s="18">
        <v>78000</v>
      </c>
      <c r="R193" s="19">
        <v>7.5</v>
      </c>
      <c r="S193" s="18">
        <v>72150</v>
      </c>
      <c r="T193" s="14">
        <v>12</v>
      </c>
      <c r="U193" s="18">
        <v>72150</v>
      </c>
      <c r="V193" s="18">
        <v>20000</v>
      </c>
      <c r="W193" s="19">
        <v>0.2</v>
      </c>
      <c r="X193" s="18">
        <v>19960</v>
      </c>
      <c r="Y193" s="14" t="s">
        <v>5665</v>
      </c>
      <c r="Z193" s="14" t="s">
        <v>5666</v>
      </c>
      <c r="AA193" s="14" t="b">
        <v>0</v>
      </c>
      <c r="AB193" s="14" t="b">
        <v>0</v>
      </c>
      <c r="AC193" s="14" t="b">
        <v>0</v>
      </c>
    </row>
    <row r="194" spans="1:29">
      <c r="A194" s="14" t="s">
        <v>5988</v>
      </c>
      <c r="B194" s="14" t="s">
        <v>5797</v>
      </c>
      <c r="C194" s="14" t="s">
        <v>183</v>
      </c>
      <c r="D194" s="14" t="s">
        <v>2061</v>
      </c>
      <c r="E194" s="14" t="s">
        <v>25</v>
      </c>
      <c r="F194" s="14" t="s">
        <v>5668</v>
      </c>
      <c r="G194" s="14" t="s">
        <v>1413</v>
      </c>
      <c r="H194" s="15">
        <v>46232.916666666664</v>
      </c>
      <c r="I194" s="14" t="s">
        <v>5691</v>
      </c>
      <c r="J194" s="14">
        <v>40</v>
      </c>
      <c r="K194" s="14" t="s">
        <v>5670</v>
      </c>
      <c r="L194" s="17">
        <v>46265</v>
      </c>
      <c r="M194" s="17"/>
      <c r="N194" s="14" t="s">
        <v>5970</v>
      </c>
      <c r="O194" s="17">
        <v>46284</v>
      </c>
      <c r="P194" s="14"/>
      <c r="Q194" s="18">
        <v>20000</v>
      </c>
      <c r="R194" s="19">
        <v>4.0999999999999996</v>
      </c>
      <c r="S194" s="18">
        <v>19180</v>
      </c>
      <c r="T194" s="14">
        <v>12</v>
      </c>
      <c r="U194" s="18">
        <v>19180</v>
      </c>
      <c r="V194" s="18">
        <v>5000</v>
      </c>
      <c r="W194" s="19">
        <v>0.6</v>
      </c>
      <c r="X194" s="18">
        <v>4970</v>
      </c>
      <c r="Y194" s="14" t="s">
        <v>5735</v>
      </c>
      <c r="Z194" s="14" t="s">
        <v>5666</v>
      </c>
      <c r="AA194" s="14" t="b">
        <v>0</v>
      </c>
      <c r="AB194" s="14" t="b">
        <v>0</v>
      </c>
      <c r="AC194" s="14" t="b">
        <v>1</v>
      </c>
    </row>
    <row r="195" spans="1:29">
      <c r="A195" s="14" t="s">
        <v>5989</v>
      </c>
      <c r="B195" s="14" t="s">
        <v>5851</v>
      </c>
      <c r="C195" s="14" t="s">
        <v>142</v>
      </c>
      <c r="D195" s="14" t="s">
        <v>1708</v>
      </c>
      <c r="E195" s="14" t="s">
        <v>25</v>
      </c>
      <c r="F195" s="14" t="s">
        <v>5668</v>
      </c>
      <c r="G195" s="14" t="s">
        <v>1413</v>
      </c>
      <c r="H195" s="15">
        <v>45759</v>
      </c>
      <c r="I195" s="14" t="s">
        <v>5663</v>
      </c>
      <c r="J195" s="14">
        <v>100</v>
      </c>
      <c r="K195" s="14" t="s">
        <v>5664</v>
      </c>
      <c r="L195" s="17">
        <v>45804</v>
      </c>
      <c r="M195" s="17">
        <v>45804</v>
      </c>
      <c r="N195" s="14"/>
      <c r="O195" s="17">
        <v>45803</v>
      </c>
      <c r="P195" s="14"/>
      <c r="Q195" s="18">
        <v>38000</v>
      </c>
      <c r="R195" s="19">
        <v>11.4</v>
      </c>
      <c r="S195" s="18">
        <v>33668</v>
      </c>
      <c r="T195" s="14">
        <v>12</v>
      </c>
      <c r="U195" s="18">
        <v>33668</v>
      </c>
      <c r="V195" s="18">
        <v>10000</v>
      </c>
      <c r="W195" s="19">
        <v>5.8</v>
      </c>
      <c r="X195" s="18">
        <v>9420</v>
      </c>
      <c r="Y195" s="14" t="s">
        <v>5665</v>
      </c>
      <c r="Z195" s="14" t="s">
        <v>5666</v>
      </c>
      <c r="AA195" s="14" t="b">
        <v>0</v>
      </c>
      <c r="AB195" s="14" t="b">
        <v>0</v>
      </c>
      <c r="AC195" s="14" t="b">
        <v>1</v>
      </c>
    </row>
    <row r="196" spans="1:29">
      <c r="A196" s="14" t="s">
        <v>5990</v>
      </c>
      <c r="B196" s="14" t="s">
        <v>5991</v>
      </c>
      <c r="C196" s="14" t="s">
        <v>340</v>
      </c>
      <c r="D196" s="14" t="s">
        <v>5992</v>
      </c>
      <c r="E196" s="14" t="s">
        <v>82</v>
      </c>
      <c r="F196" s="14" t="s">
        <v>5662</v>
      </c>
      <c r="G196" s="14" t="s">
        <v>1271</v>
      </c>
      <c r="H196" s="15">
        <v>45474</v>
      </c>
      <c r="I196" s="14" t="s">
        <v>5663</v>
      </c>
      <c r="J196" s="14">
        <v>100</v>
      </c>
      <c r="K196" s="14" t="s">
        <v>5664</v>
      </c>
      <c r="L196" s="17">
        <v>45561</v>
      </c>
      <c r="M196" s="17">
        <v>45561</v>
      </c>
      <c r="N196" s="14"/>
      <c r="O196" s="17">
        <v>45561</v>
      </c>
      <c r="P196" s="14"/>
      <c r="Q196" s="18">
        <v>20000</v>
      </c>
      <c r="R196" s="19">
        <v>8.5</v>
      </c>
      <c r="S196" s="18">
        <v>18300</v>
      </c>
      <c r="T196" s="14">
        <v>12</v>
      </c>
      <c r="U196" s="18">
        <v>18300</v>
      </c>
      <c r="V196" s="18">
        <v>0</v>
      </c>
      <c r="W196" s="19">
        <v>0</v>
      </c>
      <c r="X196" s="18">
        <v>0</v>
      </c>
      <c r="Y196" s="14" t="s">
        <v>5665</v>
      </c>
      <c r="Z196" s="14" t="s">
        <v>5666</v>
      </c>
      <c r="AA196" s="14" t="b">
        <v>0</v>
      </c>
      <c r="AB196" s="14" t="b">
        <v>0</v>
      </c>
      <c r="AC196" s="14" t="b">
        <v>0</v>
      </c>
    </row>
    <row r="197" spans="1:29">
      <c r="A197" s="14" t="s">
        <v>2317</v>
      </c>
      <c r="B197" s="14" t="s">
        <v>5993</v>
      </c>
      <c r="C197" s="14" t="s">
        <v>273</v>
      </c>
      <c r="D197" s="14" t="s">
        <v>2316</v>
      </c>
      <c r="E197" s="14" t="s">
        <v>55</v>
      </c>
      <c r="F197" s="14" t="s">
        <v>5668</v>
      </c>
      <c r="G197" s="14" t="s">
        <v>1317</v>
      </c>
      <c r="H197" s="15">
        <v>46139.79923611111</v>
      </c>
      <c r="I197" s="14" t="s">
        <v>5663</v>
      </c>
      <c r="J197" s="14">
        <v>100</v>
      </c>
      <c r="K197" s="14" t="s">
        <v>5664</v>
      </c>
      <c r="L197" s="17">
        <v>46217.79923611111</v>
      </c>
      <c r="M197" s="17">
        <v>46217.79923611111</v>
      </c>
      <c r="N197" s="14"/>
      <c r="O197" s="17">
        <v>46216.79923611111</v>
      </c>
      <c r="P197" s="14"/>
      <c r="Q197" s="18">
        <v>32000</v>
      </c>
      <c r="R197" s="19">
        <v>4</v>
      </c>
      <c r="S197" s="18">
        <v>30720</v>
      </c>
      <c r="T197" s="14">
        <v>12</v>
      </c>
      <c r="U197" s="18">
        <v>30720</v>
      </c>
      <c r="V197" s="18">
        <v>5000</v>
      </c>
      <c r="W197" s="19">
        <v>5.7</v>
      </c>
      <c r="X197" s="18">
        <v>4715</v>
      </c>
      <c r="Y197" s="14" t="s">
        <v>5735</v>
      </c>
      <c r="Z197" s="14" t="s">
        <v>5666</v>
      </c>
      <c r="AA197" s="14" t="b">
        <v>0</v>
      </c>
      <c r="AB197" s="14" t="b">
        <v>0</v>
      </c>
      <c r="AC197" s="14" t="b">
        <v>1</v>
      </c>
    </row>
    <row r="198" spans="1:29">
      <c r="A198" s="14" t="s">
        <v>5994</v>
      </c>
      <c r="B198" s="14" t="s">
        <v>5995</v>
      </c>
      <c r="C198" s="14" t="s">
        <v>623</v>
      </c>
      <c r="D198" s="14" t="s">
        <v>2350</v>
      </c>
      <c r="E198" s="14" t="s">
        <v>91</v>
      </c>
      <c r="F198" s="14" t="s">
        <v>5668</v>
      </c>
      <c r="G198" s="14" t="s">
        <v>1317</v>
      </c>
      <c r="H198" s="15">
        <v>46176.678900462961</v>
      </c>
      <c r="I198" s="14" t="s">
        <v>5663</v>
      </c>
      <c r="J198" s="14">
        <v>100</v>
      </c>
      <c r="K198" s="14" t="s">
        <v>5664</v>
      </c>
      <c r="L198" s="17">
        <v>46208.678900462961</v>
      </c>
      <c r="M198" s="17">
        <v>46208.678900462961</v>
      </c>
      <c r="N198" s="14"/>
      <c r="O198" s="17">
        <v>46206.678900462961</v>
      </c>
      <c r="P198" s="14"/>
      <c r="Q198" s="18">
        <v>30000</v>
      </c>
      <c r="R198" s="19">
        <v>4.9000000000000004</v>
      </c>
      <c r="S198" s="18">
        <v>28530</v>
      </c>
      <c r="T198" s="14">
        <v>24</v>
      </c>
      <c r="U198" s="18">
        <v>57060</v>
      </c>
      <c r="V198" s="18">
        <v>5000</v>
      </c>
      <c r="W198" s="19">
        <v>3.4</v>
      </c>
      <c r="X198" s="18">
        <v>4830</v>
      </c>
      <c r="Y198" s="14" t="s">
        <v>5665</v>
      </c>
      <c r="Z198" s="14" t="s">
        <v>5666</v>
      </c>
      <c r="AA198" s="14" t="b">
        <v>0</v>
      </c>
      <c r="AB198" s="14" t="b">
        <v>0</v>
      </c>
      <c r="AC198" s="14" t="b">
        <v>0</v>
      </c>
    </row>
    <row r="199" spans="1:29">
      <c r="A199" s="14" t="s">
        <v>2248</v>
      </c>
      <c r="B199" s="14" t="s">
        <v>5996</v>
      </c>
      <c r="C199" s="14" t="s">
        <v>491</v>
      </c>
      <c r="D199" s="14" t="s">
        <v>2247</v>
      </c>
      <c r="E199" s="14" t="s">
        <v>18</v>
      </c>
      <c r="F199" s="14" t="s">
        <v>5668</v>
      </c>
      <c r="G199" s="14" t="s">
        <v>1288</v>
      </c>
      <c r="H199" s="15">
        <v>46179.485555555555</v>
      </c>
      <c r="I199" s="14" t="s">
        <v>5725</v>
      </c>
      <c r="J199" s="14">
        <v>90</v>
      </c>
      <c r="K199" s="14" t="s">
        <v>5725</v>
      </c>
      <c r="L199" s="17">
        <v>46250</v>
      </c>
      <c r="M199" s="17"/>
      <c r="N199" s="14" t="s">
        <v>5726</v>
      </c>
      <c r="O199" s="17">
        <v>46272</v>
      </c>
      <c r="P199" s="14"/>
      <c r="Q199" s="18">
        <v>80000</v>
      </c>
      <c r="R199" s="19">
        <v>0.6</v>
      </c>
      <c r="S199" s="18">
        <v>79520</v>
      </c>
      <c r="T199" s="14">
        <v>24</v>
      </c>
      <c r="U199" s="18">
        <v>159040</v>
      </c>
      <c r="V199" s="18">
        <v>20000</v>
      </c>
      <c r="W199" s="19">
        <v>0.3</v>
      </c>
      <c r="X199" s="18">
        <v>19940</v>
      </c>
      <c r="Y199" s="14" t="s">
        <v>5665</v>
      </c>
      <c r="Z199" s="14" t="s">
        <v>5666</v>
      </c>
      <c r="AA199" s="14" t="b">
        <v>0</v>
      </c>
      <c r="AB199" s="14" t="b">
        <v>1</v>
      </c>
      <c r="AC199" s="14" t="b">
        <v>1</v>
      </c>
    </row>
    <row r="200" spans="1:29">
      <c r="A200" s="14" t="s">
        <v>1683</v>
      </c>
      <c r="B200" s="14" t="s">
        <v>5997</v>
      </c>
      <c r="C200" s="14" t="s">
        <v>392</v>
      </c>
      <c r="D200" s="14" t="s">
        <v>1682</v>
      </c>
      <c r="E200" s="14" t="s">
        <v>82</v>
      </c>
      <c r="F200" s="14" t="s">
        <v>5668</v>
      </c>
      <c r="G200" s="14" t="s">
        <v>1271</v>
      </c>
      <c r="H200" s="15">
        <v>45815.711851851855</v>
      </c>
      <c r="I200" s="14" t="s">
        <v>5663</v>
      </c>
      <c r="J200" s="14">
        <v>100</v>
      </c>
      <c r="K200" s="14" t="s">
        <v>5664</v>
      </c>
      <c r="L200" s="17">
        <v>45907.711851851855</v>
      </c>
      <c r="M200" s="17">
        <v>45921.711851851855</v>
      </c>
      <c r="N200" s="14"/>
      <c r="O200" s="17">
        <v>45916.711851851855</v>
      </c>
      <c r="P200" s="14"/>
      <c r="Q200" s="18">
        <v>50000</v>
      </c>
      <c r="R200" s="19">
        <v>5.6</v>
      </c>
      <c r="S200" s="18">
        <v>47200</v>
      </c>
      <c r="T200" s="14">
        <v>24</v>
      </c>
      <c r="U200" s="18">
        <v>94400</v>
      </c>
      <c r="V200" s="18">
        <v>10000</v>
      </c>
      <c r="W200" s="19">
        <v>8.3000000000000007</v>
      </c>
      <c r="X200" s="18">
        <v>9170</v>
      </c>
      <c r="Y200" s="14" t="s">
        <v>5665</v>
      </c>
      <c r="Z200" s="14" t="s">
        <v>5666</v>
      </c>
      <c r="AA200" s="14" t="b">
        <v>0</v>
      </c>
      <c r="AB200" s="14" t="b">
        <v>0</v>
      </c>
      <c r="AC200" s="14" t="b">
        <v>0</v>
      </c>
    </row>
    <row r="201" spans="1:29">
      <c r="A201" s="14" t="s">
        <v>2488</v>
      </c>
      <c r="B201" s="14" t="s">
        <v>5823</v>
      </c>
      <c r="C201" s="14" t="s">
        <v>561</v>
      </c>
      <c r="D201" s="14" t="s">
        <v>2487</v>
      </c>
      <c r="E201" s="14" t="s">
        <v>69</v>
      </c>
      <c r="F201" s="14" t="s">
        <v>5668</v>
      </c>
      <c r="G201" s="14" t="s">
        <v>1317</v>
      </c>
      <c r="H201" s="15">
        <v>46200.299247685187</v>
      </c>
      <c r="I201" s="14" t="s">
        <v>5663</v>
      </c>
      <c r="J201" s="14">
        <v>100</v>
      </c>
      <c r="K201" s="14" t="s">
        <v>5664</v>
      </c>
      <c r="L201" s="17">
        <v>46211.299247685187</v>
      </c>
      <c r="M201" s="17">
        <v>46241.299247685187</v>
      </c>
      <c r="N201" s="14"/>
      <c r="O201" s="17">
        <v>46239.299247685187</v>
      </c>
      <c r="P201" s="14"/>
      <c r="Q201" s="18">
        <v>12000</v>
      </c>
      <c r="R201" s="19">
        <v>7.1</v>
      </c>
      <c r="S201" s="18">
        <v>11148</v>
      </c>
      <c r="T201" s="14">
        <v>12</v>
      </c>
      <c r="U201" s="18">
        <v>11148</v>
      </c>
      <c r="V201" s="18">
        <v>5000</v>
      </c>
      <c r="W201" s="19">
        <v>0.9</v>
      </c>
      <c r="X201" s="18">
        <v>4955</v>
      </c>
      <c r="Y201" s="14" t="s">
        <v>5688</v>
      </c>
      <c r="Z201" s="14" t="s">
        <v>5666</v>
      </c>
      <c r="AA201" s="14" t="b">
        <v>0</v>
      </c>
      <c r="AB201" s="14" t="b">
        <v>0</v>
      </c>
      <c r="AC201" s="14" t="b">
        <v>1</v>
      </c>
    </row>
    <row r="202" spans="1:29">
      <c r="A202" s="14" t="s">
        <v>5998</v>
      </c>
      <c r="B202" s="14" t="s">
        <v>5999</v>
      </c>
      <c r="C202" s="14" t="s">
        <v>960</v>
      </c>
      <c r="D202" s="14" t="s">
        <v>6000</v>
      </c>
      <c r="E202" s="14" t="s">
        <v>25</v>
      </c>
      <c r="F202" s="14" t="s">
        <v>5668</v>
      </c>
      <c r="G202" s="14"/>
      <c r="H202" s="15">
        <v>46281.875</v>
      </c>
      <c r="I202" s="14" t="s">
        <v>5686</v>
      </c>
      <c r="J202" s="14">
        <v>10</v>
      </c>
      <c r="K202" s="14" t="s">
        <v>5679</v>
      </c>
      <c r="L202" s="17">
        <v>46347</v>
      </c>
      <c r="M202" s="17"/>
      <c r="N202" s="14" t="s">
        <v>5687</v>
      </c>
      <c r="O202" s="17">
        <v>46288</v>
      </c>
      <c r="P202" s="14"/>
      <c r="Q202" s="18">
        <v>12000</v>
      </c>
      <c r="R202" s="19">
        <v>7.1</v>
      </c>
      <c r="S202" s="18">
        <v>11148</v>
      </c>
      <c r="T202" s="14">
        <v>12</v>
      </c>
      <c r="U202" s="18">
        <v>11148</v>
      </c>
      <c r="V202" s="18">
        <v>5000</v>
      </c>
      <c r="W202" s="19">
        <v>2.7</v>
      </c>
      <c r="X202" s="18">
        <v>4865</v>
      </c>
      <c r="Y202" s="14" t="s">
        <v>5665</v>
      </c>
      <c r="Z202" s="14" t="s">
        <v>5666</v>
      </c>
      <c r="AA202" s="14" t="b">
        <v>0</v>
      </c>
      <c r="AB202" s="14" t="b">
        <v>0</v>
      </c>
      <c r="AC202" s="14" t="b">
        <v>0</v>
      </c>
    </row>
    <row r="203" spans="1:29">
      <c r="A203" s="14" t="s">
        <v>2277</v>
      </c>
      <c r="B203" s="14" t="s">
        <v>6001</v>
      </c>
      <c r="C203" s="14" t="s">
        <v>980</v>
      </c>
      <c r="D203" s="14" t="s">
        <v>2276</v>
      </c>
      <c r="E203" s="14" t="s">
        <v>25</v>
      </c>
      <c r="F203" s="14" t="s">
        <v>5668</v>
      </c>
      <c r="G203" s="14" t="s">
        <v>1295</v>
      </c>
      <c r="H203" s="15">
        <v>45912.3278587963</v>
      </c>
      <c r="I203" s="14" t="s">
        <v>5675</v>
      </c>
      <c r="J203" s="14">
        <v>0</v>
      </c>
      <c r="K203" s="14" t="s">
        <v>5664</v>
      </c>
      <c r="L203" s="17">
        <v>45984.3278587963</v>
      </c>
      <c r="M203" s="17">
        <v>45954.3278587963</v>
      </c>
      <c r="N203" s="14"/>
      <c r="O203" s="17">
        <v>45952.3278587963</v>
      </c>
      <c r="P203" s="14" t="s">
        <v>5783</v>
      </c>
      <c r="Q203" s="18">
        <v>22000</v>
      </c>
      <c r="R203" s="19">
        <v>2.4</v>
      </c>
      <c r="S203" s="18">
        <v>21472</v>
      </c>
      <c r="T203" s="14">
        <v>12</v>
      </c>
      <c r="U203" s="18">
        <v>21472</v>
      </c>
      <c r="V203" s="18">
        <v>5000</v>
      </c>
      <c r="W203" s="19">
        <v>12</v>
      </c>
      <c r="X203" s="18">
        <v>4400</v>
      </c>
      <c r="Y203" s="14" t="s">
        <v>5665</v>
      </c>
      <c r="Z203" s="14" t="s">
        <v>5666</v>
      </c>
      <c r="AA203" s="14" t="b">
        <v>0</v>
      </c>
      <c r="AB203" s="14" t="b">
        <v>0</v>
      </c>
      <c r="AC203" s="14" t="b">
        <v>0</v>
      </c>
    </row>
    <row r="204" spans="1:29">
      <c r="A204" s="14" t="s">
        <v>6002</v>
      </c>
      <c r="B204" s="14" t="s">
        <v>5683</v>
      </c>
      <c r="C204" s="14" t="s">
        <v>567</v>
      </c>
      <c r="D204" s="14" t="s">
        <v>6003</v>
      </c>
      <c r="E204" s="14" t="s">
        <v>69</v>
      </c>
      <c r="F204" s="14" t="s">
        <v>5668</v>
      </c>
      <c r="G204" s="14" t="s">
        <v>1281</v>
      </c>
      <c r="H204" s="15">
        <v>46250.458333333336</v>
      </c>
      <c r="I204" s="14" t="s">
        <v>5681</v>
      </c>
      <c r="J204" s="14">
        <v>40</v>
      </c>
      <c r="K204" s="14" t="s">
        <v>5670</v>
      </c>
      <c r="L204" s="17">
        <v>46340</v>
      </c>
      <c r="M204" s="17"/>
      <c r="N204" s="14" t="s">
        <v>5699</v>
      </c>
      <c r="O204" s="17">
        <v>46200</v>
      </c>
      <c r="P204" s="14"/>
      <c r="Q204" s="18">
        <v>12000</v>
      </c>
      <c r="R204" s="19">
        <v>23.8</v>
      </c>
      <c r="S204" s="18">
        <v>9144</v>
      </c>
      <c r="T204" s="14">
        <v>36</v>
      </c>
      <c r="U204" s="18">
        <v>27432</v>
      </c>
      <c r="V204" s="18">
        <v>5000</v>
      </c>
      <c r="W204" s="19">
        <v>19.399999999999999</v>
      </c>
      <c r="X204" s="18">
        <v>4030</v>
      </c>
      <c r="Y204" s="14" t="s">
        <v>5665</v>
      </c>
      <c r="Z204" s="14" t="s">
        <v>5666</v>
      </c>
      <c r="AA204" s="14" t="b">
        <v>0</v>
      </c>
      <c r="AB204" s="14" t="b">
        <v>0</v>
      </c>
      <c r="AC204" s="14" t="b">
        <v>1</v>
      </c>
    </row>
    <row r="205" spans="1:29">
      <c r="A205" s="14" t="s">
        <v>2023</v>
      </c>
      <c r="B205" s="14" t="s">
        <v>5715</v>
      </c>
      <c r="C205" s="14" t="s">
        <v>723</v>
      </c>
      <c r="D205" s="14" t="s">
        <v>2022</v>
      </c>
      <c r="E205" s="14" t="s">
        <v>36</v>
      </c>
      <c r="F205" s="14" t="s">
        <v>5668</v>
      </c>
      <c r="G205" s="14" t="s">
        <v>1271</v>
      </c>
      <c r="H205" s="15">
        <v>45453.697638888887</v>
      </c>
      <c r="I205" s="14" t="s">
        <v>5663</v>
      </c>
      <c r="J205" s="14">
        <v>100</v>
      </c>
      <c r="K205" s="14" t="s">
        <v>5664</v>
      </c>
      <c r="L205" s="17">
        <v>45571.697638888887</v>
      </c>
      <c r="M205" s="17">
        <v>45564.697638888887</v>
      </c>
      <c r="N205" s="14"/>
      <c r="O205" s="17">
        <v>45559.697638888887</v>
      </c>
      <c r="P205" s="14"/>
      <c r="Q205" s="18">
        <v>80000</v>
      </c>
      <c r="R205" s="19">
        <v>7.2</v>
      </c>
      <c r="S205" s="18">
        <v>74240</v>
      </c>
      <c r="T205" s="14">
        <v>12</v>
      </c>
      <c r="U205" s="18">
        <v>74240</v>
      </c>
      <c r="V205" s="18">
        <v>20000</v>
      </c>
      <c r="W205" s="19">
        <v>18.600000000000001</v>
      </c>
      <c r="X205" s="18">
        <v>16280</v>
      </c>
      <c r="Y205" s="14" t="s">
        <v>5665</v>
      </c>
      <c r="Z205" s="14" t="s">
        <v>5666</v>
      </c>
      <c r="AA205" s="14" t="b">
        <v>0</v>
      </c>
      <c r="AB205" s="14" t="b">
        <v>0</v>
      </c>
      <c r="AC205" s="14" t="b">
        <v>0</v>
      </c>
    </row>
    <row r="206" spans="1:29">
      <c r="A206" s="14" t="s">
        <v>6004</v>
      </c>
      <c r="B206" s="14" t="s">
        <v>6005</v>
      </c>
      <c r="C206" s="14" t="s">
        <v>846</v>
      </c>
      <c r="D206" s="14" t="s">
        <v>6006</v>
      </c>
      <c r="E206" s="14" t="s">
        <v>91</v>
      </c>
      <c r="F206" s="14" t="s">
        <v>5668</v>
      </c>
      <c r="G206" s="14" t="s">
        <v>1317</v>
      </c>
      <c r="H206" s="15">
        <v>46210.875</v>
      </c>
      <c r="I206" s="14" t="s">
        <v>5669</v>
      </c>
      <c r="J206" s="14">
        <v>60</v>
      </c>
      <c r="K206" s="14" t="s">
        <v>5679</v>
      </c>
      <c r="L206" s="17">
        <v>46308</v>
      </c>
      <c r="M206" s="17"/>
      <c r="N206" s="14" t="s">
        <v>5671</v>
      </c>
      <c r="O206" s="17">
        <v>46277</v>
      </c>
      <c r="P206" s="14"/>
      <c r="Q206" s="18">
        <v>16000</v>
      </c>
      <c r="R206" s="19">
        <v>1</v>
      </c>
      <c r="S206" s="18">
        <v>15840</v>
      </c>
      <c r="T206" s="14">
        <v>12</v>
      </c>
      <c r="U206" s="18">
        <v>15840</v>
      </c>
      <c r="V206" s="18">
        <v>5000</v>
      </c>
      <c r="W206" s="19">
        <v>18.600000000000001</v>
      </c>
      <c r="X206" s="18">
        <v>4070</v>
      </c>
      <c r="Y206" s="14" t="s">
        <v>5665</v>
      </c>
      <c r="Z206" s="14" t="s">
        <v>5666</v>
      </c>
      <c r="AA206" s="14" t="b">
        <v>0</v>
      </c>
      <c r="AB206" s="14" t="b">
        <v>0</v>
      </c>
      <c r="AC206" s="14" t="b">
        <v>0</v>
      </c>
    </row>
    <row r="207" spans="1:29">
      <c r="A207" s="14" t="s">
        <v>2545</v>
      </c>
      <c r="B207" s="14" t="s">
        <v>6007</v>
      </c>
      <c r="C207" s="14" t="s">
        <v>370</v>
      </c>
      <c r="D207" s="14" t="s">
        <v>2544</v>
      </c>
      <c r="E207" s="14" t="s">
        <v>18</v>
      </c>
      <c r="F207" s="14" t="s">
        <v>5668</v>
      </c>
      <c r="G207" s="14" t="s">
        <v>1271</v>
      </c>
      <c r="H207" s="15">
        <v>45632.423414351855</v>
      </c>
      <c r="I207" s="14" t="s">
        <v>5675</v>
      </c>
      <c r="J207" s="14">
        <v>0</v>
      </c>
      <c r="K207" s="14" t="s">
        <v>5664</v>
      </c>
      <c r="L207" s="17">
        <v>45745.423414351855</v>
      </c>
      <c r="M207" s="17">
        <v>45745.423414351855</v>
      </c>
      <c r="N207" s="14"/>
      <c r="O207" s="17">
        <v>45739.423414351855</v>
      </c>
      <c r="P207" s="14" t="s">
        <v>5703</v>
      </c>
      <c r="Q207" s="18">
        <v>86000</v>
      </c>
      <c r="R207" s="19">
        <v>1.2</v>
      </c>
      <c r="S207" s="18">
        <v>84968</v>
      </c>
      <c r="T207" s="14">
        <v>24</v>
      </c>
      <c r="U207" s="18">
        <v>169936</v>
      </c>
      <c r="V207" s="18">
        <v>20000</v>
      </c>
      <c r="W207" s="19">
        <v>2.2999999999999998</v>
      </c>
      <c r="X207" s="18">
        <v>19540</v>
      </c>
      <c r="Y207" s="14" t="s">
        <v>5677</v>
      </c>
      <c r="Z207" s="14" t="s">
        <v>5693</v>
      </c>
      <c r="AA207" s="14" t="b">
        <v>0</v>
      </c>
      <c r="AB207" s="14" t="b">
        <v>0</v>
      </c>
      <c r="AC207" s="14" t="b">
        <v>1</v>
      </c>
    </row>
    <row r="208" spans="1:29">
      <c r="A208" s="14" t="s">
        <v>6008</v>
      </c>
      <c r="B208" s="14" t="s">
        <v>6009</v>
      </c>
      <c r="C208" s="14" t="s">
        <v>401</v>
      </c>
      <c r="D208" s="14" t="s">
        <v>2516</v>
      </c>
      <c r="E208" s="14" t="s">
        <v>82</v>
      </c>
      <c r="F208" s="14" t="s">
        <v>5668</v>
      </c>
      <c r="G208" s="14" t="s">
        <v>1271</v>
      </c>
      <c r="H208" s="15">
        <v>46264.708333333336</v>
      </c>
      <c r="I208" s="14" t="s">
        <v>5686</v>
      </c>
      <c r="J208" s="14">
        <v>10</v>
      </c>
      <c r="K208" s="14" t="s">
        <v>5670</v>
      </c>
      <c r="L208" s="17">
        <v>46249</v>
      </c>
      <c r="M208" s="17"/>
      <c r="N208" s="14" t="s">
        <v>5862</v>
      </c>
      <c r="O208" s="17">
        <v>46216</v>
      </c>
      <c r="P208" s="14"/>
      <c r="Q208" s="18">
        <v>60000</v>
      </c>
      <c r="R208" s="19">
        <v>0.5</v>
      </c>
      <c r="S208" s="18">
        <v>59700</v>
      </c>
      <c r="T208" s="14">
        <v>12</v>
      </c>
      <c r="U208" s="18">
        <v>59700</v>
      </c>
      <c r="V208" s="18">
        <v>20000</v>
      </c>
      <c r="W208" s="19">
        <v>16.100000000000001</v>
      </c>
      <c r="X208" s="18">
        <v>16780</v>
      </c>
      <c r="Y208" s="14" t="s">
        <v>5688</v>
      </c>
      <c r="Z208" s="14" t="s">
        <v>5666</v>
      </c>
      <c r="AA208" s="14" t="b">
        <v>0</v>
      </c>
      <c r="AB208" s="14" t="b">
        <v>0</v>
      </c>
      <c r="AC208" s="14" t="b">
        <v>1</v>
      </c>
    </row>
    <row r="209" spans="1:29">
      <c r="A209" s="14" t="s">
        <v>6010</v>
      </c>
      <c r="B209" s="14" t="s">
        <v>6011</v>
      </c>
      <c r="C209" s="14" t="s">
        <v>629</v>
      </c>
      <c r="D209" s="14" t="s">
        <v>6012</v>
      </c>
      <c r="E209" s="14" t="s">
        <v>18</v>
      </c>
      <c r="F209" s="14" t="s">
        <v>5668</v>
      </c>
      <c r="G209" s="14" t="s">
        <v>1281</v>
      </c>
      <c r="H209" s="15">
        <v>46134.492280092592</v>
      </c>
      <c r="I209" s="14" t="s">
        <v>5663</v>
      </c>
      <c r="J209" s="14">
        <v>100</v>
      </c>
      <c r="K209" s="14" t="s">
        <v>5664</v>
      </c>
      <c r="L209" s="17">
        <v>46252.492280092592</v>
      </c>
      <c r="M209" s="17">
        <v>46222.492280092592</v>
      </c>
      <c r="N209" s="14"/>
      <c r="O209" s="17">
        <v>46218.492280092592</v>
      </c>
      <c r="P209" s="14"/>
      <c r="Q209" s="18">
        <v>68000</v>
      </c>
      <c r="R209" s="19">
        <v>3.5</v>
      </c>
      <c r="S209" s="18">
        <v>65620</v>
      </c>
      <c r="T209" s="14">
        <v>24</v>
      </c>
      <c r="U209" s="18">
        <v>131240</v>
      </c>
      <c r="V209" s="18">
        <v>20000</v>
      </c>
      <c r="W209" s="19">
        <v>4</v>
      </c>
      <c r="X209" s="18">
        <v>19200</v>
      </c>
      <c r="Y209" s="14" t="s">
        <v>5688</v>
      </c>
      <c r="Z209" s="14" t="s">
        <v>5666</v>
      </c>
      <c r="AA209" s="14" t="b">
        <v>0</v>
      </c>
      <c r="AB209" s="14" t="b">
        <v>0</v>
      </c>
      <c r="AC209" s="14" t="b">
        <v>1</v>
      </c>
    </row>
    <row r="210" spans="1:29">
      <c r="A210" s="14" t="s">
        <v>1910</v>
      </c>
      <c r="B210" s="14" t="s">
        <v>5868</v>
      </c>
      <c r="C210" s="14" t="s">
        <v>809</v>
      </c>
      <c r="D210" s="14" t="s">
        <v>1909</v>
      </c>
      <c r="E210" s="14" t="s">
        <v>82</v>
      </c>
      <c r="F210" s="14" t="s">
        <v>5668</v>
      </c>
      <c r="G210" s="14" t="s">
        <v>1317</v>
      </c>
      <c r="H210" s="15">
        <v>45897.230474537035</v>
      </c>
      <c r="I210" s="14" t="s">
        <v>5675</v>
      </c>
      <c r="J210" s="14">
        <v>0</v>
      </c>
      <c r="K210" s="14" t="s">
        <v>5664</v>
      </c>
      <c r="L210" s="17">
        <v>45962.230474537035</v>
      </c>
      <c r="M210" s="17">
        <v>45962.230474537035</v>
      </c>
      <c r="N210" s="14"/>
      <c r="O210" s="17">
        <v>45961.230474537035</v>
      </c>
      <c r="P210" s="14" t="s">
        <v>5721</v>
      </c>
      <c r="Q210" s="18">
        <v>44000</v>
      </c>
      <c r="R210" s="19">
        <v>19.100000000000001</v>
      </c>
      <c r="S210" s="18">
        <v>35596</v>
      </c>
      <c r="T210" s="14">
        <v>12</v>
      </c>
      <c r="U210" s="18">
        <v>35596</v>
      </c>
      <c r="V210" s="18">
        <v>10000</v>
      </c>
      <c r="W210" s="19">
        <v>3.1</v>
      </c>
      <c r="X210" s="18">
        <v>9690</v>
      </c>
      <c r="Y210" s="14" t="s">
        <v>5665</v>
      </c>
      <c r="Z210" s="14" t="s">
        <v>5666</v>
      </c>
      <c r="AA210" s="14" t="b">
        <v>0</v>
      </c>
      <c r="AB210" s="14" t="b">
        <v>0</v>
      </c>
      <c r="AC210" s="14" t="b">
        <v>1</v>
      </c>
    </row>
    <row r="211" spans="1:29">
      <c r="A211" s="14" t="s">
        <v>2529</v>
      </c>
      <c r="B211" s="14" t="s">
        <v>6013</v>
      </c>
      <c r="C211" s="14" t="s">
        <v>1001</v>
      </c>
      <c r="D211" s="14" t="s">
        <v>2528</v>
      </c>
      <c r="E211" s="14" t="s">
        <v>18</v>
      </c>
      <c r="F211" s="14" t="s">
        <v>5668</v>
      </c>
      <c r="G211" s="14" t="s">
        <v>1295</v>
      </c>
      <c r="H211" s="15">
        <v>44874.756342592591</v>
      </c>
      <c r="I211" s="14" t="s">
        <v>5663</v>
      </c>
      <c r="J211" s="14">
        <v>100</v>
      </c>
      <c r="K211" s="14" t="s">
        <v>5679</v>
      </c>
      <c r="L211" s="17">
        <v>44926.756342592591</v>
      </c>
      <c r="M211" s="17">
        <v>44940.756342592591</v>
      </c>
      <c r="N211" s="14"/>
      <c r="O211" s="17">
        <v>44938.756342592591</v>
      </c>
      <c r="P211" s="14"/>
      <c r="Q211" s="18">
        <v>60000</v>
      </c>
      <c r="R211" s="19">
        <v>10.5</v>
      </c>
      <c r="S211" s="18">
        <v>53700</v>
      </c>
      <c r="T211" s="14">
        <v>24</v>
      </c>
      <c r="U211" s="18">
        <v>107400</v>
      </c>
      <c r="V211" s="18">
        <v>20000</v>
      </c>
      <c r="W211" s="19">
        <v>15.3</v>
      </c>
      <c r="X211" s="18">
        <v>16940</v>
      </c>
      <c r="Y211" s="14" t="s">
        <v>5665</v>
      </c>
      <c r="Z211" s="14" t="s">
        <v>5666</v>
      </c>
      <c r="AA211" s="14" t="b">
        <v>0</v>
      </c>
      <c r="AB211" s="14" t="b">
        <v>0</v>
      </c>
      <c r="AC211" s="14" t="b">
        <v>1</v>
      </c>
    </row>
    <row r="212" spans="1:29">
      <c r="A212" s="14" t="s">
        <v>1693</v>
      </c>
      <c r="B212" s="14" t="s">
        <v>6014</v>
      </c>
      <c r="C212" s="14" t="s">
        <v>379</v>
      </c>
      <c r="D212" s="14" t="s">
        <v>1692</v>
      </c>
      <c r="E212" s="14" t="s">
        <v>59</v>
      </c>
      <c r="F212" s="14" t="s">
        <v>5668</v>
      </c>
      <c r="G212" s="14" t="s">
        <v>1317</v>
      </c>
      <c r="H212" s="15">
        <v>45566.648692129631</v>
      </c>
      <c r="I212" s="14" t="s">
        <v>5663</v>
      </c>
      <c r="J212" s="14">
        <v>100</v>
      </c>
      <c r="K212" s="14" t="s">
        <v>5664</v>
      </c>
      <c r="L212" s="17">
        <v>45600.648692129631</v>
      </c>
      <c r="M212" s="17">
        <v>45593.648692129631</v>
      </c>
      <c r="N212" s="14"/>
      <c r="O212" s="17">
        <v>45587.648692129631</v>
      </c>
      <c r="P212" s="14"/>
      <c r="Q212" s="18">
        <v>20000</v>
      </c>
      <c r="R212" s="19">
        <v>7.8</v>
      </c>
      <c r="S212" s="18">
        <v>18440</v>
      </c>
      <c r="T212" s="14">
        <v>12</v>
      </c>
      <c r="U212" s="18">
        <v>18440</v>
      </c>
      <c r="V212" s="18">
        <v>5000</v>
      </c>
      <c r="W212" s="19">
        <v>3</v>
      </c>
      <c r="X212" s="18">
        <v>4850</v>
      </c>
      <c r="Y212" s="14" t="s">
        <v>5665</v>
      </c>
      <c r="Z212" s="14" t="s">
        <v>5666</v>
      </c>
      <c r="AA212" s="14" t="b">
        <v>0</v>
      </c>
      <c r="AB212" s="14" t="b">
        <v>0</v>
      </c>
      <c r="AC212" s="14" t="b">
        <v>0</v>
      </c>
    </row>
    <row r="213" spans="1:29">
      <c r="A213" s="14" t="s">
        <v>1643</v>
      </c>
      <c r="B213" s="14" t="s">
        <v>6015</v>
      </c>
      <c r="C213" s="14" t="s">
        <v>431</v>
      </c>
      <c r="D213" s="14" t="s">
        <v>1642</v>
      </c>
      <c r="E213" s="14" t="s">
        <v>36</v>
      </c>
      <c r="F213" s="14" t="s">
        <v>5668</v>
      </c>
      <c r="G213" s="14" t="s">
        <v>1295</v>
      </c>
      <c r="H213" s="15">
        <v>46260.682789351849</v>
      </c>
      <c r="I213" s="14" t="s">
        <v>5681</v>
      </c>
      <c r="J213" s="14">
        <v>25</v>
      </c>
      <c r="K213" s="14" t="s">
        <v>5670</v>
      </c>
      <c r="L213" s="17">
        <v>46354</v>
      </c>
      <c r="M213" s="17"/>
      <c r="N213" s="14" t="s">
        <v>5713</v>
      </c>
      <c r="O213" s="17">
        <v>46278</v>
      </c>
      <c r="P213" s="14"/>
      <c r="Q213" s="18">
        <v>20000</v>
      </c>
      <c r="R213" s="19">
        <v>8</v>
      </c>
      <c r="S213" s="18">
        <v>18400</v>
      </c>
      <c r="T213" s="14">
        <v>12</v>
      </c>
      <c r="U213" s="18">
        <v>18400</v>
      </c>
      <c r="V213" s="18">
        <v>5000</v>
      </c>
      <c r="W213" s="19">
        <v>10.1</v>
      </c>
      <c r="X213" s="18">
        <v>4495</v>
      </c>
      <c r="Y213" s="14" t="s">
        <v>5665</v>
      </c>
      <c r="Z213" s="14" t="s">
        <v>5666</v>
      </c>
      <c r="AA213" s="14" t="b">
        <v>0</v>
      </c>
      <c r="AB213" s="14" t="b">
        <v>0</v>
      </c>
      <c r="AC213" s="14" t="b">
        <v>0</v>
      </c>
    </row>
    <row r="214" spans="1:29">
      <c r="A214" s="14" t="s">
        <v>2273</v>
      </c>
      <c r="B214" s="14" t="s">
        <v>5781</v>
      </c>
      <c r="C214" s="14" t="s">
        <v>360</v>
      </c>
      <c r="D214" s="14" t="s">
        <v>2272</v>
      </c>
      <c r="E214" s="14" t="s">
        <v>59</v>
      </c>
      <c r="F214" s="14" t="s">
        <v>5668</v>
      </c>
      <c r="G214" s="14" t="s">
        <v>1295</v>
      </c>
      <c r="H214" s="15">
        <v>45475.203009259261</v>
      </c>
      <c r="I214" s="14" t="s">
        <v>5663</v>
      </c>
      <c r="J214" s="14">
        <v>100</v>
      </c>
      <c r="K214" s="14" t="s">
        <v>5664</v>
      </c>
      <c r="L214" s="17">
        <v>45501.203009259261</v>
      </c>
      <c r="M214" s="17">
        <v>45508.203009259261</v>
      </c>
      <c r="N214" s="14"/>
      <c r="O214" s="17">
        <v>45506.203009259261</v>
      </c>
      <c r="P214" s="14"/>
      <c r="Q214" s="18">
        <v>18000</v>
      </c>
      <c r="R214" s="19">
        <v>1.6</v>
      </c>
      <c r="S214" s="18">
        <v>17712</v>
      </c>
      <c r="T214" s="14">
        <v>12</v>
      </c>
      <c r="U214" s="18">
        <v>17712</v>
      </c>
      <c r="V214" s="18">
        <v>5000</v>
      </c>
      <c r="W214" s="19">
        <v>9.9</v>
      </c>
      <c r="X214" s="18">
        <v>4505</v>
      </c>
      <c r="Y214" s="14" t="s">
        <v>5688</v>
      </c>
      <c r="Z214" s="14" t="s">
        <v>5666</v>
      </c>
      <c r="AA214" s="14" t="b">
        <v>0</v>
      </c>
      <c r="AB214" s="14" t="b">
        <v>0</v>
      </c>
      <c r="AC214" s="14" t="b">
        <v>1</v>
      </c>
    </row>
    <row r="215" spans="1:29">
      <c r="A215" s="14" t="s">
        <v>1401</v>
      </c>
      <c r="B215" s="14" t="s">
        <v>6016</v>
      </c>
      <c r="C215" s="14" t="s">
        <v>357</v>
      </c>
      <c r="D215" s="14" t="s">
        <v>1400</v>
      </c>
      <c r="E215" s="14" t="s">
        <v>18</v>
      </c>
      <c r="F215" s="14" t="s">
        <v>5668</v>
      </c>
      <c r="G215" s="14" t="s">
        <v>1271</v>
      </c>
      <c r="H215" s="15">
        <v>45687.371076388888</v>
      </c>
      <c r="I215" s="14" t="s">
        <v>5663</v>
      </c>
      <c r="J215" s="14">
        <v>100</v>
      </c>
      <c r="K215" s="14" t="s">
        <v>5664</v>
      </c>
      <c r="L215" s="17">
        <v>45751.371076388888</v>
      </c>
      <c r="M215" s="17">
        <v>45765.371076388888</v>
      </c>
      <c r="N215" s="14"/>
      <c r="O215" s="17">
        <v>45759.371076388888</v>
      </c>
      <c r="P215" s="14"/>
      <c r="Q215" s="18">
        <v>80000</v>
      </c>
      <c r="R215" s="19">
        <v>7.2</v>
      </c>
      <c r="S215" s="18">
        <v>74240</v>
      </c>
      <c r="T215" s="14">
        <v>12</v>
      </c>
      <c r="U215" s="18">
        <v>74240</v>
      </c>
      <c r="V215" s="18">
        <v>20000</v>
      </c>
      <c r="W215" s="19">
        <v>17.899999999999999</v>
      </c>
      <c r="X215" s="18">
        <v>16420</v>
      </c>
      <c r="Y215" s="14" t="s">
        <v>5665</v>
      </c>
      <c r="Z215" s="14" t="s">
        <v>5666</v>
      </c>
      <c r="AA215" s="14" t="b">
        <v>0</v>
      </c>
      <c r="AB215" s="14" t="b">
        <v>0</v>
      </c>
      <c r="AC215" s="14" t="b">
        <v>0</v>
      </c>
    </row>
    <row r="216" spans="1:29">
      <c r="A216" s="14" t="s">
        <v>6017</v>
      </c>
      <c r="B216" s="14" t="s">
        <v>5660</v>
      </c>
      <c r="C216" s="14" t="s">
        <v>554</v>
      </c>
      <c r="D216" s="14" t="s">
        <v>5661</v>
      </c>
      <c r="E216" s="14" t="s">
        <v>25</v>
      </c>
      <c r="F216" s="14" t="s">
        <v>5662</v>
      </c>
      <c r="G216" s="14" t="s">
        <v>1288</v>
      </c>
      <c r="H216" s="15">
        <v>46028</v>
      </c>
      <c r="I216" s="14" t="s">
        <v>5663</v>
      </c>
      <c r="J216" s="14">
        <v>100</v>
      </c>
      <c r="K216" s="14" t="s">
        <v>5664</v>
      </c>
      <c r="L216" s="17">
        <v>46062</v>
      </c>
      <c r="M216" s="17">
        <v>46062</v>
      </c>
      <c r="N216" s="14"/>
      <c r="O216" s="17">
        <v>46056</v>
      </c>
      <c r="P216" s="14"/>
      <c r="Q216" s="18">
        <v>12000</v>
      </c>
      <c r="R216" s="19">
        <v>7.4</v>
      </c>
      <c r="S216" s="18">
        <v>11112</v>
      </c>
      <c r="T216" s="14">
        <v>12</v>
      </c>
      <c r="U216" s="18">
        <v>11112</v>
      </c>
      <c r="V216" s="18">
        <v>0</v>
      </c>
      <c r="W216" s="19">
        <v>0</v>
      </c>
      <c r="X216" s="18">
        <v>0</v>
      </c>
      <c r="Y216" s="14" t="s">
        <v>5665</v>
      </c>
      <c r="Z216" s="14" t="s">
        <v>5780</v>
      </c>
      <c r="AA216" s="14" t="b">
        <v>0</v>
      </c>
      <c r="AB216" s="14" t="b">
        <v>0</v>
      </c>
      <c r="AC216" s="14" t="b">
        <v>1</v>
      </c>
    </row>
    <row r="217" spans="1:29">
      <c r="A217" s="14" t="s">
        <v>6018</v>
      </c>
      <c r="B217" s="14" t="s">
        <v>6019</v>
      </c>
      <c r="C217" s="14" t="s">
        <v>629</v>
      </c>
      <c r="D217" s="14" t="s">
        <v>6012</v>
      </c>
      <c r="E217" s="14" t="s">
        <v>18</v>
      </c>
      <c r="F217" s="14" t="s">
        <v>5662</v>
      </c>
      <c r="G217" s="14" t="s">
        <v>1281</v>
      </c>
      <c r="H217" s="15">
        <v>46142.492280092592</v>
      </c>
      <c r="I217" s="14" t="s">
        <v>5663</v>
      </c>
      <c r="J217" s="14">
        <v>100</v>
      </c>
      <c r="K217" s="14" t="s">
        <v>5664</v>
      </c>
      <c r="L217" s="17">
        <v>46228.492280092592</v>
      </c>
      <c r="M217" s="17">
        <v>46228.492280092592</v>
      </c>
      <c r="N217" s="14"/>
      <c r="O217" s="17">
        <v>46222.492280092592</v>
      </c>
      <c r="P217" s="14"/>
      <c r="Q217" s="18">
        <v>12000</v>
      </c>
      <c r="R217" s="19">
        <v>14.1</v>
      </c>
      <c r="S217" s="18">
        <v>10308</v>
      </c>
      <c r="T217" s="14">
        <v>12</v>
      </c>
      <c r="U217" s="18">
        <v>10308</v>
      </c>
      <c r="V217" s="18">
        <v>0</v>
      </c>
      <c r="W217" s="19">
        <v>0</v>
      </c>
      <c r="X217" s="18">
        <v>0</v>
      </c>
      <c r="Y217" s="14" t="s">
        <v>5665</v>
      </c>
      <c r="Z217" s="14" t="s">
        <v>5666</v>
      </c>
      <c r="AA217" s="14" t="b">
        <v>0</v>
      </c>
      <c r="AB217" s="14" t="b">
        <v>0</v>
      </c>
      <c r="AC217" s="14" t="b">
        <v>1</v>
      </c>
    </row>
    <row r="218" spans="1:29">
      <c r="A218" s="14" t="s">
        <v>6020</v>
      </c>
      <c r="B218" s="14" t="s">
        <v>6021</v>
      </c>
      <c r="C218" s="14" t="s">
        <v>729</v>
      </c>
      <c r="D218" s="14" t="s">
        <v>2012</v>
      </c>
      <c r="E218" s="14" t="s">
        <v>18</v>
      </c>
      <c r="F218" s="14" t="s">
        <v>5668</v>
      </c>
      <c r="G218" s="14"/>
      <c r="H218" s="15">
        <v>46247.375</v>
      </c>
      <c r="I218" s="14" t="s">
        <v>5681</v>
      </c>
      <c r="J218" s="14">
        <v>25</v>
      </c>
      <c r="K218" s="14" t="s">
        <v>5670</v>
      </c>
      <c r="L218" s="17">
        <v>46244</v>
      </c>
      <c r="M218" s="17"/>
      <c r="N218" s="14" t="s">
        <v>5699</v>
      </c>
      <c r="O218" s="17">
        <v>46283</v>
      </c>
      <c r="P218" s="14"/>
      <c r="Q218" s="18">
        <v>50000</v>
      </c>
      <c r="R218" s="19">
        <v>3.9</v>
      </c>
      <c r="S218" s="18">
        <v>48050</v>
      </c>
      <c r="T218" s="14">
        <v>12</v>
      </c>
      <c r="U218" s="18">
        <v>48050</v>
      </c>
      <c r="V218" s="18">
        <v>10000</v>
      </c>
      <c r="W218" s="19">
        <v>2.2999999999999998</v>
      </c>
      <c r="X218" s="18">
        <v>9770</v>
      </c>
      <c r="Y218" s="14" t="s">
        <v>5665</v>
      </c>
      <c r="Z218" s="14" t="s">
        <v>5666</v>
      </c>
      <c r="AA218" s="14" t="b">
        <v>0</v>
      </c>
      <c r="AB218" s="14" t="b">
        <v>0</v>
      </c>
      <c r="AC218" s="14" t="b">
        <v>0</v>
      </c>
    </row>
    <row r="219" spans="1:29">
      <c r="A219" s="14" t="s">
        <v>2163</v>
      </c>
      <c r="B219" s="14" t="s">
        <v>6022</v>
      </c>
      <c r="C219" s="14" t="s">
        <v>428</v>
      </c>
      <c r="D219" s="14" t="s">
        <v>2162</v>
      </c>
      <c r="E219" s="14" t="s">
        <v>36</v>
      </c>
      <c r="F219" s="14" t="s">
        <v>5668</v>
      </c>
      <c r="G219" s="14" t="s">
        <v>1355</v>
      </c>
      <c r="H219" s="15">
        <v>45462.622141203705</v>
      </c>
      <c r="I219" s="14" t="s">
        <v>5663</v>
      </c>
      <c r="J219" s="14">
        <v>100</v>
      </c>
      <c r="K219" s="14" t="s">
        <v>5664</v>
      </c>
      <c r="L219" s="17">
        <v>45554.622141203705</v>
      </c>
      <c r="M219" s="17">
        <v>45524.622141203705</v>
      </c>
      <c r="N219" s="14"/>
      <c r="O219" s="17">
        <v>45524.622141203705</v>
      </c>
      <c r="P219" s="14"/>
      <c r="Q219" s="18">
        <v>60000</v>
      </c>
      <c r="R219" s="19">
        <v>9.5</v>
      </c>
      <c r="S219" s="18">
        <v>54300</v>
      </c>
      <c r="T219" s="14">
        <v>12</v>
      </c>
      <c r="U219" s="18">
        <v>54300</v>
      </c>
      <c r="V219" s="18">
        <v>20000</v>
      </c>
      <c r="W219" s="19">
        <v>1.8</v>
      </c>
      <c r="X219" s="18">
        <v>19640</v>
      </c>
      <c r="Y219" s="14" t="s">
        <v>5688</v>
      </c>
      <c r="Z219" s="14" t="s">
        <v>5666</v>
      </c>
      <c r="AA219" s="14" t="b">
        <v>0</v>
      </c>
      <c r="AB219" s="14" t="b">
        <v>0</v>
      </c>
      <c r="AC219" s="14" t="b">
        <v>1</v>
      </c>
    </row>
    <row r="220" spans="1:29">
      <c r="A220" s="14" t="s">
        <v>2381</v>
      </c>
      <c r="B220" s="14" t="s">
        <v>6023</v>
      </c>
      <c r="C220" s="14" t="s">
        <v>598</v>
      </c>
      <c r="D220" s="14" t="s">
        <v>2380</v>
      </c>
      <c r="E220" s="14" t="s">
        <v>25</v>
      </c>
      <c r="F220" s="14" t="s">
        <v>5668</v>
      </c>
      <c r="G220" s="14" t="s">
        <v>1317</v>
      </c>
      <c r="H220" s="15">
        <v>45091.817418981482</v>
      </c>
      <c r="I220" s="14" t="s">
        <v>5663</v>
      </c>
      <c r="J220" s="14">
        <v>100</v>
      </c>
      <c r="K220" s="14" t="s">
        <v>5664</v>
      </c>
      <c r="L220" s="17">
        <v>45135.817418981482</v>
      </c>
      <c r="M220" s="17">
        <v>45135.817418981482</v>
      </c>
      <c r="N220" s="14"/>
      <c r="O220" s="17">
        <v>45131.817418981482</v>
      </c>
      <c r="P220" s="14"/>
      <c r="Q220" s="18">
        <v>44000</v>
      </c>
      <c r="R220" s="19">
        <v>0.5</v>
      </c>
      <c r="S220" s="18">
        <v>43780</v>
      </c>
      <c r="T220" s="14">
        <v>12</v>
      </c>
      <c r="U220" s="18">
        <v>43780</v>
      </c>
      <c r="V220" s="18">
        <v>10000</v>
      </c>
      <c r="W220" s="19">
        <v>7.5</v>
      </c>
      <c r="X220" s="18">
        <v>9250</v>
      </c>
      <c r="Y220" s="14" t="s">
        <v>5665</v>
      </c>
      <c r="Z220" s="14" t="s">
        <v>5666</v>
      </c>
      <c r="AA220" s="14" t="b">
        <v>0</v>
      </c>
      <c r="AB220" s="14" t="b">
        <v>0</v>
      </c>
      <c r="AC220" s="14" t="b">
        <v>0</v>
      </c>
    </row>
    <row r="221" spans="1:29">
      <c r="A221" s="14" t="s">
        <v>6024</v>
      </c>
      <c r="B221" s="14" t="s">
        <v>6025</v>
      </c>
      <c r="C221" s="14" t="s">
        <v>37</v>
      </c>
      <c r="D221" s="14" t="s">
        <v>6026</v>
      </c>
      <c r="E221" s="14"/>
      <c r="F221" s="14" t="s">
        <v>5668</v>
      </c>
      <c r="G221" s="14" t="s">
        <v>1271</v>
      </c>
      <c r="H221" s="15">
        <v>46241.541666666664</v>
      </c>
      <c r="I221" s="14" t="s">
        <v>5740</v>
      </c>
      <c r="J221" s="14">
        <v>80</v>
      </c>
      <c r="K221" s="14" t="s">
        <v>5679</v>
      </c>
      <c r="L221" s="17">
        <v>46317</v>
      </c>
      <c r="M221" s="17"/>
      <c r="N221" s="14" t="s">
        <v>5749</v>
      </c>
      <c r="O221" s="17">
        <v>46268</v>
      </c>
      <c r="P221" s="14"/>
      <c r="Q221" s="18">
        <v>16000</v>
      </c>
      <c r="R221" s="19">
        <v>4.5999999999999996</v>
      </c>
      <c r="S221" s="18">
        <v>15264</v>
      </c>
      <c r="T221" s="14">
        <v>12</v>
      </c>
      <c r="U221" s="18">
        <v>15264</v>
      </c>
      <c r="V221" s="18">
        <v>5000</v>
      </c>
      <c r="W221" s="19">
        <v>18.899999999999999</v>
      </c>
      <c r="X221" s="18">
        <v>4055</v>
      </c>
      <c r="Y221" s="14" t="s">
        <v>5665</v>
      </c>
      <c r="Z221" s="14" t="s">
        <v>5666</v>
      </c>
      <c r="AA221" s="14" t="b">
        <v>0</v>
      </c>
      <c r="AB221" s="14" t="b">
        <v>0</v>
      </c>
      <c r="AC221" s="14" t="b">
        <v>0</v>
      </c>
    </row>
    <row r="222" spans="1:29">
      <c r="A222" s="14" t="s">
        <v>6027</v>
      </c>
      <c r="B222" s="14" t="s">
        <v>6028</v>
      </c>
      <c r="C222" s="14" t="s">
        <v>542</v>
      </c>
      <c r="D222" s="14" t="s">
        <v>6029</v>
      </c>
      <c r="E222" s="14" t="s">
        <v>59</v>
      </c>
      <c r="F222" s="14" t="s">
        <v>5668</v>
      </c>
      <c r="G222" s="14"/>
      <c r="H222" s="15">
        <v>46226.708333333336</v>
      </c>
      <c r="I222" s="14" t="s">
        <v>5669</v>
      </c>
      <c r="J222" s="14">
        <v>60</v>
      </c>
      <c r="K222" s="14" t="s">
        <v>5679</v>
      </c>
      <c r="L222" s="17">
        <v>46320</v>
      </c>
      <c r="M222" s="17"/>
      <c r="N222" s="14" t="s">
        <v>5671</v>
      </c>
      <c r="O222" s="17">
        <v>46274</v>
      </c>
      <c r="P222" s="14"/>
      <c r="Q222" s="18">
        <v>32000</v>
      </c>
      <c r="R222" s="19">
        <v>24.1</v>
      </c>
      <c r="S222" s="18">
        <v>24288</v>
      </c>
      <c r="T222" s="14">
        <v>12</v>
      </c>
      <c r="U222" s="18">
        <v>24288</v>
      </c>
      <c r="V222" s="18">
        <v>5000</v>
      </c>
      <c r="W222" s="19">
        <v>15.4</v>
      </c>
      <c r="X222" s="18">
        <v>4230</v>
      </c>
      <c r="Y222" s="14" t="s">
        <v>5665</v>
      </c>
      <c r="Z222" s="14" t="s">
        <v>5666</v>
      </c>
      <c r="AA222" s="14" t="b">
        <v>0</v>
      </c>
      <c r="AB222" s="14" t="b">
        <v>0</v>
      </c>
      <c r="AC222" s="14" t="b">
        <v>1</v>
      </c>
    </row>
    <row r="223" spans="1:29">
      <c r="A223" s="14" t="s">
        <v>1594</v>
      </c>
      <c r="B223" s="14" t="s">
        <v>6030</v>
      </c>
      <c r="C223" s="14" t="s">
        <v>259</v>
      </c>
      <c r="D223" s="14" t="s">
        <v>1593</v>
      </c>
      <c r="E223" s="14" t="s">
        <v>55</v>
      </c>
      <c r="F223" s="14" t="s">
        <v>5668</v>
      </c>
      <c r="G223" s="14" t="s">
        <v>1317</v>
      </c>
      <c r="H223" s="15">
        <v>45668.63863425926</v>
      </c>
      <c r="I223" s="14" t="s">
        <v>5675</v>
      </c>
      <c r="J223" s="14">
        <v>0</v>
      </c>
      <c r="K223" s="14" t="s">
        <v>5664</v>
      </c>
      <c r="L223" s="17">
        <v>45714.63863425926</v>
      </c>
      <c r="M223" s="17">
        <v>45714.63863425926</v>
      </c>
      <c r="N223" s="14"/>
      <c r="O223" s="17">
        <v>45711.63863425926</v>
      </c>
      <c r="P223" s="14" t="s">
        <v>5728</v>
      </c>
      <c r="Q223" s="18">
        <v>30000</v>
      </c>
      <c r="R223" s="19">
        <v>25</v>
      </c>
      <c r="S223" s="18">
        <v>22500</v>
      </c>
      <c r="T223" s="14">
        <v>12</v>
      </c>
      <c r="U223" s="18">
        <v>22500</v>
      </c>
      <c r="V223" s="18">
        <v>10000</v>
      </c>
      <c r="W223" s="19">
        <v>8.4</v>
      </c>
      <c r="X223" s="18">
        <v>9160</v>
      </c>
      <c r="Y223" s="14" t="s">
        <v>5665</v>
      </c>
      <c r="Z223" s="14" t="s">
        <v>5666</v>
      </c>
      <c r="AA223" s="14" t="b">
        <v>1</v>
      </c>
      <c r="AB223" s="14" t="b">
        <v>0</v>
      </c>
      <c r="AC223" s="14" t="b">
        <v>1</v>
      </c>
    </row>
    <row r="224" spans="1:29">
      <c r="A224" s="14" t="s">
        <v>1674</v>
      </c>
      <c r="B224" s="14" t="s">
        <v>5806</v>
      </c>
      <c r="C224" s="14" t="s">
        <v>983</v>
      </c>
      <c r="D224" s="14" t="s">
        <v>1673</v>
      </c>
      <c r="E224" s="14" t="s">
        <v>25</v>
      </c>
      <c r="F224" s="14" t="s">
        <v>5668</v>
      </c>
      <c r="G224" s="14"/>
      <c r="H224" s="15">
        <v>45742.617210648146</v>
      </c>
      <c r="I224" s="14" t="s">
        <v>5675</v>
      </c>
      <c r="J224" s="14">
        <v>0</v>
      </c>
      <c r="K224" s="14" t="s">
        <v>5664</v>
      </c>
      <c r="L224" s="17">
        <v>45776.617210648146</v>
      </c>
      <c r="M224" s="17">
        <v>45769.617210648146</v>
      </c>
      <c r="N224" s="14"/>
      <c r="O224" s="17">
        <v>45766.617210648146</v>
      </c>
      <c r="P224" s="14" t="s">
        <v>5721</v>
      </c>
      <c r="Q224" s="18">
        <v>26000</v>
      </c>
      <c r="R224" s="19">
        <v>0.2</v>
      </c>
      <c r="S224" s="18">
        <v>25948</v>
      </c>
      <c r="T224" s="14">
        <v>24</v>
      </c>
      <c r="U224" s="18">
        <v>51896</v>
      </c>
      <c r="V224" s="18">
        <v>5000</v>
      </c>
      <c r="W224" s="19">
        <v>20.2</v>
      </c>
      <c r="X224" s="18">
        <v>3990</v>
      </c>
      <c r="Y224" s="14" t="s">
        <v>5665</v>
      </c>
      <c r="Z224" s="14" t="s">
        <v>5666</v>
      </c>
      <c r="AA224" s="14" t="b">
        <v>0</v>
      </c>
      <c r="AB224" s="14" t="b">
        <v>1</v>
      </c>
      <c r="AC224" s="14" t="b">
        <v>1</v>
      </c>
    </row>
    <row r="225" spans="1:29">
      <c r="A225" s="14" t="s">
        <v>1769</v>
      </c>
      <c r="B225" s="14" t="s">
        <v>5832</v>
      </c>
      <c r="C225" s="14" t="s">
        <v>861</v>
      </c>
      <c r="D225" s="14" t="s">
        <v>1768</v>
      </c>
      <c r="E225" s="14" t="s">
        <v>91</v>
      </c>
      <c r="F225" s="14" t="s">
        <v>5668</v>
      </c>
      <c r="G225" s="14" t="s">
        <v>1355</v>
      </c>
      <c r="H225" s="15">
        <v>45906.198136574072</v>
      </c>
      <c r="I225" s="14" t="s">
        <v>5681</v>
      </c>
      <c r="J225" s="14">
        <v>25</v>
      </c>
      <c r="K225" s="14" t="s">
        <v>5670</v>
      </c>
      <c r="L225" s="17">
        <v>46328</v>
      </c>
      <c r="M225" s="17"/>
      <c r="N225" s="14" t="s">
        <v>5713</v>
      </c>
      <c r="O225" s="17">
        <v>46275</v>
      </c>
      <c r="P225" s="14"/>
      <c r="Q225" s="18">
        <v>20000</v>
      </c>
      <c r="R225" s="19">
        <v>2.5</v>
      </c>
      <c r="S225" s="18">
        <v>19500</v>
      </c>
      <c r="T225" s="14">
        <v>12</v>
      </c>
      <c r="U225" s="18">
        <v>19500</v>
      </c>
      <c r="V225" s="18">
        <v>5000</v>
      </c>
      <c r="W225" s="19">
        <v>8.6</v>
      </c>
      <c r="X225" s="18">
        <v>4570</v>
      </c>
      <c r="Y225" s="14" t="s">
        <v>5665</v>
      </c>
      <c r="Z225" s="14" t="s">
        <v>5666</v>
      </c>
      <c r="AA225" s="14" t="b">
        <v>0</v>
      </c>
      <c r="AB225" s="14" t="b">
        <v>0</v>
      </c>
      <c r="AC225" s="14" t="b">
        <v>0</v>
      </c>
    </row>
    <row r="226" spans="1:29">
      <c r="A226" s="14" t="s">
        <v>2225</v>
      </c>
      <c r="B226" s="14" t="s">
        <v>5892</v>
      </c>
      <c r="C226" s="14" t="s">
        <v>885</v>
      </c>
      <c r="D226" s="14" t="s">
        <v>2224</v>
      </c>
      <c r="E226" s="14" t="s">
        <v>25</v>
      </c>
      <c r="F226" s="14" t="s">
        <v>5668</v>
      </c>
      <c r="G226" s="14" t="s">
        <v>1288</v>
      </c>
      <c r="H226" s="15">
        <v>46230.65483796296</v>
      </c>
      <c r="I226" s="14" t="s">
        <v>5725</v>
      </c>
      <c r="J226" s="14">
        <v>90</v>
      </c>
      <c r="K226" s="14" t="s">
        <v>5725</v>
      </c>
      <c r="L226" s="17">
        <v>46309</v>
      </c>
      <c r="M226" s="17"/>
      <c r="N226" s="14" t="s">
        <v>5726</v>
      </c>
      <c r="O226" s="17">
        <v>46264</v>
      </c>
      <c r="P226" s="14"/>
      <c r="Q226" s="18">
        <v>20000</v>
      </c>
      <c r="R226" s="19">
        <v>0.5</v>
      </c>
      <c r="S226" s="18">
        <v>19900</v>
      </c>
      <c r="T226" s="14">
        <v>12</v>
      </c>
      <c r="U226" s="18">
        <v>19900</v>
      </c>
      <c r="V226" s="18">
        <v>5000</v>
      </c>
      <c r="W226" s="19">
        <v>1.4</v>
      </c>
      <c r="X226" s="18">
        <v>4930</v>
      </c>
      <c r="Y226" s="14" t="s">
        <v>5665</v>
      </c>
      <c r="Z226" s="14" t="s">
        <v>5666</v>
      </c>
      <c r="AA226" s="14" t="b">
        <v>1</v>
      </c>
      <c r="AB226" s="14" t="b">
        <v>0</v>
      </c>
      <c r="AC226" s="14" t="b">
        <v>1</v>
      </c>
    </row>
    <row r="227" spans="1:29">
      <c r="A227" s="14" t="s">
        <v>6031</v>
      </c>
      <c r="B227" s="14" t="s">
        <v>6032</v>
      </c>
      <c r="C227" s="14" t="s">
        <v>250</v>
      </c>
      <c r="D227" s="14" t="s">
        <v>1459</v>
      </c>
      <c r="E227" s="14" t="s">
        <v>82</v>
      </c>
      <c r="F227" s="14" t="s">
        <v>5668</v>
      </c>
      <c r="G227" s="14" t="s">
        <v>1413</v>
      </c>
      <c r="H227" s="15">
        <v>45988</v>
      </c>
      <c r="I227" s="14" t="s">
        <v>5663</v>
      </c>
      <c r="J227" s="14">
        <v>100</v>
      </c>
      <c r="K227" s="14" t="s">
        <v>5664</v>
      </c>
      <c r="L227" s="17">
        <v>46066</v>
      </c>
      <c r="M227" s="17">
        <v>46066</v>
      </c>
      <c r="N227" s="14"/>
      <c r="O227" s="17">
        <v>46060</v>
      </c>
      <c r="P227" s="14"/>
      <c r="Q227" s="18">
        <v>52000</v>
      </c>
      <c r="R227" s="19">
        <v>22.6</v>
      </c>
      <c r="S227" s="18">
        <v>40248</v>
      </c>
      <c r="T227" s="14">
        <v>12</v>
      </c>
      <c r="U227" s="18">
        <v>40248</v>
      </c>
      <c r="V227" s="18">
        <v>10000</v>
      </c>
      <c r="W227" s="19">
        <v>6.2</v>
      </c>
      <c r="X227" s="18">
        <v>9380</v>
      </c>
      <c r="Y227" s="14" t="s">
        <v>5665</v>
      </c>
      <c r="Z227" s="14" t="s">
        <v>5666</v>
      </c>
      <c r="AA227" s="14" t="b">
        <v>0</v>
      </c>
      <c r="AB227" s="14" t="b">
        <v>0</v>
      </c>
      <c r="AC227" s="14" t="b">
        <v>1</v>
      </c>
    </row>
    <row r="228" spans="1:29">
      <c r="A228" s="14" t="s">
        <v>2517</v>
      </c>
      <c r="B228" s="14" t="s">
        <v>6009</v>
      </c>
      <c r="C228" s="14" t="s">
        <v>401</v>
      </c>
      <c r="D228" s="14" t="s">
        <v>2516</v>
      </c>
      <c r="E228" s="14" t="s">
        <v>82</v>
      </c>
      <c r="F228" s="14" t="s">
        <v>5668</v>
      </c>
      <c r="G228" s="14" t="s">
        <v>1271</v>
      </c>
      <c r="H228" s="15">
        <v>45814.625567129631</v>
      </c>
      <c r="I228" s="14" t="s">
        <v>5663</v>
      </c>
      <c r="J228" s="14">
        <v>100</v>
      </c>
      <c r="K228" s="14" t="s">
        <v>5664</v>
      </c>
      <c r="L228" s="17">
        <v>45860.625567129631</v>
      </c>
      <c r="M228" s="17">
        <v>45874.625567129631</v>
      </c>
      <c r="N228" s="14"/>
      <c r="O228" s="17">
        <v>45873.625567129631</v>
      </c>
      <c r="P228" s="14"/>
      <c r="Q228" s="18">
        <v>60000</v>
      </c>
      <c r="R228" s="19">
        <v>19.399999999999999</v>
      </c>
      <c r="S228" s="18">
        <v>48360</v>
      </c>
      <c r="T228" s="14">
        <v>12</v>
      </c>
      <c r="U228" s="18">
        <v>48360</v>
      </c>
      <c r="V228" s="18">
        <v>20000</v>
      </c>
      <c r="W228" s="19">
        <v>26</v>
      </c>
      <c r="X228" s="18">
        <v>14800</v>
      </c>
      <c r="Y228" s="14" t="s">
        <v>5665</v>
      </c>
      <c r="Z228" s="14" t="s">
        <v>5666</v>
      </c>
      <c r="AA228" s="14" t="b">
        <v>0</v>
      </c>
      <c r="AB228" s="14" t="b">
        <v>0</v>
      </c>
      <c r="AC228" s="14" t="b">
        <v>1</v>
      </c>
    </row>
    <row r="229" spans="1:29">
      <c r="A229" s="14" t="s">
        <v>2484</v>
      </c>
      <c r="B229" s="14" t="s">
        <v>5949</v>
      </c>
      <c r="C229" s="14" t="s">
        <v>31</v>
      </c>
      <c r="D229" s="14" t="s">
        <v>2483</v>
      </c>
      <c r="E229" s="14" t="s">
        <v>36</v>
      </c>
      <c r="F229" s="14" t="s">
        <v>5668</v>
      </c>
      <c r="G229" s="14" t="s">
        <v>1413</v>
      </c>
      <c r="H229" s="15">
        <v>46161.131516203706</v>
      </c>
      <c r="I229" s="14" t="s">
        <v>5725</v>
      </c>
      <c r="J229" s="14">
        <v>90</v>
      </c>
      <c r="K229" s="14" t="s">
        <v>5725</v>
      </c>
      <c r="L229" s="17">
        <v>46307</v>
      </c>
      <c r="M229" s="17"/>
      <c r="N229" s="14" t="s">
        <v>5753</v>
      </c>
      <c r="O229" s="17">
        <v>46250</v>
      </c>
      <c r="P229" s="14"/>
      <c r="Q229" s="18">
        <v>38000</v>
      </c>
      <c r="R229" s="19">
        <v>23</v>
      </c>
      <c r="S229" s="18">
        <v>29260</v>
      </c>
      <c r="T229" s="14">
        <v>12</v>
      </c>
      <c r="U229" s="18">
        <v>29260</v>
      </c>
      <c r="V229" s="18">
        <v>10000</v>
      </c>
      <c r="W229" s="19">
        <v>24.2</v>
      </c>
      <c r="X229" s="18">
        <v>7580</v>
      </c>
      <c r="Y229" s="14" t="s">
        <v>5665</v>
      </c>
      <c r="Z229" s="14" t="s">
        <v>5666</v>
      </c>
      <c r="AA229" s="14" t="b">
        <v>0</v>
      </c>
      <c r="AB229" s="14" t="b">
        <v>0</v>
      </c>
      <c r="AC229" s="14" t="b">
        <v>1</v>
      </c>
    </row>
    <row r="230" spans="1:29">
      <c r="A230" s="14" t="s">
        <v>6033</v>
      </c>
      <c r="B230" s="14" t="s">
        <v>6034</v>
      </c>
      <c r="C230" s="14" t="s">
        <v>742</v>
      </c>
      <c r="D230" s="14" t="s">
        <v>6035</v>
      </c>
      <c r="E230" s="14" t="s">
        <v>91</v>
      </c>
      <c r="F230" s="14" t="s">
        <v>5662</v>
      </c>
      <c r="G230" s="14" t="s">
        <v>1288</v>
      </c>
      <c r="H230" s="15">
        <v>46080.174629629626</v>
      </c>
      <c r="I230" s="14" t="s">
        <v>5663</v>
      </c>
      <c r="J230" s="14">
        <v>100</v>
      </c>
      <c r="K230" s="14" t="s">
        <v>5664</v>
      </c>
      <c r="L230" s="17">
        <v>46110.174629629626</v>
      </c>
      <c r="M230" s="17">
        <v>46110.174629629626</v>
      </c>
      <c r="N230" s="14"/>
      <c r="O230" s="17">
        <v>46103.174629629626</v>
      </c>
      <c r="P230" s="14"/>
      <c r="Q230" s="18">
        <v>12000</v>
      </c>
      <c r="R230" s="19">
        <v>3.3</v>
      </c>
      <c r="S230" s="18">
        <v>11604</v>
      </c>
      <c r="T230" s="14">
        <v>12</v>
      </c>
      <c r="U230" s="18">
        <v>11604</v>
      </c>
      <c r="V230" s="18">
        <v>0</v>
      </c>
      <c r="W230" s="19">
        <v>0</v>
      </c>
      <c r="X230" s="18">
        <v>0</v>
      </c>
      <c r="Y230" s="14" t="s">
        <v>5665</v>
      </c>
      <c r="Z230" s="14" t="s">
        <v>5666</v>
      </c>
      <c r="AA230" s="14" t="b">
        <v>0</v>
      </c>
      <c r="AB230" s="14" t="b">
        <v>0</v>
      </c>
      <c r="AC230" s="14" t="b">
        <v>0</v>
      </c>
    </row>
    <row r="231" spans="1:29">
      <c r="A231" s="14" t="s">
        <v>1736</v>
      </c>
      <c r="B231" s="14" t="s">
        <v>6036</v>
      </c>
      <c r="C231" s="14" t="s">
        <v>12</v>
      </c>
      <c r="D231" s="14" t="s">
        <v>1735</v>
      </c>
      <c r="E231" s="14" t="s">
        <v>18</v>
      </c>
      <c r="F231" s="14" t="s">
        <v>5668</v>
      </c>
      <c r="G231" s="14" t="s">
        <v>1281</v>
      </c>
      <c r="H231" s="15">
        <v>45175.663483796299</v>
      </c>
      <c r="I231" s="14" t="s">
        <v>5675</v>
      </c>
      <c r="J231" s="14">
        <v>25</v>
      </c>
      <c r="K231" s="14" t="s">
        <v>5664</v>
      </c>
      <c r="L231" s="17">
        <v>45281.663483796299</v>
      </c>
      <c r="M231" s="17">
        <v>45281.663483796299</v>
      </c>
      <c r="N231" s="14"/>
      <c r="O231" s="17">
        <v>45278.663483796299</v>
      </c>
      <c r="P231" s="14" t="s">
        <v>5676</v>
      </c>
      <c r="Q231" s="18">
        <v>80000</v>
      </c>
      <c r="R231" s="19">
        <v>3.1</v>
      </c>
      <c r="S231" s="18">
        <v>77520</v>
      </c>
      <c r="T231" s="14">
        <v>12</v>
      </c>
      <c r="U231" s="18">
        <v>77520</v>
      </c>
      <c r="V231" s="18">
        <v>20000</v>
      </c>
      <c r="W231" s="19">
        <v>23.2</v>
      </c>
      <c r="X231" s="18">
        <v>15360</v>
      </c>
      <c r="Y231" s="14" t="s">
        <v>5665</v>
      </c>
      <c r="Z231" s="14" t="s">
        <v>5666</v>
      </c>
      <c r="AA231" s="14" t="b">
        <v>0</v>
      </c>
      <c r="AB231" s="14" t="b">
        <v>0</v>
      </c>
      <c r="AC231" s="14" t="b">
        <v>1</v>
      </c>
    </row>
    <row r="232" spans="1:29">
      <c r="A232" s="14" t="s">
        <v>6037</v>
      </c>
      <c r="B232" s="14" t="s">
        <v>6038</v>
      </c>
      <c r="C232" s="14" t="s">
        <v>217</v>
      </c>
      <c r="D232" s="14" t="s">
        <v>1794</v>
      </c>
      <c r="E232" s="14" t="s">
        <v>25</v>
      </c>
      <c r="F232" s="14" t="s">
        <v>5668</v>
      </c>
      <c r="G232" s="14" t="s">
        <v>1281</v>
      </c>
      <c r="H232" s="15">
        <v>45723</v>
      </c>
      <c r="I232" s="14" t="s">
        <v>5663</v>
      </c>
      <c r="J232" s="14">
        <v>100</v>
      </c>
      <c r="K232" s="14" t="s">
        <v>5664</v>
      </c>
      <c r="L232" s="17">
        <v>45760</v>
      </c>
      <c r="M232" s="17">
        <v>45753</v>
      </c>
      <c r="N232" s="14"/>
      <c r="O232" s="17">
        <v>45750</v>
      </c>
      <c r="P232" s="14"/>
      <c r="Q232" s="18">
        <v>26000</v>
      </c>
      <c r="R232" s="19">
        <v>4.2</v>
      </c>
      <c r="S232" s="18">
        <v>24908</v>
      </c>
      <c r="T232" s="14">
        <v>12</v>
      </c>
      <c r="U232" s="18">
        <v>24908</v>
      </c>
      <c r="V232" s="18">
        <v>5000</v>
      </c>
      <c r="W232" s="19">
        <v>4.0999999999999996</v>
      </c>
      <c r="X232" s="18">
        <v>4795</v>
      </c>
      <c r="Y232" s="14" t="s">
        <v>5665</v>
      </c>
      <c r="Z232" s="14" t="s">
        <v>5666</v>
      </c>
      <c r="AA232" s="14" t="b">
        <v>0</v>
      </c>
      <c r="AB232" s="14" t="b">
        <v>0</v>
      </c>
      <c r="AC232" s="14" t="b">
        <v>0</v>
      </c>
    </row>
    <row r="233" spans="1:29">
      <c r="A233" s="14" t="s">
        <v>1304</v>
      </c>
      <c r="B233" s="14" t="s">
        <v>5909</v>
      </c>
      <c r="C233" s="14" t="s">
        <v>265</v>
      </c>
      <c r="D233" s="14" t="s">
        <v>1303</v>
      </c>
      <c r="E233" s="14" t="s">
        <v>82</v>
      </c>
      <c r="F233" s="14" t="s">
        <v>5668</v>
      </c>
      <c r="G233" s="14" t="s">
        <v>1295</v>
      </c>
      <c r="H233" s="15">
        <v>46206</v>
      </c>
      <c r="I233" s="14" t="s">
        <v>5675</v>
      </c>
      <c r="J233" s="14">
        <v>0</v>
      </c>
      <c r="K233" s="14" t="s">
        <v>5664</v>
      </c>
      <c r="L233" s="17">
        <v>46311</v>
      </c>
      <c r="M233" s="17">
        <v>46281</v>
      </c>
      <c r="N233" s="14"/>
      <c r="O233" s="17">
        <v>46279</v>
      </c>
      <c r="P233" s="14" t="s">
        <v>5721</v>
      </c>
      <c r="Q233" s="18">
        <v>84000</v>
      </c>
      <c r="R233" s="19">
        <v>17.100000000000001</v>
      </c>
      <c r="S233" s="18">
        <v>69636</v>
      </c>
      <c r="T233" s="14">
        <v>12</v>
      </c>
      <c r="U233" s="18">
        <v>69636</v>
      </c>
      <c r="V233" s="18">
        <v>20000</v>
      </c>
      <c r="W233" s="19">
        <v>3.9</v>
      </c>
      <c r="X233" s="18">
        <v>19220</v>
      </c>
      <c r="Y233" s="14" t="s">
        <v>5665</v>
      </c>
      <c r="Z233" s="14" t="s">
        <v>5693</v>
      </c>
      <c r="AA233" s="14" t="b">
        <v>0</v>
      </c>
      <c r="AB233" s="14" t="b">
        <v>0</v>
      </c>
      <c r="AC233" s="14" t="b">
        <v>1</v>
      </c>
    </row>
    <row r="234" spans="1:29">
      <c r="A234" s="14" t="s">
        <v>1974</v>
      </c>
      <c r="B234" s="14" t="s">
        <v>6039</v>
      </c>
      <c r="C234" s="14" t="s">
        <v>939</v>
      </c>
      <c r="D234" s="14" t="s">
        <v>1973</v>
      </c>
      <c r="E234" s="14" t="s">
        <v>36</v>
      </c>
      <c r="F234" s="14" t="s">
        <v>5668</v>
      </c>
      <c r="G234" s="14" t="s">
        <v>1288</v>
      </c>
      <c r="H234" s="15">
        <v>45283.059652777774</v>
      </c>
      <c r="I234" s="14" t="s">
        <v>5675</v>
      </c>
      <c r="J234" s="14">
        <v>0</v>
      </c>
      <c r="K234" s="14" t="s">
        <v>5664</v>
      </c>
      <c r="L234" s="17">
        <v>45357.059652777774</v>
      </c>
      <c r="M234" s="17">
        <v>45371.059652777774</v>
      </c>
      <c r="N234" s="14"/>
      <c r="O234" s="17">
        <v>45370.059652777774</v>
      </c>
      <c r="P234" s="14" t="s">
        <v>5703</v>
      </c>
      <c r="Q234" s="18">
        <v>54000</v>
      </c>
      <c r="R234" s="19">
        <v>0.5</v>
      </c>
      <c r="S234" s="18">
        <v>53730</v>
      </c>
      <c r="T234" s="14">
        <v>12</v>
      </c>
      <c r="U234" s="18">
        <v>53730</v>
      </c>
      <c r="V234" s="18">
        <v>10000</v>
      </c>
      <c r="W234" s="19">
        <v>5.3</v>
      </c>
      <c r="X234" s="18">
        <v>9470</v>
      </c>
      <c r="Y234" s="14" t="s">
        <v>5665</v>
      </c>
      <c r="Z234" s="14" t="s">
        <v>5666</v>
      </c>
      <c r="AA234" s="14" t="b">
        <v>0</v>
      </c>
      <c r="AB234" s="14" t="b">
        <v>0</v>
      </c>
      <c r="AC234" s="14" t="b">
        <v>0</v>
      </c>
    </row>
    <row r="235" spans="1:29">
      <c r="A235" s="14" t="s">
        <v>6040</v>
      </c>
      <c r="B235" s="14" t="s">
        <v>6041</v>
      </c>
      <c r="C235" s="14" t="s">
        <v>412</v>
      </c>
      <c r="D235" s="14" t="s">
        <v>5796</v>
      </c>
      <c r="E235" s="14" t="s">
        <v>55</v>
      </c>
      <c r="F235" s="14" t="s">
        <v>5668</v>
      </c>
      <c r="G235" s="14" t="s">
        <v>1413</v>
      </c>
      <c r="H235" s="15">
        <v>45578</v>
      </c>
      <c r="I235" s="14" t="s">
        <v>5663</v>
      </c>
      <c r="J235" s="14">
        <v>100</v>
      </c>
      <c r="K235" s="14" t="s">
        <v>5664</v>
      </c>
      <c r="L235" s="17">
        <v>45650</v>
      </c>
      <c r="M235" s="17">
        <v>45680</v>
      </c>
      <c r="N235" s="14"/>
      <c r="O235" s="17">
        <v>45677</v>
      </c>
      <c r="P235" s="14"/>
      <c r="Q235" s="18">
        <v>68000</v>
      </c>
      <c r="R235" s="19">
        <v>14.9</v>
      </c>
      <c r="S235" s="18">
        <v>57868</v>
      </c>
      <c r="T235" s="14">
        <v>12</v>
      </c>
      <c r="U235" s="18">
        <v>57868</v>
      </c>
      <c r="V235" s="18">
        <v>20000</v>
      </c>
      <c r="W235" s="19">
        <v>9.3000000000000007</v>
      </c>
      <c r="X235" s="18">
        <v>18140</v>
      </c>
      <c r="Y235" s="14" t="s">
        <v>5665</v>
      </c>
      <c r="Z235" s="14" t="s">
        <v>5666</v>
      </c>
      <c r="AA235" s="14" t="b">
        <v>0</v>
      </c>
      <c r="AB235" s="14" t="b">
        <v>0</v>
      </c>
      <c r="AC235" s="14" t="b">
        <v>1</v>
      </c>
    </row>
    <row r="236" spans="1:29">
      <c r="A236" s="14" t="s">
        <v>2456</v>
      </c>
      <c r="B236" s="14" t="s">
        <v>5763</v>
      </c>
      <c r="C236" s="14" t="s">
        <v>739</v>
      </c>
      <c r="D236" s="14" t="s">
        <v>2455</v>
      </c>
      <c r="E236" s="14" t="s">
        <v>36</v>
      </c>
      <c r="F236" s="14" t="s">
        <v>5668</v>
      </c>
      <c r="G236" s="14" t="s">
        <v>1271</v>
      </c>
      <c r="H236" s="15">
        <v>45170.159849537034</v>
      </c>
      <c r="I236" s="14" t="s">
        <v>5663</v>
      </c>
      <c r="J236" s="14">
        <v>100</v>
      </c>
      <c r="K236" s="14" t="s">
        <v>5664</v>
      </c>
      <c r="L236" s="17">
        <v>45299.159849537034</v>
      </c>
      <c r="M236" s="17">
        <v>45285.159849537034</v>
      </c>
      <c r="N236" s="14"/>
      <c r="O236" s="17">
        <v>45279.159849537034</v>
      </c>
      <c r="P236" s="14"/>
      <c r="Q236" s="18">
        <v>50000</v>
      </c>
      <c r="R236" s="19">
        <v>8.3000000000000007</v>
      </c>
      <c r="S236" s="18">
        <v>45850</v>
      </c>
      <c r="T236" s="14">
        <v>12</v>
      </c>
      <c r="U236" s="18">
        <v>45850</v>
      </c>
      <c r="V236" s="18">
        <v>10000</v>
      </c>
      <c r="W236" s="19">
        <v>2</v>
      </c>
      <c r="X236" s="18">
        <v>9800</v>
      </c>
      <c r="Y236" s="14" t="s">
        <v>5665</v>
      </c>
      <c r="Z236" s="14" t="s">
        <v>5666</v>
      </c>
      <c r="AA236" s="14" t="b">
        <v>0</v>
      </c>
      <c r="AB236" s="14" t="b">
        <v>0</v>
      </c>
      <c r="AC236" s="14" t="b">
        <v>0</v>
      </c>
    </row>
    <row r="237" spans="1:29">
      <c r="A237" s="14" t="s">
        <v>1855</v>
      </c>
      <c r="B237" s="14" t="s">
        <v>6042</v>
      </c>
      <c r="C237" s="14" t="s">
        <v>110</v>
      </c>
      <c r="D237" s="14" t="s">
        <v>1854</v>
      </c>
      <c r="E237" s="14" t="s">
        <v>25</v>
      </c>
      <c r="F237" s="14" t="s">
        <v>5668</v>
      </c>
      <c r="G237" s="14" t="s">
        <v>1317</v>
      </c>
      <c r="H237" s="15">
        <v>44640.984803240739</v>
      </c>
      <c r="I237" s="14" t="s">
        <v>5663</v>
      </c>
      <c r="J237" s="14">
        <v>90</v>
      </c>
      <c r="K237" s="14" t="s">
        <v>5664</v>
      </c>
      <c r="L237" s="17">
        <v>44681.984803240739</v>
      </c>
      <c r="M237" s="17">
        <v>44667.984803240739</v>
      </c>
      <c r="N237" s="14"/>
      <c r="O237" s="17">
        <v>44664.984803240739</v>
      </c>
      <c r="P237" s="14"/>
      <c r="Q237" s="18">
        <v>12000</v>
      </c>
      <c r="R237" s="19">
        <v>1.5</v>
      </c>
      <c r="S237" s="18">
        <v>11820</v>
      </c>
      <c r="T237" s="14">
        <v>12</v>
      </c>
      <c r="U237" s="18">
        <v>11820</v>
      </c>
      <c r="V237" s="18">
        <v>5000</v>
      </c>
      <c r="W237" s="19">
        <v>3.2</v>
      </c>
      <c r="X237" s="18">
        <v>4840</v>
      </c>
      <c r="Y237" s="14" t="s">
        <v>5665</v>
      </c>
      <c r="Z237" s="14" t="s">
        <v>5666</v>
      </c>
      <c r="AA237" s="14" t="b">
        <v>0</v>
      </c>
      <c r="AB237" s="14" t="b">
        <v>0</v>
      </c>
      <c r="AC237" s="14" t="b">
        <v>0</v>
      </c>
    </row>
    <row r="238" spans="1:29">
      <c r="A238" s="14" t="s">
        <v>6043</v>
      </c>
      <c r="B238" s="14" t="s">
        <v>5848</v>
      </c>
      <c r="C238" s="14" t="s">
        <v>777</v>
      </c>
      <c r="D238" s="14" t="s">
        <v>5849</v>
      </c>
      <c r="E238" s="14" t="s">
        <v>25</v>
      </c>
      <c r="F238" s="14" t="s">
        <v>5668</v>
      </c>
      <c r="G238" s="14" t="s">
        <v>1288</v>
      </c>
      <c r="H238" s="15">
        <v>46280.541666666664</v>
      </c>
      <c r="I238" s="14" t="s">
        <v>5686</v>
      </c>
      <c r="J238" s="14">
        <v>10</v>
      </c>
      <c r="K238" s="14" t="s">
        <v>5670</v>
      </c>
      <c r="L238" s="17">
        <v>46342</v>
      </c>
      <c r="M238" s="17"/>
      <c r="N238" s="14"/>
      <c r="O238" s="17">
        <v>46277</v>
      </c>
      <c r="P238" s="14"/>
      <c r="Q238" s="18">
        <v>26000</v>
      </c>
      <c r="R238" s="19">
        <v>0.3</v>
      </c>
      <c r="S238" s="18">
        <v>25922</v>
      </c>
      <c r="T238" s="14">
        <v>12</v>
      </c>
      <c r="U238" s="18">
        <v>25922</v>
      </c>
      <c r="V238" s="18">
        <v>5000</v>
      </c>
      <c r="W238" s="19">
        <v>9.8000000000000007</v>
      </c>
      <c r="X238" s="18">
        <v>4510</v>
      </c>
      <c r="Y238" s="14" t="s">
        <v>5665</v>
      </c>
      <c r="Z238" s="14" t="s">
        <v>5666</v>
      </c>
      <c r="AA238" s="14" t="b">
        <v>0</v>
      </c>
      <c r="AB238" s="14" t="b">
        <v>0</v>
      </c>
      <c r="AC238" s="14" t="b">
        <v>0</v>
      </c>
    </row>
    <row r="239" spans="1:29">
      <c r="A239" s="14" t="s">
        <v>6044</v>
      </c>
      <c r="B239" s="14" t="s">
        <v>6045</v>
      </c>
      <c r="C239" s="14" t="s">
        <v>1001</v>
      </c>
      <c r="D239" s="14" t="s">
        <v>1318</v>
      </c>
      <c r="E239" s="14" t="s">
        <v>82</v>
      </c>
      <c r="F239" s="14" t="s">
        <v>5662</v>
      </c>
      <c r="G239" s="14" t="s">
        <v>1317</v>
      </c>
      <c r="H239" s="15">
        <v>45363</v>
      </c>
      <c r="I239" s="14" t="s">
        <v>5663</v>
      </c>
      <c r="J239" s="14">
        <v>100</v>
      </c>
      <c r="K239" s="14" t="s">
        <v>5664</v>
      </c>
      <c r="L239" s="17">
        <v>45439</v>
      </c>
      <c r="M239" s="17">
        <v>45439</v>
      </c>
      <c r="N239" s="14"/>
      <c r="O239" s="17">
        <v>45433</v>
      </c>
      <c r="P239" s="14"/>
      <c r="Q239" s="18">
        <v>14000</v>
      </c>
      <c r="R239" s="19">
        <v>2.2999999999999998</v>
      </c>
      <c r="S239" s="18">
        <v>13678</v>
      </c>
      <c r="T239" s="14">
        <v>12</v>
      </c>
      <c r="U239" s="18">
        <v>13678</v>
      </c>
      <c r="V239" s="18">
        <v>0</v>
      </c>
      <c r="W239" s="19">
        <v>0</v>
      </c>
      <c r="X239" s="18">
        <v>0</v>
      </c>
      <c r="Y239" s="14" t="s">
        <v>5665</v>
      </c>
      <c r="Z239" s="14" t="s">
        <v>5666</v>
      </c>
      <c r="AA239" s="14" t="b">
        <v>0</v>
      </c>
      <c r="AB239" s="14" t="b">
        <v>0</v>
      </c>
      <c r="AC239" s="14" t="b">
        <v>0</v>
      </c>
    </row>
    <row r="240" spans="1:29">
      <c r="A240" s="14" t="s">
        <v>2472</v>
      </c>
      <c r="B240" s="14" t="s">
        <v>5843</v>
      </c>
      <c r="C240" s="14" t="s">
        <v>479</v>
      </c>
      <c r="D240" s="14" t="s">
        <v>2471</v>
      </c>
      <c r="E240" s="14" t="s">
        <v>55</v>
      </c>
      <c r="F240" s="14" t="s">
        <v>5668</v>
      </c>
      <c r="G240" s="14" t="s">
        <v>1413</v>
      </c>
      <c r="H240" s="15">
        <v>46049.662314814814</v>
      </c>
      <c r="I240" s="14" t="s">
        <v>5675</v>
      </c>
      <c r="J240" s="14">
        <v>0</v>
      </c>
      <c r="K240" s="14" t="s">
        <v>5664</v>
      </c>
      <c r="L240" s="17">
        <v>46136.662314814814</v>
      </c>
      <c r="M240" s="17">
        <v>46106.662314814814</v>
      </c>
      <c r="N240" s="14"/>
      <c r="O240" s="17">
        <v>46102.662314814814</v>
      </c>
      <c r="P240" s="14" t="s">
        <v>5702</v>
      </c>
      <c r="Q240" s="18">
        <v>34000</v>
      </c>
      <c r="R240" s="19">
        <v>3.4</v>
      </c>
      <c r="S240" s="18">
        <v>32844</v>
      </c>
      <c r="T240" s="14">
        <v>12</v>
      </c>
      <c r="U240" s="18">
        <v>32844</v>
      </c>
      <c r="V240" s="18">
        <v>10000</v>
      </c>
      <c r="W240" s="19">
        <v>7.8</v>
      </c>
      <c r="X240" s="18">
        <v>9220</v>
      </c>
      <c r="Y240" s="14" t="s">
        <v>5665</v>
      </c>
      <c r="Z240" s="14" t="s">
        <v>5666</v>
      </c>
      <c r="AA240" s="14" t="b">
        <v>0</v>
      </c>
      <c r="AB240" s="14" t="b">
        <v>0</v>
      </c>
      <c r="AC240" s="14" t="b">
        <v>0</v>
      </c>
    </row>
    <row r="241" spans="1:29">
      <c r="A241" s="14" t="s">
        <v>6046</v>
      </c>
      <c r="B241" s="14" t="s">
        <v>5690</v>
      </c>
      <c r="C241" s="14" t="s">
        <v>500</v>
      </c>
      <c r="D241" s="14" t="s">
        <v>1607</v>
      </c>
      <c r="E241" s="14" t="s">
        <v>25</v>
      </c>
      <c r="F241" s="14" t="s">
        <v>5668</v>
      </c>
      <c r="G241" s="14"/>
      <c r="H241" s="15">
        <v>45614</v>
      </c>
      <c r="I241" s="14" t="s">
        <v>5663</v>
      </c>
      <c r="J241" s="14">
        <v>100</v>
      </c>
      <c r="K241" s="14" t="s">
        <v>5664</v>
      </c>
      <c r="L241" s="17">
        <v>45643</v>
      </c>
      <c r="M241" s="17">
        <v>45643</v>
      </c>
      <c r="N241" s="14"/>
      <c r="O241" s="17">
        <v>45641</v>
      </c>
      <c r="P241" s="14"/>
      <c r="Q241" s="18">
        <v>22000</v>
      </c>
      <c r="R241" s="19">
        <v>20.5</v>
      </c>
      <c r="S241" s="18">
        <v>17490</v>
      </c>
      <c r="T241" s="14">
        <v>24</v>
      </c>
      <c r="U241" s="18">
        <v>34980</v>
      </c>
      <c r="V241" s="18">
        <v>5000</v>
      </c>
      <c r="W241" s="19">
        <v>9.9</v>
      </c>
      <c r="X241" s="18">
        <v>4505</v>
      </c>
      <c r="Y241" s="14" t="s">
        <v>5665</v>
      </c>
      <c r="Z241" s="14" t="s">
        <v>5666</v>
      </c>
      <c r="AA241" s="14" t="b">
        <v>0</v>
      </c>
      <c r="AB241" s="14" t="b">
        <v>0</v>
      </c>
      <c r="AC241" s="14" t="b">
        <v>1</v>
      </c>
    </row>
    <row r="242" spans="1:29">
      <c r="A242" s="14" t="s">
        <v>6047</v>
      </c>
      <c r="B242" s="14" t="s">
        <v>6048</v>
      </c>
      <c r="C242" s="14" t="s">
        <v>327</v>
      </c>
      <c r="D242" s="14" t="s">
        <v>6049</v>
      </c>
      <c r="E242" s="14" t="s">
        <v>91</v>
      </c>
      <c r="F242" s="14" t="s">
        <v>5662</v>
      </c>
      <c r="G242" s="14" t="s">
        <v>1317</v>
      </c>
      <c r="H242" s="15">
        <v>45633.775289351855</v>
      </c>
      <c r="I242" s="14" t="s">
        <v>5663</v>
      </c>
      <c r="J242" s="14">
        <v>40</v>
      </c>
      <c r="K242" s="14" t="s">
        <v>5664</v>
      </c>
      <c r="L242" s="17">
        <v>45648.775289351855</v>
      </c>
      <c r="M242" s="17">
        <v>45678.775289351855</v>
      </c>
      <c r="N242" s="14"/>
      <c r="O242" s="17">
        <v>45677.775289351855</v>
      </c>
      <c r="P242" s="14"/>
      <c r="Q242" s="18">
        <v>14000</v>
      </c>
      <c r="R242" s="19">
        <v>12.9</v>
      </c>
      <c r="S242" s="18">
        <v>12194</v>
      </c>
      <c r="T242" s="14">
        <v>12</v>
      </c>
      <c r="U242" s="18">
        <v>12194</v>
      </c>
      <c r="V242" s="18">
        <v>0</v>
      </c>
      <c r="W242" s="19">
        <v>0</v>
      </c>
      <c r="X242" s="18">
        <v>0</v>
      </c>
      <c r="Y242" s="14" t="s">
        <v>5665</v>
      </c>
      <c r="Z242" s="14" t="s">
        <v>5666</v>
      </c>
      <c r="AA242" s="14" t="b">
        <v>0</v>
      </c>
      <c r="AB242" s="14" t="b">
        <v>0</v>
      </c>
      <c r="AC242" s="14" t="b">
        <v>1</v>
      </c>
    </row>
    <row r="243" spans="1:29">
      <c r="A243" s="14" t="s">
        <v>1519</v>
      </c>
      <c r="B243" s="14" t="s">
        <v>6050</v>
      </c>
      <c r="C243" s="14" t="s">
        <v>515</v>
      </c>
      <c r="D243" s="14" t="s">
        <v>1518</v>
      </c>
      <c r="E243" s="14" t="s">
        <v>25</v>
      </c>
      <c r="F243" s="14" t="s">
        <v>5668</v>
      </c>
      <c r="G243" s="14" t="s">
        <v>1295</v>
      </c>
      <c r="H243" s="15">
        <v>45227.765381944446</v>
      </c>
      <c r="I243" s="14" t="s">
        <v>5675</v>
      </c>
      <c r="J243" s="14">
        <v>90</v>
      </c>
      <c r="K243" s="14" t="s">
        <v>5664</v>
      </c>
      <c r="L243" s="17">
        <v>45223.765381944446</v>
      </c>
      <c r="M243" s="17">
        <v>45253.765381944446</v>
      </c>
      <c r="N243" s="14"/>
      <c r="O243" s="17">
        <v>45252.765381944446</v>
      </c>
      <c r="P243" s="14" t="s">
        <v>5728</v>
      </c>
      <c r="Q243" s="18">
        <v>12000</v>
      </c>
      <c r="R243" s="19">
        <v>5.7</v>
      </c>
      <c r="S243" s="18">
        <v>11316</v>
      </c>
      <c r="T243" s="14">
        <v>36</v>
      </c>
      <c r="U243" s="18">
        <v>33948</v>
      </c>
      <c r="V243" s="18">
        <v>5000</v>
      </c>
      <c r="W243" s="19">
        <v>4.4000000000000004</v>
      </c>
      <c r="X243" s="18">
        <v>4780</v>
      </c>
      <c r="Y243" s="14" t="s">
        <v>5665</v>
      </c>
      <c r="Z243" s="14" t="s">
        <v>5666</v>
      </c>
      <c r="AA243" s="14" t="b">
        <v>0</v>
      </c>
      <c r="AB243" s="14" t="b">
        <v>0</v>
      </c>
      <c r="AC243" s="14" t="b">
        <v>0</v>
      </c>
    </row>
    <row r="244" spans="1:29">
      <c r="A244" s="14" t="s">
        <v>2198</v>
      </c>
      <c r="B244" s="14" t="s">
        <v>5803</v>
      </c>
      <c r="C244" s="14" t="s">
        <v>103</v>
      </c>
      <c r="D244" s="14" t="s">
        <v>2197</v>
      </c>
      <c r="E244" s="14" t="s">
        <v>69</v>
      </c>
      <c r="F244" s="14" t="s">
        <v>5668</v>
      </c>
      <c r="G244" s="14" t="s">
        <v>1271</v>
      </c>
      <c r="H244" s="15">
        <v>46023.756249999999</v>
      </c>
      <c r="I244" s="14" t="s">
        <v>5675</v>
      </c>
      <c r="J244" s="14">
        <v>0</v>
      </c>
      <c r="K244" s="14" t="s">
        <v>5664</v>
      </c>
      <c r="L244" s="17">
        <v>46073.756249999999</v>
      </c>
      <c r="M244" s="17">
        <v>46066.756249999999</v>
      </c>
      <c r="N244" s="14"/>
      <c r="O244" s="17">
        <v>46061.756249999999</v>
      </c>
      <c r="P244" s="14" t="s">
        <v>5721</v>
      </c>
      <c r="Q244" s="18">
        <v>12000</v>
      </c>
      <c r="R244" s="19">
        <v>7</v>
      </c>
      <c r="S244" s="18">
        <v>11160</v>
      </c>
      <c r="T244" s="14">
        <v>24</v>
      </c>
      <c r="U244" s="18">
        <v>22320</v>
      </c>
      <c r="V244" s="18">
        <v>5000</v>
      </c>
      <c r="W244" s="19">
        <v>10</v>
      </c>
      <c r="X244" s="18">
        <v>4500</v>
      </c>
      <c r="Y244" s="14" t="s">
        <v>5665</v>
      </c>
      <c r="Z244" s="14" t="s">
        <v>5666</v>
      </c>
      <c r="AA244" s="14" t="b">
        <v>0</v>
      </c>
      <c r="AB244" s="14" t="b">
        <v>0</v>
      </c>
      <c r="AC244" s="14" t="b">
        <v>0</v>
      </c>
    </row>
    <row r="245" spans="1:29">
      <c r="A245" s="14" t="s">
        <v>1608</v>
      </c>
      <c r="B245" s="14" t="s">
        <v>5690</v>
      </c>
      <c r="C245" s="14" t="s">
        <v>500</v>
      </c>
      <c r="D245" s="14" t="s">
        <v>1607</v>
      </c>
      <c r="E245" s="14" t="s">
        <v>25</v>
      </c>
      <c r="F245" s="14" t="s">
        <v>5668</v>
      </c>
      <c r="G245" s="14" t="s">
        <v>1355</v>
      </c>
      <c r="H245" s="15">
        <v>45591.339363425926</v>
      </c>
      <c r="I245" s="14" t="s">
        <v>5663</v>
      </c>
      <c r="J245" s="14">
        <v>100</v>
      </c>
      <c r="K245" s="14" t="s">
        <v>5664</v>
      </c>
      <c r="L245" s="17">
        <v>45635.339363425926</v>
      </c>
      <c r="M245" s="17">
        <v>45621.339363425926</v>
      </c>
      <c r="N245" s="14"/>
      <c r="O245" s="17">
        <v>45621.339363425926</v>
      </c>
      <c r="P245" s="14"/>
      <c r="Q245" s="18">
        <v>28000</v>
      </c>
      <c r="R245" s="19">
        <v>11.4</v>
      </c>
      <c r="S245" s="18">
        <v>24808</v>
      </c>
      <c r="T245" s="14">
        <v>24</v>
      </c>
      <c r="U245" s="18">
        <v>49616</v>
      </c>
      <c r="V245" s="18">
        <v>5000</v>
      </c>
      <c r="W245" s="19">
        <v>13.5</v>
      </c>
      <c r="X245" s="18">
        <v>4325</v>
      </c>
      <c r="Y245" s="14" t="s">
        <v>5665</v>
      </c>
      <c r="Z245" s="14" t="s">
        <v>5666</v>
      </c>
      <c r="AA245" s="14" t="b">
        <v>0</v>
      </c>
      <c r="AB245" s="14" t="b">
        <v>0</v>
      </c>
      <c r="AC245" s="14" t="b">
        <v>1</v>
      </c>
    </row>
    <row r="246" spans="1:29">
      <c r="A246" s="14" t="s">
        <v>1781</v>
      </c>
      <c r="B246" s="14" t="s">
        <v>6051</v>
      </c>
      <c r="C246" s="14" t="s">
        <v>527</v>
      </c>
      <c r="D246" s="14" t="s">
        <v>1780</v>
      </c>
      <c r="E246" s="14" t="s">
        <v>25</v>
      </c>
      <c r="F246" s="14" t="s">
        <v>5668</v>
      </c>
      <c r="G246" s="14" t="s">
        <v>1281</v>
      </c>
      <c r="H246" s="15">
        <v>45660.939502314817</v>
      </c>
      <c r="I246" s="14" t="s">
        <v>5663</v>
      </c>
      <c r="J246" s="14">
        <v>100</v>
      </c>
      <c r="K246" s="14" t="s">
        <v>5664</v>
      </c>
      <c r="L246" s="17">
        <v>45666.939502314817</v>
      </c>
      <c r="M246" s="17">
        <v>45696.939502314817</v>
      </c>
      <c r="N246" s="14"/>
      <c r="O246" s="17">
        <v>45691.939502314817</v>
      </c>
      <c r="P246" s="14"/>
      <c r="Q246" s="18">
        <v>12000</v>
      </c>
      <c r="R246" s="19">
        <v>0.6</v>
      </c>
      <c r="S246" s="18">
        <v>11928</v>
      </c>
      <c r="T246" s="14">
        <v>12</v>
      </c>
      <c r="U246" s="18">
        <v>11928</v>
      </c>
      <c r="V246" s="18">
        <v>5000</v>
      </c>
      <c r="W246" s="19">
        <v>7.4</v>
      </c>
      <c r="X246" s="18">
        <v>4630</v>
      </c>
      <c r="Y246" s="14" t="s">
        <v>5735</v>
      </c>
      <c r="Z246" s="14" t="s">
        <v>5666</v>
      </c>
      <c r="AA246" s="14" t="b">
        <v>0</v>
      </c>
      <c r="AB246" s="14" t="b">
        <v>0</v>
      </c>
      <c r="AC246" s="14" t="b">
        <v>1</v>
      </c>
    </row>
    <row r="247" spans="1:29">
      <c r="A247" s="14" t="s">
        <v>6052</v>
      </c>
      <c r="B247" s="14" t="s">
        <v>5890</v>
      </c>
      <c r="C247" s="14" t="s">
        <v>1025</v>
      </c>
      <c r="D247" s="14" t="s">
        <v>6053</v>
      </c>
      <c r="E247" s="14" t="s">
        <v>18</v>
      </c>
      <c r="F247" s="14" t="s">
        <v>5668</v>
      </c>
      <c r="G247" s="14" t="s">
        <v>1271</v>
      </c>
      <c r="H247" s="15">
        <v>45872</v>
      </c>
      <c r="I247" s="14" t="s">
        <v>5663</v>
      </c>
      <c r="J247" s="14">
        <v>100</v>
      </c>
      <c r="K247" s="14" t="s">
        <v>5664</v>
      </c>
      <c r="L247" s="17">
        <v>45968</v>
      </c>
      <c r="M247" s="17">
        <v>45982</v>
      </c>
      <c r="N247" s="14"/>
      <c r="O247" s="17">
        <v>45976</v>
      </c>
      <c r="P247" s="14"/>
      <c r="Q247" s="18">
        <v>88000</v>
      </c>
      <c r="R247" s="19">
        <v>16.3</v>
      </c>
      <c r="S247" s="18">
        <v>73656</v>
      </c>
      <c r="T247" s="14">
        <v>12</v>
      </c>
      <c r="U247" s="18">
        <v>73656</v>
      </c>
      <c r="V247" s="18">
        <v>20000</v>
      </c>
      <c r="W247" s="19">
        <v>7.9</v>
      </c>
      <c r="X247" s="18">
        <v>18420</v>
      </c>
      <c r="Y247" s="14" t="s">
        <v>5665</v>
      </c>
      <c r="Z247" s="14" t="s">
        <v>5666</v>
      </c>
      <c r="AA247" s="14" t="b">
        <v>0</v>
      </c>
      <c r="AB247" s="14" t="b">
        <v>0</v>
      </c>
      <c r="AC247" s="14" t="b">
        <v>1</v>
      </c>
    </row>
    <row r="248" spans="1:29">
      <c r="A248" s="14" t="s">
        <v>2351</v>
      </c>
      <c r="B248" s="14" t="s">
        <v>5995</v>
      </c>
      <c r="C248" s="14" t="s">
        <v>623</v>
      </c>
      <c r="D248" s="14" t="s">
        <v>2350</v>
      </c>
      <c r="E248" s="14" t="s">
        <v>91</v>
      </c>
      <c r="F248" s="14" t="s">
        <v>5668</v>
      </c>
      <c r="G248" s="14" t="s">
        <v>1317</v>
      </c>
      <c r="H248" s="15">
        <v>45872.438587962963</v>
      </c>
      <c r="I248" s="14" t="s">
        <v>5675</v>
      </c>
      <c r="J248" s="14">
        <v>0</v>
      </c>
      <c r="K248" s="14" t="s">
        <v>5664</v>
      </c>
      <c r="L248" s="17">
        <v>45875.438587962963</v>
      </c>
      <c r="M248" s="17">
        <v>45905.438587962963</v>
      </c>
      <c r="N248" s="14"/>
      <c r="O248" s="17">
        <v>45900.438587962963</v>
      </c>
      <c r="P248" s="14" t="s">
        <v>5676</v>
      </c>
      <c r="Q248" s="18">
        <v>22000</v>
      </c>
      <c r="R248" s="19">
        <v>9</v>
      </c>
      <c r="S248" s="18">
        <v>20020</v>
      </c>
      <c r="T248" s="14">
        <v>12</v>
      </c>
      <c r="U248" s="18">
        <v>20020</v>
      </c>
      <c r="V248" s="18">
        <v>5000</v>
      </c>
      <c r="W248" s="19">
        <v>9.8000000000000007</v>
      </c>
      <c r="X248" s="18">
        <v>4510</v>
      </c>
      <c r="Y248" s="14" t="s">
        <v>5665</v>
      </c>
      <c r="Z248" s="14" t="s">
        <v>5666</v>
      </c>
      <c r="AA248" s="14" t="b">
        <v>0</v>
      </c>
      <c r="AB248" s="14" t="b">
        <v>0</v>
      </c>
      <c r="AC248" s="14" t="b">
        <v>0</v>
      </c>
    </row>
    <row r="249" spans="1:29">
      <c r="A249" s="14" t="s">
        <v>6054</v>
      </c>
      <c r="B249" s="14" t="s">
        <v>6055</v>
      </c>
      <c r="C249" s="14" t="s">
        <v>193</v>
      </c>
      <c r="D249" s="14" t="s">
        <v>1877</v>
      </c>
      <c r="E249" s="14" t="s">
        <v>59</v>
      </c>
      <c r="F249" s="14" t="s">
        <v>5668</v>
      </c>
      <c r="G249" s="14"/>
      <c r="H249" s="15">
        <v>46047.07236111111</v>
      </c>
      <c r="I249" s="14" t="s">
        <v>5663</v>
      </c>
      <c r="J249" s="14">
        <v>100</v>
      </c>
      <c r="K249" s="14" t="s">
        <v>5664</v>
      </c>
      <c r="L249" s="17">
        <v>46090.07236111111</v>
      </c>
      <c r="M249" s="17">
        <v>46090.07236111111</v>
      </c>
      <c r="N249" s="14"/>
      <c r="O249" s="17">
        <v>46089.07236111111</v>
      </c>
      <c r="P249" s="14"/>
      <c r="Q249" s="18">
        <v>12000</v>
      </c>
      <c r="R249" s="19">
        <v>7.7</v>
      </c>
      <c r="S249" s="18">
        <v>11076</v>
      </c>
      <c r="T249" s="14">
        <v>12</v>
      </c>
      <c r="U249" s="18">
        <v>11076</v>
      </c>
      <c r="V249" s="18">
        <v>5000</v>
      </c>
      <c r="W249" s="19">
        <v>4.9000000000000004</v>
      </c>
      <c r="X249" s="18">
        <v>4755</v>
      </c>
      <c r="Y249" s="14" t="s">
        <v>5665</v>
      </c>
      <c r="Z249" s="14" t="s">
        <v>5666</v>
      </c>
      <c r="AA249" s="14" t="b">
        <v>0</v>
      </c>
      <c r="AB249" s="14" t="b">
        <v>0</v>
      </c>
      <c r="AC249" s="14" t="b">
        <v>0</v>
      </c>
    </row>
    <row r="250" spans="1:29">
      <c r="A250" s="14" t="s">
        <v>1825</v>
      </c>
      <c r="B250" s="14" t="s">
        <v>6056</v>
      </c>
      <c r="C250" s="14" t="s">
        <v>521</v>
      </c>
      <c r="D250" s="14" t="s">
        <v>1824</v>
      </c>
      <c r="E250" s="14" t="s">
        <v>59</v>
      </c>
      <c r="F250" s="14" t="s">
        <v>5668</v>
      </c>
      <c r="G250" s="14" t="s">
        <v>1413</v>
      </c>
      <c r="H250" s="15">
        <v>46211.614641203705</v>
      </c>
      <c r="I250" s="14" t="s">
        <v>5691</v>
      </c>
      <c r="J250" s="14">
        <v>40</v>
      </c>
      <c r="K250" s="14" t="s">
        <v>5670</v>
      </c>
      <c r="L250" s="17">
        <v>46323</v>
      </c>
      <c r="M250" s="17"/>
      <c r="N250" s="14" t="s">
        <v>5801</v>
      </c>
      <c r="O250" s="17">
        <v>46284</v>
      </c>
      <c r="P250" s="14"/>
      <c r="Q250" s="18">
        <v>20000</v>
      </c>
      <c r="R250" s="19">
        <v>21.1</v>
      </c>
      <c r="S250" s="18">
        <v>15780</v>
      </c>
      <c r="T250" s="14">
        <v>12</v>
      </c>
      <c r="U250" s="18">
        <v>15780</v>
      </c>
      <c r="V250" s="18">
        <v>5000</v>
      </c>
      <c r="W250" s="19">
        <v>0.8</v>
      </c>
      <c r="X250" s="18">
        <v>4960</v>
      </c>
      <c r="Y250" s="14" t="s">
        <v>5665</v>
      </c>
      <c r="Z250" s="14" t="s">
        <v>5780</v>
      </c>
      <c r="AA250" s="14" t="b">
        <v>0</v>
      </c>
      <c r="AB250" s="14" t="b">
        <v>0</v>
      </c>
      <c r="AC250" s="14" t="b">
        <v>1</v>
      </c>
    </row>
    <row r="251" spans="1:29">
      <c r="A251" s="14" t="s">
        <v>6057</v>
      </c>
      <c r="B251" s="14" t="s">
        <v>6058</v>
      </c>
      <c r="C251" s="14" t="s">
        <v>1031</v>
      </c>
      <c r="D251" s="14" t="s">
        <v>6059</v>
      </c>
      <c r="E251" s="14" t="s">
        <v>36</v>
      </c>
      <c r="F251" s="14" t="s">
        <v>5668</v>
      </c>
      <c r="G251" s="14"/>
      <c r="H251" s="15">
        <v>46228.541666666664</v>
      </c>
      <c r="I251" s="14" t="s">
        <v>5691</v>
      </c>
      <c r="J251" s="14">
        <v>40</v>
      </c>
      <c r="K251" s="14" t="s">
        <v>5670</v>
      </c>
      <c r="L251" s="17">
        <v>46310</v>
      </c>
      <c r="M251" s="17"/>
      <c r="N251" s="14" t="s">
        <v>5801</v>
      </c>
      <c r="O251" s="17">
        <v>46288</v>
      </c>
      <c r="P251" s="14"/>
      <c r="Q251" s="18">
        <v>80000</v>
      </c>
      <c r="R251" s="19">
        <v>7</v>
      </c>
      <c r="S251" s="18">
        <v>74400</v>
      </c>
      <c r="T251" s="14">
        <v>12</v>
      </c>
      <c r="U251" s="18">
        <v>74400</v>
      </c>
      <c r="V251" s="18">
        <v>20000</v>
      </c>
      <c r="W251" s="19">
        <v>5.6</v>
      </c>
      <c r="X251" s="18">
        <v>18880</v>
      </c>
      <c r="Y251" s="14" t="s">
        <v>5665</v>
      </c>
      <c r="Z251" s="14" t="s">
        <v>5666</v>
      </c>
      <c r="AA251" s="14" t="b">
        <v>0</v>
      </c>
      <c r="AB251" s="14" t="b">
        <v>0</v>
      </c>
      <c r="AC251" s="14" t="b">
        <v>0</v>
      </c>
    </row>
    <row r="252" spans="1:29">
      <c r="A252" s="14" t="s">
        <v>1732</v>
      </c>
      <c r="B252" s="14" t="s">
        <v>6060</v>
      </c>
      <c r="C252" s="14" t="s">
        <v>536</v>
      </c>
      <c r="D252" s="14" t="s">
        <v>1731</v>
      </c>
      <c r="E252" s="14" t="s">
        <v>18</v>
      </c>
      <c r="F252" s="14" t="s">
        <v>5668</v>
      </c>
      <c r="G252" s="14" t="s">
        <v>1355</v>
      </c>
      <c r="H252" s="15">
        <v>45304.525405092594</v>
      </c>
      <c r="I252" s="14" t="s">
        <v>5675</v>
      </c>
      <c r="J252" s="14">
        <v>0</v>
      </c>
      <c r="K252" s="14" t="s">
        <v>5664</v>
      </c>
      <c r="L252" s="17">
        <v>45371.525405092594</v>
      </c>
      <c r="M252" s="17">
        <v>45385.525405092594</v>
      </c>
      <c r="N252" s="14"/>
      <c r="O252" s="17">
        <v>45380.525405092594</v>
      </c>
      <c r="P252" s="14" t="s">
        <v>5769</v>
      </c>
      <c r="Q252" s="18">
        <v>60000</v>
      </c>
      <c r="R252" s="19">
        <v>2.1</v>
      </c>
      <c r="S252" s="18">
        <v>58740</v>
      </c>
      <c r="T252" s="14">
        <v>24</v>
      </c>
      <c r="U252" s="18">
        <v>117480</v>
      </c>
      <c r="V252" s="18">
        <v>20000</v>
      </c>
      <c r="W252" s="19">
        <v>5.2</v>
      </c>
      <c r="X252" s="18">
        <v>18960</v>
      </c>
      <c r="Y252" s="14" t="s">
        <v>5665</v>
      </c>
      <c r="Z252" s="14" t="s">
        <v>5666</v>
      </c>
      <c r="AA252" s="14" t="b">
        <v>0</v>
      </c>
      <c r="AB252" s="14" t="b">
        <v>0</v>
      </c>
      <c r="AC252" s="14" t="b">
        <v>0</v>
      </c>
    </row>
    <row r="253" spans="1:29">
      <c r="A253" s="14" t="s">
        <v>1795</v>
      </c>
      <c r="B253" s="14" t="s">
        <v>6038</v>
      </c>
      <c r="C253" s="14" t="s">
        <v>217</v>
      </c>
      <c r="D253" s="14" t="s">
        <v>1794</v>
      </c>
      <c r="E253" s="14" t="s">
        <v>25</v>
      </c>
      <c r="F253" s="14" t="s">
        <v>5668</v>
      </c>
      <c r="G253" s="14" t="s">
        <v>1281</v>
      </c>
      <c r="H253" s="15">
        <v>44932.007800925923</v>
      </c>
      <c r="I253" s="14" t="s">
        <v>5663</v>
      </c>
      <c r="J253" s="14">
        <v>100</v>
      </c>
      <c r="K253" s="14" t="s">
        <v>5679</v>
      </c>
      <c r="L253" s="17">
        <v>44956.007800925923</v>
      </c>
      <c r="M253" s="17">
        <v>44970.007800925923</v>
      </c>
      <c r="N253" s="14"/>
      <c r="O253" s="17">
        <v>44969.007800925923</v>
      </c>
      <c r="P253" s="14"/>
      <c r="Q253" s="18">
        <v>38000</v>
      </c>
      <c r="R253" s="19">
        <v>34.4</v>
      </c>
      <c r="S253" s="18">
        <v>24928</v>
      </c>
      <c r="T253" s="14">
        <v>12</v>
      </c>
      <c r="U253" s="18">
        <v>24928</v>
      </c>
      <c r="V253" s="18">
        <v>10000</v>
      </c>
      <c r="W253" s="19">
        <v>9.1</v>
      </c>
      <c r="X253" s="18">
        <v>9090</v>
      </c>
      <c r="Y253" s="14" t="s">
        <v>5665</v>
      </c>
      <c r="Z253" s="14" t="s">
        <v>5693</v>
      </c>
      <c r="AA253" s="14" t="b">
        <v>0</v>
      </c>
      <c r="AB253" s="14" t="b">
        <v>0</v>
      </c>
      <c r="AC253" s="14" t="b">
        <v>1</v>
      </c>
    </row>
    <row r="254" spans="1:29">
      <c r="A254" s="14" t="s">
        <v>6061</v>
      </c>
      <c r="B254" s="14" t="s">
        <v>6023</v>
      </c>
      <c r="C254" s="14" t="s">
        <v>598</v>
      </c>
      <c r="D254" s="14" t="s">
        <v>2380</v>
      </c>
      <c r="E254" s="14" t="s">
        <v>25</v>
      </c>
      <c r="F254" s="14" t="s">
        <v>5668</v>
      </c>
      <c r="G254" s="14" t="s">
        <v>1295</v>
      </c>
      <c r="H254" s="15">
        <v>45561</v>
      </c>
      <c r="I254" s="14" t="s">
        <v>5663</v>
      </c>
      <c r="J254" s="14">
        <v>100</v>
      </c>
      <c r="K254" s="14" t="s">
        <v>5664</v>
      </c>
      <c r="L254" s="17">
        <v>45600</v>
      </c>
      <c r="M254" s="17">
        <v>45600</v>
      </c>
      <c r="N254" s="14"/>
      <c r="O254" s="17">
        <v>45598</v>
      </c>
      <c r="P254" s="14"/>
      <c r="Q254" s="18">
        <v>36000</v>
      </c>
      <c r="R254" s="19">
        <v>5.3</v>
      </c>
      <c r="S254" s="18">
        <v>34092</v>
      </c>
      <c r="T254" s="14">
        <v>12</v>
      </c>
      <c r="U254" s="18">
        <v>34092</v>
      </c>
      <c r="V254" s="18">
        <v>5000</v>
      </c>
      <c r="W254" s="19">
        <v>8.5</v>
      </c>
      <c r="X254" s="18">
        <v>4575</v>
      </c>
      <c r="Y254" s="14" t="s">
        <v>5665</v>
      </c>
      <c r="Z254" s="14" t="s">
        <v>5666</v>
      </c>
      <c r="AA254" s="14" t="b">
        <v>0</v>
      </c>
      <c r="AB254" s="14" t="b">
        <v>0</v>
      </c>
      <c r="AC254" s="14" t="b">
        <v>0</v>
      </c>
    </row>
    <row r="255" spans="1:29">
      <c r="A255" s="14" t="s">
        <v>2094</v>
      </c>
      <c r="B255" s="14" t="s">
        <v>5985</v>
      </c>
      <c r="C255" s="14" t="s">
        <v>677</v>
      </c>
      <c r="D255" s="14" t="s">
        <v>2093</v>
      </c>
      <c r="E255" s="14" t="s">
        <v>55</v>
      </c>
      <c r="F255" s="14" t="s">
        <v>5668</v>
      </c>
      <c r="G255" s="14" t="s">
        <v>1413</v>
      </c>
      <c r="H255" s="15">
        <v>45507.333969907406</v>
      </c>
      <c r="I255" s="14" t="s">
        <v>5663</v>
      </c>
      <c r="J255" s="14">
        <v>100</v>
      </c>
      <c r="K255" s="14" t="s">
        <v>5664</v>
      </c>
      <c r="L255" s="17">
        <v>45608.333969907406</v>
      </c>
      <c r="M255" s="17">
        <v>45594.333969907406</v>
      </c>
      <c r="N255" s="14"/>
      <c r="O255" s="17">
        <v>45590.333969907406</v>
      </c>
      <c r="P255" s="14"/>
      <c r="Q255" s="18">
        <v>82000</v>
      </c>
      <c r="R255" s="19">
        <v>11.3</v>
      </c>
      <c r="S255" s="18">
        <v>72734</v>
      </c>
      <c r="T255" s="14">
        <v>12</v>
      </c>
      <c r="U255" s="18">
        <v>72734</v>
      </c>
      <c r="V255" s="18">
        <v>20000</v>
      </c>
      <c r="W255" s="19">
        <v>1.9</v>
      </c>
      <c r="X255" s="18">
        <v>19620</v>
      </c>
      <c r="Y255" s="14" t="s">
        <v>5665</v>
      </c>
      <c r="Z255" s="14" t="s">
        <v>5666</v>
      </c>
      <c r="AA255" s="14" t="b">
        <v>0</v>
      </c>
      <c r="AB255" s="14" t="b">
        <v>0</v>
      </c>
      <c r="AC255" s="14" t="b">
        <v>1</v>
      </c>
    </row>
    <row r="256" spans="1:29">
      <c r="A256" s="14" t="s">
        <v>6062</v>
      </c>
      <c r="B256" s="14" t="s">
        <v>5876</v>
      </c>
      <c r="C256" s="14" t="s">
        <v>296</v>
      </c>
      <c r="D256" s="14" t="s">
        <v>6063</v>
      </c>
      <c r="E256" s="14" t="s">
        <v>36</v>
      </c>
      <c r="F256" s="14" t="s">
        <v>5668</v>
      </c>
      <c r="G256" s="14" t="s">
        <v>1271</v>
      </c>
      <c r="H256" s="15">
        <v>46259.25</v>
      </c>
      <c r="I256" s="14" t="s">
        <v>5681</v>
      </c>
      <c r="J256" s="14">
        <v>25</v>
      </c>
      <c r="K256" s="14" t="s">
        <v>5670</v>
      </c>
      <c r="L256" s="17">
        <v>46321</v>
      </c>
      <c r="M256" s="17"/>
      <c r="N256" s="14" t="s">
        <v>5699</v>
      </c>
      <c r="O256" s="17">
        <v>46288</v>
      </c>
      <c r="P256" s="14"/>
      <c r="Q256" s="18">
        <v>50000</v>
      </c>
      <c r="R256" s="19">
        <v>3.7</v>
      </c>
      <c r="S256" s="18">
        <v>48150</v>
      </c>
      <c r="T256" s="14">
        <v>12</v>
      </c>
      <c r="U256" s="18">
        <v>48150</v>
      </c>
      <c r="V256" s="18">
        <v>10000</v>
      </c>
      <c r="W256" s="19">
        <v>5.7</v>
      </c>
      <c r="X256" s="18">
        <v>9430</v>
      </c>
      <c r="Y256" s="14" t="s">
        <v>5665</v>
      </c>
      <c r="Z256" s="14" t="s">
        <v>5666</v>
      </c>
      <c r="AA256" s="14" t="b">
        <v>0</v>
      </c>
      <c r="AB256" s="14" t="b">
        <v>0</v>
      </c>
      <c r="AC256" s="14" t="b">
        <v>0</v>
      </c>
    </row>
    <row r="257" spans="1:29">
      <c r="A257" s="14" t="s">
        <v>6064</v>
      </c>
      <c r="B257" s="14" t="s">
        <v>6065</v>
      </c>
      <c r="C257" s="14" t="s">
        <v>888</v>
      </c>
      <c r="D257" s="14" t="s">
        <v>6066</v>
      </c>
      <c r="E257" s="14" t="s">
        <v>55</v>
      </c>
      <c r="F257" s="14" t="s">
        <v>5668</v>
      </c>
      <c r="G257" s="14" t="s">
        <v>1413</v>
      </c>
      <c r="H257" s="15">
        <v>46219.541666666664</v>
      </c>
      <c r="I257" s="14" t="s">
        <v>5669</v>
      </c>
      <c r="J257" s="14">
        <v>60</v>
      </c>
      <c r="K257" s="14" t="s">
        <v>5679</v>
      </c>
      <c r="L257" s="17">
        <v>46312</v>
      </c>
      <c r="M257" s="17"/>
      <c r="N257" s="14" t="s">
        <v>5850</v>
      </c>
      <c r="O257" s="17">
        <v>46284</v>
      </c>
      <c r="P257" s="14"/>
      <c r="Q257" s="18">
        <v>46000</v>
      </c>
      <c r="R257" s="19">
        <v>9.9</v>
      </c>
      <c r="S257" s="18">
        <v>41446</v>
      </c>
      <c r="T257" s="14">
        <v>12</v>
      </c>
      <c r="U257" s="18">
        <v>41446</v>
      </c>
      <c r="V257" s="18">
        <v>5000</v>
      </c>
      <c r="W257" s="19">
        <v>5.7</v>
      </c>
      <c r="X257" s="18">
        <v>4715</v>
      </c>
      <c r="Y257" s="14" t="s">
        <v>5665</v>
      </c>
      <c r="Z257" s="14" t="s">
        <v>5693</v>
      </c>
      <c r="AA257" s="14" t="b">
        <v>0</v>
      </c>
      <c r="AB257" s="14" t="b">
        <v>0</v>
      </c>
      <c r="AC257" s="14" t="b">
        <v>1</v>
      </c>
    </row>
    <row r="258" spans="1:29">
      <c r="A258" s="14" t="s">
        <v>1836</v>
      </c>
      <c r="B258" s="14" t="s">
        <v>5771</v>
      </c>
      <c r="C258" s="14" t="s">
        <v>834</v>
      </c>
      <c r="D258" s="14" t="s">
        <v>1835</v>
      </c>
      <c r="E258" s="14" t="s">
        <v>36</v>
      </c>
      <c r="F258" s="14" t="s">
        <v>5668</v>
      </c>
      <c r="G258" s="14" t="s">
        <v>1288</v>
      </c>
      <c r="H258" s="15">
        <v>46222.889594907407</v>
      </c>
      <c r="I258" s="14" t="s">
        <v>5725</v>
      </c>
      <c r="J258" s="14">
        <v>90</v>
      </c>
      <c r="K258" s="14" t="s">
        <v>5725</v>
      </c>
      <c r="L258" s="17">
        <v>46301</v>
      </c>
      <c r="M258" s="17"/>
      <c r="N258" s="14" t="s">
        <v>5753</v>
      </c>
      <c r="O258" s="17">
        <v>46271</v>
      </c>
      <c r="P258" s="14"/>
      <c r="Q258" s="18">
        <v>78000</v>
      </c>
      <c r="R258" s="19">
        <v>9.6</v>
      </c>
      <c r="S258" s="18">
        <v>70512</v>
      </c>
      <c r="T258" s="14">
        <v>12</v>
      </c>
      <c r="U258" s="18">
        <v>70512</v>
      </c>
      <c r="V258" s="18">
        <v>20000</v>
      </c>
      <c r="W258" s="19">
        <v>8.6999999999999993</v>
      </c>
      <c r="X258" s="18">
        <v>18260</v>
      </c>
      <c r="Y258" s="14" t="s">
        <v>5665</v>
      </c>
      <c r="Z258" s="14" t="s">
        <v>5693</v>
      </c>
      <c r="AA258" s="14" t="b">
        <v>0</v>
      </c>
      <c r="AB258" s="14" t="b">
        <v>0</v>
      </c>
      <c r="AC258" s="14" t="b">
        <v>1</v>
      </c>
    </row>
    <row r="259" spans="1:29">
      <c r="A259" s="14" t="s">
        <v>6067</v>
      </c>
      <c r="B259" s="14" t="s">
        <v>6068</v>
      </c>
      <c r="C259" s="14" t="s">
        <v>106</v>
      </c>
      <c r="D259" s="14" t="s">
        <v>2126</v>
      </c>
      <c r="E259" s="14" t="s">
        <v>18</v>
      </c>
      <c r="F259" s="14" t="s">
        <v>5668</v>
      </c>
      <c r="G259" s="14" t="s">
        <v>1271</v>
      </c>
      <c r="H259" s="15">
        <v>46263.5</v>
      </c>
      <c r="I259" s="14" t="s">
        <v>5686</v>
      </c>
      <c r="J259" s="14">
        <v>10</v>
      </c>
      <c r="K259" s="14" t="s">
        <v>5670</v>
      </c>
      <c r="L259" s="17">
        <v>46245</v>
      </c>
      <c r="M259" s="17"/>
      <c r="N259" s="14"/>
      <c r="O259" s="17">
        <v>46272</v>
      </c>
      <c r="P259" s="14"/>
      <c r="Q259" s="18">
        <v>30000</v>
      </c>
      <c r="R259" s="19">
        <v>0.5</v>
      </c>
      <c r="S259" s="18">
        <v>29850</v>
      </c>
      <c r="T259" s="14">
        <v>12</v>
      </c>
      <c r="U259" s="18">
        <v>29850</v>
      </c>
      <c r="V259" s="18">
        <v>10000</v>
      </c>
      <c r="W259" s="19">
        <v>0.2</v>
      </c>
      <c r="X259" s="18">
        <v>9980</v>
      </c>
      <c r="Y259" s="14" t="s">
        <v>5665</v>
      </c>
      <c r="Z259" s="14" t="s">
        <v>5666</v>
      </c>
      <c r="AA259" s="14" t="b">
        <v>0</v>
      </c>
      <c r="AB259" s="14" t="b">
        <v>0</v>
      </c>
      <c r="AC259" s="14" t="b">
        <v>0</v>
      </c>
    </row>
    <row r="260" spans="1:29">
      <c r="A260" s="14" t="s">
        <v>1777</v>
      </c>
      <c r="B260" s="14" t="s">
        <v>6069</v>
      </c>
      <c r="C260" s="14" t="s">
        <v>20</v>
      </c>
      <c r="D260" s="14" t="s">
        <v>1776</v>
      </c>
      <c r="E260" s="14" t="s">
        <v>25</v>
      </c>
      <c r="F260" s="14" t="s">
        <v>5668</v>
      </c>
      <c r="G260" s="14" t="s">
        <v>1288</v>
      </c>
      <c r="H260" s="15">
        <v>45229.271597222221</v>
      </c>
      <c r="I260" s="14" t="s">
        <v>5675</v>
      </c>
      <c r="J260" s="14">
        <v>0</v>
      </c>
      <c r="K260" s="14" t="s">
        <v>5664</v>
      </c>
      <c r="L260" s="17">
        <v>45254.271597222221</v>
      </c>
      <c r="M260" s="17">
        <v>45254.271597222221</v>
      </c>
      <c r="N260" s="14"/>
      <c r="O260" s="17">
        <v>45248.271597222221</v>
      </c>
      <c r="P260" s="14" t="s">
        <v>5676</v>
      </c>
      <c r="Q260" s="18">
        <v>16000</v>
      </c>
      <c r="R260" s="19">
        <v>9.6999999999999993</v>
      </c>
      <c r="S260" s="18">
        <v>14448</v>
      </c>
      <c r="T260" s="14">
        <v>24</v>
      </c>
      <c r="U260" s="18">
        <v>28896</v>
      </c>
      <c r="V260" s="18">
        <v>5000</v>
      </c>
      <c r="W260" s="19">
        <v>6.4</v>
      </c>
      <c r="X260" s="18">
        <v>4680</v>
      </c>
      <c r="Y260" s="14" t="s">
        <v>5665</v>
      </c>
      <c r="Z260" s="14" t="s">
        <v>5666</v>
      </c>
      <c r="AA260" s="14" t="b">
        <v>0</v>
      </c>
      <c r="AB260" s="14" t="b">
        <v>0</v>
      </c>
      <c r="AC260" s="14" t="b">
        <v>0</v>
      </c>
    </row>
    <row r="261" spans="1:29">
      <c r="A261" s="14" t="s">
        <v>1658</v>
      </c>
      <c r="B261" s="14" t="s">
        <v>6070</v>
      </c>
      <c r="C261" s="14" t="s">
        <v>798</v>
      </c>
      <c r="D261" s="14" t="s">
        <v>1657</v>
      </c>
      <c r="E261" s="14" t="s">
        <v>36</v>
      </c>
      <c r="F261" s="14" t="s">
        <v>5668</v>
      </c>
      <c r="G261" s="14" t="s">
        <v>1295</v>
      </c>
      <c r="H261" s="15">
        <v>46154.203923611109</v>
      </c>
      <c r="I261" s="14" t="s">
        <v>5740</v>
      </c>
      <c r="J261" s="14">
        <v>80</v>
      </c>
      <c r="K261" s="14" t="s">
        <v>5679</v>
      </c>
      <c r="L261" s="17">
        <v>46298</v>
      </c>
      <c r="M261" s="17"/>
      <c r="N261" s="14" t="s">
        <v>5741</v>
      </c>
      <c r="O261" s="17">
        <v>46275</v>
      </c>
      <c r="P261" s="14"/>
      <c r="Q261" s="18">
        <v>64000</v>
      </c>
      <c r="R261" s="19">
        <v>2</v>
      </c>
      <c r="S261" s="18">
        <v>62720</v>
      </c>
      <c r="T261" s="14">
        <v>12</v>
      </c>
      <c r="U261" s="18">
        <v>62720</v>
      </c>
      <c r="V261" s="18">
        <v>10000</v>
      </c>
      <c r="W261" s="19">
        <v>8.3000000000000007</v>
      </c>
      <c r="X261" s="18">
        <v>9170</v>
      </c>
      <c r="Y261" s="14" t="s">
        <v>5665</v>
      </c>
      <c r="Z261" s="14" t="s">
        <v>5666</v>
      </c>
      <c r="AA261" s="14" t="b">
        <v>0</v>
      </c>
      <c r="AB261" s="14" t="b">
        <v>0</v>
      </c>
      <c r="AC261" s="14" t="b">
        <v>0</v>
      </c>
    </row>
    <row r="262" spans="1:29">
      <c r="A262" s="14" t="s">
        <v>2341</v>
      </c>
      <c r="B262" s="14" t="s">
        <v>6071</v>
      </c>
      <c r="C262" s="14" t="s">
        <v>317</v>
      </c>
      <c r="D262" s="14" t="s">
        <v>2340</v>
      </c>
      <c r="E262" s="14" t="s">
        <v>91</v>
      </c>
      <c r="F262" s="14" t="s">
        <v>5668</v>
      </c>
      <c r="G262" s="14"/>
      <c r="H262" s="15">
        <v>45576.28701388889</v>
      </c>
      <c r="I262" s="14" t="s">
        <v>5675</v>
      </c>
      <c r="J262" s="14">
        <v>0</v>
      </c>
      <c r="K262" s="14" t="s">
        <v>5670</v>
      </c>
      <c r="L262" s="17">
        <v>45616.28701388889</v>
      </c>
      <c r="M262" s="17">
        <v>45616.28701388889</v>
      </c>
      <c r="N262" s="14"/>
      <c r="O262" s="17">
        <v>45612.28701388889</v>
      </c>
      <c r="P262" s="14" t="s">
        <v>5703</v>
      </c>
      <c r="Q262" s="18">
        <v>24000</v>
      </c>
      <c r="R262" s="19">
        <v>9.6999999999999993</v>
      </c>
      <c r="S262" s="18">
        <v>21672</v>
      </c>
      <c r="T262" s="14">
        <v>12</v>
      </c>
      <c r="U262" s="18">
        <v>21672</v>
      </c>
      <c r="V262" s="18">
        <v>5000</v>
      </c>
      <c r="W262" s="19">
        <v>18</v>
      </c>
      <c r="X262" s="18">
        <v>4100</v>
      </c>
      <c r="Y262" s="14" t="s">
        <v>5665</v>
      </c>
      <c r="Z262" s="14" t="s">
        <v>5666</v>
      </c>
      <c r="AA262" s="14" t="b">
        <v>0</v>
      </c>
      <c r="AB262" s="14" t="b">
        <v>0</v>
      </c>
      <c r="AC262" s="14" t="b">
        <v>0</v>
      </c>
    </row>
    <row r="263" spans="1:29">
      <c r="A263" s="14" t="s">
        <v>6072</v>
      </c>
      <c r="B263" s="14" t="s">
        <v>6073</v>
      </c>
      <c r="C263" s="14" t="s">
        <v>1007</v>
      </c>
      <c r="D263" s="14" t="s">
        <v>6074</v>
      </c>
      <c r="E263" s="14" t="s">
        <v>82</v>
      </c>
      <c r="F263" s="14" t="s">
        <v>5668</v>
      </c>
      <c r="G263" s="14" t="s">
        <v>1413</v>
      </c>
      <c r="H263" s="15">
        <v>46134</v>
      </c>
      <c r="I263" s="14" t="s">
        <v>5663</v>
      </c>
      <c r="J263" s="14">
        <v>100</v>
      </c>
      <c r="K263" s="14" t="s">
        <v>5670</v>
      </c>
      <c r="L263" s="17">
        <v>46215</v>
      </c>
      <c r="M263" s="17">
        <v>46215</v>
      </c>
      <c r="N263" s="14"/>
      <c r="O263" s="17">
        <v>46212</v>
      </c>
      <c r="P263" s="14"/>
      <c r="Q263" s="18">
        <v>72000</v>
      </c>
      <c r="R263" s="19">
        <v>2.2000000000000002</v>
      </c>
      <c r="S263" s="18">
        <v>70416</v>
      </c>
      <c r="T263" s="14">
        <v>12</v>
      </c>
      <c r="U263" s="18">
        <v>70416</v>
      </c>
      <c r="V263" s="18">
        <v>20000</v>
      </c>
      <c r="W263" s="19">
        <v>8.9</v>
      </c>
      <c r="X263" s="18">
        <v>18220</v>
      </c>
      <c r="Y263" s="14" t="s">
        <v>5735</v>
      </c>
      <c r="Z263" s="14" t="s">
        <v>5666</v>
      </c>
      <c r="AA263" s="14" t="b">
        <v>0</v>
      </c>
      <c r="AB263" s="14" t="b">
        <v>0</v>
      </c>
      <c r="AC263" s="14" t="b">
        <v>1</v>
      </c>
    </row>
    <row r="264" spans="1:29">
      <c r="A264" s="14" t="s">
        <v>2081</v>
      </c>
      <c r="B264" s="14" t="s">
        <v>5695</v>
      </c>
      <c r="C264" s="14" t="s">
        <v>363</v>
      </c>
      <c r="D264" s="14" t="s">
        <v>2080</v>
      </c>
      <c r="E264" s="14" t="s">
        <v>18</v>
      </c>
      <c r="F264" s="14" t="s">
        <v>5668</v>
      </c>
      <c r="G264" s="14" t="s">
        <v>1413</v>
      </c>
      <c r="H264" s="15">
        <v>45631.001423611109</v>
      </c>
      <c r="I264" s="14" t="s">
        <v>5675</v>
      </c>
      <c r="J264" s="14">
        <v>0</v>
      </c>
      <c r="K264" s="14" t="s">
        <v>5664</v>
      </c>
      <c r="L264" s="17">
        <v>45779.001423611109</v>
      </c>
      <c r="M264" s="17">
        <v>45749.001423611109</v>
      </c>
      <c r="N264" s="14"/>
      <c r="O264" s="17">
        <v>45744.001423611109</v>
      </c>
      <c r="P264" s="14" t="s">
        <v>5783</v>
      </c>
      <c r="Q264" s="18">
        <v>88000</v>
      </c>
      <c r="R264" s="19">
        <v>2</v>
      </c>
      <c r="S264" s="18">
        <v>86240</v>
      </c>
      <c r="T264" s="14">
        <v>12</v>
      </c>
      <c r="U264" s="18">
        <v>86240</v>
      </c>
      <c r="V264" s="18">
        <v>20000</v>
      </c>
      <c r="W264" s="19">
        <v>5.2</v>
      </c>
      <c r="X264" s="18">
        <v>18960</v>
      </c>
      <c r="Y264" s="14" t="s">
        <v>5665</v>
      </c>
      <c r="Z264" s="14" t="s">
        <v>5666</v>
      </c>
      <c r="AA264" s="14" t="b">
        <v>0</v>
      </c>
      <c r="AB264" s="14" t="b">
        <v>0</v>
      </c>
      <c r="AC264" s="14" t="b">
        <v>0</v>
      </c>
    </row>
    <row r="265" spans="1:29">
      <c r="A265" s="14" t="s">
        <v>2213</v>
      </c>
      <c r="B265" s="14" t="s">
        <v>6075</v>
      </c>
      <c r="C265" s="14" t="s">
        <v>551</v>
      </c>
      <c r="D265" s="14" t="s">
        <v>2212</v>
      </c>
      <c r="E265" s="14" t="s">
        <v>91</v>
      </c>
      <c r="F265" s="14" t="s">
        <v>5668</v>
      </c>
      <c r="G265" s="14" t="s">
        <v>1271</v>
      </c>
      <c r="H265" s="15">
        <v>46238.593229166669</v>
      </c>
      <c r="I265" s="14" t="s">
        <v>5675</v>
      </c>
      <c r="J265" s="14">
        <v>0</v>
      </c>
      <c r="K265" s="14" t="s">
        <v>5664</v>
      </c>
      <c r="L265" s="17">
        <v>46260.593229166669</v>
      </c>
      <c r="M265" s="17">
        <v>46260.593229166669</v>
      </c>
      <c r="N265" s="14"/>
      <c r="O265" s="17">
        <v>46260.593229166669</v>
      </c>
      <c r="P265" s="14" t="s">
        <v>5703</v>
      </c>
      <c r="Q265" s="18">
        <v>36000</v>
      </c>
      <c r="R265" s="19">
        <v>8.6999999999999993</v>
      </c>
      <c r="S265" s="18">
        <v>32868</v>
      </c>
      <c r="T265" s="14">
        <v>24</v>
      </c>
      <c r="U265" s="18">
        <v>65736</v>
      </c>
      <c r="V265" s="18">
        <v>10000</v>
      </c>
      <c r="W265" s="19">
        <v>2</v>
      </c>
      <c r="X265" s="18">
        <v>9800</v>
      </c>
      <c r="Y265" s="14" t="s">
        <v>5665</v>
      </c>
      <c r="Z265" s="14" t="s">
        <v>5666</v>
      </c>
      <c r="AA265" s="14" t="b">
        <v>0</v>
      </c>
      <c r="AB265" s="14" t="b">
        <v>0</v>
      </c>
      <c r="AC265" s="14" t="b">
        <v>0</v>
      </c>
    </row>
    <row r="266" spans="1:29">
      <c r="A266" s="14" t="s">
        <v>2202</v>
      </c>
      <c r="B266" s="14" t="s">
        <v>6076</v>
      </c>
      <c r="C266" s="14" t="s">
        <v>769</v>
      </c>
      <c r="D266" s="14" t="s">
        <v>2201</v>
      </c>
      <c r="E266" s="14" t="s">
        <v>25</v>
      </c>
      <c r="F266" s="14" t="s">
        <v>5668</v>
      </c>
      <c r="G266" s="14" t="s">
        <v>1355</v>
      </c>
      <c r="H266" s="15">
        <v>45281.996921296297</v>
      </c>
      <c r="I266" s="14" t="s">
        <v>5675</v>
      </c>
      <c r="J266" s="14">
        <v>80</v>
      </c>
      <c r="K266" s="14" t="s">
        <v>5679</v>
      </c>
      <c r="L266" s="17">
        <v>45315.996921296297</v>
      </c>
      <c r="M266" s="17">
        <v>45308.996921296297</v>
      </c>
      <c r="N266" s="14"/>
      <c r="O266" s="17">
        <v>45302.996921296297</v>
      </c>
      <c r="P266" s="14" t="s">
        <v>5676</v>
      </c>
      <c r="Q266" s="18">
        <v>12000</v>
      </c>
      <c r="R266" s="19">
        <v>9.6999999999999993</v>
      </c>
      <c r="S266" s="18">
        <v>10836</v>
      </c>
      <c r="T266" s="14">
        <v>12</v>
      </c>
      <c r="U266" s="18">
        <v>10836</v>
      </c>
      <c r="V266" s="18">
        <v>5000</v>
      </c>
      <c r="W266" s="19">
        <v>0.3</v>
      </c>
      <c r="X266" s="18">
        <v>4985</v>
      </c>
      <c r="Y266" s="14" t="s">
        <v>5665</v>
      </c>
      <c r="Z266" s="14" t="s">
        <v>5693</v>
      </c>
      <c r="AA266" s="14" t="b">
        <v>0</v>
      </c>
      <c r="AB266" s="14" t="b">
        <v>0</v>
      </c>
      <c r="AC266" s="14" t="b">
        <v>1</v>
      </c>
    </row>
    <row r="267" spans="1:29">
      <c r="A267" s="14" t="s">
        <v>6077</v>
      </c>
      <c r="B267" s="14" t="s">
        <v>5797</v>
      </c>
      <c r="C267" s="14" t="s">
        <v>183</v>
      </c>
      <c r="D267" s="14" t="s">
        <v>2251</v>
      </c>
      <c r="E267" s="14" t="s">
        <v>25</v>
      </c>
      <c r="F267" s="14" t="s">
        <v>5668</v>
      </c>
      <c r="G267" s="14" t="s">
        <v>1413</v>
      </c>
      <c r="H267" s="15">
        <v>46245.958333333336</v>
      </c>
      <c r="I267" s="14" t="s">
        <v>5669</v>
      </c>
      <c r="J267" s="14">
        <v>60</v>
      </c>
      <c r="K267" s="14" t="s">
        <v>5679</v>
      </c>
      <c r="L267" s="17">
        <v>46315</v>
      </c>
      <c r="M267" s="17"/>
      <c r="N267" s="14" t="s">
        <v>5671</v>
      </c>
      <c r="O267" s="17">
        <v>46231</v>
      </c>
      <c r="P267" s="14"/>
      <c r="Q267" s="18">
        <v>16000</v>
      </c>
      <c r="R267" s="19">
        <v>8.5</v>
      </c>
      <c r="S267" s="18">
        <v>14640</v>
      </c>
      <c r="T267" s="14">
        <v>12</v>
      </c>
      <c r="U267" s="18">
        <v>14640</v>
      </c>
      <c r="V267" s="18">
        <v>5000</v>
      </c>
      <c r="W267" s="19">
        <v>16.2</v>
      </c>
      <c r="X267" s="18">
        <v>4190</v>
      </c>
      <c r="Y267" s="14" t="s">
        <v>5665</v>
      </c>
      <c r="Z267" s="14" t="s">
        <v>5666</v>
      </c>
      <c r="AA267" s="14" t="b">
        <v>0</v>
      </c>
      <c r="AB267" s="14" t="b">
        <v>0</v>
      </c>
      <c r="AC267" s="14" t="b">
        <v>0</v>
      </c>
    </row>
    <row r="268" spans="1:29">
      <c r="A268" s="14" t="s">
        <v>6078</v>
      </c>
      <c r="B268" s="14" t="s">
        <v>6079</v>
      </c>
      <c r="C268" s="14" t="s">
        <v>824</v>
      </c>
      <c r="D268" s="14" t="s">
        <v>6080</v>
      </c>
      <c r="E268" s="14" t="s">
        <v>18</v>
      </c>
      <c r="F268" s="14" t="s">
        <v>5662</v>
      </c>
      <c r="G268" s="14" t="s">
        <v>1339</v>
      </c>
      <c r="H268" s="15">
        <v>46088.637094907404</v>
      </c>
      <c r="I268" s="14" t="s">
        <v>5663</v>
      </c>
      <c r="J268" s="14">
        <v>100</v>
      </c>
      <c r="K268" s="14" t="s">
        <v>5664</v>
      </c>
      <c r="L268" s="17">
        <v>46180.637094907404</v>
      </c>
      <c r="M268" s="17">
        <v>46180.637094907404</v>
      </c>
      <c r="N268" s="14"/>
      <c r="O268" s="17">
        <v>46173.637094907404</v>
      </c>
      <c r="P268" s="14"/>
      <c r="Q268" s="18">
        <v>8000</v>
      </c>
      <c r="R268" s="19">
        <v>5.7</v>
      </c>
      <c r="S268" s="18">
        <v>7544</v>
      </c>
      <c r="T268" s="14">
        <v>12</v>
      </c>
      <c r="U268" s="18">
        <v>7544</v>
      </c>
      <c r="V268" s="18">
        <v>0</v>
      </c>
      <c r="W268" s="19">
        <v>0</v>
      </c>
      <c r="X268" s="18">
        <v>0</v>
      </c>
      <c r="Y268" s="14" t="s">
        <v>5665</v>
      </c>
      <c r="Z268" s="14" t="s">
        <v>5666</v>
      </c>
      <c r="AA268" s="14" t="b">
        <v>0</v>
      </c>
      <c r="AB268" s="14" t="b">
        <v>0</v>
      </c>
      <c r="AC268" s="14" t="b">
        <v>0</v>
      </c>
    </row>
    <row r="269" spans="1:29">
      <c r="A269" s="14" t="s">
        <v>1450</v>
      </c>
      <c r="B269" s="14" t="s">
        <v>6081</v>
      </c>
      <c r="C269" s="14" t="s">
        <v>189</v>
      </c>
      <c r="D269" s="14" t="s">
        <v>1449</v>
      </c>
      <c r="E269" s="14" t="s">
        <v>91</v>
      </c>
      <c r="F269" s="14" t="s">
        <v>5668</v>
      </c>
      <c r="G269" s="14" t="s">
        <v>1281</v>
      </c>
      <c r="H269" s="15">
        <v>46038.551215277781</v>
      </c>
      <c r="I269" s="14" t="s">
        <v>5675</v>
      </c>
      <c r="J269" s="14">
        <v>0</v>
      </c>
      <c r="K269" s="14" t="s">
        <v>5664</v>
      </c>
      <c r="L269" s="17">
        <v>46129.551215277781</v>
      </c>
      <c r="M269" s="17">
        <v>46136.551215277781</v>
      </c>
      <c r="N269" s="14"/>
      <c r="O269" s="17">
        <v>46136.551215277781</v>
      </c>
      <c r="P269" s="14" t="s">
        <v>5721</v>
      </c>
      <c r="Q269" s="18">
        <v>20000</v>
      </c>
      <c r="R269" s="19">
        <v>27.9</v>
      </c>
      <c r="S269" s="18">
        <v>14420</v>
      </c>
      <c r="T269" s="14">
        <v>36</v>
      </c>
      <c r="U269" s="18">
        <v>43260</v>
      </c>
      <c r="V269" s="18">
        <v>5000</v>
      </c>
      <c r="W269" s="19">
        <v>1.1000000000000001</v>
      </c>
      <c r="X269" s="18">
        <v>4945</v>
      </c>
      <c r="Y269" s="14" t="s">
        <v>5665</v>
      </c>
      <c r="Z269" s="14" t="s">
        <v>5666</v>
      </c>
      <c r="AA269" s="14" t="b">
        <v>0</v>
      </c>
      <c r="AB269" s="14" t="b">
        <v>0</v>
      </c>
      <c r="AC269" s="14" t="b">
        <v>1</v>
      </c>
    </row>
    <row r="270" spans="1:29">
      <c r="A270" s="14" t="s">
        <v>6082</v>
      </c>
      <c r="B270" s="14" t="s">
        <v>6083</v>
      </c>
      <c r="C270" s="14" t="s">
        <v>409</v>
      </c>
      <c r="D270" s="14" t="s">
        <v>2243</v>
      </c>
      <c r="E270" s="14" t="s">
        <v>69</v>
      </c>
      <c r="F270" s="14" t="s">
        <v>5668</v>
      </c>
      <c r="G270" s="14" t="s">
        <v>1339</v>
      </c>
      <c r="H270" s="15">
        <v>46154.325914351852</v>
      </c>
      <c r="I270" s="14" t="s">
        <v>5663</v>
      </c>
      <c r="J270" s="14">
        <v>100</v>
      </c>
      <c r="K270" s="14" t="s">
        <v>5664</v>
      </c>
      <c r="L270" s="17">
        <v>46183.325914351852</v>
      </c>
      <c r="M270" s="17">
        <v>46183.325914351852</v>
      </c>
      <c r="N270" s="14"/>
      <c r="O270" s="17">
        <v>46177.325914351852</v>
      </c>
      <c r="P270" s="14"/>
      <c r="Q270" s="18">
        <v>20000</v>
      </c>
      <c r="R270" s="19">
        <v>12.9</v>
      </c>
      <c r="S270" s="18">
        <v>17420</v>
      </c>
      <c r="T270" s="14">
        <v>36</v>
      </c>
      <c r="U270" s="18">
        <v>52260</v>
      </c>
      <c r="V270" s="18">
        <v>5000</v>
      </c>
      <c r="W270" s="19">
        <v>11.1</v>
      </c>
      <c r="X270" s="18">
        <v>4445</v>
      </c>
      <c r="Y270" s="14" t="s">
        <v>5665</v>
      </c>
      <c r="Z270" s="14" t="s">
        <v>5666</v>
      </c>
      <c r="AA270" s="14" t="b">
        <v>0</v>
      </c>
      <c r="AB270" s="14" t="b">
        <v>0</v>
      </c>
      <c r="AC270" s="14" t="b">
        <v>1</v>
      </c>
    </row>
    <row r="271" spans="1:29">
      <c r="A271" s="14" t="s">
        <v>1800</v>
      </c>
      <c r="B271" s="14" t="s">
        <v>5940</v>
      </c>
      <c r="C271" s="14" t="s">
        <v>906</v>
      </c>
      <c r="D271" s="14" t="s">
        <v>1799</v>
      </c>
      <c r="E271" s="14" t="s">
        <v>82</v>
      </c>
      <c r="F271" s="14" t="s">
        <v>5668</v>
      </c>
      <c r="G271" s="14" t="s">
        <v>1281</v>
      </c>
      <c r="H271" s="15">
        <v>45469.478425925925</v>
      </c>
      <c r="I271" s="14" t="s">
        <v>5725</v>
      </c>
      <c r="J271" s="14">
        <v>90</v>
      </c>
      <c r="K271" s="14" t="s">
        <v>5725</v>
      </c>
      <c r="L271" s="17">
        <v>46238</v>
      </c>
      <c r="M271" s="17"/>
      <c r="N271" s="14" t="s">
        <v>5726</v>
      </c>
      <c r="O271" s="17">
        <v>46266</v>
      </c>
      <c r="P271" s="14"/>
      <c r="Q271" s="18">
        <v>86000</v>
      </c>
      <c r="R271" s="19">
        <v>8.3000000000000007</v>
      </c>
      <c r="S271" s="18">
        <v>78862</v>
      </c>
      <c r="T271" s="14">
        <v>12</v>
      </c>
      <c r="U271" s="18">
        <v>78862</v>
      </c>
      <c r="V271" s="18">
        <v>20000</v>
      </c>
      <c r="W271" s="19">
        <v>7.6</v>
      </c>
      <c r="X271" s="18">
        <v>18480</v>
      </c>
      <c r="Y271" s="14" t="s">
        <v>5665</v>
      </c>
      <c r="Z271" s="14" t="s">
        <v>5666</v>
      </c>
      <c r="AA271" s="14" t="b">
        <v>0</v>
      </c>
      <c r="AB271" s="14" t="b">
        <v>0</v>
      </c>
      <c r="AC271" s="14" t="b">
        <v>0</v>
      </c>
    </row>
    <row r="272" spans="1:29">
      <c r="A272" s="14" t="s">
        <v>6084</v>
      </c>
      <c r="B272" s="14" t="s">
        <v>6085</v>
      </c>
      <c r="C272" s="14" t="s">
        <v>751</v>
      </c>
      <c r="D272" s="14" t="s">
        <v>6086</v>
      </c>
      <c r="E272" s="14" t="s">
        <v>25</v>
      </c>
      <c r="F272" s="14" t="s">
        <v>5668</v>
      </c>
      <c r="G272" s="14" t="s">
        <v>1355</v>
      </c>
      <c r="H272" s="15">
        <v>46273.458333333336</v>
      </c>
      <c r="I272" s="14" t="s">
        <v>5686</v>
      </c>
      <c r="J272" s="14">
        <v>10</v>
      </c>
      <c r="K272" s="14" t="s">
        <v>5670</v>
      </c>
      <c r="L272" s="17">
        <v>46347</v>
      </c>
      <c r="M272" s="17"/>
      <c r="N272" s="14" t="s">
        <v>5687</v>
      </c>
      <c r="O272" s="17">
        <v>46288</v>
      </c>
      <c r="P272" s="14"/>
      <c r="Q272" s="18">
        <v>16000</v>
      </c>
      <c r="R272" s="19">
        <v>4.7</v>
      </c>
      <c r="S272" s="18">
        <v>15248</v>
      </c>
      <c r="T272" s="14">
        <v>12</v>
      </c>
      <c r="U272" s="18">
        <v>15248</v>
      </c>
      <c r="V272" s="18">
        <v>5000</v>
      </c>
      <c r="W272" s="19">
        <v>3.9</v>
      </c>
      <c r="X272" s="18">
        <v>4805</v>
      </c>
      <c r="Y272" s="14" t="s">
        <v>5665</v>
      </c>
      <c r="Z272" s="14" t="s">
        <v>5666</v>
      </c>
      <c r="AA272" s="14" t="b">
        <v>0</v>
      </c>
      <c r="AB272" s="14" t="b">
        <v>0</v>
      </c>
      <c r="AC272" s="14" t="b">
        <v>0</v>
      </c>
    </row>
    <row r="273" spans="1:29">
      <c r="A273" s="14" t="s">
        <v>6087</v>
      </c>
      <c r="B273" s="14" t="s">
        <v>6088</v>
      </c>
      <c r="C273" s="14" t="s">
        <v>437</v>
      </c>
      <c r="D273" s="14" t="s">
        <v>6089</v>
      </c>
      <c r="E273" s="14" t="s">
        <v>55</v>
      </c>
      <c r="F273" s="14" t="s">
        <v>5668</v>
      </c>
      <c r="G273" s="14" t="s">
        <v>1339</v>
      </c>
      <c r="H273" s="15">
        <v>46244.916666666664</v>
      </c>
      <c r="I273" s="14" t="s">
        <v>5691</v>
      </c>
      <c r="J273" s="14">
        <v>40</v>
      </c>
      <c r="K273" s="14" t="s">
        <v>5670</v>
      </c>
      <c r="L273" s="17">
        <v>46311</v>
      </c>
      <c r="M273" s="17"/>
      <c r="N273" s="14" t="s">
        <v>5692</v>
      </c>
      <c r="O273" s="17">
        <v>46273</v>
      </c>
      <c r="P273" s="14"/>
      <c r="Q273" s="18">
        <v>30000</v>
      </c>
      <c r="R273" s="19">
        <v>14.1</v>
      </c>
      <c r="S273" s="18">
        <v>25770</v>
      </c>
      <c r="T273" s="14">
        <v>24</v>
      </c>
      <c r="U273" s="18">
        <v>51540</v>
      </c>
      <c r="V273" s="18">
        <v>10000</v>
      </c>
      <c r="W273" s="19">
        <v>26.6</v>
      </c>
      <c r="X273" s="18">
        <v>7340</v>
      </c>
      <c r="Y273" s="14" t="s">
        <v>5665</v>
      </c>
      <c r="Z273" s="14" t="s">
        <v>5666</v>
      </c>
      <c r="AA273" s="14" t="b">
        <v>0</v>
      </c>
      <c r="AB273" s="14" t="b">
        <v>0</v>
      </c>
      <c r="AC273" s="14" t="b">
        <v>1</v>
      </c>
    </row>
    <row r="274" spans="1:29">
      <c r="A274" s="14" t="s">
        <v>6090</v>
      </c>
      <c r="B274" s="14" t="s">
        <v>5948</v>
      </c>
      <c r="C274" s="14" t="s">
        <v>639</v>
      </c>
      <c r="D274" s="14" t="s">
        <v>2039</v>
      </c>
      <c r="E274" s="14" t="s">
        <v>82</v>
      </c>
      <c r="F274" s="14" t="s">
        <v>5668</v>
      </c>
      <c r="G274" s="14"/>
      <c r="H274" s="15">
        <v>46264.708333333336</v>
      </c>
      <c r="I274" s="14" t="s">
        <v>5681</v>
      </c>
      <c r="J274" s="14">
        <v>25</v>
      </c>
      <c r="K274" s="14" t="s">
        <v>5670</v>
      </c>
      <c r="L274" s="17">
        <v>46338</v>
      </c>
      <c r="M274" s="17"/>
      <c r="N274" s="14" t="s">
        <v>5682</v>
      </c>
      <c r="O274" s="17">
        <v>46273</v>
      </c>
      <c r="P274" s="14"/>
      <c r="Q274" s="18">
        <v>38000</v>
      </c>
      <c r="R274" s="19">
        <v>22.1</v>
      </c>
      <c r="S274" s="18">
        <v>29602</v>
      </c>
      <c r="T274" s="14">
        <v>12</v>
      </c>
      <c r="U274" s="18">
        <v>29602</v>
      </c>
      <c r="V274" s="18">
        <v>10000</v>
      </c>
      <c r="W274" s="19">
        <v>3.5</v>
      </c>
      <c r="X274" s="18">
        <v>9650</v>
      </c>
      <c r="Y274" s="14" t="s">
        <v>5665</v>
      </c>
      <c r="Z274" s="14" t="s">
        <v>5666</v>
      </c>
      <c r="AA274" s="14" t="b">
        <v>0</v>
      </c>
      <c r="AB274" s="14" t="b">
        <v>0</v>
      </c>
      <c r="AC274" s="14" t="b">
        <v>1</v>
      </c>
    </row>
    <row r="275" spans="1:29">
      <c r="A275" s="14" t="s">
        <v>1639</v>
      </c>
      <c r="B275" s="14" t="s">
        <v>6091</v>
      </c>
      <c r="C275" s="14" t="s">
        <v>506</v>
      </c>
      <c r="D275" s="14" t="s">
        <v>1638</v>
      </c>
      <c r="E275" s="14" t="s">
        <v>55</v>
      </c>
      <c r="F275" s="14" t="s">
        <v>5668</v>
      </c>
      <c r="G275" s="14" t="s">
        <v>1339</v>
      </c>
      <c r="H275" s="15">
        <v>46203</v>
      </c>
      <c r="I275" s="14" t="s">
        <v>5675</v>
      </c>
      <c r="J275" s="14">
        <v>0</v>
      </c>
      <c r="K275" s="14" t="s">
        <v>5664</v>
      </c>
      <c r="L275" s="17">
        <v>46268</v>
      </c>
      <c r="M275" s="17">
        <v>46275</v>
      </c>
      <c r="N275" s="14"/>
      <c r="O275" s="17">
        <v>46269</v>
      </c>
      <c r="P275" s="14" t="s">
        <v>5702</v>
      </c>
      <c r="Q275" s="18">
        <v>60000</v>
      </c>
      <c r="R275" s="19">
        <v>3</v>
      </c>
      <c r="S275" s="18">
        <v>58200</v>
      </c>
      <c r="T275" s="14">
        <v>12</v>
      </c>
      <c r="U275" s="18">
        <v>58200</v>
      </c>
      <c r="V275" s="18">
        <v>20000</v>
      </c>
      <c r="W275" s="19">
        <v>10.199999999999999</v>
      </c>
      <c r="X275" s="18">
        <v>17960</v>
      </c>
      <c r="Y275" s="14" t="s">
        <v>5665</v>
      </c>
      <c r="Z275" s="14" t="s">
        <v>5666</v>
      </c>
      <c r="AA275" s="14" t="b">
        <v>0</v>
      </c>
      <c r="AB275" s="14" t="b">
        <v>0</v>
      </c>
      <c r="AC275" s="14" t="b">
        <v>0</v>
      </c>
    </row>
    <row r="276" spans="1:29">
      <c r="A276" s="14" t="s">
        <v>2581</v>
      </c>
      <c r="B276" s="14" t="s">
        <v>6092</v>
      </c>
      <c r="C276" s="14" t="s">
        <v>398</v>
      </c>
      <c r="D276" s="14" t="s">
        <v>2580</v>
      </c>
      <c r="E276" s="14" t="s">
        <v>36</v>
      </c>
      <c r="F276" s="14" t="s">
        <v>5668</v>
      </c>
      <c r="G276" s="14" t="s">
        <v>1413</v>
      </c>
      <c r="H276" s="15">
        <v>45032.51253472222</v>
      </c>
      <c r="I276" s="14" t="s">
        <v>5675</v>
      </c>
      <c r="J276" s="14">
        <v>0</v>
      </c>
      <c r="K276" s="14" t="s">
        <v>5664</v>
      </c>
      <c r="L276" s="17">
        <v>45123.51253472222</v>
      </c>
      <c r="M276" s="17">
        <v>45109.51253472222</v>
      </c>
      <c r="N276" s="14"/>
      <c r="O276" s="17">
        <v>45103.51253472222</v>
      </c>
      <c r="P276" s="14" t="s">
        <v>5703</v>
      </c>
      <c r="Q276" s="18">
        <v>60000</v>
      </c>
      <c r="R276" s="19">
        <v>17.5</v>
      </c>
      <c r="S276" s="18">
        <v>49500</v>
      </c>
      <c r="T276" s="14">
        <v>12</v>
      </c>
      <c r="U276" s="18">
        <v>49500</v>
      </c>
      <c r="V276" s="18">
        <v>10000</v>
      </c>
      <c r="W276" s="19">
        <v>3.4</v>
      </c>
      <c r="X276" s="18">
        <v>9660</v>
      </c>
      <c r="Y276" s="14" t="s">
        <v>5665</v>
      </c>
      <c r="Z276" s="14" t="s">
        <v>5666</v>
      </c>
      <c r="AA276" s="14" t="b">
        <v>0</v>
      </c>
      <c r="AB276" s="14" t="b">
        <v>0</v>
      </c>
      <c r="AC276" s="14" t="b">
        <v>0</v>
      </c>
    </row>
    <row r="277" spans="1:29">
      <c r="A277" s="14" t="s">
        <v>2337</v>
      </c>
      <c r="B277" s="14" t="s">
        <v>6036</v>
      </c>
      <c r="C277" s="14" t="s">
        <v>12</v>
      </c>
      <c r="D277" s="14" t="s">
        <v>2336</v>
      </c>
      <c r="E277" s="14" t="s">
        <v>18</v>
      </c>
      <c r="F277" s="14" t="s">
        <v>5668</v>
      </c>
      <c r="G277" s="14"/>
      <c r="H277" s="15">
        <v>45330.905706018515</v>
      </c>
      <c r="I277" s="14" t="s">
        <v>5675</v>
      </c>
      <c r="J277" s="14">
        <v>0</v>
      </c>
      <c r="K277" s="14" t="s">
        <v>5664</v>
      </c>
      <c r="L277" s="17">
        <v>45439.905706018515</v>
      </c>
      <c r="M277" s="17">
        <v>45439.905706018515</v>
      </c>
      <c r="N277" s="14"/>
      <c r="O277" s="17">
        <v>45439.905706018515</v>
      </c>
      <c r="P277" s="14" t="s">
        <v>5702</v>
      </c>
      <c r="Q277" s="18">
        <v>80000</v>
      </c>
      <c r="R277" s="19">
        <v>26.3</v>
      </c>
      <c r="S277" s="18">
        <v>58960</v>
      </c>
      <c r="T277" s="14">
        <v>12</v>
      </c>
      <c r="U277" s="18">
        <v>58960</v>
      </c>
      <c r="V277" s="18">
        <v>20000</v>
      </c>
      <c r="W277" s="19">
        <v>2.1</v>
      </c>
      <c r="X277" s="18">
        <v>19580</v>
      </c>
      <c r="Y277" s="14" t="s">
        <v>5665</v>
      </c>
      <c r="Z277" s="14" t="s">
        <v>5666</v>
      </c>
      <c r="AA277" s="14" t="b">
        <v>0</v>
      </c>
      <c r="AB277" s="14" t="b">
        <v>0</v>
      </c>
      <c r="AC277" s="14" t="b">
        <v>1</v>
      </c>
    </row>
    <row r="278" spans="1:29">
      <c r="A278" s="14" t="s">
        <v>2233</v>
      </c>
      <c r="B278" s="14" t="s">
        <v>6093</v>
      </c>
      <c r="C278" s="14" t="s">
        <v>1035</v>
      </c>
      <c r="D278" s="14" t="s">
        <v>2232</v>
      </c>
      <c r="E278" s="14" t="s">
        <v>25</v>
      </c>
      <c r="F278" s="14" t="s">
        <v>5668</v>
      </c>
      <c r="G278" s="14" t="s">
        <v>1413</v>
      </c>
      <c r="H278" s="15">
        <v>45657.044004629628</v>
      </c>
      <c r="I278" s="14" t="s">
        <v>5675</v>
      </c>
      <c r="J278" s="14">
        <v>0</v>
      </c>
      <c r="K278" s="14" t="s">
        <v>5664</v>
      </c>
      <c r="L278" s="17">
        <v>45689.044004629628</v>
      </c>
      <c r="M278" s="17">
        <v>45689.044004629628</v>
      </c>
      <c r="N278" s="14"/>
      <c r="O278" s="17">
        <v>45685.044004629628</v>
      </c>
      <c r="P278" s="14" t="s">
        <v>5721</v>
      </c>
      <c r="Q278" s="18">
        <v>42000</v>
      </c>
      <c r="R278" s="19">
        <v>2.2999999999999998</v>
      </c>
      <c r="S278" s="18">
        <v>41034</v>
      </c>
      <c r="T278" s="14">
        <v>12</v>
      </c>
      <c r="U278" s="18">
        <v>41034</v>
      </c>
      <c r="V278" s="18">
        <v>10000</v>
      </c>
      <c r="W278" s="19">
        <v>8.9</v>
      </c>
      <c r="X278" s="18">
        <v>9110</v>
      </c>
      <c r="Y278" s="14" t="s">
        <v>5665</v>
      </c>
      <c r="Z278" s="14" t="s">
        <v>5666</v>
      </c>
      <c r="AA278" s="14" t="b">
        <v>0</v>
      </c>
      <c r="AB278" s="14" t="b">
        <v>0</v>
      </c>
      <c r="AC278" s="14" t="b">
        <v>0</v>
      </c>
    </row>
    <row r="279" spans="1:29">
      <c r="A279" s="14" t="s">
        <v>6094</v>
      </c>
      <c r="B279" s="14" t="s">
        <v>5673</v>
      </c>
      <c r="C279" s="14" t="s">
        <v>240</v>
      </c>
      <c r="D279" s="14" t="s">
        <v>2451</v>
      </c>
      <c r="E279" s="14" t="s">
        <v>55</v>
      </c>
      <c r="F279" s="14" t="s">
        <v>5668</v>
      </c>
      <c r="G279" s="14" t="s">
        <v>1413</v>
      </c>
      <c r="H279" s="15">
        <v>45865</v>
      </c>
      <c r="I279" s="14" t="s">
        <v>5663</v>
      </c>
      <c r="J279" s="14">
        <v>100</v>
      </c>
      <c r="K279" s="14" t="s">
        <v>5664</v>
      </c>
      <c r="L279" s="17">
        <v>45911</v>
      </c>
      <c r="M279" s="17">
        <v>45911</v>
      </c>
      <c r="N279" s="14"/>
      <c r="O279" s="17">
        <v>45907</v>
      </c>
      <c r="P279" s="14"/>
      <c r="Q279" s="18">
        <v>20000</v>
      </c>
      <c r="R279" s="19">
        <v>3</v>
      </c>
      <c r="S279" s="18">
        <v>19400</v>
      </c>
      <c r="T279" s="14">
        <v>24</v>
      </c>
      <c r="U279" s="18">
        <v>38800</v>
      </c>
      <c r="V279" s="18">
        <v>5000</v>
      </c>
      <c r="W279" s="19">
        <v>8.1</v>
      </c>
      <c r="X279" s="18">
        <v>4595</v>
      </c>
      <c r="Y279" s="14" t="s">
        <v>5665</v>
      </c>
      <c r="Z279" s="14" t="s">
        <v>5666</v>
      </c>
      <c r="AA279" s="14" t="b">
        <v>0</v>
      </c>
      <c r="AB279" s="14" t="b">
        <v>0</v>
      </c>
      <c r="AC279" s="14" t="b">
        <v>0</v>
      </c>
    </row>
    <row r="280" spans="1:29">
      <c r="A280" s="14" t="s">
        <v>6095</v>
      </c>
      <c r="B280" s="14" t="s">
        <v>6096</v>
      </c>
      <c r="C280" s="14" t="s">
        <v>87</v>
      </c>
      <c r="D280" s="14" t="s">
        <v>6097</v>
      </c>
      <c r="E280" s="14" t="s">
        <v>91</v>
      </c>
      <c r="F280" s="14" t="s">
        <v>5668</v>
      </c>
      <c r="G280" s="14"/>
      <c r="H280" s="15">
        <v>46259.541666666664</v>
      </c>
      <c r="I280" s="14" t="s">
        <v>5691</v>
      </c>
      <c r="J280" s="14">
        <v>90</v>
      </c>
      <c r="K280" s="14" t="s">
        <v>5670</v>
      </c>
      <c r="L280" s="17">
        <v>46349</v>
      </c>
      <c r="M280" s="17"/>
      <c r="N280" s="14" t="s">
        <v>5801</v>
      </c>
      <c r="O280" s="17">
        <v>46215</v>
      </c>
      <c r="P280" s="14"/>
      <c r="Q280" s="18">
        <v>30000</v>
      </c>
      <c r="R280" s="19">
        <v>23.1</v>
      </c>
      <c r="S280" s="18">
        <v>23070</v>
      </c>
      <c r="T280" s="14">
        <v>12</v>
      </c>
      <c r="U280" s="18">
        <v>23070</v>
      </c>
      <c r="V280" s="18">
        <v>10000</v>
      </c>
      <c r="W280" s="19">
        <v>1.4</v>
      </c>
      <c r="X280" s="18">
        <v>9860</v>
      </c>
      <c r="Y280" s="14" t="s">
        <v>5665</v>
      </c>
      <c r="Z280" s="14" t="s">
        <v>5693</v>
      </c>
      <c r="AA280" s="14" t="b">
        <v>0</v>
      </c>
      <c r="AB280" s="14" t="b">
        <v>0</v>
      </c>
      <c r="AC280" s="14" t="b">
        <v>1</v>
      </c>
    </row>
    <row r="281" spans="1:29">
      <c r="A281" s="14" t="s">
        <v>2003</v>
      </c>
      <c r="B281" s="14" t="s">
        <v>6098</v>
      </c>
      <c r="C281" s="14" t="s">
        <v>168</v>
      </c>
      <c r="D281" s="14" t="s">
        <v>2002</v>
      </c>
      <c r="E281" s="14" t="s">
        <v>91</v>
      </c>
      <c r="F281" s="14" t="s">
        <v>5668</v>
      </c>
      <c r="G281" s="14" t="s">
        <v>1271</v>
      </c>
      <c r="H281" s="15">
        <v>45314.538460648146</v>
      </c>
      <c r="I281" s="14" t="s">
        <v>5675</v>
      </c>
      <c r="J281" s="14">
        <v>0</v>
      </c>
      <c r="K281" s="14" t="s">
        <v>5664</v>
      </c>
      <c r="L281" s="17">
        <v>45329.538460648146</v>
      </c>
      <c r="M281" s="17">
        <v>45343.538460648146</v>
      </c>
      <c r="N281" s="14"/>
      <c r="O281" s="17">
        <v>45341.538460648146</v>
      </c>
      <c r="P281" s="14" t="s">
        <v>5728</v>
      </c>
      <c r="Q281" s="18">
        <v>32000</v>
      </c>
      <c r="R281" s="19">
        <v>23.6</v>
      </c>
      <c r="S281" s="18">
        <v>24448</v>
      </c>
      <c r="T281" s="14">
        <v>12</v>
      </c>
      <c r="U281" s="18">
        <v>24448</v>
      </c>
      <c r="V281" s="18">
        <v>5000</v>
      </c>
      <c r="W281" s="19">
        <v>3.6</v>
      </c>
      <c r="X281" s="18">
        <v>4820</v>
      </c>
      <c r="Y281" s="14" t="s">
        <v>5665</v>
      </c>
      <c r="Z281" s="14" t="s">
        <v>5666</v>
      </c>
      <c r="AA281" s="14" t="b">
        <v>0</v>
      </c>
      <c r="AB281" s="14" t="b">
        <v>0</v>
      </c>
      <c r="AC281" s="14" t="b">
        <v>1</v>
      </c>
    </row>
    <row r="282" spans="1:29">
      <c r="A282" s="14" t="s">
        <v>2217</v>
      </c>
      <c r="B282" s="14" t="s">
        <v>6099</v>
      </c>
      <c r="C282" s="14" t="s">
        <v>595</v>
      </c>
      <c r="D282" s="14" t="s">
        <v>2216</v>
      </c>
      <c r="E282" s="14" t="s">
        <v>59</v>
      </c>
      <c r="F282" s="14" t="s">
        <v>5668</v>
      </c>
      <c r="G282" s="14" t="s">
        <v>1339</v>
      </c>
      <c r="H282" s="15">
        <v>45771.422812500001</v>
      </c>
      <c r="I282" s="14" t="s">
        <v>5663</v>
      </c>
      <c r="J282" s="14">
        <v>100</v>
      </c>
      <c r="K282" s="14" t="s">
        <v>5664</v>
      </c>
      <c r="L282" s="17">
        <v>45791.422812500001</v>
      </c>
      <c r="M282" s="17">
        <v>45791.422812500001</v>
      </c>
      <c r="N282" s="14"/>
      <c r="O282" s="17">
        <v>45786.422812500001</v>
      </c>
      <c r="P282" s="14"/>
      <c r="Q282" s="18">
        <v>12000</v>
      </c>
      <c r="R282" s="19">
        <v>5.0999999999999996</v>
      </c>
      <c r="S282" s="18">
        <v>11388</v>
      </c>
      <c r="T282" s="14">
        <v>12</v>
      </c>
      <c r="U282" s="18">
        <v>11388</v>
      </c>
      <c r="V282" s="18">
        <v>5000</v>
      </c>
      <c r="W282" s="19">
        <v>28.9</v>
      </c>
      <c r="X282" s="18">
        <v>3555</v>
      </c>
      <c r="Y282" s="14" t="s">
        <v>5665</v>
      </c>
      <c r="Z282" s="14" t="s">
        <v>5666</v>
      </c>
      <c r="AA282" s="14" t="b">
        <v>0</v>
      </c>
      <c r="AB282" s="14" t="b">
        <v>0</v>
      </c>
      <c r="AC282" s="14" t="b">
        <v>1</v>
      </c>
    </row>
    <row r="283" spans="1:29">
      <c r="A283" s="14" t="s">
        <v>6100</v>
      </c>
      <c r="B283" s="14" t="s">
        <v>6101</v>
      </c>
      <c r="C283" s="14" t="s">
        <v>603</v>
      </c>
      <c r="D283" s="14" t="s">
        <v>6102</v>
      </c>
      <c r="E283" s="14" t="s">
        <v>25</v>
      </c>
      <c r="F283" s="14" t="s">
        <v>5668</v>
      </c>
      <c r="G283" s="14"/>
      <c r="H283" s="15">
        <v>45679</v>
      </c>
      <c r="I283" s="14" t="s">
        <v>5663</v>
      </c>
      <c r="J283" s="14">
        <v>100</v>
      </c>
      <c r="K283" s="14" t="s">
        <v>5664</v>
      </c>
      <c r="L283" s="17">
        <v>45684</v>
      </c>
      <c r="M283" s="17">
        <v>45714</v>
      </c>
      <c r="N283" s="14"/>
      <c r="O283" s="17">
        <v>45709</v>
      </c>
      <c r="P283" s="14"/>
      <c r="Q283" s="18">
        <v>30000</v>
      </c>
      <c r="R283" s="19">
        <v>9.9</v>
      </c>
      <c r="S283" s="18">
        <v>27030</v>
      </c>
      <c r="T283" s="14">
        <v>12</v>
      </c>
      <c r="U283" s="18">
        <v>27030</v>
      </c>
      <c r="V283" s="18">
        <v>10000</v>
      </c>
      <c r="W283" s="19">
        <v>0.9</v>
      </c>
      <c r="X283" s="18">
        <v>9910</v>
      </c>
      <c r="Y283" s="14" t="s">
        <v>5665</v>
      </c>
      <c r="Z283" s="14" t="s">
        <v>5666</v>
      </c>
      <c r="AA283" s="14" t="b">
        <v>0</v>
      </c>
      <c r="AB283" s="14" t="b">
        <v>0</v>
      </c>
      <c r="AC283" s="14" t="b">
        <v>0</v>
      </c>
    </row>
    <row r="284" spans="1:29">
      <c r="A284" s="14" t="s">
        <v>2086</v>
      </c>
      <c r="B284" s="14" t="s">
        <v>5852</v>
      </c>
      <c r="C284" s="14" t="s">
        <v>128</v>
      </c>
      <c r="D284" s="14" t="s">
        <v>2085</v>
      </c>
      <c r="E284" s="14" t="s">
        <v>55</v>
      </c>
      <c r="F284" s="14" t="s">
        <v>5668</v>
      </c>
      <c r="G284" s="14" t="s">
        <v>1271</v>
      </c>
      <c r="H284" s="15">
        <v>46249.477060185185</v>
      </c>
      <c r="I284" s="14" t="s">
        <v>5740</v>
      </c>
      <c r="J284" s="14">
        <v>80</v>
      </c>
      <c r="K284" s="14" t="s">
        <v>5679</v>
      </c>
      <c r="L284" s="17">
        <v>46295</v>
      </c>
      <c r="M284" s="17"/>
      <c r="N284" s="14" t="s">
        <v>5741</v>
      </c>
      <c r="O284" s="17">
        <v>46282</v>
      </c>
      <c r="P284" s="14"/>
      <c r="Q284" s="18">
        <v>46000</v>
      </c>
      <c r="R284" s="19">
        <v>3.5</v>
      </c>
      <c r="S284" s="18">
        <v>44390</v>
      </c>
      <c r="T284" s="14">
        <v>24</v>
      </c>
      <c r="U284" s="18">
        <v>88780</v>
      </c>
      <c r="V284" s="18">
        <v>10000</v>
      </c>
      <c r="W284" s="19">
        <v>16.600000000000001</v>
      </c>
      <c r="X284" s="18">
        <v>8340</v>
      </c>
      <c r="Y284" s="14" t="s">
        <v>5665</v>
      </c>
      <c r="Z284" s="14" t="s">
        <v>5666</v>
      </c>
      <c r="AA284" s="14" t="b">
        <v>0</v>
      </c>
      <c r="AB284" s="14" t="b">
        <v>0</v>
      </c>
      <c r="AC284" s="14" t="b">
        <v>0</v>
      </c>
    </row>
    <row r="285" spans="1:29">
      <c r="A285" s="14" t="s">
        <v>2159</v>
      </c>
      <c r="B285" s="14" t="s">
        <v>6103</v>
      </c>
      <c r="C285" s="14" t="s">
        <v>830</v>
      </c>
      <c r="D285" s="14" t="s">
        <v>2158</v>
      </c>
      <c r="E285" s="14" t="s">
        <v>25</v>
      </c>
      <c r="F285" s="14" t="s">
        <v>5668</v>
      </c>
      <c r="G285" s="14" t="s">
        <v>1413</v>
      </c>
      <c r="H285" s="15">
        <v>46210.239571759259</v>
      </c>
      <c r="I285" s="14" t="s">
        <v>5663</v>
      </c>
      <c r="J285" s="14">
        <v>100</v>
      </c>
      <c r="K285" s="14" t="s">
        <v>5664</v>
      </c>
      <c r="L285" s="17">
        <v>46248.239571759259</v>
      </c>
      <c r="M285" s="17">
        <v>46248.239571759259</v>
      </c>
      <c r="N285" s="14"/>
      <c r="O285" s="17">
        <v>46247.239571759259</v>
      </c>
      <c r="P285" s="14"/>
      <c r="Q285" s="18">
        <v>32000</v>
      </c>
      <c r="R285" s="19">
        <v>9.6999999999999993</v>
      </c>
      <c r="S285" s="18">
        <v>28896</v>
      </c>
      <c r="T285" s="14">
        <v>12</v>
      </c>
      <c r="U285" s="18">
        <v>28896</v>
      </c>
      <c r="V285" s="18">
        <v>5000</v>
      </c>
      <c r="W285" s="19">
        <v>15.6</v>
      </c>
      <c r="X285" s="18">
        <v>4220</v>
      </c>
      <c r="Y285" s="14" t="s">
        <v>5665</v>
      </c>
      <c r="Z285" s="14" t="s">
        <v>5666</v>
      </c>
      <c r="AA285" s="14" t="b">
        <v>0</v>
      </c>
      <c r="AB285" s="14" t="b">
        <v>1</v>
      </c>
      <c r="AC285" s="14" t="b">
        <v>1</v>
      </c>
    </row>
    <row r="286" spans="1:29">
      <c r="A286" s="14" t="s">
        <v>1978</v>
      </c>
      <c r="B286" s="14" t="s">
        <v>5918</v>
      </c>
      <c r="C286" s="14" t="s">
        <v>509</v>
      </c>
      <c r="D286" s="14" t="s">
        <v>1977</v>
      </c>
      <c r="E286" s="14" t="s">
        <v>59</v>
      </c>
      <c r="F286" s="14" t="s">
        <v>5668</v>
      </c>
      <c r="G286" s="14" t="s">
        <v>1295</v>
      </c>
      <c r="H286" s="15">
        <v>45196.25885416667</v>
      </c>
      <c r="I286" s="14" t="s">
        <v>5675</v>
      </c>
      <c r="J286" s="14">
        <v>0</v>
      </c>
      <c r="K286" s="14" t="s">
        <v>5664</v>
      </c>
      <c r="L286" s="17">
        <v>45226.25885416667</v>
      </c>
      <c r="M286" s="17">
        <v>45226.25885416667</v>
      </c>
      <c r="N286" s="14"/>
      <c r="O286" s="17">
        <v>45219.25885416667</v>
      </c>
      <c r="P286" s="14" t="s">
        <v>5721</v>
      </c>
      <c r="Q286" s="18">
        <v>24000</v>
      </c>
      <c r="R286" s="19">
        <v>2.6</v>
      </c>
      <c r="S286" s="18">
        <v>23376</v>
      </c>
      <c r="T286" s="14">
        <v>24</v>
      </c>
      <c r="U286" s="18">
        <v>46752</v>
      </c>
      <c r="V286" s="18">
        <v>5000</v>
      </c>
      <c r="W286" s="19">
        <v>4.8</v>
      </c>
      <c r="X286" s="18">
        <v>4760</v>
      </c>
      <c r="Y286" s="14" t="s">
        <v>5665</v>
      </c>
      <c r="Z286" s="14" t="s">
        <v>5666</v>
      </c>
      <c r="AA286" s="14" t="b">
        <v>0</v>
      </c>
      <c r="AB286" s="14" t="b">
        <v>0</v>
      </c>
      <c r="AC286" s="14" t="b">
        <v>0</v>
      </c>
    </row>
    <row r="287" spans="1:29">
      <c r="A287" s="14" t="s">
        <v>1439</v>
      </c>
      <c r="B287" s="14" t="s">
        <v>6104</v>
      </c>
      <c r="C287" s="14" t="s">
        <v>742</v>
      </c>
      <c r="D287" s="14" t="s">
        <v>1438</v>
      </c>
      <c r="E287" s="14" t="s">
        <v>91</v>
      </c>
      <c r="F287" s="14" t="s">
        <v>5668</v>
      </c>
      <c r="G287" s="14" t="s">
        <v>1317</v>
      </c>
      <c r="H287" s="15">
        <v>45899.323391203703</v>
      </c>
      <c r="I287" s="14" t="s">
        <v>5663</v>
      </c>
      <c r="J287" s="14">
        <v>100</v>
      </c>
      <c r="K287" s="14" t="s">
        <v>5664</v>
      </c>
      <c r="L287" s="17">
        <v>45932.323391203703</v>
      </c>
      <c r="M287" s="17">
        <v>45932.323391203703</v>
      </c>
      <c r="N287" s="14"/>
      <c r="O287" s="17">
        <v>45926.323391203703</v>
      </c>
      <c r="P287" s="14"/>
      <c r="Q287" s="18">
        <v>20000</v>
      </c>
      <c r="R287" s="19">
        <v>16.7</v>
      </c>
      <c r="S287" s="18">
        <v>16660</v>
      </c>
      <c r="T287" s="14">
        <v>12</v>
      </c>
      <c r="U287" s="18">
        <v>16660</v>
      </c>
      <c r="V287" s="18">
        <v>5000</v>
      </c>
      <c r="W287" s="19">
        <v>11.8</v>
      </c>
      <c r="X287" s="18">
        <v>4410</v>
      </c>
      <c r="Y287" s="14" t="s">
        <v>5665</v>
      </c>
      <c r="Z287" s="14" t="s">
        <v>5666</v>
      </c>
      <c r="AA287" s="14" t="b">
        <v>0</v>
      </c>
      <c r="AB287" s="14" t="b">
        <v>0</v>
      </c>
      <c r="AC287" s="14" t="b">
        <v>1</v>
      </c>
    </row>
    <row r="288" spans="1:29">
      <c r="A288" s="14" t="s">
        <v>6105</v>
      </c>
      <c r="B288" s="14" t="s">
        <v>5804</v>
      </c>
      <c r="C288" s="14" t="s">
        <v>912</v>
      </c>
      <c r="D288" s="14" t="s">
        <v>2435</v>
      </c>
      <c r="E288" s="14" t="s">
        <v>18</v>
      </c>
      <c r="F288" s="14" t="s">
        <v>5668</v>
      </c>
      <c r="G288" s="14"/>
      <c r="H288" s="15">
        <v>45608</v>
      </c>
      <c r="I288" s="14" t="s">
        <v>5663</v>
      </c>
      <c r="J288" s="14">
        <v>90</v>
      </c>
      <c r="K288" s="14" t="s">
        <v>5664</v>
      </c>
      <c r="L288" s="17">
        <v>45661</v>
      </c>
      <c r="M288" s="17">
        <v>45654</v>
      </c>
      <c r="N288" s="14"/>
      <c r="O288" s="17">
        <v>45654</v>
      </c>
      <c r="P288" s="14"/>
      <c r="Q288" s="18">
        <v>56000</v>
      </c>
      <c r="R288" s="19">
        <v>8.9</v>
      </c>
      <c r="S288" s="18">
        <v>51016</v>
      </c>
      <c r="T288" s="14">
        <v>24</v>
      </c>
      <c r="U288" s="18">
        <v>102032</v>
      </c>
      <c r="V288" s="18">
        <v>10000</v>
      </c>
      <c r="W288" s="19">
        <v>5.3</v>
      </c>
      <c r="X288" s="18">
        <v>9470</v>
      </c>
      <c r="Y288" s="14" t="s">
        <v>5665</v>
      </c>
      <c r="Z288" s="14" t="s">
        <v>5666</v>
      </c>
      <c r="AA288" s="14" t="b">
        <v>0</v>
      </c>
      <c r="AB288" s="14" t="b">
        <v>0</v>
      </c>
      <c r="AC288" s="14" t="b">
        <v>0</v>
      </c>
    </row>
    <row r="289" spans="1:29">
      <c r="A289" s="14" t="s">
        <v>1878</v>
      </c>
      <c r="B289" s="14" t="s">
        <v>6055</v>
      </c>
      <c r="C289" s="14" t="s">
        <v>193</v>
      </c>
      <c r="D289" s="14" t="s">
        <v>1877</v>
      </c>
      <c r="E289" s="14" t="s">
        <v>25</v>
      </c>
      <c r="F289" s="14" t="s">
        <v>5668</v>
      </c>
      <c r="G289" s="14" t="s">
        <v>1271</v>
      </c>
      <c r="H289" s="15">
        <v>45828.547372685185</v>
      </c>
      <c r="I289" s="14" t="s">
        <v>5675</v>
      </c>
      <c r="J289" s="14">
        <v>0</v>
      </c>
      <c r="K289" s="14" t="s">
        <v>5664</v>
      </c>
      <c r="L289" s="17">
        <v>45863.547372685185</v>
      </c>
      <c r="M289" s="17">
        <v>45863.547372685185</v>
      </c>
      <c r="N289" s="14"/>
      <c r="O289" s="17">
        <v>45859.547372685185</v>
      </c>
      <c r="P289" s="14" t="s">
        <v>5702</v>
      </c>
      <c r="Q289" s="18">
        <v>24000</v>
      </c>
      <c r="R289" s="19">
        <v>8.5</v>
      </c>
      <c r="S289" s="18">
        <v>21960</v>
      </c>
      <c r="T289" s="14">
        <v>24</v>
      </c>
      <c r="U289" s="18">
        <v>43920</v>
      </c>
      <c r="V289" s="18">
        <v>5000</v>
      </c>
      <c r="W289" s="19">
        <v>19.100000000000001</v>
      </c>
      <c r="X289" s="18">
        <v>4045</v>
      </c>
      <c r="Y289" s="14" t="s">
        <v>5665</v>
      </c>
      <c r="Z289" s="14" t="s">
        <v>5780</v>
      </c>
      <c r="AA289" s="14" t="b">
        <v>0</v>
      </c>
      <c r="AB289" s="14" t="b">
        <v>0</v>
      </c>
      <c r="AC289" s="14" t="b">
        <v>1</v>
      </c>
    </row>
    <row r="290" spans="1:29">
      <c r="A290" s="14" t="s">
        <v>6106</v>
      </c>
      <c r="B290" s="14" t="s">
        <v>6107</v>
      </c>
      <c r="C290" s="14" t="s">
        <v>688</v>
      </c>
      <c r="D290" s="14" t="s">
        <v>2556</v>
      </c>
      <c r="E290" s="14" t="s">
        <v>82</v>
      </c>
      <c r="F290" s="14" t="s">
        <v>5668</v>
      </c>
      <c r="G290" s="14" t="s">
        <v>1355</v>
      </c>
      <c r="H290" s="15">
        <v>45709</v>
      </c>
      <c r="I290" s="14" t="s">
        <v>5663</v>
      </c>
      <c r="J290" s="14">
        <v>100</v>
      </c>
      <c r="K290" s="14" t="s">
        <v>5664</v>
      </c>
      <c r="L290" s="17">
        <v>45755</v>
      </c>
      <c r="M290" s="17">
        <v>45785</v>
      </c>
      <c r="N290" s="14"/>
      <c r="O290" s="17">
        <v>45779</v>
      </c>
      <c r="P290" s="14"/>
      <c r="Q290" s="18">
        <v>48000</v>
      </c>
      <c r="R290" s="19">
        <v>8.5</v>
      </c>
      <c r="S290" s="18">
        <v>43920</v>
      </c>
      <c r="T290" s="14">
        <v>12</v>
      </c>
      <c r="U290" s="18">
        <v>43920</v>
      </c>
      <c r="V290" s="18">
        <v>5000</v>
      </c>
      <c r="W290" s="19">
        <v>29.4</v>
      </c>
      <c r="X290" s="18">
        <v>3530</v>
      </c>
      <c r="Y290" s="14" t="s">
        <v>5665</v>
      </c>
      <c r="Z290" s="14" t="s">
        <v>5666</v>
      </c>
      <c r="AA290" s="14" t="b">
        <v>0</v>
      </c>
      <c r="AB290" s="14" t="b">
        <v>0</v>
      </c>
      <c r="AC290" s="14" t="b">
        <v>1</v>
      </c>
    </row>
    <row r="291" spans="1:29">
      <c r="A291" s="14" t="s">
        <v>6108</v>
      </c>
      <c r="B291" s="14" t="s">
        <v>6109</v>
      </c>
      <c r="C291" s="14" t="s">
        <v>320</v>
      </c>
      <c r="D291" s="14" t="s">
        <v>6110</v>
      </c>
      <c r="E291" s="14" t="s">
        <v>82</v>
      </c>
      <c r="F291" s="14" t="s">
        <v>5668</v>
      </c>
      <c r="G291" s="14" t="s">
        <v>1281</v>
      </c>
      <c r="H291" s="15">
        <v>46282.458333333336</v>
      </c>
      <c r="I291" s="14" t="s">
        <v>5686</v>
      </c>
      <c r="J291" s="14">
        <v>10</v>
      </c>
      <c r="K291" s="14" t="s">
        <v>5670</v>
      </c>
      <c r="L291" s="17">
        <v>46255</v>
      </c>
      <c r="M291" s="17"/>
      <c r="N291" s="14" t="s">
        <v>5862</v>
      </c>
      <c r="O291" s="17">
        <v>46234</v>
      </c>
      <c r="P291" s="14"/>
      <c r="Q291" s="18">
        <v>40000</v>
      </c>
      <c r="R291" s="19">
        <v>8.3000000000000007</v>
      </c>
      <c r="S291" s="18">
        <v>36680</v>
      </c>
      <c r="T291" s="14">
        <v>12</v>
      </c>
      <c r="U291" s="18">
        <v>36680</v>
      </c>
      <c r="V291" s="18">
        <v>10000</v>
      </c>
      <c r="W291" s="19">
        <v>6.5</v>
      </c>
      <c r="X291" s="18">
        <v>9350</v>
      </c>
      <c r="Y291" s="14" t="s">
        <v>5665</v>
      </c>
      <c r="Z291" s="14" t="s">
        <v>5666</v>
      </c>
      <c r="AA291" s="14" t="b">
        <v>0</v>
      </c>
      <c r="AB291" s="14" t="b">
        <v>0</v>
      </c>
      <c r="AC291" s="14" t="b">
        <v>0</v>
      </c>
    </row>
    <row r="292" spans="1:29">
      <c r="A292" s="14" t="s">
        <v>1615</v>
      </c>
      <c r="B292" s="14" t="s">
        <v>6111</v>
      </c>
      <c r="C292" s="14" t="s">
        <v>286</v>
      </c>
      <c r="D292" s="14" t="s">
        <v>1614</v>
      </c>
      <c r="E292" s="14" t="s">
        <v>69</v>
      </c>
      <c r="F292" s="14" t="s">
        <v>5668</v>
      </c>
      <c r="G292" s="14" t="s">
        <v>1271</v>
      </c>
      <c r="H292" s="15">
        <v>45569.366469907407</v>
      </c>
      <c r="I292" s="14" t="s">
        <v>5663</v>
      </c>
      <c r="J292" s="14">
        <v>100</v>
      </c>
      <c r="K292" s="14" t="s">
        <v>5679</v>
      </c>
      <c r="L292" s="17">
        <v>45596.366469907407</v>
      </c>
      <c r="M292" s="17">
        <v>45596.366469907407</v>
      </c>
      <c r="N292" s="14"/>
      <c r="O292" s="17">
        <v>45595.366469907407</v>
      </c>
      <c r="P292" s="14"/>
      <c r="Q292" s="18">
        <v>42000</v>
      </c>
      <c r="R292" s="19">
        <v>4.7</v>
      </c>
      <c r="S292" s="18">
        <v>40026</v>
      </c>
      <c r="T292" s="14">
        <v>12</v>
      </c>
      <c r="U292" s="18">
        <v>40026</v>
      </c>
      <c r="V292" s="18">
        <v>10000</v>
      </c>
      <c r="W292" s="19">
        <v>15.5</v>
      </c>
      <c r="X292" s="18">
        <v>8450</v>
      </c>
      <c r="Y292" s="14" t="s">
        <v>5735</v>
      </c>
      <c r="Z292" s="14" t="s">
        <v>5666</v>
      </c>
      <c r="AA292" s="14" t="b">
        <v>0</v>
      </c>
      <c r="AB292" s="14" t="b">
        <v>0</v>
      </c>
      <c r="AC292" s="14" t="b">
        <v>1</v>
      </c>
    </row>
    <row r="293" spans="1:29">
      <c r="A293" s="14" t="s">
        <v>6112</v>
      </c>
      <c r="B293" s="14" t="s">
        <v>5771</v>
      </c>
      <c r="C293" s="14" t="s">
        <v>834</v>
      </c>
      <c r="D293" s="14" t="s">
        <v>1954</v>
      </c>
      <c r="E293" s="14" t="s">
        <v>55</v>
      </c>
      <c r="F293" s="14" t="s">
        <v>5668</v>
      </c>
      <c r="G293" s="14" t="s">
        <v>1295</v>
      </c>
      <c r="H293" s="15">
        <v>45972.740358796298</v>
      </c>
      <c r="I293" s="14" t="s">
        <v>5663</v>
      </c>
      <c r="J293" s="14">
        <v>100</v>
      </c>
      <c r="K293" s="14" t="s">
        <v>5670</v>
      </c>
      <c r="L293" s="17">
        <v>46031.740358796298</v>
      </c>
      <c r="M293" s="17">
        <v>46024.740358796298</v>
      </c>
      <c r="N293" s="14"/>
      <c r="O293" s="17">
        <v>46018.740358796298</v>
      </c>
      <c r="P293" s="14"/>
      <c r="Q293" s="18">
        <v>36000</v>
      </c>
      <c r="R293" s="19">
        <v>3.3</v>
      </c>
      <c r="S293" s="18">
        <v>34812</v>
      </c>
      <c r="T293" s="14">
        <v>12</v>
      </c>
      <c r="U293" s="18">
        <v>34812</v>
      </c>
      <c r="V293" s="18">
        <v>10000</v>
      </c>
      <c r="W293" s="19">
        <v>7</v>
      </c>
      <c r="X293" s="18">
        <v>9300</v>
      </c>
      <c r="Y293" s="14" t="s">
        <v>5665</v>
      </c>
      <c r="Z293" s="14" t="s">
        <v>5666</v>
      </c>
      <c r="AA293" s="14" t="b">
        <v>0</v>
      </c>
      <c r="AB293" s="14" t="b">
        <v>0</v>
      </c>
      <c r="AC293" s="14" t="b">
        <v>0</v>
      </c>
    </row>
    <row r="294" spans="1:29">
      <c r="A294" s="14" t="s">
        <v>2541</v>
      </c>
      <c r="B294" s="14" t="s">
        <v>6113</v>
      </c>
      <c r="C294" s="14" t="s">
        <v>824</v>
      </c>
      <c r="D294" s="14" t="s">
        <v>2540</v>
      </c>
      <c r="E294" s="14" t="s">
        <v>18</v>
      </c>
      <c r="F294" s="14" t="s">
        <v>5668</v>
      </c>
      <c r="G294" s="14" t="s">
        <v>1317</v>
      </c>
      <c r="H294" s="15">
        <v>45807.910532407404</v>
      </c>
      <c r="I294" s="14" t="s">
        <v>5675</v>
      </c>
      <c r="J294" s="14">
        <v>0</v>
      </c>
      <c r="K294" s="14" t="s">
        <v>5664</v>
      </c>
      <c r="L294" s="17">
        <v>45896.910532407404</v>
      </c>
      <c r="M294" s="17">
        <v>45896.910532407404</v>
      </c>
      <c r="N294" s="14"/>
      <c r="O294" s="17">
        <v>45891.910532407404</v>
      </c>
      <c r="P294" s="14" t="s">
        <v>5728</v>
      </c>
      <c r="Q294" s="18">
        <v>80000</v>
      </c>
      <c r="R294" s="19">
        <v>7</v>
      </c>
      <c r="S294" s="18">
        <v>74400</v>
      </c>
      <c r="T294" s="14">
        <v>12</v>
      </c>
      <c r="U294" s="18">
        <v>74400</v>
      </c>
      <c r="V294" s="18">
        <v>20000</v>
      </c>
      <c r="W294" s="19">
        <v>5.8</v>
      </c>
      <c r="X294" s="18">
        <v>18840</v>
      </c>
      <c r="Y294" s="14" t="s">
        <v>5665</v>
      </c>
      <c r="Z294" s="14" t="s">
        <v>5666</v>
      </c>
      <c r="AA294" s="14" t="b">
        <v>0</v>
      </c>
      <c r="AB294" s="14" t="b">
        <v>0</v>
      </c>
      <c r="AC294" s="14" t="b">
        <v>0</v>
      </c>
    </row>
    <row r="295" spans="1:29">
      <c r="A295" s="14" t="s">
        <v>1362</v>
      </c>
      <c r="B295" s="14" t="s">
        <v>6114</v>
      </c>
      <c r="C295" s="14" t="s">
        <v>615</v>
      </c>
      <c r="D295" s="14" t="s">
        <v>1361</v>
      </c>
      <c r="E295" s="14" t="s">
        <v>18</v>
      </c>
      <c r="F295" s="14" t="s">
        <v>5668</v>
      </c>
      <c r="G295" s="14" t="s">
        <v>1317</v>
      </c>
      <c r="H295" s="15">
        <v>45605.517824074072</v>
      </c>
      <c r="I295" s="14" t="s">
        <v>5675</v>
      </c>
      <c r="J295" s="14">
        <v>0</v>
      </c>
      <c r="K295" s="14" t="s">
        <v>5664</v>
      </c>
      <c r="L295" s="17">
        <v>45695.517824074072</v>
      </c>
      <c r="M295" s="17">
        <v>45688.517824074072</v>
      </c>
      <c r="N295" s="14"/>
      <c r="O295" s="17">
        <v>45685.517824074072</v>
      </c>
      <c r="P295" s="14" t="s">
        <v>5702</v>
      </c>
      <c r="Q295" s="18">
        <v>88000</v>
      </c>
      <c r="R295" s="19">
        <v>2.4</v>
      </c>
      <c r="S295" s="18">
        <v>85888</v>
      </c>
      <c r="T295" s="14">
        <v>12</v>
      </c>
      <c r="U295" s="18">
        <v>85888</v>
      </c>
      <c r="V295" s="18">
        <v>20000</v>
      </c>
      <c r="W295" s="19">
        <v>28.7</v>
      </c>
      <c r="X295" s="18">
        <v>14260</v>
      </c>
      <c r="Y295" s="14" t="s">
        <v>5665</v>
      </c>
      <c r="Z295" s="14" t="s">
        <v>5666</v>
      </c>
      <c r="AA295" s="14" t="b">
        <v>0</v>
      </c>
      <c r="AB295" s="14" t="b">
        <v>0</v>
      </c>
      <c r="AC295" s="14" t="b">
        <v>1</v>
      </c>
    </row>
    <row r="296" spans="1:29">
      <c r="A296" s="14" t="s">
        <v>1969</v>
      </c>
      <c r="B296" s="14" t="s">
        <v>6023</v>
      </c>
      <c r="C296" s="14" t="s">
        <v>598</v>
      </c>
      <c r="D296" s="14" t="s">
        <v>1968</v>
      </c>
      <c r="E296" s="14" t="s">
        <v>25</v>
      </c>
      <c r="F296" s="14" t="s">
        <v>5668</v>
      </c>
      <c r="G296" s="14" t="s">
        <v>1295</v>
      </c>
      <c r="H296" s="15">
        <v>45165.541712962964</v>
      </c>
      <c r="I296" s="14" t="s">
        <v>5663</v>
      </c>
      <c r="J296" s="14">
        <v>100</v>
      </c>
      <c r="K296" s="14" t="s">
        <v>5664</v>
      </c>
      <c r="L296" s="17">
        <v>45201.541712962964</v>
      </c>
      <c r="M296" s="17">
        <v>45208.541712962964</v>
      </c>
      <c r="N296" s="14"/>
      <c r="O296" s="17">
        <v>45203.541712962964</v>
      </c>
      <c r="P296" s="14"/>
      <c r="Q296" s="18">
        <v>22000</v>
      </c>
      <c r="R296" s="19">
        <v>14.5</v>
      </c>
      <c r="S296" s="18">
        <v>18810</v>
      </c>
      <c r="T296" s="14">
        <v>12</v>
      </c>
      <c r="U296" s="18">
        <v>18810</v>
      </c>
      <c r="V296" s="18">
        <v>5000</v>
      </c>
      <c r="W296" s="19">
        <v>0.3</v>
      </c>
      <c r="X296" s="18">
        <v>4985</v>
      </c>
      <c r="Y296" s="14" t="s">
        <v>5688</v>
      </c>
      <c r="Z296" s="14" t="s">
        <v>5666</v>
      </c>
      <c r="AA296" s="14" t="b">
        <v>0</v>
      </c>
      <c r="AB296" s="14" t="b">
        <v>0</v>
      </c>
      <c r="AC296" s="14" t="b">
        <v>1</v>
      </c>
    </row>
    <row r="297" spans="1:29">
      <c r="A297" s="14" t="s">
        <v>2447</v>
      </c>
      <c r="B297" s="14" t="s">
        <v>6115</v>
      </c>
      <c r="C297" s="14" t="s">
        <v>663</v>
      </c>
      <c r="D297" s="14" t="s">
        <v>2446</v>
      </c>
      <c r="E297" s="14" t="s">
        <v>25</v>
      </c>
      <c r="F297" s="14" t="s">
        <v>5668</v>
      </c>
      <c r="G297" s="14" t="s">
        <v>1355</v>
      </c>
      <c r="H297" s="15">
        <v>45102.483657407407</v>
      </c>
      <c r="I297" s="14" t="s">
        <v>5675</v>
      </c>
      <c r="J297" s="14">
        <v>0</v>
      </c>
      <c r="K297" s="14" t="s">
        <v>5664</v>
      </c>
      <c r="L297" s="17">
        <v>45130.483657407407</v>
      </c>
      <c r="M297" s="17">
        <v>45130.483657407407</v>
      </c>
      <c r="N297" s="14"/>
      <c r="O297" s="17">
        <v>45127.483657407407</v>
      </c>
      <c r="P297" s="14" t="s">
        <v>5783</v>
      </c>
      <c r="Q297" s="18">
        <v>26000</v>
      </c>
      <c r="R297" s="19">
        <v>3.1</v>
      </c>
      <c r="S297" s="18">
        <v>25194</v>
      </c>
      <c r="T297" s="14">
        <v>12</v>
      </c>
      <c r="U297" s="18">
        <v>25194</v>
      </c>
      <c r="V297" s="18">
        <v>5000</v>
      </c>
      <c r="W297" s="19">
        <v>1.5</v>
      </c>
      <c r="X297" s="18">
        <v>4925</v>
      </c>
      <c r="Y297" s="14" t="s">
        <v>5665</v>
      </c>
      <c r="Z297" s="14" t="s">
        <v>5666</v>
      </c>
      <c r="AA297" s="14" t="b">
        <v>0</v>
      </c>
      <c r="AB297" s="14" t="b">
        <v>0</v>
      </c>
      <c r="AC297" s="14" t="b">
        <v>0</v>
      </c>
    </row>
    <row r="298" spans="1:29">
      <c r="A298" s="14" t="s">
        <v>1702</v>
      </c>
      <c r="B298" s="14" t="s">
        <v>6016</v>
      </c>
      <c r="C298" s="14" t="s">
        <v>357</v>
      </c>
      <c r="D298" s="14" t="s">
        <v>1701</v>
      </c>
      <c r="E298" s="14" t="s">
        <v>18</v>
      </c>
      <c r="F298" s="14" t="s">
        <v>5668</v>
      </c>
      <c r="G298" s="14" t="s">
        <v>1295</v>
      </c>
      <c r="H298" s="15">
        <v>45737.263958333337</v>
      </c>
      <c r="I298" s="14" t="s">
        <v>5675</v>
      </c>
      <c r="J298" s="14">
        <v>0</v>
      </c>
      <c r="K298" s="14" t="s">
        <v>5664</v>
      </c>
      <c r="L298" s="17">
        <v>45807.263958333337</v>
      </c>
      <c r="M298" s="17">
        <v>45814.263958333337</v>
      </c>
      <c r="N298" s="14"/>
      <c r="O298" s="17">
        <v>45807.263958333337</v>
      </c>
      <c r="P298" s="14" t="s">
        <v>5783</v>
      </c>
      <c r="Q298" s="18">
        <v>86000</v>
      </c>
      <c r="R298" s="19">
        <v>14.9</v>
      </c>
      <c r="S298" s="18">
        <v>73186</v>
      </c>
      <c r="T298" s="14">
        <v>12</v>
      </c>
      <c r="U298" s="18">
        <v>73186</v>
      </c>
      <c r="V298" s="18">
        <v>20000</v>
      </c>
      <c r="W298" s="19">
        <v>1.8</v>
      </c>
      <c r="X298" s="18">
        <v>19640</v>
      </c>
      <c r="Y298" s="14" t="s">
        <v>5735</v>
      </c>
      <c r="Z298" s="14" t="s">
        <v>5666</v>
      </c>
      <c r="AA298" s="14" t="b">
        <v>0</v>
      </c>
      <c r="AB298" s="14" t="b">
        <v>0</v>
      </c>
      <c r="AC298" s="14" t="b">
        <v>1</v>
      </c>
    </row>
    <row r="299" spans="1:29">
      <c r="A299" s="14" t="s">
        <v>1845</v>
      </c>
      <c r="B299" s="14" t="s">
        <v>5708</v>
      </c>
      <c r="C299" s="14" t="s">
        <v>476</v>
      </c>
      <c r="D299" s="14" t="s">
        <v>1844</v>
      </c>
      <c r="E299" s="14" t="s">
        <v>82</v>
      </c>
      <c r="F299" s="14" t="s">
        <v>5668</v>
      </c>
      <c r="G299" s="14" t="s">
        <v>1288</v>
      </c>
      <c r="H299" s="15">
        <v>46182.425254629627</v>
      </c>
      <c r="I299" s="14" t="s">
        <v>5663</v>
      </c>
      <c r="J299" s="14">
        <v>100</v>
      </c>
      <c r="K299" s="14" t="s">
        <v>5664</v>
      </c>
      <c r="L299" s="17">
        <v>46226.425254629627</v>
      </c>
      <c r="M299" s="17">
        <v>46256.425254629627</v>
      </c>
      <c r="N299" s="14"/>
      <c r="O299" s="17">
        <v>46253.425254629627</v>
      </c>
      <c r="P299" s="14"/>
      <c r="Q299" s="18">
        <v>70000</v>
      </c>
      <c r="R299" s="19">
        <v>10</v>
      </c>
      <c r="S299" s="18">
        <v>63000</v>
      </c>
      <c r="T299" s="14">
        <v>12</v>
      </c>
      <c r="U299" s="18">
        <v>63000</v>
      </c>
      <c r="V299" s="18">
        <v>20000</v>
      </c>
      <c r="W299" s="19">
        <v>25.5</v>
      </c>
      <c r="X299" s="18">
        <v>14900</v>
      </c>
      <c r="Y299" s="14" t="s">
        <v>5665</v>
      </c>
      <c r="Z299" s="14" t="s">
        <v>5780</v>
      </c>
      <c r="AA299" s="14" t="b">
        <v>0</v>
      </c>
      <c r="AB299" s="14" t="b">
        <v>0</v>
      </c>
      <c r="AC299" s="14" t="b">
        <v>1</v>
      </c>
    </row>
    <row r="300" spans="1:29">
      <c r="A300" s="14" t="s">
        <v>6116</v>
      </c>
      <c r="B300" s="14" t="s">
        <v>6117</v>
      </c>
      <c r="C300" s="14" t="s">
        <v>1019</v>
      </c>
      <c r="D300" s="14" t="s">
        <v>6118</v>
      </c>
      <c r="E300" s="14" t="s">
        <v>25</v>
      </c>
      <c r="F300" s="14" t="s">
        <v>5668</v>
      </c>
      <c r="G300" s="14" t="s">
        <v>1413</v>
      </c>
      <c r="H300" s="15">
        <v>46226.833333333336</v>
      </c>
      <c r="I300" s="14" t="s">
        <v>5691</v>
      </c>
      <c r="J300" s="14">
        <v>40</v>
      </c>
      <c r="K300" s="14" t="s">
        <v>5670</v>
      </c>
      <c r="L300" s="17">
        <v>46347</v>
      </c>
      <c r="M300" s="17"/>
      <c r="N300" s="14" t="s">
        <v>5970</v>
      </c>
      <c r="O300" s="17">
        <v>46265</v>
      </c>
      <c r="P300" s="14"/>
      <c r="Q300" s="18">
        <v>50000</v>
      </c>
      <c r="R300" s="19">
        <v>32.4</v>
      </c>
      <c r="S300" s="18">
        <v>33800</v>
      </c>
      <c r="T300" s="14">
        <v>12</v>
      </c>
      <c r="U300" s="18">
        <v>33800</v>
      </c>
      <c r="V300" s="18">
        <v>10000</v>
      </c>
      <c r="W300" s="19">
        <v>9.8000000000000007</v>
      </c>
      <c r="X300" s="18">
        <v>9020</v>
      </c>
      <c r="Y300" s="14" t="s">
        <v>5665</v>
      </c>
      <c r="Z300" s="14" t="s">
        <v>5666</v>
      </c>
      <c r="AA300" s="14" t="b">
        <v>0</v>
      </c>
      <c r="AB300" s="14" t="b">
        <v>0</v>
      </c>
      <c r="AC300" s="14" t="b">
        <v>1</v>
      </c>
    </row>
    <row r="301" spans="1:29">
      <c r="A301" s="14" t="s">
        <v>1868</v>
      </c>
      <c r="B301" s="14" t="s">
        <v>5940</v>
      </c>
      <c r="C301" s="14" t="s">
        <v>906</v>
      </c>
      <c r="D301" s="14" t="s">
        <v>1867</v>
      </c>
      <c r="E301" s="14" t="s">
        <v>82</v>
      </c>
      <c r="F301" s="14" t="s">
        <v>5668</v>
      </c>
      <c r="G301" s="14" t="s">
        <v>1271</v>
      </c>
      <c r="H301" s="15">
        <v>45495.907800925925</v>
      </c>
      <c r="I301" s="14" t="s">
        <v>5675</v>
      </c>
      <c r="J301" s="14">
        <v>0</v>
      </c>
      <c r="K301" s="14" t="s">
        <v>5664</v>
      </c>
      <c r="L301" s="17">
        <v>45591.907800925925</v>
      </c>
      <c r="M301" s="17">
        <v>45605.907800925925</v>
      </c>
      <c r="N301" s="14"/>
      <c r="O301" s="17">
        <v>45602.907800925925</v>
      </c>
      <c r="P301" s="14" t="s">
        <v>5721</v>
      </c>
      <c r="Q301" s="18">
        <v>80000</v>
      </c>
      <c r="R301" s="19">
        <v>4.2</v>
      </c>
      <c r="S301" s="18">
        <v>76640</v>
      </c>
      <c r="T301" s="14">
        <v>12</v>
      </c>
      <c r="U301" s="18">
        <v>76640</v>
      </c>
      <c r="V301" s="18">
        <v>20000</v>
      </c>
      <c r="W301" s="19">
        <v>8.6</v>
      </c>
      <c r="X301" s="18">
        <v>18280</v>
      </c>
      <c r="Y301" s="14" t="s">
        <v>5665</v>
      </c>
      <c r="Z301" s="14" t="s">
        <v>5666</v>
      </c>
      <c r="AA301" s="14" t="b">
        <v>0</v>
      </c>
      <c r="AB301" s="14" t="b">
        <v>0</v>
      </c>
      <c r="AC301" s="14" t="b">
        <v>0</v>
      </c>
    </row>
    <row r="302" spans="1:29">
      <c r="A302" s="14" t="s">
        <v>6119</v>
      </c>
      <c r="B302" s="14" t="s">
        <v>6120</v>
      </c>
      <c r="C302" s="14" t="s">
        <v>858</v>
      </c>
      <c r="D302" s="14" t="s">
        <v>6121</v>
      </c>
      <c r="E302" s="14" t="s">
        <v>55</v>
      </c>
      <c r="F302" s="14" t="s">
        <v>5668</v>
      </c>
      <c r="G302" s="14" t="s">
        <v>1317</v>
      </c>
      <c r="H302" s="15">
        <v>45425</v>
      </c>
      <c r="I302" s="14" t="s">
        <v>5663</v>
      </c>
      <c r="J302" s="14">
        <v>100</v>
      </c>
      <c r="K302" s="14" t="s">
        <v>5664</v>
      </c>
      <c r="L302" s="17">
        <v>45519</v>
      </c>
      <c r="M302" s="17">
        <v>45512</v>
      </c>
      <c r="N302" s="14"/>
      <c r="O302" s="17">
        <v>45507</v>
      </c>
      <c r="P302" s="14"/>
      <c r="Q302" s="18">
        <v>92000</v>
      </c>
      <c r="R302" s="19">
        <v>22</v>
      </c>
      <c r="S302" s="18">
        <v>71760</v>
      </c>
      <c r="T302" s="14">
        <v>12</v>
      </c>
      <c r="U302" s="18">
        <v>71760</v>
      </c>
      <c r="V302" s="18">
        <v>20000</v>
      </c>
      <c r="W302" s="19">
        <v>9.3000000000000007</v>
      </c>
      <c r="X302" s="18">
        <v>18140</v>
      </c>
      <c r="Y302" s="14" t="s">
        <v>5665</v>
      </c>
      <c r="Z302" s="14" t="s">
        <v>5666</v>
      </c>
      <c r="AA302" s="14" t="b">
        <v>0</v>
      </c>
      <c r="AB302" s="14" t="b">
        <v>0</v>
      </c>
      <c r="AC302" s="14" t="b">
        <v>1</v>
      </c>
    </row>
    <row r="303" spans="1:29">
      <c r="A303" s="14" t="s">
        <v>6122</v>
      </c>
      <c r="B303" s="14" t="s">
        <v>6065</v>
      </c>
      <c r="C303" s="14" t="s">
        <v>888</v>
      </c>
      <c r="D303" s="14" t="s">
        <v>6066</v>
      </c>
      <c r="E303" s="14" t="s">
        <v>55</v>
      </c>
      <c r="F303" s="14" t="s">
        <v>5668</v>
      </c>
      <c r="G303" s="14" t="s">
        <v>1413</v>
      </c>
      <c r="H303" s="15">
        <v>46246.708333333336</v>
      </c>
      <c r="I303" s="14" t="s">
        <v>5681</v>
      </c>
      <c r="J303" s="14">
        <v>25</v>
      </c>
      <c r="K303" s="14" t="s">
        <v>5670</v>
      </c>
      <c r="L303" s="17">
        <v>46237</v>
      </c>
      <c r="M303" s="17"/>
      <c r="N303" s="14" t="s">
        <v>5682</v>
      </c>
      <c r="O303" s="17">
        <v>46242</v>
      </c>
      <c r="P303" s="14"/>
      <c r="Q303" s="18">
        <v>58000</v>
      </c>
      <c r="R303" s="19">
        <v>2</v>
      </c>
      <c r="S303" s="18">
        <v>56840</v>
      </c>
      <c r="T303" s="14">
        <v>12</v>
      </c>
      <c r="U303" s="18">
        <v>56840</v>
      </c>
      <c r="V303" s="18">
        <v>10000</v>
      </c>
      <c r="W303" s="19">
        <v>8.6999999999999993</v>
      </c>
      <c r="X303" s="18">
        <v>9130</v>
      </c>
      <c r="Y303" s="14" t="s">
        <v>5665</v>
      </c>
      <c r="Z303" s="14" t="s">
        <v>5666</v>
      </c>
      <c r="AA303" s="14" t="b">
        <v>0</v>
      </c>
      <c r="AB303" s="14" t="b">
        <v>0</v>
      </c>
      <c r="AC303" s="14" t="b">
        <v>0</v>
      </c>
    </row>
    <row r="304" spans="1:29">
      <c r="A304" s="14" t="s">
        <v>6123</v>
      </c>
      <c r="B304" s="14" t="s">
        <v>5985</v>
      </c>
      <c r="C304" s="14" t="s">
        <v>677</v>
      </c>
      <c r="D304" s="14" t="s">
        <v>2093</v>
      </c>
      <c r="E304" s="14" t="s">
        <v>55</v>
      </c>
      <c r="F304" s="14" t="s">
        <v>5668</v>
      </c>
      <c r="G304" s="14" t="s">
        <v>1413</v>
      </c>
      <c r="H304" s="15">
        <v>45892.542268518519</v>
      </c>
      <c r="I304" s="14" t="s">
        <v>5663</v>
      </c>
      <c r="J304" s="14">
        <v>100</v>
      </c>
      <c r="K304" s="14" t="s">
        <v>5664</v>
      </c>
      <c r="L304" s="17">
        <v>45965.542268518519</v>
      </c>
      <c r="M304" s="17">
        <v>45995.542268518519</v>
      </c>
      <c r="N304" s="14"/>
      <c r="O304" s="17">
        <v>45994.542268518519</v>
      </c>
      <c r="P304" s="14"/>
      <c r="Q304" s="18">
        <v>30000</v>
      </c>
      <c r="R304" s="19">
        <v>7.7</v>
      </c>
      <c r="S304" s="18">
        <v>27690</v>
      </c>
      <c r="T304" s="14">
        <v>12</v>
      </c>
      <c r="U304" s="18">
        <v>27690</v>
      </c>
      <c r="V304" s="18">
        <v>10000</v>
      </c>
      <c r="W304" s="19">
        <v>11.1</v>
      </c>
      <c r="X304" s="18">
        <v>8890</v>
      </c>
      <c r="Y304" s="14" t="s">
        <v>5665</v>
      </c>
      <c r="Z304" s="14" t="s">
        <v>5780</v>
      </c>
      <c r="AA304" s="14" t="b">
        <v>0</v>
      </c>
      <c r="AB304" s="14" t="b">
        <v>0</v>
      </c>
      <c r="AC304" s="14" t="b">
        <v>1</v>
      </c>
    </row>
    <row r="305" spans="1:29">
      <c r="A305" s="14" t="s">
        <v>6124</v>
      </c>
      <c r="B305" s="14" t="s">
        <v>5890</v>
      </c>
      <c r="C305" s="14" t="s">
        <v>1025</v>
      </c>
      <c r="D305" s="14" t="s">
        <v>1832</v>
      </c>
      <c r="E305" s="14" t="s">
        <v>18</v>
      </c>
      <c r="F305" s="14" t="s">
        <v>5668</v>
      </c>
      <c r="G305" s="14" t="s">
        <v>1281</v>
      </c>
      <c r="H305" s="15">
        <v>45623</v>
      </c>
      <c r="I305" s="14" t="s">
        <v>5663</v>
      </c>
      <c r="J305" s="14">
        <v>100</v>
      </c>
      <c r="K305" s="14" t="s">
        <v>5664</v>
      </c>
      <c r="L305" s="17">
        <v>45704</v>
      </c>
      <c r="M305" s="17">
        <v>45704</v>
      </c>
      <c r="N305" s="14"/>
      <c r="O305" s="17">
        <v>45700</v>
      </c>
      <c r="P305" s="14"/>
      <c r="Q305" s="18">
        <v>82000</v>
      </c>
      <c r="R305" s="19">
        <v>6.7</v>
      </c>
      <c r="S305" s="18">
        <v>76506</v>
      </c>
      <c r="T305" s="14">
        <v>12</v>
      </c>
      <c r="U305" s="18">
        <v>76506</v>
      </c>
      <c r="V305" s="18">
        <v>20000</v>
      </c>
      <c r="W305" s="19">
        <v>14.1</v>
      </c>
      <c r="X305" s="18">
        <v>17180</v>
      </c>
      <c r="Y305" s="14" t="s">
        <v>5665</v>
      </c>
      <c r="Z305" s="14" t="s">
        <v>5666</v>
      </c>
      <c r="AA305" s="14" t="b">
        <v>0</v>
      </c>
      <c r="AB305" s="14" t="b">
        <v>0</v>
      </c>
      <c r="AC305" s="14" t="b">
        <v>0</v>
      </c>
    </row>
    <row r="306" spans="1:29">
      <c r="A306" s="14" t="s">
        <v>6125</v>
      </c>
      <c r="B306" s="14" t="s">
        <v>5993</v>
      </c>
      <c r="C306" s="14" t="s">
        <v>273</v>
      </c>
      <c r="D306" s="14" t="s">
        <v>6126</v>
      </c>
      <c r="E306" s="14" t="s">
        <v>55</v>
      </c>
      <c r="F306" s="14" t="s">
        <v>5668</v>
      </c>
      <c r="G306" s="14" t="s">
        <v>1317</v>
      </c>
      <c r="H306" s="15">
        <v>46020.945856481485</v>
      </c>
      <c r="I306" s="14" t="s">
        <v>5663</v>
      </c>
      <c r="J306" s="14">
        <v>100</v>
      </c>
      <c r="K306" s="14" t="s">
        <v>5664</v>
      </c>
      <c r="L306" s="17">
        <v>46047.945856481485</v>
      </c>
      <c r="M306" s="17">
        <v>46077.945856481485</v>
      </c>
      <c r="N306" s="14"/>
      <c r="O306" s="17">
        <v>46077.945856481485</v>
      </c>
      <c r="P306" s="14"/>
      <c r="Q306" s="18">
        <v>50000</v>
      </c>
      <c r="R306" s="19">
        <v>1.9</v>
      </c>
      <c r="S306" s="18">
        <v>49050</v>
      </c>
      <c r="T306" s="14">
        <v>12</v>
      </c>
      <c r="U306" s="18">
        <v>49050</v>
      </c>
      <c r="V306" s="18">
        <v>10000</v>
      </c>
      <c r="W306" s="19">
        <v>4.5</v>
      </c>
      <c r="X306" s="18">
        <v>9550</v>
      </c>
      <c r="Y306" s="14" t="s">
        <v>5665</v>
      </c>
      <c r="Z306" s="14" t="s">
        <v>5666</v>
      </c>
      <c r="AA306" s="14" t="b">
        <v>0</v>
      </c>
      <c r="AB306" s="14" t="b">
        <v>0</v>
      </c>
      <c r="AC306" s="14" t="b">
        <v>0</v>
      </c>
    </row>
    <row r="307" spans="1:29">
      <c r="A307" s="14" t="s">
        <v>6127</v>
      </c>
      <c r="B307" s="14" t="s">
        <v>6128</v>
      </c>
      <c r="C307" s="14" t="s">
        <v>589</v>
      </c>
      <c r="D307" s="14" t="s">
        <v>2017</v>
      </c>
      <c r="E307" s="14" t="s">
        <v>59</v>
      </c>
      <c r="F307" s="14" t="s">
        <v>5662</v>
      </c>
      <c r="G307" s="14" t="s">
        <v>1271</v>
      </c>
      <c r="H307" s="15">
        <v>46220.375</v>
      </c>
      <c r="I307" s="14" t="s">
        <v>5669</v>
      </c>
      <c r="J307" s="14">
        <v>60</v>
      </c>
      <c r="K307" s="14" t="s">
        <v>5679</v>
      </c>
      <c r="L307" s="17">
        <v>46322</v>
      </c>
      <c r="M307" s="17"/>
      <c r="N307" s="14" t="s">
        <v>5774</v>
      </c>
      <c r="O307" s="17">
        <v>46287</v>
      </c>
      <c r="P307" s="14"/>
      <c r="Q307" s="18">
        <v>20000</v>
      </c>
      <c r="R307" s="19">
        <v>8.8000000000000007</v>
      </c>
      <c r="S307" s="18">
        <v>18240</v>
      </c>
      <c r="T307" s="14">
        <v>12</v>
      </c>
      <c r="U307" s="18">
        <v>18240</v>
      </c>
      <c r="V307" s="18">
        <v>0</v>
      </c>
      <c r="W307" s="19">
        <v>0</v>
      </c>
      <c r="X307" s="18">
        <v>0</v>
      </c>
      <c r="Y307" s="14" t="s">
        <v>5665</v>
      </c>
      <c r="Z307" s="14" t="s">
        <v>5666</v>
      </c>
      <c r="AA307" s="14" t="b">
        <v>0</v>
      </c>
      <c r="AB307" s="14" t="b">
        <v>0</v>
      </c>
      <c r="AC307" s="14" t="b">
        <v>0</v>
      </c>
    </row>
    <row r="308" spans="1:29">
      <c r="A308" s="14" t="s">
        <v>1697</v>
      </c>
      <c r="B308" s="14" t="s">
        <v>6129</v>
      </c>
      <c r="C308" s="14" t="s">
        <v>314</v>
      </c>
      <c r="D308" s="14" t="s">
        <v>1696</v>
      </c>
      <c r="E308" s="14" t="s">
        <v>82</v>
      </c>
      <c r="F308" s="14" t="s">
        <v>5668</v>
      </c>
      <c r="G308" s="14" t="s">
        <v>1295</v>
      </c>
      <c r="H308" s="15">
        <v>45489.84578703704</v>
      </c>
      <c r="I308" s="14" t="s">
        <v>5663</v>
      </c>
      <c r="J308" s="14">
        <v>100</v>
      </c>
      <c r="K308" s="14" t="s">
        <v>5664</v>
      </c>
      <c r="L308" s="17">
        <v>45575.84578703704</v>
      </c>
      <c r="M308" s="17">
        <v>45545.84578703704</v>
      </c>
      <c r="N308" s="14"/>
      <c r="O308" s="17">
        <v>45541.84578703704</v>
      </c>
      <c r="P308" s="14"/>
      <c r="Q308" s="18">
        <v>42000</v>
      </c>
      <c r="R308" s="19">
        <v>15.1</v>
      </c>
      <c r="S308" s="18">
        <v>35658</v>
      </c>
      <c r="T308" s="14">
        <v>24</v>
      </c>
      <c r="U308" s="18">
        <v>71316</v>
      </c>
      <c r="V308" s="18">
        <v>10000</v>
      </c>
      <c r="W308" s="19">
        <v>6.4</v>
      </c>
      <c r="X308" s="18">
        <v>9360</v>
      </c>
      <c r="Y308" s="14" t="s">
        <v>5665</v>
      </c>
      <c r="Z308" s="14" t="s">
        <v>5666</v>
      </c>
      <c r="AA308" s="14" t="b">
        <v>0</v>
      </c>
      <c r="AB308" s="14" t="b">
        <v>0</v>
      </c>
      <c r="AC308" s="14" t="b">
        <v>1</v>
      </c>
    </row>
    <row r="309" spans="1:29">
      <c r="A309" s="14" t="s">
        <v>6130</v>
      </c>
      <c r="B309" s="14" t="s">
        <v>6131</v>
      </c>
      <c r="C309" s="14" t="s">
        <v>691</v>
      </c>
      <c r="D309" s="14" t="s">
        <v>1764</v>
      </c>
      <c r="E309" s="14" t="s">
        <v>25</v>
      </c>
      <c r="F309" s="14" t="s">
        <v>5662</v>
      </c>
      <c r="G309" s="14" t="s">
        <v>1281</v>
      </c>
      <c r="H309" s="15">
        <v>45772</v>
      </c>
      <c r="I309" s="14" t="s">
        <v>5663</v>
      </c>
      <c r="J309" s="14">
        <v>100</v>
      </c>
      <c r="K309" s="14" t="s">
        <v>5664</v>
      </c>
      <c r="L309" s="17">
        <v>45814</v>
      </c>
      <c r="M309" s="17">
        <v>45807</v>
      </c>
      <c r="N309" s="14"/>
      <c r="O309" s="17">
        <v>45805</v>
      </c>
      <c r="P309" s="14"/>
      <c r="Q309" s="18">
        <v>18000</v>
      </c>
      <c r="R309" s="19">
        <v>21.5</v>
      </c>
      <c r="S309" s="18">
        <v>14130</v>
      </c>
      <c r="T309" s="14">
        <v>12</v>
      </c>
      <c r="U309" s="18">
        <v>14130</v>
      </c>
      <c r="V309" s="18">
        <v>0</v>
      </c>
      <c r="W309" s="19">
        <v>0</v>
      </c>
      <c r="X309" s="18">
        <v>0</v>
      </c>
      <c r="Y309" s="14" t="s">
        <v>5665</v>
      </c>
      <c r="Z309" s="14" t="s">
        <v>5666</v>
      </c>
      <c r="AA309" s="14" t="b">
        <v>0</v>
      </c>
      <c r="AB309" s="14" t="b">
        <v>0</v>
      </c>
      <c r="AC309" s="14" t="b">
        <v>1</v>
      </c>
    </row>
    <row r="310" spans="1:29">
      <c r="A310" s="14" t="s">
        <v>6132</v>
      </c>
      <c r="B310" s="14" t="s">
        <v>6133</v>
      </c>
      <c r="C310" s="14" t="s">
        <v>276</v>
      </c>
      <c r="D310" s="14" t="s">
        <v>5719</v>
      </c>
      <c r="E310" s="14" t="s">
        <v>55</v>
      </c>
      <c r="F310" s="14" t="s">
        <v>5668</v>
      </c>
      <c r="G310" s="14" t="s">
        <v>1355</v>
      </c>
      <c r="H310" s="15">
        <v>46259.583333333336</v>
      </c>
      <c r="I310" s="14" t="s">
        <v>5691</v>
      </c>
      <c r="J310" s="14">
        <v>40</v>
      </c>
      <c r="K310" s="14" t="s">
        <v>5670</v>
      </c>
      <c r="L310" s="17">
        <v>46332</v>
      </c>
      <c r="M310" s="17"/>
      <c r="N310" s="14" t="s">
        <v>5970</v>
      </c>
      <c r="O310" s="17">
        <v>46280</v>
      </c>
      <c r="P310" s="14"/>
      <c r="Q310" s="18">
        <v>30000</v>
      </c>
      <c r="R310" s="19">
        <v>6.1</v>
      </c>
      <c r="S310" s="18">
        <v>28170</v>
      </c>
      <c r="T310" s="14">
        <v>12</v>
      </c>
      <c r="U310" s="18">
        <v>28170</v>
      </c>
      <c r="V310" s="18">
        <v>10000</v>
      </c>
      <c r="W310" s="19">
        <v>4.4000000000000004</v>
      </c>
      <c r="X310" s="18">
        <v>9560</v>
      </c>
      <c r="Y310" s="14" t="s">
        <v>5688</v>
      </c>
      <c r="Z310" s="14" t="s">
        <v>5677</v>
      </c>
      <c r="AA310" s="14" t="b">
        <v>0</v>
      </c>
      <c r="AB310" s="14" t="b">
        <v>0</v>
      </c>
      <c r="AC310" s="14" t="b">
        <v>0</v>
      </c>
    </row>
    <row r="311" spans="1:29">
      <c r="A311" s="14" t="s">
        <v>2301</v>
      </c>
      <c r="B311" s="14" t="s">
        <v>6134</v>
      </c>
      <c r="C311" s="14" t="s">
        <v>760</v>
      </c>
      <c r="D311" s="14" t="s">
        <v>2300</v>
      </c>
      <c r="E311" s="14" t="s">
        <v>55</v>
      </c>
      <c r="F311" s="14" t="s">
        <v>5668</v>
      </c>
      <c r="G311" s="14" t="s">
        <v>1281</v>
      </c>
      <c r="H311" s="15">
        <v>45286.499131944445</v>
      </c>
      <c r="I311" s="14" t="s">
        <v>5675</v>
      </c>
      <c r="J311" s="14">
        <v>0</v>
      </c>
      <c r="K311" s="14" t="s">
        <v>5725</v>
      </c>
      <c r="L311" s="17">
        <v>45331.499131944445</v>
      </c>
      <c r="M311" s="17">
        <v>45338.499131944445</v>
      </c>
      <c r="N311" s="14"/>
      <c r="O311" s="17">
        <v>45333.499131944445</v>
      </c>
      <c r="P311" s="14" t="s">
        <v>5728</v>
      </c>
      <c r="Q311" s="18">
        <v>34000</v>
      </c>
      <c r="R311" s="19">
        <v>8.1</v>
      </c>
      <c r="S311" s="18">
        <v>31246</v>
      </c>
      <c r="T311" s="14">
        <v>12</v>
      </c>
      <c r="U311" s="18">
        <v>31246</v>
      </c>
      <c r="V311" s="18">
        <v>10000</v>
      </c>
      <c r="W311" s="19">
        <v>22.7</v>
      </c>
      <c r="X311" s="18">
        <v>7730</v>
      </c>
      <c r="Y311" s="14" t="s">
        <v>5665</v>
      </c>
      <c r="Z311" s="14" t="s">
        <v>5666</v>
      </c>
      <c r="AA311" s="14" t="b">
        <v>0</v>
      </c>
      <c r="AB311" s="14" t="b">
        <v>0</v>
      </c>
      <c r="AC311" s="14" t="b">
        <v>1</v>
      </c>
    </row>
    <row r="312" spans="1:29">
      <c r="A312" s="14" t="s">
        <v>2468</v>
      </c>
      <c r="B312" s="14" t="s">
        <v>6135</v>
      </c>
      <c r="C312" s="14" t="s">
        <v>124</v>
      </c>
      <c r="D312" s="14" t="s">
        <v>2467</v>
      </c>
      <c r="E312" s="14" t="s">
        <v>25</v>
      </c>
      <c r="F312" s="14" t="s">
        <v>5668</v>
      </c>
      <c r="G312" s="14" t="s">
        <v>1317</v>
      </c>
      <c r="H312" s="15">
        <v>45269.915543981479</v>
      </c>
      <c r="I312" s="14" t="s">
        <v>5675</v>
      </c>
      <c r="J312" s="14">
        <v>0</v>
      </c>
      <c r="K312" s="14" t="s">
        <v>5664</v>
      </c>
      <c r="L312" s="17">
        <v>45313.915543981479</v>
      </c>
      <c r="M312" s="17">
        <v>45313.915543981479</v>
      </c>
      <c r="N312" s="14"/>
      <c r="O312" s="17">
        <v>45307.915543981479</v>
      </c>
      <c r="P312" s="14" t="s">
        <v>5676</v>
      </c>
      <c r="Q312" s="18">
        <v>24000</v>
      </c>
      <c r="R312" s="19">
        <v>5.6</v>
      </c>
      <c r="S312" s="18">
        <v>22656</v>
      </c>
      <c r="T312" s="14">
        <v>12</v>
      </c>
      <c r="U312" s="18">
        <v>22656</v>
      </c>
      <c r="V312" s="18">
        <v>5000</v>
      </c>
      <c r="W312" s="19">
        <v>1.2</v>
      </c>
      <c r="X312" s="18">
        <v>4940</v>
      </c>
      <c r="Y312" s="14" t="s">
        <v>5665</v>
      </c>
      <c r="Z312" s="14" t="s">
        <v>5666</v>
      </c>
      <c r="AA312" s="14" t="b">
        <v>1</v>
      </c>
      <c r="AB312" s="14" t="b">
        <v>0</v>
      </c>
      <c r="AC312" s="14" t="b">
        <v>1</v>
      </c>
    </row>
    <row r="313" spans="1:29">
      <c r="A313" s="14" t="s">
        <v>2509</v>
      </c>
      <c r="B313" s="14" t="s">
        <v>6136</v>
      </c>
      <c r="C313" s="14" t="s">
        <v>524</v>
      </c>
      <c r="D313" s="14" t="s">
        <v>2508</v>
      </c>
      <c r="E313" s="14" t="s">
        <v>36</v>
      </c>
      <c r="F313" s="14" t="s">
        <v>5668</v>
      </c>
      <c r="G313" s="14" t="s">
        <v>1413</v>
      </c>
      <c r="H313" s="15">
        <v>45950.921967592592</v>
      </c>
      <c r="I313" s="14" t="s">
        <v>5675</v>
      </c>
      <c r="J313" s="14">
        <v>0</v>
      </c>
      <c r="K313" s="14" t="s">
        <v>5664</v>
      </c>
      <c r="L313" s="17">
        <v>46023.921967592592</v>
      </c>
      <c r="M313" s="17">
        <v>46037.921967592592</v>
      </c>
      <c r="N313" s="14"/>
      <c r="O313" s="17">
        <v>46034.921967592592</v>
      </c>
      <c r="P313" s="14" t="s">
        <v>5728</v>
      </c>
      <c r="Q313" s="18">
        <v>66000</v>
      </c>
      <c r="R313" s="19">
        <v>14</v>
      </c>
      <c r="S313" s="18">
        <v>56760</v>
      </c>
      <c r="T313" s="14">
        <v>12</v>
      </c>
      <c r="U313" s="18">
        <v>56760</v>
      </c>
      <c r="V313" s="18">
        <v>20000</v>
      </c>
      <c r="W313" s="19">
        <v>17.600000000000001</v>
      </c>
      <c r="X313" s="18">
        <v>16480</v>
      </c>
      <c r="Y313" s="14" t="s">
        <v>5665</v>
      </c>
      <c r="Z313" s="14" t="s">
        <v>5666</v>
      </c>
      <c r="AA313" s="14" t="b">
        <v>0</v>
      </c>
      <c r="AB313" s="14" t="b">
        <v>0</v>
      </c>
      <c r="AC313" s="14" t="b">
        <v>1</v>
      </c>
    </row>
    <row r="314" spans="1:29">
      <c r="A314" s="14" t="s">
        <v>1906</v>
      </c>
      <c r="B314" s="14" t="s">
        <v>6137</v>
      </c>
      <c r="C314" s="14" t="s">
        <v>202</v>
      </c>
      <c r="D314" s="14" t="s">
        <v>1905</v>
      </c>
      <c r="E314" s="14" t="s">
        <v>59</v>
      </c>
      <c r="F314" s="14" t="s">
        <v>5668</v>
      </c>
      <c r="G314" s="14" t="s">
        <v>1295</v>
      </c>
      <c r="H314" s="15">
        <v>45595.356481481482</v>
      </c>
      <c r="I314" s="14" t="s">
        <v>5675</v>
      </c>
      <c r="J314" s="14">
        <v>0</v>
      </c>
      <c r="K314" s="14" t="s">
        <v>5664</v>
      </c>
      <c r="L314" s="17">
        <v>45625.356481481482</v>
      </c>
      <c r="M314" s="17">
        <v>45625.356481481482</v>
      </c>
      <c r="N314" s="14"/>
      <c r="O314" s="17">
        <v>45620.356481481482</v>
      </c>
      <c r="P314" s="14" t="s">
        <v>5769</v>
      </c>
      <c r="Q314" s="18">
        <v>30000</v>
      </c>
      <c r="R314" s="19">
        <v>7.3</v>
      </c>
      <c r="S314" s="18">
        <v>27810</v>
      </c>
      <c r="T314" s="14">
        <v>12</v>
      </c>
      <c r="U314" s="18">
        <v>27810</v>
      </c>
      <c r="V314" s="18">
        <v>10000</v>
      </c>
      <c r="W314" s="19">
        <v>2.7</v>
      </c>
      <c r="X314" s="18">
        <v>9730</v>
      </c>
      <c r="Y314" s="14" t="s">
        <v>5665</v>
      </c>
      <c r="Z314" s="14" t="s">
        <v>5666</v>
      </c>
      <c r="AA314" s="14" t="b">
        <v>0</v>
      </c>
      <c r="AB314" s="14" t="b">
        <v>0</v>
      </c>
      <c r="AC314" s="14" t="b">
        <v>0</v>
      </c>
    </row>
    <row r="315" spans="1:29">
      <c r="A315" s="14" t="s">
        <v>1986</v>
      </c>
      <c r="B315" s="14" t="s">
        <v>5768</v>
      </c>
      <c r="C315" s="14" t="s">
        <v>715</v>
      </c>
      <c r="D315" s="14" t="s">
        <v>1985</v>
      </c>
      <c r="E315" s="14" t="s">
        <v>55</v>
      </c>
      <c r="F315" s="14" t="s">
        <v>5668</v>
      </c>
      <c r="G315" s="14" t="s">
        <v>1271</v>
      </c>
      <c r="H315" s="15">
        <v>45183.541134259256</v>
      </c>
      <c r="I315" s="14" t="s">
        <v>5675</v>
      </c>
      <c r="J315" s="14">
        <v>0</v>
      </c>
      <c r="K315" s="14" t="s">
        <v>5664</v>
      </c>
      <c r="L315" s="17">
        <v>45301.541134259256</v>
      </c>
      <c r="M315" s="17">
        <v>45271.541134259256</v>
      </c>
      <c r="N315" s="14"/>
      <c r="O315" s="17">
        <v>45270.541134259256</v>
      </c>
      <c r="P315" s="14" t="s">
        <v>5728</v>
      </c>
      <c r="Q315" s="18">
        <v>66000</v>
      </c>
      <c r="R315" s="19">
        <v>4.0999999999999996</v>
      </c>
      <c r="S315" s="18">
        <v>63294</v>
      </c>
      <c r="T315" s="14">
        <v>12</v>
      </c>
      <c r="U315" s="18">
        <v>63294</v>
      </c>
      <c r="V315" s="18">
        <v>20000</v>
      </c>
      <c r="W315" s="19">
        <v>9.6</v>
      </c>
      <c r="X315" s="18">
        <v>18080</v>
      </c>
      <c r="Y315" s="14" t="s">
        <v>5665</v>
      </c>
      <c r="Z315" s="14" t="s">
        <v>5666</v>
      </c>
      <c r="AA315" s="14" t="b">
        <v>0</v>
      </c>
      <c r="AB315" s="14" t="b">
        <v>0</v>
      </c>
      <c r="AC315" s="14" t="b">
        <v>0</v>
      </c>
    </row>
    <row r="316" spans="1:29">
      <c r="A316" s="14" t="s">
        <v>1422</v>
      </c>
      <c r="B316" s="14" t="s">
        <v>6138</v>
      </c>
      <c r="C316" s="14" t="s">
        <v>697</v>
      </c>
      <c r="D316" s="14" t="s">
        <v>1421</v>
      </c>
      <c r="E316" s="14" t="s">
        <v>82</v>
      </c>
      <c r="F316" s="14" t="s">
        <v>5668</v>
      </c>
      <c r="G316" s="14" t="s">
        <v>1413</v>
      </c>
      <c r="H316" s="15">
        <v>46266.656909722224</v>
      </c>
      <c r="I316" s="14" t="s">
        <v>5725</v>
      </c>
      <c r="J316" s="14">
        <v>90</v>
      </c>
      <c r="K316" s="14" t="s">
        <v>5725</v>
      </c>
      <c r="L316" s="17">
        <v>46302</v>
      </c>
      <c r="M316" s="17"/>
      <c r="N316" s="14" t="s">
        <v>5726</v>
      </c>
      <c r="O316" s="17">
        <v>46284</v>
      </c>
      <c r="P316" s="14"/>
      <c r="Q316" s="18">
        <v>86000</v>
      </c>
      <c r="R316" s="19">
        <v>5.3</v>
      </c>
      <c r="S316" s="18">
        <v>81442</v>
      </c>
      <c r="T316" s="14">
        <v>12</v>
      </c>
      <c r="U316" s="18">
        <v>81442</v>
      </c>
      <c r="V316" s="18">
        <v>20000</v>
      </c>
      <c r="W316" s="19">
        <v>7.4</v>
      </c>
      <c r="X316" s="18">
        <v>18520</v>
      </c>
      <c r="Y316" s="14" t="s">
        <v>5688</v>
      </c>
      <c r="Z316" s="14" t="s">
        <v>5666</v>
      </c>
      <c r="AA316" s="14" t="b">
        <v>0</v>
      </c>
      <c r="AB316" s="14" t="b">
        <v>0</v>
      </c>
      <c r="AC316" s="14" t="b">
        <v>1</v>
      </c>
    </row>
    <row r="317" spans="1:29">
      <c r="A317" s="14" t="s">
        <v>1995</v>
      </c>
      <c r="B317" s="14" t="s">
        <v>5818</v>
      </c>
      <c r="C317" s="14" t="s">
        <v>998</v>
      </c>
      <c r="D317" s="14" t="s">
        <v>1994</v>
      </c>
      <c r="E317" s="14" t="s">
        <v>18</v>
      </c>
      <c r="F317" s="14" t="s">
        <v>5668</v>
      </c>
      <c r="G317" s="14" t="s">
        <v>1317</v>
      </c>
      <c r="H317" s="15">
        <v>46179.139062499999</v>
      </c>
      <c r="I317" s="14" t="s">
        <v>5663</v>
      </c>
      <c r="J317" s="14">
        <v>100</v>
      </c>
      <c r="K317" s="14" t="s">
        <v>5664</v>
      </c>
      <c r="L317" s="17">
        <v>46268.139062499999</v>
      </c>
      <c r="M317" s="17">
        <v>46268.139062499999</v>
      </c>
      <c r="N317" s="14"/>
      <c r="O317" s="17">
        <v>46261.139062499999</v>
      </c>
      <c r="P317" s="14"/>
      <c r="Q317" s="18">
        <v>38000</v>
      </c>
      <c r="R317" s="19">
        <v>0.3</v>
      </c>
      <c r="S317" s="18">
        <v>37886</v>
      </c>
      <c r="T317" s="14">
        <v>24</v>
      </c>
      <c r="U317" s="18">
        <v>75772</v>
      </c>
      <c r="V317" s="18">
        <v>10000</v>
      </c>
      <c r="W317" s="19">
        <v>9.3000000000000007</v>
      </c>
      <c r="X317" s="18">
        <v>9070</v>
      </c>
      <c r="Y317" s="14" t="s">
        <v>5665</v>
      </c>
      <c r="Z317" s="14" t="s">
        <v>5666</v>
      </c>
      <c r="AA317" s="14" t="b">
        <v>0</v>
      </c>
      <c r="AB317" s="14" t="b">
        <v>0</v>
      </c>
      <c r="AC317" s="14" t="b">
        <v>0</v>
      </c>
    </row>
    <row r="318" spans="1:29">
      <c r="A318" s="14" t="s">
        <v>6139</v>
      </c>
      <c r="B318" s="14" t="s">
        <v>6140</v>
      </c>
      <c r="C318" s="14" t="s">
        <v>951</v>
      </c>
      <c r="D318" s="14" t="s">
        <v>2205</v>
      </c>
      <c r="E318" s="14" t="s">
        <v>59</v>
      </c>
      <c r="F318" s="14" t="s">
        <v>5662</v>
      </c>
      <c r="G318" s="14" t="s">
        <v>1413</v>
      </c>
      <c r="H318" s="15">
        <v>45952.575127314813</v>
      </c>
      <c r="I318" s="14" t="s">
        <v>5663</v>
      </c>
      <c r="J318" s="14">
        <v>80</v>
      </c>
      <c r="K318" s="14" t="s">
        <v>5664</v>
      </c>
      <c r="L318" s="17">
        <v>45972.575127314813</v>
      </c>
      <c r="M318" s="17">
        <v>45972.575127314813</v>
      </c>
      <c r="N318" s="14"/>
      <c r="O318" s="17">
        <v>45972.575127314813</v>
      </c>
      <c r="P318" s="14"/>
      <c r="Q318" s="18">
        <v>24000</v>
      </c>
      <c r="R318" s="19">
        <v>4.2</v>
      </c>
      <c r="S318" s="18">
        <v>22992</v>
      </c>
      <c r="T318" s="14">
        <v>12</v>
      </c>
      <c r="U318" s="18">
        <v>22992</v>
      </c>
      <c r="V318" s="18">
        <v>0</v>
      </c>
      <c r="W318" s="19">
        <v>0</v>
      </c>
      <c r="X318" s="18">
        <v>0</v>
      </c>
      <c r="Y318" s="14" t="s">
        <v>5665</v>
      </c>
      <c r="Z318" s="14" t="s">
        <v>5666</v>
      </c>
      <c r="AA318" s="14" t="b">
        <v>0</v>
      </c>
      <c r="AB318" s="14" t="b">
        <v>0</v>
      </c>
      <c r="AC318" s="14" t="b">
        <v>0</v>
      </c>
    </row>
    <row r="319" spans="1:29">
      <c r="A319" s="14" t="s">
        <v>2048</v>
      </c>
      <c r="B319" s="14" t="s">
        <v>6141</v>
      </c>
      <c r="C319" s="14" t="s">
        <v>485</v>
      </c>
      <c r="D319" s="14" t="s">
        <v>2047</v>
      </c>
      <c r="E319" s="14" t="s">
        <v>55</v>
      </c>
      <c r="F319" s="14" t="s">
        <v>5668</v>
      </c>
      <c r="G319" s="14" t="s">
        <v>1271</v>
      </c>
      <c r="H319" s="15">
        <v>46109.690706018519</v>
      </c>
      <c r="I319" s="14" t="s">
        <v>5663</v>
      </c>
      <c r="J319" s="14">
        <v>100</v>
      </c>
      <c r="K319" s="14" t="s">
        <v>5664</v>
      </c>
      <c r="L319" s="17">
        <v>46156.690706018519</v>
      </c>
      <c r="M319" s="17">
        <v>46163.690706018519</v>
      </c>
      <c r="N319" s="14"/>
      <c r="O319" s="17">
        <v>46156.690706018519</v>
      </c>
      <c r="P319" s="14"/>
      <c r="Q319" s="18">
        <v>56000</v>
      </c>
      <c r="R319" s="19">
        <v>3</v>
      </c>
      <c r="S319" s="18">
        <v>54320</v>
      </c>
      <c r="T319" s="14">
        <v>24</v>
      </c>
      <c r="U319" s="18">
        <v>108640</v>
      </c>
      <c r="V319" s="18">
        <v>10000</v>
      </c>
      <c r="W319" s="19">
        <v>6.5</v>
      </c>
      <c r="X319" s="18">
        <v>9350</v>
      </c>
      <c r="Y319" s="14" t="s">
        <v>5665</v>
      </c>
      <c r="Z319" s="14" t="s">
        <v>5666</v>
      </c>
      <c r="AA319" s="14" t="b">
        <v>0</v>
      </c>
      <c r="AB319" s="14" t="b">
        <v>0</v>
      </c>
      <c r="AC319" s="14" t="b">
        <v>0</v>
      </c>
    </row>
    <row r="320" spans="1:29">
      <c r="A320" s="14" t="s">
        <v>6142</v>
      </c>
      <c r="B320" s="14" t="s">
        <v>6101</v>
      </c>
      <c r="C320" s="14" t="s">
        <v>603</v>
      </c>
      <c r="D320" s="14" t="s">
        <v>6102</v>
      </c>
      <c r="E320" s="14" t="s">
        <v>25</v>
      </c>
      <c r="F320" s="14" t="s">
        <v>5668</v>
      </c>
      <c r="G320" s="14"/>
      <c r="H320" s="15">
        <v>46211</v>
      </c>
      <c r="I320" s="14" t="s">
        <v>5669</v>
      </c>
      <c r="J320" s="14">
        <v>60</v>
      </c>
      <c r="K320" s="14" t="s">
        <v>5679</v>
      </c>
      <c r="L320" s="17">
        <v>46322</v>
      </c>
      <c r="M320" s="17"/>
      <c r="N320" s="14" t="s">
        <v>5850</v>
      </c>
      <c r="O320" s="17">
        <v>46288</v>
      </c>
      <c r="P320" s="14"/>
      <c r="Q320" s="18">
        <v>24000</v>
      </c>
      <c r="R320" s="19">
        <v>14.6</v>
      </c>
      <c r="S320" s="18">
        <v>20496</v>
      </c>
      <c r="T320" s="14">
        <v>12</v>
      </c>
      <c r="U320" s="18">
        <v>20496</v>
      </c>
      <c r="V320" s="18">
        <v>5000</v>
      </c>
      <c r="W320" s="19">
        <v>6.8</v>
      </c>
      <c r="X320" s="18">
        <v>4660</v>
      </c>
      <c r="Y320" s="14" t="s">
        <v>5665</v>
      </c>
      <c r="Z320" s="14" t="s">
        <v>5666</v>
      </c>
      <c r="AA320" s="14" t="b">
        <v>0</v>
      </c>
      <c r="AB320" s="14" t="b">
        <v>0</v>
      </c>
      <c r="AC320" s="14" t="b">
        <v>1</v>
      </c>
    </row>
    <row r="321" spans="1:29">
      <c r="A321" s="14" t="s">
        <v>1812</v>
      </c>
      <c r="B321" s="14" t="s">
        <v>6143</v>
      </c>
      <c r="C321" s="14" t="s">
        <v>666</v>
      </c>
      <c r="D321" s="14" t="s">
        <v>1811</v>
      </c>
      <c r="E321" s="14" t="s">
        <v>69</v>
      </c>
      <c r="F321" s="14" t="s">
        <v>5668</v>
      </c>
      <c r="G321" s="14" t="s">
        <v>1317</v>
      </c>
      <c r="H321" s="15">
        <v>45247.026388888888</v>
      </c>
      <c r="I321" s="14" t="s">
        <v>5675</v>
      </c>
      <c r="J321" s="14">
        <v>0</v>
      </c>
      <c r="K321" s="14" t="s">
        <v>5664</v>
      </c>
      <c r="L321" s="17">
        <v>45278.026388888888</v>
      </c>
      <c r="M321" s="17">
        <v>45278.026388888888</v>
      </c>
      <c r="N321" s="14"/>
      <c r="O321" s="17">
        <v>45278.026388888888</v>
      </c>
      <c r="P321" s="14" t="s">
        <v>5703</v>
      </c>
      <c r="Q321" s="18">
        <v>26000</v>
      </c>
      <c r="R321" s="19">
        <v>6.9</v>
      </c>
      <c r="S321" s="18">
        <v>24206</v>
      </c>
      <c r="T321" s="14">
        <v>24</v>
      </c>
      <c r="U321" s="18">
        <v>48412</v>
      </c>
      <c r="V321" s="18">
        <v>5000</v>
      </c>
      <c r="W321" s="19">
        <v>9.3000000000000007</v>
      </c>
      <c r="X321" s="18">
        <v>4535</v>
      </c>
      <c r="Y321" s="14" t="s">
        <v>5665</v>
      </c>
      <c r="Z321" s="14" t="s">
        <v>5666</v>
      </c>
      <c r="AA321" s="14" t="b">
        <v>0</v>
      </c>
      <c r="AB321" s="14" t="b">
        <v>0</v>
      </c>
      <c r="AC321" s="14" t="b">
        <v>0</v>
      </c>
    </row>
    <row r="322" spans="1:29">
      <c r="A322" s="14" t="s">
        <v>6144</v>
      </c>
      <c r="B322" s="14" t="s">
        <v>5667</v>
      </c>
      <c r="C322" s="14" t="s">
        <v>494</v>
      </c>
      <c r="D322" s="14" t="s">
        <v>2097</v>
      </c>
      <c r="E322" s="14" t="s">
        <v>36</v>
      </c>
      <c r="F322" s="14" t="s">
        <v>5668</v>
      </c>
      <c r="G322" s="14" t="s">
        <v>1288</v>
      </c>
      <c r="H322" s="15">
        <v>46237.541666666664</v>
      </c>
      <c r="I322" s="14" t="s">
        <v>5691</v>
      </c>
      <c r="J322" s="14">
        <v>40</v>
      </c>
      <c r="K322" s="14" t="s">
        <v>5670</v>
      </c>
      <c r="L322" s="17">
        <v>46328</v>
      </c>
      <c r="M322" s="17"/>
      <c r="N322" s="14" t="s">
        <v>5801</v>
      </c>
      <c r="O322" s="17">
        <v>46235</v>
      </c>
      <c r="P322" s="14"/>
      <c r="Q322" s="18">
        <v>74000</v>
      </c>
      <c r="R322" s="19">
        <v>6.6</v>
      </c>
      <c r="S322" s="18">
        <v>69116</v>
      </c>
      <c r="T322" s="14">
        <v>12</v>
      </c>
      <c r="U322" s="18">
        <v>69116</v>
      </c>
      <c r="V322" s="18">
        <v>20000</v>
      </c>
      <c r="W322" s="19">
        <v>19.899999999999999</v>
      </c>
      <c r="X322" s="18">
        <v>16020</v>
      </c>
      <c r="Y322" s="14" t="s">
        <v>5665</v>
      </c>
      <c r="Z322" s="14" t="s">
        <v>5666</v>
      </c>
      <c r="AA322" s="14" t="b">
        <v>0</v>
      </c>
      <c r="AB322" s="14" t="b">
        <v>0</v>
      </c>
      <c r="AC322" s="14" t="b">
        <v>0</v>
      </c>
    </row>
    <row r="323" spans="1:29">
      <c r="A323" s="14" t="s">
        <v>1550</v>
      </c>
      <c r="B323" s="14" t="s">
        <v>6133</v>
      </c>
      <c r="C323" s="14" t="s">
        <v>276</v>
      </c>
      <c r="D323" s="14" t="s">
        <v>1549</v>
      </c>
      <c r="E323" s="14" t="s">
        <v>55</v>
      </c>
      <c r="F323" s="14" t="s">
        <v>5668</v>
      </c>
      <c r="G323" s="14" t="s">
        <v>1355</v>
      </c>
      <c r="H323" s="15">
        <v>46054.127766203703</v>
      </c>
      <c r="I323" s="14" t="s">
        <v>5663</v>
      </c>
      <c r="J323" s="14">
        <v>100</v>
      </c>
      <c r="K323" s="14" t="s">
        <v>5664</v>
      </c>
      <c r="L323" s="17">
        <v>46097.127766203703</v>
      </c>
      <c r="M323" s="17">
        <v>46104.127766203703</v>
      </c>
      <c r="N323" s="14"/>
      <c r="O323" s="17">
        <v>46100.127766203703</v>
      </c>
      <c r="P323" s="14"/>
      <c r="Q323" s="18">
        <v>34000</v>
      </c>
      <c r="R323" s="19">
        <v>8</v>
      </c>
      <c r="S323" s="18">
        <v>31280</v>
      </c>
      <c r="T323" s="14">
        <v>12</v>
      </c>
      <c r="U323" s="18">
        <v>31280</v>
      </c>
      <c r="V323" s="18">
        <v>10000</v>
      </c>
      <c r="W323" s="19">
        <v>19.2</v>
      </c>
      <c r="X323" s="18">
        <v>8080</v>
      </c>
      <c r="Y323" s="14" t="s">
        <v>5665</v>
      </c>
      <c r="Z323" s="14" t="s">
        <v>5666</v>
      </c>
      <c r="AA323" s="14" t="b">
        <v>0</v>
      </c>
      <c r="AB323" s="14" t="b">
        <v>0</v>
      </c>
      <c r="AC323" s="14" t="b">
        <v>0</v>
      </c>
    </row>
    <row r="324" spans="1:29">
      <c r="A324" s="14" t="s">
        <v>1960</v>
      </c>
      <c r="B324" s="14" t="s">
        <v>5876</v>
      </c>
      <c r="C324" s="14" t="s">
        <v>296</v>
      </c>
      <c r="D324" s="14" t="s">
        <v>1959</v>
      </c>
      <c r="E324" s="14" t="s">
        <v>36</v>
      </c>
      <c r="F324" s="14" t="s">
        <v>5668</v>
      </c>
      <c r="G324" s="14" t="s">
        <v>1295</v>
      </c>
      <c r="H324" s="15">
        <v>46227.649756944447</v>
      </c>
      <c r="I324" s="14" t="s">
        <v>5691</v>
      </c>
      <c r="J324" s="14">
        <v>40</v>
      </c>
      <c r="K324" s="14" t="s">
        <v>5670</v>
      </c>
      <c r="L324" s="17">
        <v>46309</v>
      </c>
      <c r="M324" s="17"/>
      <c r="N324" s="14" t="s">
        <v>5801</v>
      </c>
      <c r="O324" s="17">
        <v>46283</v>
      </c>
      <c r="P324" s="14"/>
      <c r="Q324" s="18">
        <v>42000</v>
      </c>
      <c r="R324" s="19">
        <v>31</v>
      </c>
      <c r="S324" s="18">
        <v>28980</v>
      </c>
      <c r="T324" s="14">
        <v>12</v>
      </c>
      <c r="U324" s="18">
        <v>28980</v>
      </c>
      <c r="V324" s="18">
        <v>10000</v>
      </c>
      <c r="W324" s="19">
        <v>4.0999999999999996</v>
      </c>
      <c r="X324" s="18">
        <v>9590</v>
      </c>
      <c r="Y324" s="14" t="s">
        <v>5665</v>
      </c>
      <c r="Z324" s="14" t="s">
        <v>5666</v>
      </c>
      <c r="AA324" s="14" t="b">
        <v>0</v>
      </c>
      <c r="AB324" s="14" t="b">
        <v>0</v>
      </c>
      <c r="AC324" s="14" t="b">
        <v>1</v>
      </c>
    </row>
    <row r="325" spans="1:29">
      <c r="A325" s="14" t="s">
        <v>6145</v>
      </c>
      <c r="B325" s="14" t="s">
        <v>6146</v>
      </c>
      <c r="C325" s="14" t="s">
        <v>717</v>
      </c>
      <c r="D325" s="14" t="s">
        <v>6147</v>
      </c>
      <c r="E325" s="14" t="s">
        <v>82</v>
      </c>
      <c r="F325" s="14" t="s">
        <v>5668</v>
      </c>
      <c r="G325" s="14" t="s">
        <v>1295</v>
      </c>
      <c r="H325" s="15">
        <v>46238.583333333336</v>
      </c>
      <c r="I325" s="14" t="s">
        <v>5691</v>
      </c>
      <c r="J325" s="14">
        <v>40</v>
      </c>
      <c r="K325" s="14" t="s">
        <v>5670</v>
      </c>
      <c r="L325" s="17">
        <v>46342</v>
      </c>
      <c r="M325" s="17"/>
      <c r="N325" s="14" t="s">
        <v>5801</v>
      </c>
      <c r="O325" s="17">
        <v>46210</v>
      </c>
      <c r="P325" s="14"/>
      <c r="Q325" s="18">
        <v>72000</v>
      </c>
      <c r="R325" s="19">
        <v>4.8</v>
      </c>
      <c r="S325" s="18">
        <v>68544</v>
      </c>
      <c r="T325" s="14">
        <v>12</v>
      </c>
      <c r="U325" s="18">
        <v>68544</v>
      </c>
      <c r="V325" s="18">
        <v>20000</v>
      </c>
      <c r="W325" s="19">
        <v>3.9</v>
      </c>
      <c r="X325" s="18">
        <v>19220</v>
      </c>
      <c r="Y325" s="14" t="s">
        <v>5665</v>
      </c>
      <c r="Z325" s="14" t="s">
        <v>5666</v>
      </c>
      <c r="AA325" s="14" t="b">
        <v>0</v>
      </c>
      <c r="AB325" s="14" t="b">
        <v>1</v>
      </c>
      <c r="AC325" s="14" t="b">
        <v>1</v>
      </c>
    </row>
    <row r="326" spans="1:29">
      <c r="A326" s="14" t="s">
        <v>6148</v>
      </c>
      <c r="B326" s="14" t="s">
        <v>6149</v>
      </c>
      <c r="C326" s="14" t="s">
        <v>989</v>
      </c>
      <c r="D326" s="14" t="s">
        <v>6150</v>
      </c>
      <c r="E326" s="14" t="s">
        <v>91</v>
      </c>
      <c r="F326" s="14" t="s">
        <v>5668</v>
      </c>
      <c r="G326" s="14" t="s">
        <v>1271</v>
      </c>
      <c r="H326" s="15">
        <v>46277.416666666664</v>
      </c>
      <c r="I326" s="14" t="s">
        <v>5686</v>
      </c>
      <c r="J326" s="14">
        <v>10</v>
      </c>
      <c r="K326" s="14" t="s">
        <v>5670</v>
      </c>
      <c r="L326" s="17">
        <v>46341</v>
      </c>
      <c r="M326" s="17"/>
      <c r="N326" s="14" t="s">
        <v>5767</v>
      </c>
      <c r="O326" s="17">
        <v>46242</v>
      </c>
      <c r="P326" s="14"/>
      <c r="Q326" s="18">
        <v>20000</v>
      </c>
      <c r="R326" s="19">
        <v>8.6999999999999993</v>
      </c>
      <c r="S326" s="18">
        <v>18260</v>
      </c>
      <c r="T326" s="14">
        <v>12</v>
      </c>
      <c r="U326" s="18">
        <v>18260</v>
      </c>
      <c r="V326" s="18">
        <v>5000</v>
      </c>
      <c r="W326" s="19">
        <v>9.1999999999999993</v>
      </c>
      <c r="X326" s="18">
        <v>4540</v>
      </c>
      <c r="Y326" s="14" t="s">
        <v>5665</v>
      </c>
      <c r="Z326" s="14" t="s">
        <v>5666</v>
      </c>
      <c r="AA326" s="14" t="b">
        <v>0</v>
      </c>
      <c r="AB326" s="14" t="b">
        <v>0</v>
      </c>
      <c r="AC326" s="14" t="b">
        <v>0</v>
      </c>
    </row>
    <row r="327" spans="1:29">
      <c r="A327" s="14" t="s">
        <v>6151</v>
      </c>
      <c r="B327" s="14" t="s">
        <v>5881</v>
      </c>
      <c r="C327" s="14" t="s">
        <v>533</v>
      </c>
      <c r="D327" s="14" t="s">
        <v>5882</v>
      </c>
      <c r="E327" s="14" t="s">
        <v>18</v>
      </c>
      <c r="F327" s="14" t="s">
        <v>5668</v>
      </c>
      <c r="G327" s="14" t="s">
        <v>1339</v>
      </c>
      <c r="H327" s="15">
        <v>46262.583333333336</v>
      </c>
      <c r="I327" s="14" t="s">
        <v>5691</v>
      </c>
      <c r="J327" s="14">
        <v>40</v>
      </c>
      <c r="K327" s="14" t="s">
        <v>5670</v>
      </c>
      <c r="L327" s="17">
        <v>46348</v>
      </c>
      <c r="M327" s="17"/>
      <c r="N327" s="14" t="s">
        <v>5801</v>
      </c>
      <c r="O327" s="17">
        <v>46199</v>
      </c>
      <c r="P327" s="14"/>
      <c r="Q327" s="18">
        <v>36000</v>
      </c>
      <c r="R327" s="19">
        <v>7.5</v>
      </c>
      <c r="S327" s="18">
        <v>33300</v>
      </c>
      <c r="T327" s="14">
        <v>12</v>
      </c>
      <c r="U327" s="18">
        <v>33300</v>
      </c>
      <c r="V327" s="18">
        <v>10000</v>
      </c>
      <c r="W327" s="19">
        <v>8.3000000000000007</v>
      </c>
      <c r="X327" s="18">
        <v>9170</v>
      </c>
      <c r="Y327" s="14" t="s">
        <v>5665</v>
      </c>
      <c r="Z327" s="14" t="s">
        <v>5693</v>
      </c>
      <c r="AA327" s="14" t="b">
        <v>0</v>
      </c>
      <c r="AB327" s="14" t="b">
        <v>0</v>
      </c>
      <c r="AC327" s="14" t="b">
        <v>1</v>
      </c>
    </row>
    <row r="328" spans="1:29">
      <c r="A328" s="14" t="s">
        <v>2036</v>
      </c>
      <c r="B328" s="14" t="s">
        <v>6120</v>
      </c>
      <c r="C328" s="14" t="s">
        <v>858</v>
      </c>
      <c r="D328" s="14" t="s">
        <v>2035</v>
      </c>
      <c r="E328" s="14" t="s">
        <v>55</v>
      </c>
      <c r="F328" s="14" t="s">
        <v>5668</v>
      </c>
      <c r="G328" s="14" t="s">
        <v>1413</v>
      </c>
      <c r="H328" s="15">
        <v>45252.276990740742</v>
      </c>
      <c r="I328" s="14" t="s">
        <v>5675</v>
      </c>
      <c r="J328" s="14">
        <v>0</v>
      </c>
      <c r="K328" s="14" t="s">
        <v>5664</v>
      </c>
      <c r="L328" s="17">
        <v>45363.276990740742</v>
      </c>
      <c r="M328" s="17">
        <v>45363.276990740742</v>
      </c>
      <c r="N328" s="14"/>
      <c r="O328" s="17">
        <v>45356.276990740742</v>
      </c>
      <c r="P328" s="14" t="s">
        <v>5769</v>
      </c>
      <c r="Q328" s="18">
        <v>80000</v>
      </c>
      <c r="R328" s="19">
        <v>4.9000000000000004</v>
      </c>
      <c r="S328" s="18">
        <v>76080</v>
      </c>
      <c r="T328" s="14">
        <v>24</v>
      </c>
      <c r="U328" s="18">
        <v>152160</v>
      </c>
      <c r="V328" s="18">
        <v>20000</v>
      </c>
      <c r="W328" s="19">
        <v>6.7</v>
      </c>
      <c r="X328" s="18">
        <v>18660</v>
      </c>
      <c r="Y328" s="14" t="s">
        <v>5677</v>
      </c>
      <c r="Z328" s="14" t="s">
        <v>5666</v>
      </c>
      <c r="AA328" s="14" t="b">
        <v>0</v>
      </c>
      <c r="AB328" s="14" t="b">
        <v>1</v>
      </c>
      <c r="AC328" s="14" t="b">
        <v>1</v>
      </c>
    </row>
    <row r="329" spans="1:29">
      <c r="A329" s="14" t="s">
        <v>6152</v>
      </c>
      <c r="B329" s="14" t="s">
        <v>5747</v>
      </c>
      <c r="C329" s="14" t="s">
        <v>909</v>
      </c>
      <c r="D329" s="14" t="s">
        <v>5748</v>
      </c>
      <c r="E329" s="14" t="s">
        <v>25</v>
      </c>
      <c r="F329" s="14" t="s">
        <v>5668</v>
      </c>
      <c r="G329" s="14" t="s">
        <v>1295</v>
      </c>
      <c r="H329" s="15">
        <v>46250.770289351851</v>
      </c>
      <c r="I329" s="14" t="s">
        <v>5669</v>
      </c>
      <c r="J329" s="14">
        <v>60</v>
      </c>
      <c r="K329" s="14" t="s">
        <v>5679</v>
      </c>
      <c r="L329" s="17">
        <v>46322</v>
      </c>
      <c r="M329" s="17"/>
      <c r="N329" s="14" t="s">
        <v>5671</v>
      </c>
      <c r="O329" s="17">
        <v>46281</v>
      </c>
      <c r="P329" s="14"/>
      <c r="Q329" s="18">
        <v>50000</v>
      </c>
      <c r="R329" s="19">
        <v>9.4</v>
      </c>
      <c r="S329" s="18">
        <v>45300</v>
      </c>
      <c r="T329" s="14">
        <v>12</v>
      </c>
      <c r="U329" s="18">
        <v>45300</v>
      </c>
      <c r="V329" s="18">
        <v>10000</v>
      </c>
      <c r="W329" s="19">
        <v>4.5</v>
      </c>
      <c r="X329" s="18">
        <v>9550</v>
      </c>
      <c r="Y329" s="14" t="s">
        <v>5665</v>
      </c>
      <c r="Z329" s="14" t="s">
        <v>5666</v>
      </c>
      <c r="AA329" s="14" t="b">
        <v>0</v>
      </c>
      <c r="AB329" s="14" t="b">
        <v>0</v>
      </c>
      <c r="AC329" s="14" t="b">
        <v>0</v>
      </c>
    </row>
    <row r="330" spans="1:29">
      <c r="A330" s="14" t="s">
        <v>1297</v>
      </c>
      <c r="B330" s="14" t="s">
        <v>6153</v>
      </c>
      <c r="C330" s="14" t="s">
        <v>720</v>
      </c>
      <c r="D330" s="14" t="s">
        <v>1296</v>
      </c>
      <c r="E330" s="14" t="s">
        <v>69</v>
      </c>
      <c r="F330" s="14" t="s">
        <v>5668</v>
      </c>
      <c r="G330" s="14" t="s">
        <v>1295</v>
      </c>
      <c r="H330" s="15">
        <v>44657.611828703702</v>
      </c>
      <c r="I330" s="14" t="s">
        <v>5675</v>
      </c>
      <c r="J330" s="14">
        <v>0</v>
      </c>
      <c r="K330" s="14" t="s">
        <v>5664</v>
      </c>
      <c r="L330" s="17">
        <v>44688.611828703702</v>
      </c>
      <c r="M330" s="17">
        <v>44702.611828703702</v>
      </c>
      <c r="N330" s="14"/>
      <c r="O330" s="17">
        <v>44700.611828703702</v>
      </c>
      <c r="P330" s="14" t="s">
        <v>5676</v>
      </c>
      <c r="Q330" s="18">
        <v>38000</v>
      </c>
      <c r="R330" s="19">
        <v>0.6</v>
      </c>
      <c r="S330" s="18">
        <v>37772</v>
      </c>
      <c r="T330" s="14">
        <v>36</v>
      </c>
      <c r="U330" s="18">
        <v>113316</v>
      </c>
      <c r="V330" s="18">
        <v>10000</v>
      </c>
      <c r="W330" s="19">
        <v>6</v>
      </c>
      <c r="X330" s="18">
        <v>9400</v>
      </c>
      <c r="Y330" s="14" t="s">
        <v>5735</v>
      </c>
      <c r="Z330" s="14" t="s">
        <v>5666</v>
      </c>
      <c r="AA330" s="14" t="b">
        <v>0</v>
      </c>
      <c r="AB330" s="14" t="b">
        <v>0</v>
      </c>
      <c r="AC330" s="14" t="b">
        <v>0</v>
      </c>
    </row>
    <row r="331" spans="1:29">
      <c r="A331" s="14" t="s">
        <v>6154</v>
      </c>
      <c r="B331" s="14" t="s">
        <v>6155</v>
      </c>
      <c r="C331" s="14" t="s">
        <v>754</v>
      </c>
      <c r="D331" s="14" t="s">
        <v>2294</v>
      </c>
      <c r="E331" s="14" t="s">
        <v>55</v>
      </c>
      <c r="F331" s="14" t="s">
        <v>5668</v>
      </c>
      <c r="G331" s="14" t="s">
        <v>1317</v>
      </c>
      <c r="H331" s="15">
        <v>46285.833333333336</v>
      </c>
      <c r="I331" s="14" t="s">
        <v>5686</v>
      </c>
      <c r="J331" s="14">
        <v>80</v>
      </c>
      <c r="K331" s="14" t="s">
        <v>5670</v>
      </c>
      <c r="L331" s="17">
        <v>46329</v>
      </c>
      <c r="M331" s="17"/>
      <c r="N331" s="14"/>
      <c r="O331" s="17">
        <v>46270</v>
      </c>
      <c r="P331" s="14"/>
      <c r="Q331" s="18">
        <v>92000</v>
      </c>
      <c r="R331" s="19">
        <v>9.6</v>
      </c>
      <c r="S331" s="18">
        <v>83168</v>
      </c>
      <c r="T331" s="14">
        <v>12</v>
      </c>
      <c r="U331" s="18">
        <v>83168</v>
      </c>
      <c r="V331" s="18">
        <v>20000</v>
      </c>
      <c r="W331" s="19">
        <v>14.5</v>
      </c>
      <c r="X331" s="18">
        <v>17100</v>
      </c>
      <c r="Y331" s="14" t="s">
        <v>5665</v>
      </c>
      <c r="Z331" s="14" t="s">
        <v>5666</v>
      </c>
      <c r="AA331" s="14" t="b">
        <v>1</v>
      </c>
      <c r="AB331" s="14" t="b">
        <v>0</v>
      </c>
      <c r="AC331" s="14" t="b">
        <v>1</v>
      </c>
    </row>
    <row r="332" spans="1:29">
      <c r="A332" s="14" t="s">
        <v>6156</v>
      </c>
      <c r="B332" s="14" t="s">
        <v>5795</v>
      </c>
      <c r="C332" s="14" t="s">
        <v>412</v>
      </c>
      <c r="D332" s="14" t="s">
        <v>2178</v>
      </c>
      <c r="E332" s="14" t="s">
        <v>55</v>
      </c>
      <c r="F332" s="14" t="s">
        <v>5662</v>
      </c>
      <c r="G332" s="14" t="s">
        <v>1413</v>
      </c>
      <c r="H332" s="15">
        <v>45269</v>
      </c>
      <c r="I332" s="14" t="s">
        <v>5663</v>
      </c>
      <c r="J332" s="14">
        <v>100</v>
      </c>
      <c r="K332" s="14" t="s">
        <v>5664</v>
      </c>
      <c r="L332" s="17">
        <v>45356</v>
      </c>
      <c r="M332" s="17">
        <v>45349</v>
      </c>
      <c r="N332" s="14"/>
      <c r="O332" s="17">
        <v>45343</v>
      </c>
      <c r="P332" s="14"/>
      <c r="Q332" s="18">
        <v>12000</v>
      </c>
      <c r="R332" s="19">
        <v>5.9</v>
      </c>
      <c r="S332" s="18">
        <v>11292</v>
      </c>
      <c r="T332" s="14">
        <v>36</v>
      </c>
      <c r="U332" s="18">
        <v>33876</v>
      </c>
      <c r="V332" s="18">
        <v>0</v>
      </c>
      <c r="W332" s="19">
        <v>0</v>
      </c>
      <c r="X332" s="18">
        <v>0</v>
      </c>
      <c r="Y332" s="14" t="s">
        <v>5665</v>
      </c>
      <c r="Z332" s="14" t="s">
        <v>5666</v>
      </c>
      <c r="AA332" s="14" t="b">
        <v>0</v>
      </c>
      <c r="AB332" s="14" t="b">
        <v>0</v>
      </c>
      <c r="AC332" s="14" t="b">
        <v>0</v>
      </c>
    </row>
    <row r="333" spans="1:29">
      <c r="A333" s="14" t="s">
        <v>6157</v>
      </c>
      <c r="B333" s="14" t="s">
        <v>6158</v>
      </c>
      <c r="C333" s="14" t="s">
        <v>470</v>
      </c>
      <c r="D333" s="14" t="s">
        <v>1803</v>
      </c>
      <c r="E333" s="14" t="s">
        <v>91</v>
      </c>
      <c r="F333" s="14" t="s">
        <v>5668</v>
      </c>
      <c r="G333" s="14"/>
      <c r="H333" s="15">
        <v>46260.875</v>
      </c>
      <c r="I333" s="14" t="s">
        <v>5681</v>
      </c>
      <c r="J333" s="14">
        <v>25</v>
      </c>
      <c r="K333" s="14" t="s">
        <v>5670</v>
      </c>
      <c r="L333" s="17">
        <v>46326</v>
      </c>
      <c r="M333" s="17"/>
      <c r="N333" s="14" t="s">
        <v>5682</v>
      </c>
      <c r="O333" s="17">
        <v>46270</v>
      </c>
      <c r="P333" s="14"/>
      <c r="Q333" s="18">
        <v>20000</v>
      </c>
      <c r="R333" s="19">
        <v>4.2</v>
      </c>
      <c r="S333" s="18">
        <v>19160</v>
      </c>
      <c r="T333" s="14">
        <v>12</v>
      </c>
      <c r="U333" s="18">
        <v>19160</v>
      </c>
      <c r="V333" s="18">
        <v>5000</v>
      </c>
      <c r="W333" s="19">
        <v>2</v>
      </c>
      <c r="X333" s="18">
        <v>4900</v>
      </c>
      <c r="Y333" s="14" t="s">
        <v>5665</v>
      </c>
      <c r="Z333" s="14" t="s">
        <v>5666</v>
      </c>
      <c r="AA333" s="14" t="b">
        <v>0</v>
      </c>
      <c r="AB333" s="14" t="b">
        <v>0</v>
      </c>
      <c r="AC333" s="14" t="b">
        <v>0</v>
      </c>
    </row>
    <row r="334" spans="1:29">
      <c r="A334" s="14" t="s">
        <v>2557</v>
      </c>
      <c r="B334" s="14" t="s">
        <v>6107</v>
      </c>
      <c r="C334" s="14" t="s">
        <v>688</v>
      </c>
      <c r="D334" s="14" t="s">
        <v>2556</v>
      </c>
      <c r="E334" s="14" t="s">
        <v>82</v>
      </c>
      <c r="F334" s="14" t="s">
        <v>5668</v>
      </c>
      <c r="G334" s="14" t="s">
        <v>1295</v>
      </c>
      <c r="H334" s="15">
        <v>45086.572812500002</v>
      </c>
      <c r="I334" s="14" t="s">
        <v>5675</v>
      </c>
      <c r="J334" s="14">
        <v>0</v>
      </c>
      <c r="K334" s="14" t="s">
        <v>5664</v>
      </c>
      <c r="L334" s="17">
        <v>45142.572812500002</v>
      </c>
      <c r="M334" s="17">
        <v>45156.572812500002</v>
      </c>
      <c r="N334" s="14"/>
      <c r="O334" s="17">
        <v>45149.572812500002</v>
      </c>
      <c r="P334" s="14" t="s">
        <v>5728</v>
      </c>
      <c r="Q334" s="18">
        <v>46000</v>
      </c>
      <c r="R334" s="19">
        <v>0.5</v>
      </c>
      <c r="S334" s="18">
        <v>45770</v>
      </c>
      <c r="T334" s="14">
        <v>24</v>
      </c>
      <c r="U334" s="18">
        <v>91540</v>
      </c>
      <c r="V334" s="18">
        <v>10000</v>
      </c>
      <c r="W334" s="19">
        <v>3.6</v>
      </c>
      <c r="X334" s="18">
        <v>9640</v>
      </c>
      <c r="Y334" s="14" t="s">
        <v>5665</v>
      </c>
      <c r="Z334" s="14" t="s">
        <v>5666</v>
      </c>
      <c r="AA334" s="14" t="b">
        <v>0</v>
      </c>
      <c r="AB334" s="14" t="b">
        <v>0</v>
      </c>
      <c r="AC334" s="14" t="b">
        <v>0</v>
      </c>
    </row>
    <row r="335" spans="1:29">
      <c r="A335" s="14" t="s">
        <v>2406</v>
      </c>
      <c r="B335" s="14" t="s">
        <v>5825</v>
      </c>
      <c r="C335" s="14" t="s">
        <v>936</v>
      </c>
      <c r="D335" s="14" t="s">
        <v>2405</v>
      </c>
      <c r="E335" s="14" t="s">
        <v>36</v>
      </c>
      <c r="F335" s="14" t="s">
        <v>5668</v>
      </c>
      <c r="G335" s="14" t="s">
        <v>1317</v>
      </c>
      <c r="H335" s="15">
        <v>46093.356076388889</v>
      </c>
      <c r="I335" s="14" t="s">
        <v>5681</v>
      </c>
      <c r="J335" s="14">
        <v>25</v>
      </c>
      <c r="K335" s="14" t="s">
        <v>5670</v>
      </c>
      <c r="L335" s="17">
        <v>46336</v>
      </c>
      <c r="M335" s="17"/>
      <c r="N335" s="14"/>
      <c r="O335" s="17">
        <v>46281</v>
      </c>
      <c r="P335" s="14"/>
      <c r="Q335" s="18">
        <v>40000</v>
      </c>
      <c r="R335" s="19">
        <v>6.4</v>
      </c>
      <c r="S335" s="18">
        <v>37440</v>
      </c>
      <c r="T335" s="14">
        <v>12</v>
      </c>
      <c r="U335" s="18">
        <v>37440</v>
      </c>
      <c r="V335" s="18">
        <v>5000</v>
      </c>
      <c r="W335" s="19">
        <v>8.6999999999999993</v>
      </c>
      <c r="X335" s="18">
        <v>4565</v>
      </c>
      <c r="Y335" s="14" t="s">
        <v>5665</v>
      </c>
      <c r="Z335" s="14" t="s">
        <v>5666</v>
      </c>
      <c r="AA335" s="14" t="b">
        <v>0</v>
      </c>
      <c r="AB335" s="14" t="b">
        <v>0</v>
      </c>
      <c r="AC335" s="14" t="b">
        <v>0</v>
      </c>
    </row>
    <row r="336" spans="1:29">
      <c r="A336" s="14" t="s">
        <v>1688</v>
      </c>
      <c r="B336" s="14" t="s">
        <v>6058</v>
      </c>
      <c r="C336" s="14" t="s">
        <v>1031</v>
      </c>
      <c r="D336" s="14" t="s">
        <v>1687</v>
      </c>
      <c r="E336" s="14" t="s">
        <v>36</v>
      </c>
      <c r="F336" s="14" t="s">
        <v>5668</v>
      </c>
      <c r="G336" s="14" t="s">
        <v>1295</v>
      </c>
      <c r="H336" s="15">
        <v>46229.522523148145</v>
      </c>
      <c r="I336" s="14" t="s">
        <v>5740</v>
      </c>
      <c r="J336" s="14">
        <v>80</v>
      </c>
      <c r="K336" s="14" t="s">
        <v>5679</v>
      </c>
      <c r="L336" s="17">
        <v>46271</v>
      </c>
      <c r="M336" s="17"/>
      <c r="N336" s="14" t="s">
        <v>5749</v>
      </c>
      <c r="O336" s="17">
        <v>46264</v>
      </c>
      <c r="P336" s="14"/>
      <c r="Q336" s="18">
        <v>60000</v>
      </c>
      <c r="R336" s="19">
        <v>5.5</v>
      </c>
      <c r="S336" s="18">
        <v>56700</v>
      </c>
      <c r="T336" s="14">
        <v>24</v>
      </c>
      <c r="U336" s="18">
        <v>113400</v>
      </c>
      <c r="V336" s="18">
        <v>20000</v>
      </c>
      <c r="W336" s="19">
        <v>22.8</v>
      </c>
      <c r="X336" s="18">
        <v>15440</v>
      </c>
      <c r="Y336" s="14" t="s">
        <v>5665</v>
      </c>
      <c r="Z336" s="14" t="s">
        <v>5666</v>
      </c>
      <c r="AA336" s="14" t="b">
        <v>1</v>
      </c>
      <c r="AB336" s="14" t="b">
        <v>0</v>
      </c>
      <c r="AC336" s="14" t="b">
        <v>1</v>
      </c>
    </row>
    <row r="337" spans="1:29">
      <c r="A337" s="14" t="s">
        <v>2588</v>
      </c>
      <c r="B337" s="14" t="s">
        <v>6007</v>
      </c>
      <c r="C337" s="14" t="s">
        <v>370</v>
      </c>
      <c r="D337" s="14" t="s">
        <v>2587</v>
      </c>
      <c r="E337" s="14" t="s">
        <v>18</v>
      </c>
      <c r="F337" s="14" t="s">
        <v>5668</v>
      </c>
      <c r="G337" s="14"/>
      <c r="H337" s="15">
        <v>45800.866053240738</v>
      </c>
      <c r="I337" s="14" t="s">
        <v>5675</v>
      </c>
      <c r="J337" s="14">
        <v>0</v>
      </c>
      <c r="K337" s="14" t="s">
        <v>5664</v>
      </c>
      <c r="L337" s="17">
        <v>45881.866053240738</v>
      </c>
      <c r="M337" s="17">
        <v>45911.866053240738</v>
      </c>
      <c r="N337" s="14"/>
      <c r="O337" s="17">
        <v>45911.866053240738</v>
      </c>
      <c r="P337" s="14" t="s">
        <v>5783</v>
      </c>
      <c r="Q337" s="18">
        <v>58000</v>
      </c>
      <c r="R337" s="19">
        <v>20.5</v>
      </c>
      <c r="S337" s="18">
        <v>46110</v>
      </c>
      <c r="T337" s="14">
        <v>12</v>
      </c>
      <c r="U337" s="18">
        <v>46110</v>
      </c>
      <c r="V337" s="18">
        <v>10000</v>
      </c>
      <c r="W337" s="19">
        <v>5.0999999999999996</v>
      </c>
      <c r="X337" s="18">
        <v>9490</v>
      </c>
      <c r="Y337" s="14" t="s">
        <v>5665</v>
      </c>
      <c r="Z337" s="14" t="s">
        <v>5666</v>
      </c>
      <c r="AA337" s="14" t="b">
        <v>0</v>
      </c>
      <c r="AB337" s="14" t="b">
        <v>0</v>
      </c>
      <c r="AC337" s="14" t="b">
        <v>1</v>
      </c>
    </row>
    <row r="338" spans="1:29">
      <c r="A338" s="14" t="s">
        <v>1460</v>
      </c>
      <c r="B338" s="14" t="s">
        <v>6032</v>
      </c>
      <c r="C338" s="14" t="s">
        <v>250</v>
      </c>
      <c r="D338" s="14" t="s">
        <v>1459</v>
      </c>
      <c r="E338" s="14" t="s">
        <v>82</v>
      </c>
      <c r="F338" s="14" t="s">
        <v>5668</v>
      </c>
      <c r="G338" s="14" t="s">
        <v>1281</v>
      </c>
      <c r="H338" s="15">
        <v>44832.943553240744</v>
      </c>
      <c r="I338" s="14" t="s">
        <v>5663</v>
      </c>
      <c r="J338" s="14">
        <v>100</v>
      </c>
      <c r="K338" s="14" t="s">
        <v>5664</v>
      </c>
      <c r="L338" s="17">
        <v>44879.943553240744</v>
      </c>
      <c r="M338" s="17">
        <v>44893.943553240744</v>
      </c>
      <c r="N338" s="14"/>
      <c r="O338" s="17">
        <v>44890.943553240744</v>
      </c>
      <c r="P338" s="14"/>
      <c r="Q338" s="18">
        <v>30000</v>
      </c>
      <c r="R338" s="19">
        <v>14.7</v>
      </c>
      <c r="S338" s="18">
        <v>25590</v>
      </c>
      <c r="T338" s="14">
        <v>12</v>
      </c>
      <c r="U338" s="18">
        <v>25590</v>
      </c>
      <c r="V338" s="18">
        <v>10000</v>
      </c>
      <c r="W338" s="19">
        <v>5.5</v>
      </c>
      <c r="X338" s="18">
        <v>9450</v>
      </c>
      <c r="Y338" s="14" t="s">
        <v>5665</v>
      </c>
      <c r="Z338" s="14" t="s">
        <v>5666</v>
      </c>
      <c r="AA338" s="14" t="b">
        <v>0</v>
      </c>
      <c r="AB338" s="14" t="b">
        <v>0</v>
      </c>
      <c r="AC338" s="14" t="b">
        <v>1</v>
      </c>
    </row>
    <row r="339" spans="1:29">
      <c r="A339" s="14" t="s">
        <v>1765</v>
      </c>
      <c r="B339" s="14" t="s">
        <v>6159</v>
      </c>
      <c r="C339" s="14" t="s">
        <v>691</v>
      </c>
      <c r="D339" s="14" t="s">
        <v>1764</v>
      </c>
      <c r="E339" s="14" t="s">
        <v>25</v>
      </c>
      <c r="F339" s="14" t="s">
        <v>5668</v>
      </c>
      <c r="G339" s="14" t="s">
        <v>1281</v>
      </c>
      <c r="H339" s="15">
        <v>45201.570914351854</v>
      </c>
      <c r="I339" s="14" t="s">
        <v>5675</v>
      </c>
      <c r="J339" s="14">
        <v>0</v>
      </c>
      <c r="K339" s="14" t="s">
        <v>5664</v>
      </c>
      <c r="L339" s="17">
        <v>45211.570914351854</v>
      </c>
      <c r="M339" s="17">
        <v>45225.570914351854</v>
      </c>
      <c r="N339" s="14"/>
      <c r="O339" s="17">
        <v>45223.570914351854</v>
      </c>
      <c r="P339" s="14" t="s">
        <v>5676</v>
      </c>
      <c r="Q339" s="18">
        <v>26000</v>
      </c>
      <c r="R339" s="19">
        <v>10.199999999999999</v>
      </c>
      <c r="S339" s="18">
        <v>23348</v>
      </c>
      <c r="T339" s="14">
        <v>12</v>
      </c>
      <c r="U339" s="18">
        <v>23348</v>
      </c>
      <c r="V339" s="18">
        <v>5000</v>
      </c>
      <c r="W339" s="19">
        <v>0.5</v>
      </c>
      <c r="X339" s="18">
        <v>4975</v>
      </c>
      <c r="Y339" s="14" t="s">
        <v>5665</v>
      </c>
      <c r="Z339" s="14" t="s">
        <v>5666</v>
      </c>
      <c r="AA339" s="14" t="b">
        <v>0</v>
      </c>
      <c r="AB339" s="14" t="b">
        <v>0</v>
      </c>
      <c r="AC339" s="14" t="b">
        <v>1</v>
      </c>
    </row>
    <row r="340" spans="1:29">
      <c r="A340" s="14" t="s">
        <v>6160</v>
      </c>
      <c r="B340" s="14" t="s">
        <v>6128</v>
      </c>
      <c r="C340" s="14" t="s">
        <v>589</v>
      </c>
      <c r="D340" s="14" t="s">
        <v>2017</v>
      </c>
      <c r="E340" s="14" t="s">
        <v>59</v>
      </c>
      <c r="F340" s="14" t="s">
        <v>5662</v>
      </c>
      <c r="G340" s="14" t="s">
        <v>1271</v>
      </c>
      <c r="H340" s="15">
        <v>45837.056851851848</v>
      </c>
      <c r="I340" s="14" t="s">
        <v>5663</v>
      </c>
      <c r="J340" s="14">
        <v>100</v>
      </c>
      <c r="K340" s="14" t="s">
        <v>5664</v>
      </c>
      <c r="L340" s="17">
        <v>45908.056851851848</v>
      </c>
      <c r="M340" s="17">
        <v>45878.056851851848</v>
      </c>
      <c r="N340" s="14"/>
      <c r="O340" s="17">
        <v>45872.056851851848</v>
      </c>
      <c r="P340" s="14"/>
      <c r="Q340" s="18">
        <v>12000</v>
      </c>
      <c r="R340" s="19">
        <v>2.9</v>
      </c>
      <c r="S340" s="18">
        <v>11652</v>
      </c>
      <c r="T340" s="14">
        <v>12</v>
      </c>
      <c r="U340" s="18">
        <v>11652</v>
      </c>
      <c r="V340" s="18">
        <v>0</v>
      </c>
      <c r="W340" s="19">
        <v>0</v>
      </c>
      <c r="X340" s="18">
        <v>0</v>
      </c>
      <c r="Y340" s="14" t="s">
        <v>5665</v>
      </c>
      <c r="Z340" s="14" t="s">
        <v>5666</v>
      </c>
      <c r="AA340" s="14" t="b">
        <v>0</v>
      </c>
      <c r="AB340" s="14" t="b">
        <v>0</v>
      </c>
      <c r="AC340" s="14" t="b">
        <v>0</v>
      </c>
    </row>
    <row r="341" spans="1:29">
      <c r="A341" s="14" t="s">
        <v>1620</v>
      </c>
      <c r="B341" s="14" t="s">
        <v>6161</v>
      </c>
      <c r="C341" s="14" t="s">
        <v>545</v>
      </c>
      <c r="D341" s="14" t="s">
        <v>1619</v>
      </c>
      <c r="E341" s="14" t="s">
        <v>69</v>
      </c>
      <c r="F341" s="14" t="s">
        <v>5668</v>
      </c>
      <c r="G341" s="14" t="s">
        <v>1413</v>
      </c>
      <c r="H341" s="15">
        <v>46225.845185185186</v>
      </c>
      <c r="I341" s="14" t="s">
        <v>5669</v>
      </c>
      <c r="J341" s="14">
        <v>60</v>
      </c>
      <c r="K341" s="14" t="s">
        <v>5679</v>
      </c>
      <c r="L341" s="17">
        <v>46321</v>
      </c>
      <c r="M341" s="17"/>
      <c r="N341" s="14" t="s">
        <v>5671</v>
      </c>
      <c r="O341" s="17">
        <v>46268</v>
      </c>
      <c r="P341" s="14"/>
      <c r="Q341" s="18">
        <v>26000</v>
      </c>
      <c r="R341" s="19">
        <v>15.1</v>
      </c>
      <c r="S341" s="18">
        <v>22074</v>
      </c>
      <c r="T341" s="14">
        <v>12</v>
      </c>
      <c r="U341" s="18">
        <v>22074</v>
      </c>
      <c r="V341" s="18">
        <v>5000</v>
      </c>
      <c r="W341" s="19">
        <v>6.6</v>
      </c>
      <c r="X341" s="18">
        <v>4670</v>
      </c>
      <c r="Y341" s="14" t="s">
        <v>5665</v>
      </c>
      <c r="Z341" s="14" t="s">
        <v>5666</v>
      </c>
      <c r="AA341" s="14" t="b">
        <v>0</v>
      </c>
      <c r="AB341" s="14" t="b">
        <v>0</v>
      </c>
      <c r="AC341" s="14" t="b">
        <v>1</v>
      </c>
    </row>
    <row r="342" spans="1:29">
      <c r="A342" s="14" t="s">
        <v>6162</v>
      </c>
      <c r="B342" s="14" t="s">
        <v>6163</v>
      </c>
      <c r="C342" s="14" t="s">
        <v>224</v>
      </c>
      <c r="D342" s="14" t="s">
        <v>2388</v>
      </c>
      <c r="E342" s="14" t="s">
        <v>55</v>
      </c>
      <c r="F342" s="14" t="s">
        <v>5668</v>
      </c>
      <c r="G342" s="14" t="s">
        <v>1413</v>
      </c>
      <c r="H342" s="15">
        <v>46261.708333333336</v>
      </c>
      <c r="I342" s="14" t="s">
        <v>5686</v>
      </c>
      <c r="J342" s="14">
        <v>10</v>
      </c>
      <c r="K342" s="14" t="s">
        <v>5670</v>
      </c>
      <c r="L342" s="17">
        <v>46371</v>
      </c>
      <c r="M342" s="17"/>
      <c r="N342" s="14" t="s">
        <v>5687</v>
      </c>
      <c r="O342" s="17">
        <v>46278</v>
      </c>
      <c r="P342" s="14"/>
      <c r="Q342" s="18">
        <v>66000</v>
      </c>
      <c r="R342" s="19">
        <v>7.7</v>
      </c>
      <c r="S342" s="18">
        <v>60918</v>
      </c>
      <c r="T342" s="14">
        <v>12</v>
      </c>
      <c r="U342" s="18">
        <v>60918</v>
      </c>
      <c r="V342" s="18">
        <v>20000</v>
      </c>
      <c r="W342" s="19">
        <v>2.4</v>
      </c>
      <c r="X342" s="18">
        <v>19520</v>
      </c>
      <c r="Y342" s="14" t="s">
        <v>5665</v>
      </c>
      <c r="Z342" s="14" t="s">
        <v>5666</v>
      </c>
      <c r="AA342" s="14" t="b">
        <v>0</v>
      </c>
      <c r="AB342" s="14" t="b">
        <v>0</v>
      </c>
      <c r="AC342" s="14" t="b">
        <v>0</v>
      </c>
    </row>
    <row r="343" spans="1:29">
      <c r="A343" s="14" t="s">
        <v>1444</v>
      </c>
      <c r="B343" s="14" t="s">
        <v>6164</v>
      </c>
      <c r="C343" s="14" t="s">
        <v>336</v>
      </c>
      <c r="D343" s="14" t="s">
        <v>1443</v>
      </c>
      <c r="E343" s="14" t="s">
        <v>69</v>
      </c>
      <c r="F343" s="14" t="s">
        <v>5668</v>
      </c>
      <c r="G343" s="14" t="s">
        <v>1271</v>
      </c>
      <c r="H343" s="15">
        <v>45653.262326388889</v>
      </c>
      <c r="I343" s="14" t="s">
        <v>5675</v>
      </c>
      <c r="J343" s="14">
        <v>0</v>
      </c>
      <c r="K343" s="14" t="s">
        <v>5664</v>
      </c>
      <c r="L343" s="17">
        <v>45680.262326388889</v>
      </c>
      <c r="M343" s="17">
        <v>45680.262326388889</v>
      </c>
      <c r="N343" s="14"/>
      <c r="O343" s="17">
        <v>45677.262326388889</v>
      </c>
      <c r="P343" s="14" t="s">
        <v>5702</v>
      </c>
      <c r="Q343" s="18">
        <v>16000</v>
      </c>
      <c r="R343" s="19">
        <v>18.3</v>
      </c>
      <c r="S343" s="18">
        <v>13072</v>
      </c>
      <c r="T343" s="14">
        <v>12</v>
      </c>
      <c r="U343" s="18">
        <v>13072</v>
      </c>
      <c r="V343" s="18">
        <v>5000</v>
      </c>
      <c r="W343" s="19">
        <v>7.7</v>
      </c>
      <c r="X343" s="18">
        <v>4615</v>
      </c>
      <c r="Y343" s="14" t="s">
        <v>5665</v>
      </c>
      <c r="Z343" s="14" t="s">
        <v>5666</v>
      </c>
      <c r="AA343" s="14" t="b">
        <v>0</v>
      </c>
      <c r="AB343" s="14" t="b">
        <v>0</v>
      </c>
      <c r="AC343" s="14" t="b">
        <v>1</v>
      </c>
    </row>
    <row r="344" spans="1:29">
      <c r="A344" s="14" t="s">
        <v>6165</v>
      </c>
      <c r="B344" s="14" t="s">
        <v>6166</v>
      </c>
      <c r="C344" s="14" t="s">
        <v>583</v>
      </c>
      <c r="D344" s="14" t="s">
        <v>6167</v>
      </c>
      <c r="E344" s="14" t="s">
        <v>36</v>
      </c>
      <c r="F344" s="14" t="s">
        <v>5668</v>
      </c>
      <c r="G344" s="14" t="s">
        <v>1413</v>
      </c>
      <c r="H344" s="15">
        <v>45583</v>
      </c>
      <c r="I344" s="14" t="s">
        <v>5663</v>
      </c>
      <c r="J344" s="14">
        <v>100</v>
      </c>
      <c r="K344" s="14" t="s">
        <v>5664</v>
      </c>
      <c r="L344" s="17">
        <v>45648</v>
      </c>
      <c r="M344" s="17">
        <v>45662</v>
      </c>
      <c r="N344" s="14"/>
      <c r="O344" s="17">
        <v>45655</v>
      </c>
      <c r="P344" s="14"/>
      <c r="Q344" s="18">
        <v>68000</v>
      </c>
      <c r="R344" s="19">
        <v>7.4</v>
      </c>
      <c r="S344" s="18">
        <v>62968</v>
      </c>
      <c r="T344" s="14">
        <v>12</v>
      </c>
      <c r="U344" s="18">
        <v>62968</v>
      </c>
      <c r="V344" s="18">
        <v>20000</v>
      </c>
      <c r="W344" s="19">
        <v>10.4</v>
      </c>
      <c r="X344" s="18">
        <v>17920</v>
      </c>
      <c r="Y344" s="14" t="s">
        <v>5665</v>
      </c>
      <c r="Z344" s="14" t="s">
        <v>5666</v>
      </c>
      <c r="AA344" s="14" t="b">
        <v>0</v>
      </c>
      <c r="AB344" s="14" t="b">
        <v>0</v>
      </c>
      <c r="AC344" s="14" t="b">
        <v>0</v>
      </c>
    </row>
    <row r="345" spans="1:29">
      <c r="A345" s="14" t="s">
        <v>2480</v>
      </c>
      <c r="B345" s="14" t="s">
        <v>6168</v>
      </c>
      <c r="C345" s="14" t="s">
        <v>256</v>
      </c>
      <c r="D345" s="14" t="s">
        <v>2479</v>
      </c>
      <c r="E345" s="14" t="s">
        <v>25</v>
      </c>
      <c r="F345" s="14" t="s">
        <v>5668</v>
      </c>
      <c r="G345" s="14" t="s">
        <v>1281</v>
      </c>
      <c r="H345" s="15">
        <v>45351.950613425928</v>
      </c>
      <c r="I345" s="14" t="s">
        <v>5725</v>
      </c>
      <c r="J345" s="14">
        <v>90</v>
      </c>
      <c r="K345" s="14" t="s">
        <v>5725</v>
      </c>
      <c r="L345" s="17">
        <v>46301</v>
      </c>
      <c r="M345" s="17"/>
      <c r="N345" s="14" t="s">
        <v>5753</v>
      </c>
      <c r="O345" s="17">
        <v>46195</v>
      </c>
      <c r="P345" s="14"/>
      <c r="Q345" s="18">
        <v>30000</v>
      </c>
      <c r="R345" s="19">
        <v>5.2</v>
      </c>
      <c r="S345" s="18">
        <v>28440</v>
      </c>
      <c r="T345" s="14">
        <v>24</v>
      </c>
      <c r="U345" s="18">
        <v>56880</v>
      </c>
      <c r="V345" s="18">
        <v>5000</v>
      </c>
      <c r="W345" s="19">
        <v>2.2999999999999998</v>
      </c>
      <c r="X345" s="18">
        <v>4885</v>
      </c>
      <c r="Y345" s="14" t="s">
        <v>5665</v>
      </c>
      <c r="Z345" s="14" t="s">
        <v>5666</v>
      </c>
      <c r="AA345" s="14" t="b">
        <v>0</v>
      </c>
      <c r="AB345" s="14" t="b">
        <v>0</v>
      </c>
      <c r="AC345" s="14" t="b">
        <v>0</v>
      </c>
    </row>
    <row r="346" spans="1:29">
      <c r="A346" s="14" t="s">
        <v>6169</v>
      </c>
      <c r="B346" s="14" t="s">
        <v>6170</v>
      </c>
      <c r="C346" s="14" t="s">
        <v>405</v>
      </c>
      <c r="D346" s="14" t="s">
        <v>6171</v>
      </c>
      <c r="E346" s="14" t="s">
        <v>55</v>
      </c>
      <c r="F346" s="14" t="s">
        <v>5662</v>
      </c>
      <c r="G346" s="14" t="s">
        <v>1288</v>
      </c>
      <c r="H346" s="15">
        <v>45877.051099537035</v>
      </c>
      <c r="I346" s="14" t="s">
        <v>5663</v>
      </c>
      <c r="J346" s="14">
        <v>100</v>
      </c>
      <c r="K346" s="14" t="s">
        <v>5664</v>
      </c>
      <c r="L346" s="17">
        <v>45984.051099537035</v>
      </c>
      <c r="M346" s="17">
        <v>45991.051099537035</v>
      </c>
      <c r="N346" s="14"/>
      <c r="O346" s="17">
        <v>45990.051099537035</v>
      </c>
      <c r="P346" s="14"/>
      <c r="Q346" s="18">
        <v>28000</v>
      </c>
      <c r="R346" s="19">
        <v>35.5</v>
      </c>
      <c r="S346" s="18">
        <v>18060</v>
      </c>
      <c r="T346" s="14">
        <v>12</v>
      </c>
      <c r="U346" s="18">
        <v>18060</v>
      </c>
      <c r="V346" s="18">
        <v>0</v>
      </c>
      <c r="W346" s="19">
        <v>0</v>
      </c>
      <c r="X346" s="18">
        <v>0</v>
      </c>
      <c r="Y346" s="14" t="s">
        <v>5665</v>
      </c>
      <c r="Z346" s="14" t="s">
        <v>5666</v>
      </c>
      <c r="AA346" s="14" t="b">
        <v>0</v>
      </c>
      <c r="AB346" s="14" t="b">
        <v>0</v>
      </c>
      <c r="AC346" s="14" t="b">
        <v>1</v>
      </c>
    </row>
    <row r="347" spans="1:29">
      <c r="A347" s="14" t="s">
        <v>6172</v>
      </c>
      <c r="B347" s="14" t="s">
        <v>6109</v>
      </c>
      <c r="C347" s="14" t="s">
        <v>320</v>
      </c>
      <c r="D347" s="14" t="s">
        <v>6110</v>
      </c>
      <c r="E347" s="14" t="s">
        <v>82</v>
      </c>
      <c r="F347" s="14" t="s">
        <v>5668</v>
      </c>
      <c r="G347" s="14" t="s">
        <v>1355</v>
      </c>
      <c r="H347" s="15">
        <v>46289.864247685182</v>
      </c>
      <c r="I347" s="14" t="s">
        <v>5725</v>
      </c>
      <c r="J347" s="14">
        <v>90</v>
      </c>
      <c r="K347" s="14" t="s">
        <v>5725</v>
      </c>
      <c r="L347" s="17">
        <v>46309</v>
      </c>
      <c r="M347" s="17"/>
      <c r="N347" s="14" t="s">
        <v>5726</v>
      </c>
      <c r="O347" s="17">
        <v>46287</v>
      </c>
      <c r="P347" s="14"/>
      <c r="Q347" s="18">
        <v>42000</v>
      </c>
      <c r="R347" s="19">
        <v>3.8</v>
      </c>
      <c r="S347" s="18">
        <v>40404</v>
      </c>
      <c r="T347" s="14">
        <v>24</v>
      </c>
      <c r="U347" s="18">
        <v>80808</v>
      </c>
      <c r="V347" s="18">
        <v>10000</v>
      </c>
      <c r="W347" s="19">
        <v>2</v>
      </c>
      <c r="X347" s="18">
        <v>9800</v>
      </c>
      <c r="Y347" s="14" t="s">
        <v>5735</v>
      </c>
      <c r="Z347" s="14" t="s">
        <v>5666</v>
      </c>
      <c r="AA347" s="14" t="b">
        <v>0</v>
      </c>
      <c r="AB347" s="14" t="b">
        <v>0</v>
      </c>
      <c r="AC347" s="14" t="b">
        <v>1</v>
      </c>
    </row>
    <row r="348" spans="1:29">
      <c r="A348" s="14" t="s">
        <v>6173</v>
      </c>
      <c r="B348" s="14" t="s">
        <v>6174</v>
      </c>
      <c r="C348" s="14" t="s">
        <v>503</v>
      </c>
      <c r="D348" s="14" t="s">
        <v>6175</v>
      </c>
      <c r="E348" s="14" t="s">
        <v>25</v>
      </c>
      <c r="F348" s="14" t="s">
        <v>5662</v>
      </c>
      <c r="G348" s="14" t="s">
        <v>1413</v>
      </c>
      <c r="H348" s="15">
        <v>45649.859814814816</v>
      </c>
      <c r="I348" s="14" t="s">
        <v>5663</v>
      </c>
      <c r="J348" s="14">
        <v>100</v>
      </c>
      <c r="K348" s="14" t="s">
        <v>5664</v>
      </c>
      <c r="L348" s="17">
        <v>45674.859814814816</v>
      </c>
      <c r="M348" s="17">
        <v>45674.859814814816</v>
      </c>
      <c r="N348" s="14"/>
      <c r="O348" s="17">
        <v>45669.859814814816</v>
      </c>
      <c r="P348" s="14"/>
      <c r="Q348" s="18">
        <v>30000</v>
      </c>
      <c r="R348" s="19">
        <v>0.5</v>
      </c>
      <c r="S348" s="18">
        <v>29850</v>
      </c>
      <c r="T348" s="14">
        <v>12</v>
      </c>
      <c r="U348" s="18">
        <v>29850</v>
      </c>
      <c r="V348" s="18">
        <v>0</v>
      </c>
      <c r="W348" s="19">
        <v>0</v>
      </c>
      <c r="X348" s="18">
        <v>0</v>
      </c>
      <c r="Y348" s="14" t="s">
        <v>5665</v>
      </c>
      <c r="Z348" s="14" t="s">
        <v>5666</v>
      </c>
      <c r="AA348" s="14" t="b">
        <v>0</v>
      </c>
      <c r="AB348" s="14" t="b">
        <v>0</v>
      </c>
      <c r="AC348" s="14" t="b">
        <v>0</v>
      </c>
    </row>
    <row r="349" spans="1:29">
      <c r="A349" s="14" t="s">
        <v>1582</v>
      </c>
      <c r="B349" s="14" t="s">
        <v>5852</v>
      </c>
      <c r="C349" s="14" t="s">
        <v>128</v>
      </c>
      <c r="D349" s="14" t="s">
        <v>1581</v>
      </c>
      <c r="E349" s="14" t="s">
        <v>55</v>
      </c>
      <c r="F349" s="14" t="s">
        <v>5668</v>
      </c>
      <c r="G349" s="14" t="s">
        <v>1295</v>
      </c>
      <c r="H349" s="15">
        <v>46190</v>
      </c>
      <c r="I349" s="14" t="s">
        <v>5675</v>
      </c>
      <c r="J349" s="14">
        <v>0</v>
      </c>
      <c r="K349" s="14" t="s">
        <v>5664</v>
      </c>
      <c r="L349" s="17">
        <v>46291</v>
      </c>
      <c r="M349" s="17">
        <v>46277</v>
      </c>
      <c r="N349" s="14"/>
      <c r="O349" s="17">
        <v>46274</v>
      </c>
      <c r="P349" s="14" t="s">
        <v>5783</v>
      </c>
      <c r="Q349" s="18">
        <v>30000</v>
      </c>
      <c r="R349" s="19">
        <v>2.2000000000000002</v>
      </c>
      <c r="S349" s="18">
        <v>29340</v>
      </c>
      <c r="T349" s="14">
        <v>12</v>
      </c>
      <c r="U349" s="18">
        <v>29340</v>
      </c>
      <c r="V349" s="18">
        <v>10000</v>
      </c>
      <c r="W349" s="19">
        <v>5.6</v>
      </c>
      <c r="X349" s="18">
        <v>9440</v>
      </c>
      <c r="Y349" s="14" t="s">
        <v>5665</v>
      </c>
      <c r="Z349" s="14" t="s">
        <v>5666</v>
      </c>
      <c r="AA349" s="14" t="b">
        <v>0</v>
      </c>
      <c r="AB349" s="14" t="b">
        <v>0</v>
      </c>
      <c r="AC349" s="14" t="b">
        <v>0</v>
      </c>
    </row>
    <row r="350" spans="1:29">
      <c r="A350" s="14" t="s">
        <v>2139</v>
      </c>
      <c r="B350" s="14" t="s">
        <v>5680</v>
      </c>
      <c r="C350" s="14" t="s">
        <v>434</v>
      </c>
      <c r="D350" s="14" t="s">
        <v>2138</v>
      </c>
      <c r="E350" s="14" t="s">
        <v>82</v>
      </c>
      <c r="F350" s="14" t="s">
        <v>5668</v>
      </c>
      <c r="G350" s="14" t="s">
        <v>1413</v>
      </c>
      <c r="H350" s="15">
        <v>46262.620057870372</v>
      </c>
      <c r="I350" s="14" t="s">
        <v>5740</v>
      </c>
      <c r="J350" s="14">
        <v>80</v>
      </c>
      <c r="K350" s="14" t="s">
        <v>5679</v>
      </c>
      <c r="L350" s="17">
        <v>46318</v>
      </c>
      <c r="M350" s="17"/>
      <c r="N350" s="14" t="s">
        <v>5749</v>
      </c>
      <c r="O350" s="17">
        <v>46274</v>
      </c>
      <c r="P350" s="14"/>
      <c r="Q350" s="18">
        <v>88000</v>
      </c>
      <c r="R350" s="19">
        <v>8.8000000000000007</v>
      </c>
      <c r="S350" s="18">
        <v>80256</v>
      </c>
      <c r="T350" s="14">
        <v>12</v>
      </c>
      <c r="U350" s="18">
        <v>80256</v>
      </c>
      <c r="V350" s="18">
        <v>20000</v>
      </c>
      <c r="W350" s="19">
        <v>26.8</v>
      </c>
      <c r="X350" s="18">
        <v>14640</v>
      </c>
      <c r="Y350" s="14" t="s">
        <v>5665</v>
      </c>
      <c r="Z350" s="14" t="s">
        <v>5666</v>
      </c>
      <c r="AA350" s="14" t="b">
        <v>0</v>
      </c>
      <c r="AB350" s="14" t="b">
        <v>0</v>
      </c>
      <c r="AC350" s="14" t="b">
        <v>1</v>
      </c>
    </row>
    <row r="351" spans="1:29">
      <c r="A351" s="14" t="s">
        <v>6176</v>
      </c>
      <c r="B351" s="14" t="s">
        <v>6177</v>
      </c>
      <c r="C351" s="14" t="s">
        <v>450</v>
      </c>
      <c r="D351" s="14" t="s">
        <v>5977</v>
      </c>
      <c r="E351" s="14" t="s">
        <v>55</v>
      </c>
      <c r="F351" s="14" t="s">
        <v>5662</v>
      </c>
      <c r="G351" s="14" t="s">
        <v>1271</v>
      </c>
      <c r="H351" s="15">
        <v>45274</v>
      </c>
      <c r="I351" s="14" t="s">
        <v>5663</v>
      </c>
      <c r="J351" s="14">
        <v>100</v>
      </c>
      <c r="K351" s="14" t="s">
        <v>5664</v>
      </c>
      <c r="L351" s="17">
        <v>45391</v>
      </c>
      <c r="M351" s="17">
        <v>45361</v>
      </c>
      <c r="N351" s="14"/>
      <c r="O351" s="17">
        <v>45358</v>
      </c>
      <c r="P351" s="14"/>
      <c r="Q351" s="18">
        <v>18000</v>
      </c>
      <c r="R351" s="19">
        <v>31.8</v>
      </c>
      <c r="S351" s="18">
        <v>12276</v>
      </c>
      <c r="T351" s="14">
        <v>24</v>
      </c>
      <c r="U351" s="18">
        <v>24552</v>
      </c>
      <c r="V351" s="18">
        <v>0</v>
      </c>
      <c r="W351" s="19">
        <v>0</v>
      </c>
      <c r="X351" s="18">
        <v>0</v>
      </c>
      <c r="Y351" s="14" t="s">
        <v>5688</v>
      </c>
      <c r="Z351" s="14" t="s">
        <v>5666</v>
      </c>
      <c r="AA351" s="14" t="b">
        <v>0</v>
      </c>
      <c r="AB351" s="14" t="b">
        <v>0</v>
      </c>
      <c r="AC351" s="14" t="b">
        <v>1</v>
      </c>
    </row>
    <row r="352" spans="1:29">
      <c r="A352" s="14" t="s">
        <v>6178</v>
      </c>
      <c r="B352" s="14" t="s">
        <v>6065</v>
      </c>
      <c r="C352" s="14" t="s">
        <v>888</v>
      </c>
      <c r="D352" s="14" t="s">
        <v>6066</v>
      </c>
      <c r="E352" s="14" t="s">
        <v>55</v>
      </c>
      <c r="F352" s="14" t="s">
        <v>5668</v>
      </c>
      <c r="G352" s="14" t="s">
        <v>1413</v>
      </c>
      <c r="H352" s="15">
        <v>46280.291666666664</v>
      </c>
      <c r="I352" s="14" t="s">
        <v>5686</v>
      </c>
      <c r="J352" s="14">
        <v>90</v>
      </c>
      <c r="K352" s="14" t="s">
        <v>5670</v>
      </c>
      <c r="L352" s="17">
        <v>46324</v>
      </c>
      <c r="M352" s="17"/>
      <c r="N352" s="14" t="s">
        <v>5687</v>
      </c>
      <c r="O352" s="17">
        <v>46288</v>
      </c>
      <c r="P352" s="14"/>
      <c r="Q352" s="18">
        <v>12000</v>
      </c>
      <c r="R352" s="19">
        <v>4.8</v>
      </c>
      <c r="S352" s="18">
        <v>11424</v>
      </c>
      <c r="T352" s="14">
        <v>12</v>
      </c>
      <c r="U352" s="18">
        <v>11424</v>
      </c>
      <c r="V352" s="18">
        <v>5000</v>
      </c>
      <c r="W352" s="19">
        <v>6.6</v>
      </c>
      <c r="X352" s="18">
        <v>4670</v>
      </c>
      <c r="Y352" s="14" t="s">
        <v>5665</v>
      </c>
      <c r="Z352" s="14" t="s">
        <v>5666</v>
      </c>
      <c r="AA352" s="14" t="b">
        <v>0</v>
      </c>
      <c r="AB352" s="14" t="b">
        <v>0</v>
      </c>
      <c r="AC352" s="14" t="b">
        <v>0</v>
      </c>
    </row>
    <row r="353" spans="1:29">
      <c r="A353" s="14" t="s">
        <v>6179</v>
      </c>
      <c r="B353" s="14" t="s">
        <v>5674</v>
      </c>
      <c r="C353" s="14" t="s">
        <v>134</v>
      </c>
      <c r="D353" s="14" t="s">
        <v>2332</v>
      </c>
      <c r="E353" s="14" t="s">
        <v>25</v>
      </c>
      <c r="F353" s="14" t="s">
        <v>5668</v>
      </c>
      <c r="G353" s="14" t="s">
        <v>1295</v>
      </c>
      <c r="H353" s="15">
        <v>46281.25</v>
      </c>
      <c r="I353" s="14" t="s">
        <v>5686</v>
      </c>
      <c r="J353" s="14">
        <v>10</v>
      </c>
      <c r="K353" s="14" t="s">
        <v>5670</v>
      </c>
      <c r="L353" s="17">
        <v>46339</v>
      </c>
      <c r="M353" s="17"/>
      <c r="N353" s="14" t="s">
        <v>5767</v>
      </c>
      <c r="O353" s="17">
        <v>46276</v>
      </c>
      <c r="P353" s="14"/>
      <c r="Q353" s="18">
        <v>24000</v>
      </c>
      <c r="R353" s="19">
        <v>1.1000000000000001</v>
      </c>
      <c r="S353" s="18">
        <v>23736</v>
      </c>
      <c r="T353" s="14">
        <v>12</v>
      </c>
      <c r="U353" s="18">
        <v>23736</v>
      </c>
      <c r="V353" s="18">
        <v>5000</v>
      </c>
      <c r="W353" s="19">
        <v>25.5</v>
      </c>
      <c r="X353" s="18">
        <v>3725</v>
      </c>
      <c r="Y353" s="14" t="s">
        <v>5665</v>
      </c>
      <c r="Z353" s="14" t="s">
        <v>5666</v>
      </c>
      <c r="AA353" s="14" t="b">
        <v>0</v>
      </c>
      <c r="AB353" s="14" t="b">
        <v>0</v>
      </c>
      <c r="AC353" s="14" t="b">
        <v>1</v>
      </c>
    </row>
    <row r="354" spans="1:29">
      <c r="A354" s="14" t="s">
        <v>6180</v>
      </c>
      <c r="B354" s="14" t="s">
        <v>6181</v>
      </c>
      <c r="C354" s="14" t="s">
        <v>77</v>
      </c>
      <c r="D354" s="14" t="s">
        <v>6182</v>
      </c>
      <c r="E354" s="14" t="s">
        <v>82</v>
      </c>
      <c r="F354" s="14" t="s">
        <v>5668</v>
      </c>
      <c r="G354" s="14" t="s">
        <v>1288</v>
      </c>
      <c r="H354" s="15">
        <v>46283.791666666664</v>
      </c>
      <c r="I354" s="14" t="s">
        <v>5686</v>
      </c>
      <c r="J354" s="14">
        <v>10</v>
      </c>
      <c r="K354" s="14" t="s">
        <v>5670</v>
      </c>
      <c r="L354" s="17">
        <v>46344</v>
      </c>
      <c r="M354" s="17"/>
      <c r="N354" s="14" t="s">
        <v>5767</v>
      </c>
      <c r="O354" s="17">
        <v>46264</v>
      </c>
      <c r="P354" s="14"/>
      <c r="Q354" s="18">
        <v>80000</v>
      </c>
      <c r="R354" s="19">
        <v>4.4000000000000004</v>
      </c>
      <c r="S354" s="18">
        <v>76480</v>
      </c>
      <c r="T354" s="14">
        <v>12</v>
      </c>
      <c r="U354" s="18">
        <v>76480</v>
      </c>
      <c r="V354" s="18">
        <v>20000</v>
      </c>
      <c r="W354" s="19">
        <v>3.7</v>
      </c>
      <c r="X354" s="18">
        <v>19260</v>
      </c>
      <c r="Y354" s="14" t="s">
        <v>5665</v>
      </c>
      <c r="Z354" s="14" t="s">
        <v>5666</v>
      </c>
      <c r="AA354" s="14" t="b">
        <v>0</v>
      </c>
      <c r="AB354" s="14" t="b">
        <v>0</v>
      </c>
      <c r="AC354" s="14" t="b">
        <v>0</v>
      </c>
    </row>
    <row r="355" spans="1:29">
      <c r="A355" s="14" t="s">
        <v>1790</v>
      </c>
      <c r="B355" s="14" t="s">
        <v>6158</v>
      </c>
      <c r="C355" s="14" t="s">
        <v>470</v>
      </c>
      <c r="D355" s="14" t="s">
        <v>1789</v>
      </c>
      <c r="E355" s="14" t="s">
        <v>91</v>
      </c>
      <c r="F355" s="14" t="s">
        <v>5668</v>
      </c>
      <c r="G355" s="14" t="s">
        <v>1339</v>
      </c>
      <c r="H355" s="15">
        <v>45666.410416666666</v>
      </c>
      <c r="I355" s="14" t="s">
        <v>5675</v>
      </c>
      <c r="J355" s="14">
        <v>0</v>
      </c>
      <c r="K355" s="14" t="s">
        <v>5664</v>
      </c>
      <c r="L355" s="17">
        <v>45722.410416666666</v>
      </c>
      <c r="M355" s="17">
        <v>45708.410416666666</v>
      </c>
      <c r="N355" s="14"/>
      <c r="O355" s="17">
        <v>45708.410416666666</v>
      </c>
      <c r="P355" s="14" t="s">
        <v>5783</v>
      </c>
      <c r="Q355" s="18">
        <v>12000</v>
      </c>
      <c r="R355" s="19">
        <v>1.8</v>
      </c>
      <c r="S355" s="18">
        <v>11784</v>
      </c>
      <c r="T355" s="14">
        <v>12</v>
      </c>
      <c r="U355" s="18">
        <v>11784</v>
      </c>
      <c r="V355" s="18">
        <v>5000</v>
      </c>
      <c r="W355" s="19">
        <v>0.5</v>
      </c>
      <c r="X355" s="18">
        <v>4975</v>
      </c>
      <c r="Y355" s="14" t="s">
        <v>5665</v>
      </c>
      <c r="Z355" s="14" t="s">
        <v>5666</v>
      </c>
      <c r="AA355" s="14" t="b">
        <v>0</v>
      </c>
      <c r="AB355" s="14" t="b">
        <v>0</v>
      </c>
      <c r="AC355" s="14" t="b">
        <v>0</v>
      </c>
    </row>
    <row r="356" spans="1:29">
      <c r="A356" s="14" t="s">
        <v>6183</v>
      </c>
      <c r="B356" s="14" t="s">
        <v>6117</v>
      </c>
      <c r="C356" s="14" t="s">
        <v>1019</v>
      </c>
      <c r="D356" s="14" t="s">
        <v>6118</v>
      </c>
      <c r="E356" s="14" t="s">
        <v>25</v>
      </c>
      <c r="F356" s="14" t="s">
        <v>5668</v>
      </c>
      <c r="G356" s="14" t="s">
        <v>1413</v>
      </c>
      <c r="H356" s="15">
        <v>46269.541666666664</v>
      </c>
      <c r="I356" s="14" t="s">
        <v>5686</v>
      </c>
      <c r="J356" s="14">
        <v>10</v>
      </c>
      <c r="K356" s="14" t="s">
        <v>5670</v>
      </c>
      <c r="L356" s="17">
        <v>46347</v>
      </c>
      <c r="M356" s="17"/>
      <c r="N356" s="14" t="s">
        <v>5862</v>
      </c>
      <c r="O356" s="17">
        <v>46202</v>
      </c>
      <c r="P356" s="14"/>
      <c r="Q356" s="18">
        <v>48000</v>
      </c>
      <c r="R356" s="19">
        <v>5.6</v>
      </c>
      <c r="S356" s="18">
        <v>45312</v>
      </c>
      <c r="T356" s="14">
        <v>24</v>
      </c>
      <c r="U356" s="18">
        <v>90624</v>
      </c>
      <c r="V356" s="18">
        <v>10000</v>
      </c>
      <c r="W356" s="19">
        <v>0.4</v>
      </c>
      <c r="X356" s="18">
        <v>9960</v>
      </c>
      <c r="Y356" s="14" t="s">
        <v>5665</v>
      </c>
      <c r="Z356" s="14" t="s">
        <v>5666</v>
      </c>
      <c r="AA356" s="14" t="b">
        <v>0</v>
      </c>
      <c r="AB356" s="14" t="b">
        <v>0</v>
      </c>
      <c r="AC356" s="14" t="b">
        <v>0</v>
      </c>
    </row>
    <row r="357" spans="1:29">
      <c r="A357" s="14" t="s">
        <v>1525</v>
      </c>
      <c r="B357" s="14" t="s">
        <v>6184</v>
      </c>
      <c r="C357" s="14" t="s">
        <v>145</v>
      </c>
      <c r="D357" s="14" t="s">
        <v>1524</v>
      </c>
      <c r="E357" s="14" t="s">
        <v>59</v>
      </c>
      <c r="F357" s="14" t="s">
        <v>5668</v>
      </c>
      <c r="G357" s="14" t="s">
        <v>1271</v>
      </c>
      <c r="H357" s="15">
        <v>45626.297951388886</v>
      </c>
      <c r="I357" s="14" t="s">
        <v>5675</v>
      </c>
      <c r="J357" s="14">
        <v>0</v>
      </c>
      <c r="K357" s="14" t="s">
        <v>5664</v>
      </c>
      <c r="L357" s="17">
        <v>45639.297951388886</v>
      </c>
      <c r="M357" s="17">
        <v>45646.297951388886</v>
      </c>
      <c r="N357" s="14"/>
      <c r="O357" s="17">
        <v>45643.297951388886</v>
      </c>
      <c r="P357" s="14" t="s">
        <v>5702</v>
      </c>
      <c r="Q357" s="18">
        <v>24000</v>
      </c>
      <c r="R357" s="19">
        <v>4.2</v>
      </c>
      <c r="S357" s="18">
        <v>22992</v>
      </c>
      <c r="T357" s="14">
        <v>12</v>
      </c>
      <c r="U357" s="18">
        <v>22992</v>
      </c>
      <c r="V357" s="18">
        <v>5000</v>
      </c>
      <c r="W357" s="19">
        <v>1.1000000000000001</v>
      </c>
      <c r="X357" s="18">
        <v>4945</v>
      </c>
      <c r="Y357" s="14" t="s">
        <v>5688</v>
      </c>
      <c r="Z357" s="14" t="s">
        <v>5666</v>
      </c>
      <c r="AA357" s="14" t="b">
        <v>0</v>
      </c>
      <c r="AB357" s="14" t="b">
        <v>0</v>
      </c>
      <c r="AC357" s="14" t="b">
        <v>1</v>
      </c>
    </row>
    <row r="358" spans="1:29">
      <c r="A358" s="14" t="s">
        <v>6185</v>
      </c>
      <c r="B358" s="14" t="s">
        <v>5758</v>
      </c>
      <c r="C358" s="14" t="s">
        <v>26</v>
      </c>
      <c r="D358" s="14" t="s">
        <v>2325</v>
      </c>
      <c r="E358" s="14" t="s">
        <v>18</v>
      </c>
      <c r="F358" s="14" t="s">
        <v>5668</v>
      </c>
      <c r="G358" s="14" t="s">
        <v>1355</v>
      </c>
      <c r="H358" s="15">
        <v>46284.333333333336</v>
      </c>
      <c r="I358" s="14" t="s">
        <v>5686</v>
      </c>
      <c r="J358" s="14">
        <v>10</v>
      </c>
      <c r="K358" s="14" t="s">
        <v>5670</v>
      </c>
      <c r="L358" s="17">
        <v>46253</v>
      </c>
      <c r="M358" s="17"/>
      <c r="N358" s="14" t="s">
        <v>5862</v>
      </c>
      <c r="O358" s="17">
        <v>46197</v>
      </c>
      <c r="P358" s="14"/>
      <c r="Q358" s="18">
        <v>46000</v>
      </c>
      <c r="R358" s="19">
        <v>2.6</v>
      </c>
      <c r="S358" s="18">
        <v>44804</v>
      </c>
      <c r="T358" s="14">
        <v>24</v>
      </c>
      <c r="U358" s="18">
        <v>89608</v>
      </c>
      <c r="V358" s="18">
        <v>10000</v>
      </c>
      <c r="W358" s="19">
        <v>4.7</v>
      </c>
      <c r="X358" s="18">
        <v>9530</v>
      </c>
      <c r="Y358" s="14" t="s">
        <v>5665</v>
      </c>
      <c r="Z358" s="14" t="s">
        <v>5666</v>
      </c>
      <c r="AA358" s="14" t="b">
        <v>0</v>
      </c>
      <c r="AB358" s="14" t="b">
        <v>0</v>
      </c>
      <c r="AC358" s="14" t="b">
        <v>0</v>
      </c>
    </row>
    <row r="359" spans="1:29">
      <c r="A359" s="14" t="s">
        <v>2044</v>
      </c>
      <c r="B359" s="14" t="s">
        <v>6155</v>
      </c>
      <c r="C359" s="14" t="s">
        <v>754</v>
      </c>
      <c r="D359" s="14" t="s">
        <v>2043</v>
      </c>
      <c r="E359" s="14" t="s">
        <v>55</v>
      </c>
      <c r="F359" s="14" t="s">
        <v>5668</v>
      </c>
      <c r="G359" s="14" t="s">
        <v>1271</v>
      </c>
      <c r="H359" s="15">
        <v>45937.995937500003</v>
      </c>
      <c r="I359" s="14" t="s">
        <v>5675</v>
      </c>
      <c r="J359" s="14">
        <v>0</v>
      </c>
      <c r="K359" s="14" t="s">
        <v>5725</v>
      </c>
      <c r="L359" s="17">
        <v>46008.995937500003</v>
      </c>
      <c r="M359" s="17">
        <v>46038.995937500003</v>
      </c>
      <c r="N359" s="14"/>
      <c r="O359" s="17">
        <v>46033.995937500003</v>
      </c>
      <c r="P359" s="14" t="s">
        <v>5676</v>
      </c>
      <c r="Q359" s="18">
        <v>80000</v>
      </c>
      <c r="R359" s="19">
        <v>22.6</v>
      </c>
      <c r="S359" s="18">
        <v>61920</v>
      </c>
      <c r="T359" s="14">
        <v>12</v>
      </c>
      <c r="U359" s="18">
        <v>61920</v>
      </c>
      <c r="V359" s="18">
        <v>20000</v>
      </c>
      <c r="W359" s="19">
        <v>0.4</v>
      </c>
      <c r="X359" s="18">
        <v>19920</v>
      </c>
      <c r="Y359" s="14" t="s">
        <v>5665</v>
      </c>
      <c r="Z359" s="14" t="s">
        <v>5780</v>
      </c>
      <c r="AA359" s="14" t="b">
        <v>0</v>
      </c>
      <c r="AB359" s="14" t="b">
        <v>0</v>
      </c>
      <c r="AC359" s="14" t="b">
        <v>1</v>
      </c>
    </row>
    <row r="360" spans="1:29">
      <c r="A360" s="14" t="s">
        <v>2525</v>
      </c>
      <c r="B360" s="14" t="s">
        <v>6186</v>
      </c>
      <c r="C360" s="14" t="s">
        <v>570</v>
      </c>
      <c r="D360" s="14" t="s">
        <v>2524</v>
      </c>
      <c r="E360" s="14" t="s">
        <v>91</v>
      </c>
      <c r="F360" s="14" t="s">
        <v>5668</v>
      </c>
      <c r="G360" s="14" t="s">
        <v>1317</v>
      </c>
      <c r="H360" s="15">
        <v>46112.130543981482</v>
      </c>
      <c r="I360" s="14" t="s">
        <v>5675</v>
      </c>
      <c r="J360" s="14">
        <v>0</v>
      </c>
      <c r="K360" s="14" t="s">
        <v>5664</v>
      </c>
      <c r="L360" s="17">
        <v>46127.130543981482</v>
      </c>
      <c r="M360" s="17">
        <v>46157.130543981482</v>
      </c>
      <c r="N360" s="14"/>
      <c r="O360" s="17">
        <v>46151.130543981482</v>
      </c>
      <c r="P360" s="14" t="s">
        <v>5721</v>
      </c>
      <c r="Q360" s="18">
        <v>24000</v>
      </c>
      <c r="R360" s="19">
        <v>8.9</v>
      </c>
      <c r="S360" s="18">
        <v>21864</v>
      </c>
      <c r="T360" s="14">
        <v>12</v>
      </c>
      <c r="U360" s="18">
        <v>21864</v>
      </c>
      <c r="V360" s="18">
        <v>5000</v>
      </c>
      <c r="W360" s="19">
        <v>1</v>
      </c>
      <c r="X360" s="18">
        <v>4950</v>
      </c>
      <c r="Y360" s="14" t="s">
        <v>5665</v>
      </c>
      <c r="Z360" s="14" t="s">
        <v>5666</v>
      </c>
      <c r="AA360" s="14" t="b">
        <v>0</v>
      </c>
      <c r="AB360" s="14" t="b">
        <v>1</v>
      </c>
      <c r="AC360" s="14" t="b">
        <v>1</v>
      </c>
    </row>
    <row r="361" spans="1:29">
      <c r="A361" s="14" t="s">
        <v>6187</v>
      </c>
      <c r="B361" s="14" t="s">
        <v>6188</v>
      </c>
      <c r="C361" s="14" t="s">
        <v>726</v>
      </c>
      <c r="D361" s="14" t="s">
        <v>6189</v>
      </c>
      <c r="E361" s="14" t="s">
        <v>36</v>
      </c>
      <c r="F361" s="14" t="s">
        <v>5668</v>
      </c>
      <c r="G361" s="14" t="s">
        <v>1281</v>
      </c>
      <c r="H361" s="15">
        <v>46267.916666666664</v>
      </c>
      <c r="I361" s="14" t="s">
        <v>5686</v>
      </c>
      <c r="J361" s="14">
        <v>80</v>
      </c>
      <c r="K361" s="14" t="s">
        <v>5670</v>
      </c>
      <c r="L361" s="17">
        <v>46262</v>
      </c>
      <c r="M361" s="17"/>
      <c r="N361" s="14" t="s">
        <v>5862</v>
      </c>
      <c r="O361" s="17">
        <v>46281</v>
      </c>
      <c r="P361" s="14"/>
      <c r="Q361" s="18">
        <v>60000</v>
      </c>
      <c r="R361" s="19">
        <v>21.4</v>
      </c>
      <c r="S361" s="18">
        <v>47160</v>
      </c>
      <c r="T361" s="14">
        <v>12</v>
      </c>
      <c r="U361" s="18">
        <v>47160</v>
      </c>
      <c r="V361" s="18">
        <v>20000</v>
      </c>
      <c r="W361" s="19">
        <v>8.1</v>
      </c>
      <c r="X361" s="18">
        <v>18380</v>
      </c>
      <c r="Y361" s="14" t="s">
        <v>5665</v>
      </c>
      <c r="Z361" s="14" t="s">
        <v>5666</v>
      </c>
      <c r="AA361" s="14" t="b">
        <v>0</v>
      </c>
      <c r="AB361" s="14" t="b">
        <v>0</v>
      </c>
      <c r="AC361" s="14" t="b">
        <v>1</v>
      </c>
    </row>
    <row r="362" spans="1:29">
      <c r="A362" s="14" t="s">
        <v>1786</v>
      </c>
      <c r="B362" s="14" t="s">
        <v>5680</v>
      </c>
      <c r="C362" s="14" t="s">
        <v>434</v>
      </c>
      <c r="D362" s="14" t="s">
        <v>1785</v>
      </c>
      <c r="E362" s="14" t="s">
        <v>82</v>
      </c>
      <c r="F362" s="14" t="s">
        <v>5668</v>
      </c>
      <c r="G362" s="14" t="s">
        <v>1281</v>
      </c>
      <c r="H362" s="15">
        <v>46258.286296296297</v>
      </c>
      <c r="I362" s="14" t="s">
        <v>5686</v>
      </c>
      <c r="J362" s="14">
        <v>10</v>
      </c>
      <c r="K362" s="14" t="s">
        <v>5670</v>
      </c>
      <c r="L362" s="17">
        <v>46367</v>
      </c>
      <c r="M362" s="17"/>
      <c r="N362" s="14" t="s">
        <v>5687</v>
      </c>
      <c r="O362" s="17">
        <v>46276</v>
      </c>
      <c r="P362" s="14"/>
      <c r="Q362" s="18">
        <v>68000</v>
      </c>
      <c r="R362" s="19">
        <v>5.7</v>
      </c>
      <c r="S362" s="18">
        <v>64124</v>
      </c>
      <c r="T362" s="14">
        <v>12</v>
      </c>
      <c r="U362" s="18">
        <v>64124</v>
      </c>
      <c r="V362" s="18">
        <v>20000</v>
      </c>
      <c r="W362" s="19">
        <v>2.2000000000000002</v>
      </c>
      <c r="X362" s="18">
        <v>19560</v>
      </c>
      <c r="Y362" s="14" t="s">
        <v>5665</v>
      </c>
      <c r="Z362" s="14" t="s">
        <v>5666</v>
      </c>
      <c r="AA362" s="14" t="b">
        <v>0</v>
      </c>
      <c r="AB362" s="14" t="b">
        <v>0</v>
      </c>
      <c r="AC362" s="14" t="b">
        <v>0</v>
      </c>
    </row>
    <row r="363" spans="1:29">
      <c r="A363" s="14" t="s">
        <v>2229</v>
      </c>
      <c r="B363" s="14" t="s">
        <v>6190</v>
      </c>
      <c r="C363" s="14" t="s">
        <v>827</v>
      </c>
      <c r="D363" s="14" t="s">
        <v>2228</v>
      </c>
      <c r="E363" s="14" t="s">
        <v>36</v>
      </c>
      <c r="F363" s="14" t="s">
        <v>5668</v>
      </c>
      <c r="G363" s="14" t="s">
        <v>1271</v>
      </c>
      <c r="H363" s="15">
        <v>46244.460868055554</v>
      </c>
      <c r="I363" s="14" t="s">
        <v>5681</v>
      </c>
      <c r="J363" s="14">
        <v>25</v>
      </c>
      <c r="K363" s="14" t="s">
        <v>5670</v>
      </c>
      <c r="L363" s="17">
        <v>46320</v>
      </c>
      <c r="M363" s="17"/>
      <c r="N363" s="14" t="s">
        <v>5682</v>
      </c>
      <c r="O363" s="17">
        <v>46269</v>
      </c>
      <c r="P363" s="14"/>
      <c r="Q363" s="18">
        <v>44000</v>
      </c>
      <c r="R363" s="19">
        <v>9.8000000000000007</v>
      </c>
      <c r="S363" s="18">
        <v>39688</v>
      </c>
      <c r="T363" s="14">
        <v>12</v>
      </c>
      <c r="U363" s="18">
        <v>39688</v>
      </c>
      <c r="V363" s="18">
        <v>5000</v>
      </c>
      <c r="W363" s="19">
        <v>0.1</v>
      </c>
      <c r="X363" s="18">
        <v>4995</v>
      </c>
      <c r="Y363" s="14" t="s">
        <v>5665</v>
      </c>
      <c r="Z363" s="14" t="s">
        <v>5666</v>
      </c>
      <c r="AA363" s="14" t="b">
        <v>0</v>
      </c>
      <c r="AB363" s="14" t="b">
        <v>0</v>
      </c>
      <c r="AC363" s="14" t="b">
        <v>0</v>
      </c>
    </row>
    <row r="364" spans="1:29">
      <c r="A364" s="14" t="s">
        <v>2464</v>
      </c>
      <c r="B364" s="14" t="s">
        <v>6115</v>
      </c>
      <c r="C364" s="14" t="s">
        <v>663</v>
      </c>
      <c r="D364" s="14" t="s">
        <v>2463</v>
      </c>
      <c r="E364" s="14" t="s">
        <v>25</v>
      </c>
      <c r="F364" s="14" t="s">
        <v>5668</v>
      </c>
      <c r="G364" s="14" t="s">
        <v>1271</v>
      </c>
      <c r="H364" s="15">
        <v>45022.025185185186</v>
      </c>
      <c r="I364" s="14" t="s">
        <v>5675</v>
      </c>
      <c r="J364" s="14">
        <v>25</v>
      </c>
      <c r="K364" s="14" t="s">
        <v>5664</v>
      </c>
      <c r="L364" s="17">
        <v>45025.025185185186</v>
      </c>
      <c r="M364" s="17">
        <v>45055.025185185186</v>
      </c>
      <c r="N364" s="14"/>
      <c r="O364" s="17">
        <v>45055.025185185186</v>
      </c>
      <c r="P364" s="14" t="s">
        <v>5769</v>
      </c>
      <c r="Q364" s="18">
        <v>18000</v>
      </c>
      <c r="R364" s="19">
        <v>9.6</v>
      </c>
      <c r="S364" s="18">
        <v>16272</v>
      </c>
      <c r="T364" s="14">
        <v>36</v>
      </c>
      <c r="U364" s="18">
        <v>48816</v>
      </c>
      <c r="V364" s="18">
        <v>5000</v>
      </c>
      <c r="W364" s="19">
        <v>17.8</v>
      </c>
      <c r="X364" s="18">
        <v>4110</v>
      </c>
      <c r="Y364" s="14" t="s">
        <v>5665</v>
      </c>
      <c r="Z364" s="14" t="s">
        <v>5666</v>
      </c>
      <c r="AA364" s="14" t="b">
        <v>0</v>
      </c>
      <c r="AB364" s="14" t="b">
        <v>0</v>
      </c>
      <c r="AC364" s="14" t="b">
        <v>0</v>
      </c>
    </row>
    <row r="365" spans="1:29">
      <c r="A365" s="14" t="s">
        <v>1479</v>
      </c>
      <c r="B365" s="14" t="s">
        <v>6191</v>
      </c>
      <c r="C365" s="14" t="s">
        <v>220</v>
      </c>
      <c r="D365" s="14" t="s">
        <v>1478</v>
      </c>
      <c r="E365" s="14" t="s">
        <v>18</v>
      </c>
      <c r="F365" s="14" t="s">
        <v>5668</v>
      </c>
      <c r="G365" s="14" t="s">
        <v>1317</v>
      </c>
      <c r="H365" s="15">
        <v>44748.091122685182</v>
      </c>
      <c r="I365" s="14" t="s">
        <v>5663</v>
      </c>
      <c r="J365" s="14">
        <v>100</v>
      </c>
      <c r="K365" s="14" t="s">
        <v>5664</v>
      </c>
      <c r="L365" s="17">
        <v>44846.091122685182</v>
      </c>
      <c r="M365" s="17">
        <v>44832.091122685182</v>
      </c>
      <c r="N365" s="14"/>
      <c r="O365" s="17">
        <v>44831.091122685182</v>
      </c>
      <c r="P365" s="14"/>
      <c r="Q365" s="18">
        <v>42000</v>
      </c>
      <c r="R365" s="19">
        <v>4.7</v>
      </c>
      <c r="S365" s="18">
        <v>40026</v>
      </c>
      <c r="T365" s="14">
        <v>12</v>
      </c>
      <c r="U365" s="18">
        <v>40026</v>
      </c>
      <c r="V365" s="18">
        <v>10000</v>
      </c>
      <c r="W365" s="19">
        <v>1.8</v>
      </c>
      <c r="X365" s="18">
        <v>9820</v>
      </c>
      <c r="Y365" s="14" t="s">
        <v>5665</v>
      </c>
      <c r="Z365" s="14" t="s">
        <v>5666</v>
      </c>
      <c r="AA365" s="14" t="b">
        <v>0</v>
      </c>
      <c r="AB365" s="14" t="b">
        <v>0</v>
      </c>
      <c r="AC365" s="14" t="b">
        <v>0</v>
      </c>
    </row>
    <row r="366" spans="1:29">
      <c r="A366" s="14" t="s">
        <v>1892</v>
      </c>
      <c r="B366" s="14" t="s">
        <v>6192</v>
      </c>
      <c r="C366" s="14" t="s">
        <v>1013</v>
      </c>
      <c r="D366" s="14" t="s">
        <v>1891</v>
      </c>
      <c r="E366" s="14" t="s">
        <v>25</v>
      </c>
      <c r="F366" s="14" t="s">
        <v>5668</v>
      </c>
      <c r="G366" s="14" t="s">
        <v>1295</v>
      </c>
      <c r="H366" s="15">
        <v>46207.647465277776</v>
      </c>
      <c r="I366" s="14" t="s">
        <v>5691</v>
      </c>
      <c r="J366" s="14">
        <v>40</v>
      </c>
      <c r="K366" s="14" t="s">
        <v>5670</v>
      </c>
      <c r="L366" s="17">
        <v>46287</v>
      </c>
      <c r="M366" s="17"/>
      <c r="N366" s="14" t="s">
        <v>5692</v>
      </c>
      <c r="O366" s="17">
        <v>46265</v>
      </c>
      <c r="P366" s="14"/>
      <c r="Q366" s="18">
        <v>12000</v>
      </c>
      <c r="R366" s="19">
        <v>8.4</v>
      </c>
      <c r="S366" s="18">
        <v>10992</v>
      </c>
      <c r="T366" s="14">
        <v>12</v>
      </c>
      <c r="U366" s="18">
        <v>10992</v>
      </c>
      <c r="V366" s="18">
        <v>5000</v>
      </c>
      <c r="W366" s="19">
        <v>9.1</v>
      </c>
      <c r="X366" s="18">
        <v>4545</v>
      </c>
      <c r="Y366" s="14" t="s">
        <v>5665</v>
      </c>
      <c r="Z366" s="14" t="s">
        <v>5666</v>
      </c>
      <c r="AA366" s="14" t="b">
        <v>0</v>
      </c>
      <c r="AB366" s="14" t="b">
        <v>0</v>
      </c>
      <c r="AC366" s="14" t="b">
        <v>0</v>
      </c>
    </row>
    <row r="367" spans="1:29">
      <c r="A367" s="14" t="s">
        <v>6193</v>
      </c>
      <c r="B367" s="14" t="s">
        <v>5980</v>
      </c>
      <c r="C367" s="14" t="s">
        <v>801</v>
      </c>
      <c r="D367" s="14" t="s">
        <v>2572</v>
      </c>
      <c r="E367" s="14" t="s">
        <v>36</v>
      </c>
      <c r="F367" s="14" t="s">
        <v>5668</v>
      </c>
      <c r="G367" s="14" t="s">
        <v>1281</v>
      </c>
      <c r="H367" s="15">
        <v>45599</v>
      </c>
      <c r="I367" s="14" t="s">
        <v>5663</v>
      </c>
      <c r="J367" s="14">
        <v>100</v>
      </c>
      <c r="K367" s="14" t="s">
        <v>5664</v>
      </c>
      <c r="L367" s="17">
        <v>45699</v>
      </c>
      <c r="M367" s="17">
        <v>45699</v>
      </c>
      <c r="N367" s="14"/>
      <c r="O367" s="17">
        <v>45693</v>
      </c>
      <c r="P367" s="14"/>
      <c r="Q367" s="18">
        <v>68000</v>
      </c>
      <c r="R367" s="19">
        <v>39.9</v>
      </c>
      <c r="S367" s="18">
        <v>40868</v>
      </c>
      <c r="T367" s="14">
        <v>12</v>
      </c>
      <c r="U367" s="18">
        <v>40868</v>
      </c>
      <c r="V367" s="18">
        <v>20000</v>
      </c>
      <c r="W367" s="19">
        <v>8.4</v>
      </c>
      <c r="X367" s="18">
        <v>18320</v>
      </c>
      <c r="Y367" s="14" t="s">
        <v>5735</v>
      </c>
      <c r="Z367" s="14" t="s">
        <v>5666</v>
      </c>
      <c r="AA367" s="14" t="b">
        <v>0</v>
      </c>
      <c r="AB367" s="14" t="b">
        <v>0</v>
      </c>
      <c r="AC367" s="14" t="b">
        <v>1</v>
      </c>
    </row>
    <row r="368" spans="1:29">
      <c r="A368" s="14" t="s">
        <v>2424</v>
      </c>
      <c r="B368" s="14" t="s">
        <v>6194</v>
      </c>
      <c r="C368" s="14" t="s">
        <v>745</v>
      </c>
      <c r="D368" s="14" t="s">
        <v>2423</v>
      </c>
      <c r="E368" s="14" t="s">
        <v>91</v>
      </c>
      <c r="F368" s="14" t="s">
        <v>5668</v>
      </c>
      <c r="G368" s="14" t="s">
        <v>1288</v>
      </c>
      <c r="H368" s="15">
        <v>46118.928888888891</v>
      </c>
      <c r="I368" s="14" t="s">
        <v>5675</v>
      </c>
      <c r="J368" s="14">
        <v>0</v>
      </c>
      <c r="K368" s="14" t="s">
        <v>5664</v>
      </c>
      <c r="L368" s="17">
        <v>46161.928888888891</v>
      </c>
      <c r="M368" s="17">
        <v>46154.928888888891</v>
      </c>
      <c r="N368" s="14"/>
      <c r="O368" s="17">
        <v>46149.928888888891</v>
      </c>
      <c r="P368" s="14" t="s">
        <v>5721</v>
      </c>
      <c r="Q368" s="18">
        <v>18000</v>
      </c>
      <c r="R368" s="19">
        <v>8.1999999999999993</v>
      </c>
      <c r="S368" s="18">
        <v>16524</v>
      </c>
      <c r="T368" s="14">
        <v>12</v>
      </c>
      <c r="U368" s="18">
        <v>16524</v>
      </c>
      <c r="V368" s="18">
        <v>5000</v>
      </c>
      <c r="W368" s="19">
        <v>23.7</v>
      </c>
      <c r="X368" s="18">
        <v>3815</v>
      </c>
      <c r="Y368" s="14" t="s">
        <v>5665</v>
      </c>
      <c r="Z368" s="14" t="s">
        <v>5666</v>
      </c>
      <c r="AA368" s="14" t="b">
        <v>0</v>
      </c>
      <c r="AB368" s="14" t="b">
        <v>0</v>
      </c>
      <c r="AC368" s="14" t="b">
        <v>1</v>
      </c>
    </row>
    <row r="369" spans="1:29">
      <c r="A369" s="14" t="s">
        <v>6195</v>
      </c>
      <c r="B369" s="14" t="s">
        <v>6196</v>
      </c>
      <c r="C369" s="14" t="s">
        <v>462</v>
      </c>
      <c r="D369" s="14" t="s">
        <v>2105</v>
      </c>
      <c r="E369" s="14" t="s">
        <v>25</v>
      </c>
      <c r="F369" s="14" t="s">
        <v>5668</v>
      </c>
      <c r="G369" s="14" t="s">
        <v>1295</v>
      </c>
      <c r="H369" s="15">
        <v>46274.958333333336</v>
      </c>
      <c r="I369" s="14" t="s">
        <v>5686</v>
      </c>
      <c r="J369" s="14">
        <v>10</v>
      </c>
      <c r="K369" s="14" t="s">
        <v>5670</v>
      </c>
      <c r="L369" s="17">
        <v>46336</v>
      </c>
      <c r="M369" s="17"/>
      <c r="N369" s="14" t="s">
        <v>5687</v>
      </c>
      <c r="O369" s="17">
        <v>46284</v>
      </c>
      <c r="P369" s="14"/>
      <c r="Q369" s="18">
        <v>12000</v>
      </c>
      <c r="R369" s="19">
        <v>5.5</v>
      </c>
      <c r="S369" s="18">
        <v>11340</v>
      </c>
      <c r="T369" s="14">
        <v>12</v>
      </c>
      <c r="U369" s="18">
        <v>11340</v>
      </c>
      <c r="V369" s="18">
        <v>5000</v>
      </c>
      <c r="W369" s="19">
        <v>3.6</v>
      </c>
      <c r="X369" s="18">
        <v>4820</v>
      </c>
      <c r="Y369" s="14" t="s">
        <v>5688</v>
      </c>
      <c r="Z369" s="14" t="s">
        <v>5693</v>
      </c>
      <c r="AA369" s="14" t="b">
        <v>0</v>
      </c>
      <c r="AB369" s="14" t="b">
        <v>0</v>
      </c>
      <c r="AC369" s="14" t="b">
        <v>1</v>
      </c>
    </row>
    <row r="370" spans="1:29">
      <c r="A370" s="14" t="s">
        <v>6197</v>
      </c>
      <c r="B370" s="14" t="s">
        <v>5901</v>
      </c>
      <c r="C370" s="14" t="s">
        <v>56</v>
      </c>
      <c r="D370" s="14" t="s">
        <v>6198</v>
      </c>
      <c r="E370" s="14" t="s">
        <v>59</v>
      </c>
      <c r="F370" s="14" t="s">
        <v>5668</v>
      </c>
      <c r="G370" s="14" t="s">
        <v>1281</v>
      </c>
      <c r="H370" s="15">
        <v>46261.958333333336</v>
      </c>
      <c r="I370" s="14" t="s">
        <v>5691</v>
      </c>
      <c r="J370" s="14">
        <v>40</v>
      </c>
      <c r="K370" s="14" t="s">
        <v>5670</v>
      </c>
      <c r="L370" s="17">
        <v>46340</v>
      </c>
      <c r="M370" s="17"/>
      <c r="N370" s="14" t="s">
        <v>5692</v>
      </c>
      <c r="O370" s="17">
        <v>46252</v>
      </c>
      <c r="P370" s="14"/>
      <c r="Q370" s="18">
        <v>22000</v>
      </c>
      <c r="R370" s="19">
        <v>5.3</v>
      </c>
      <c r="S370" s="18">
        <v>20834</v>
      </c>
      <c r="T370" s="14">
        <v>12</v>
      </c>
      <c r="U370" s="18">
        <v>20834</v>
      </c>
      <c r="V370" s="18">
        <v>5000</v>
      </c>
      <c r="W370" s="19">
        <v>7.3</v>
      </c>
      <c r="X370" s="18">
        <v>4635</v>
      </c>
      <c r="Y370" s="14" t="s">
        <v>5665</v>
      </c>
      <c r="Z370" s="14" t="s">
        <v>5677</v>
      </c>
      <c r="AA370" s="14" t="b">
        <v>0</v>
      </c>
      <c r="AB370" s="14" t="b">
        <v>0</v>
      </c>
      <c r="AC370" s="14" t="b">
        <v>1</v>
      </c>
    </row>
    <row r="371" spans="1:29">
      <c r="A371" s="14" t="s">
        <v>6199</v>
      </c>
      <c r="B371" s="14" t="s">
        <v>6200</v>
      </c>
      <c r="C371" s="14" t="s">
        <v>612</v>
      </c>
      <c r="D371" s="14" t="s">
        <v>2073</v>
      </c>
      <c r="E371" s="14" t="s">
        <v>82</v>
      </c>
      <c r="F371" s="14" t="s">
        <v>5662</v>
      </c>
      <c r="G371" s="14"/>
      <c r="H371" s="15">
        <v>46225.5</v>
      </c>
      <c r="I371" s="14" t="s">
        <v>5691</v>
      </c>
      <c r="J371" s="14">
        <v>40</v>
      </c>
      <c r="K371" s="14" t="s">
        <v>5664</v>
      </c>
      <c r="L371" s="17">
        <v>46329</v>
      </c>
      <c r="M371" s="17"/>
      <c r="N371" s="14" t="s">
        <v>5970</v>
      </c>
      <c r="O371" s="17">
        <v>46219</v>
      </c>
      <c r="P371" s="14"/>
      <c r="Q371" s="18">
        <v>24000</v>
      </c>
      <c r="R371" s="19">
        <v>14.2</v>
      </c>
      <c r="S371" s="18">
        <v>20592</v>
      </c>
      <c r="T371" s="14">
        <v>24</v>
      </c>
      <c r="U371" s="18">
        <v>41184</v>
      </c>
      <c r="V371" s="18">
        <v>0</v>
      </c>
      <c r="W371" s="19">
        <v>0</v>
      </c>
      <c r="X371" s="18">
        <v>0</v>
      </c>
      <c r="Y371" s="14" t="s">
        <v>5665</v>
      </c>
      <c r="Z371" s="14" t="s">
        <v>5666</v>
      </c>
      <c r="AA371" s="14" t="b">
        <v>0</v>
      </c>
      <c r="AB371" s="14" t="b">
        <v>0</v>
      </c>
      <c r="AC371" s="14" t="b">
        <v>1</v>
      </c>
    </row>
    <row r="372" spans="1:29">
      <c r="A372" s="14" t="s">
        <v>6201</v>
      </c>
      <c r="B372" s="14" t="s">
        <v>5997</v>
      </c>
      <c r="C372" s="14" t="s">
        <v>392</v>
      </c>
      <c r="D372" s="14" t="s">
        <v>6202</v>
      </c>
      <c r="E372" s="14" t="s">
        <v>82</v>
      </c>
      <c r="F372" s="14" t="s">
        <v>5668</v>
      </c>
      <c r="G372" s="14" t="s">
        <v>1317</v>
      </c>
      <c r="H372" s="15">
        <v>46225.458333333336</v>
      </c>
      <c r="I372" s="14" t="s">
        <v>5669</v>
      </c>
      <c r="J372" s="14">
        <v>60</v>
      </c>
      <c r="K372" s="14" t="s">
        <v>5679</v>
      </c>
      <c r="L372" s="17">
        <v>46315</v>
      </c>
      <c r="M372" s="17"/>
      <c r="N372" s="14" t="s">
        <v>5850</v>
      </c>
      <c r="O372" s="17">
        <v>46258</v>
      </c>
      <c r="P372" s="14"/>
      <c r="Q372" s="18">
        <v>86000</v>
      </c>
      <c r="R372" s="19">
        <v>10.8</v>
      </c>
      <c r="S372" s="18">
        <v>76712</v>
      </c>
      <c r="T372" s="14">
        <v>12</v>
      </c>
      <c r="U372" s="18">
        <v>76712</v>
      </c>
      <c r="V372" s="18">
        <v>20000</v>
      </c>
      <c r="W372" s="19">
        <v>28.7</v>
      </c>
      <c r="X372" s="18">
        <v>14260</v>
      </c>
      <c r="Y372" s="14" t="s">
        <v>5665</v>
      </c>
      <c r="Z372" s="14" t="s">
        <v>5666</v>
      </c>
      <c r="AA372" s="14" t="b">
        <v>0</v>
      </c>
      <c r="AB372" s="14" t="b">
        <v>0</v>
      </c>
      <c r="AC372" s="14" t="b">
        <v>1</v>
      </c>
    </row>
    <row r="373" spans="1:29">
      <c r="A373" s="14" t="s">
        <v>2013</v>
      </c>
      <c r="B373" s="14" t="s">
        <v>6021</v>
      </c>
      <c r="C373" s="14" t="s">
        <v>729</v>
      </c>
      <c r="D373" s="14" t="s">
        <v>2012</v>
      </c>
      <c r="E373" s="14" t="s">
        <v>18</v>
      </c>
      <c r="F373" s="14" t="s">
        <v>5668</v>
      </c>
      <c r="G373" s="14" t="s">
        <v>1271</v>
      </c>
      <c r="H373" s="15">
        <v>45665.118773148148</v>
      </c>
      <c r="I373" s="14" t="s">
        <v>5681</v>
      </c>
      <c r="J373" s="14">
        <v>25</v>
      </c>
      <c r="K373" s="14" t="s">
        <v>5670</v>
      </c>
      <c r="L373" s="17">
        <v>46328</v>
      </c>
      <c r="M373" s="17"/>
      <c r="N373" s="14" t="s">
        <v>5682</v>
      </c>
      <c r="O373" s="17">
        <v>46278</v>
      </c>
      <c r="P373" s="14"/>
      <c r="Q373" s="18">
        <v>36000</v>
      </c>
      <c r="R373" s="19">
        <v>1.1000000000000001</v>
      </c>
      <c r="S373" s="18">
        <v>35604</v>
      </c>
      <c r="T373" s="14">
        <v>12</v>
      </c>
      <c r="U373" s="18">
        <v>35604</v>
      </c>
      <c r="V373" s="18">
        <v>10000</v>
      </c>
      <c r="W373" s="19">
        <v>8.5</v>
      </c>
      <c r="X373" s="18">
        <v>9150</v>
      </c>
      <c r="Y373" s="14" t="s">
        <v>5665</v>
      </c>
      <c r="Z373" s="14" t="s">
        <v>5666</v>
      </c>
      <c r="AA373" s="14" t="b">
        <v>0</v>
      </c>
      <c r="AB373" s="14" t="b">
        <v>0</v>
      </c>
      <c r="AC373" s="14" t="b">
        <v>0</v>
      </c>
    </row>
    <row r="374" spans="1:29">
      <c r="A374" s="14" t="s">
        <v>2153</v>
      </c>
      <c r="B374" s="14" t="s">
        <v>6203</v>
      </c>
      <c r="C374" s="14" t="s">
        <v>900</v>
      </c>
      <c r="D374" s="14" t="s">
        <v>2152</v>
      </c>
      <c r="E374" s="14" t="s">
        <v>69</v>
      </c>
      <c r="F374" s="14" t="s">
        <v>5668</v>
      </c>
      <c r="G374" s="14" t="s">
        <v>1271</v>
      </c>
      <c r="H374" s="15">
        <v>45230.51289351852</v>
      </c>
      <c r="I374" s="14" t="s">
        <v>5675</v>
      </c>
      <c r="J374" s="14">
        <v>0</v>
      </c>
      <c r="K374" s="14" t="s">
        <v>5664</v>
      </c>
      <c r="L374" s="17">
        <v>45262.51289351852</v>
      </c>
      <c r="M374" s="17">
        <v>45262.51289351852</v>
      </c>
      <c r="N374" s="14"/>
      <c r="O374" s="17">
        <v>45259.51289351852</v>
      </c>
      <c r="P374" s="14" t="s">
        <v>5702</v>
      </c>
      <c r="Q374" s="18">
        <v>30000</v>
      </c>
      <c r="R374" s="19">
        <v>4.8</v>
      </c>
      <c r="S374" s="18">
        <v>28560</v>
      </c>
      <c r="T374" s="14">
        <v>12</v>
      </c>
      <c r="U374" s="18">
        <v>28560</v>
      </c>
      <c r="V374" s="18">
        <v>10000</v>
      </c>
      <c r="W374" s="19">
        <v>19.100000000000001</v>
      </c>
      <c r="X374" s="18">
        <v>8090</v>
      </c>
      <c r="Y374" s="14" t="s">
        <v>5665</v>
      </c>
      <c r="Z374" s="14" t="s">
        <v>5693</v>
      </c>
      <c r="AA374" s="14" t="b">
        <v>0</v>
      </c>
      <c r="AB374" s="14" t="b">
        <v>0</v>
      </c>
      <c r="AC374" s="14" t="b">
        <v>1</v>
      </c>
    </row>
    <row r="375" spans="1:29">
      <c r="A375" s="14" t="s">
        <v>1948</v>
      </c>
      <c r="B375" s="14" t="s">
        <v>5997</v>
      </c>
      <c r="C375" s="14" t="s">
        <v>392</v>
      </c>
      <c r="D375" s="14" t="s">
        <v>1947</v>
      </c>
      <c r="E375" s="14" t="s">
        <v>82</v>
      </c>
      <c r="F375" s="14" t="s">
        <v>5668</v>
      </c>
      <c r="G375" s="14" t="s">
        <v>1317</v>
      </c>
      <c r="H375" s="15">
        <v>46169.010497685187</v>
      </c>
      <c r="I375" s="14" t="s">
        <v>5669</v>
      </c>
      <c r="J375" s="14">
        <v>60</v>
      </c>
      <c r="K375" s="14" t="s">
        <v>5679</v>
      </c>
      <c r="L375" s="17">
        <v>46334</v>
      </c>
      <c r="M375" s="17"/>
      <c r="N375" s="14" t="s">
        <v>5774</v>
      </c>
      <c r="O375" s="17">
        <v>46289</v>
      </c>
      <c r="P375" s="14"/>
      <c r="Q375" s="18">
        <v>82000</v>
      </c>
      <c r="R375" s="19">
        <v>20.6</v>
      </c>
      <c r="S375" s="18">
        <v>65108</v>
      </c>
      <c r="T375" s="14">
        <v>12</v>
      </c>
      <c r="U375" s="18">
        <v>65108</v>
      </c>
      <c r="V375" s="18">
        <v>20000</v>
      </c>
      <c r="W375" s="19">
        <v>13.3</v>
      </c>
      <c r="X375" s="18">
        <v>17340</v>
      </c>
      <c r="Y375" s="14" t="s">
        <v>5665</v>
      </c>
      <c r="Z375" s="14" t="s">
        <v>5666</v>
      </c>
      <c r="AA375" s="14" t="b">
        <v>0</v>
      </c>
      <c r="AB375" s="14" t="b">
        <v>0</v>
      </c>
      <c r="AC375" s="14" t="b">
        <v>1</v>
      </c>
    </row>
    <row r="376" spans="1:29">
      <c r="A376" s="14" t="s">
        <v>6204</v>
      </c>
      <c r="B376" s="14" t="s">
        <v>6205</v>
      </c>
      <c r="C376" s="14" t="s">
        <v>299</v>
      </c>
      <c r="D376" s="14" t="s">
        <v>2361</v>
      </c>
      <c r="E376" s="14" t="s">
        <v>91</v>
      </c>
      <c r="F376" s="14" t="s">
        <v>5668</v>
      </c>
      <c r="G376" s="14" t="s">
        <v>1288</v>
      </c>
      <c r="H376" s="15">
        <v>45721.352719907409</v>
      </c>
      <c r="I376" s="14" t="s">
        <v>5663</v>
      </c>
      <c r="J376" s="14">
        <v>100</v>
      </c>
      <c r="K376" s="14" t="s">
        <v>5664</v>
      </c>
      <c r="L376" s="17">
        <v>45772.352719907409</v>
      </c>
      <c r="M376" s="17">
        <v>45765.352719907409</v>
      </c>
      <c r="N376" s="14"/>
      <c r="O376" s="17">
        <v>45760.352719907409</v>
      </c>
      <c r="P376" s="14"/>
      <c r="Q376" s="18">
        <v>12000</v>
      </c>
      <c r="R376" s="19">
        <v>4.7</v>
      </c>
      <c r="S376" s="18">
        <v>11436</v>
      </c>
      <c r="T376" s="14">
        <v>12</v>
      </c>
      <c r="U376" s="18">
        <v>11436</v>
      </c>
      <c r="V376" s="18">
        <v>5000</v>
      </c>
      <c r="W376" s="19">
        <v>8</v>
      </c>
      <c r="X376" s="18">
        <v>4600</v>
      </c>
      <c r="Y376" s="14" t="s">
        <v>5665</v>
      </c>
      <c r="Z376" s="14" t="s">
        <v>5666</v>
      </c>
      <c r="AA376" s="14" t="b">
        <v>0</v>
      </c>
      <c r="AB376" s="14" t="b">
        <v>0</v>
      </c>
      <c r="AC376" s="14" t="b">
        <v>0</v>
      </c>
    </row>
    <row r="377" spans="1:29">
      <c r="A377" s="14" t="s">
        <v>6206</v>
      </c>
      <c r="B377" s="14" t="s">
        <v>6009</v>
      </c>
      <c r="C377" s="14" t="s">
        <v>401</v>
      </c>
      <c r="D377" s="14" t="s">
        <v>2516</v>
      </c>
      <c r="E377" s="14" t="s">
        <v>82</v>
      </c>
      <c r="F377" s="14" t="s">
        <v>5668</v>
      </c>
      <c r="G377" s="14" t="s">
        <v>1271</v>
      </c>
      <c r="H377" s="15">
        <v>45784.178078703706</v>
      </c>
      <c r="I377" s="14" t="s">
        <v>5663</v>
      </c>
      <c r="J377" s="14">
        <v>100</v>
      </c>
      <c r="K377" s="14" t="s">
        <v>5664</v>
      </c>
      <c r="L377" s="17">
        <v>45849.178078703706</v>
      </c>
      <c r="M377" s="17">
        <v>45849.178078703706</v>
      </c>
      <c r="N377" s="14"/>
      <c r="O377" s="17">
        <v>45849.178078703706</v>
      </c>
      <c r="P377" s="14"/>
      <c r="Q377" s="18">
        <v>86000</v>
      </c>
      <c r="R377" s="19">
        <v>2.6</v>
      </c>
      <c r="S377" s="18">
        <v>83764</v>
      </c>
      <c r="T377" s="14">
        <v>36</v>
      </c>
      <c r="U377" s="18">
        <v>251292</v>
      </c>
      <c r="V377" s="18">
        <v>20000</v>
      </c>
      <c r="W377" s="19">
        <v>19.600000000000001</v>
      </c>
      <c r="X377" s="18">
        <v>16080</v>
      </c>
      <c r="Y377" s="14" t="s">
        <v>5688</v>
      </c>
      <c r="Z377" s="14" t="s">
        <v>5666</v>
      </c>
      <c r="AA377" s="14" t="b">
        <v>0</v>
      </c>
      <c r="AB377" s="14" t="b">
        <v>0</v>
      </c>
      <c r="AC377" s="14" t="b">
        <v>1</v>
      </c>
    </row>
    <row r="378" spans="1:29">
      <c r="A378" s="14" t="s">
        <v>1944</v>
      </c>
      <c r="B378" s="14" t="s">
        <v>5825</v>
      </c>
      <c r="C378" s="14" t="s">
        <v>936</v>
      </c>
      <c r="D378" s="14" t="s">
        <v>1943</v>
      </c>
      <c r="E378" s="14" t="s">
        <v>36</v>
      </c>
      <c r="F378" s="14" t="s">
        <v>5668</v>
      </c>
      <c r="G378" s="14" t="s">
        <v>1271</v>
      </c>
      <c r="H378" s="15">
        <v>45839.900069444448</v>
      </c>
      <c r="I378" s="14" t="s">
        <v>5675</v>
      </c>
      <c r="J378" s="14">
        <v>0</v>
      </c>
      <c r="K378" s="14" t="s">
        <v>5664</v>
      </c>
      <c r="L378" s="17">
        <v>45927.900069444448</v>
      </c>
      <c r="M378" s="17">
        <v>45920.900069444448</v>
      </c>
      <c r="N378" s="14"/>
      <c r="O378" s="17">
        <v>45920.900069444448</v>
      </c>
      <c r="P378" s="14" t="s">
        <v>5728</v>
      </c>
      <c r="Q378" s="18">
        <v>12000</v>
      </c>
      <c r="R378" s="19">
        <v>9.5</v>
      </c>
      <c r="S378" s="18">
        <v>10860</v>
      </c>
      <c r="T378" s="14">
        <v>24</v>
      </c>
      <c r="U378" s="18">
        <v>21720</v>
      </c>
      <c r="V378" s="18">
        <v>5000</v>
      </c>
      <c r="W378" s="19">
        <v>2.5</v>
      </c>
      <c r="X378" s="18">
        <v>4875</v>
      </c>
      <c r="Y378" s="14" t="s">
        <v>5665</v>
      </c>
      <c r="Z378" s="14" t="s">
        <v>5666</v>
      </c>
      <c r="AA378" s="14" t="b">
        <v>0</v>
      </c>
      <c r="AB378" s="14" t="b">
        <v>0</v>
      </c>
      <c r="AC378" s="14" t="b">
        <v>0</v>
      </c>
    </row>
    <row r="379" spans="1:29">
      <c r="A379" s="14" t="s">
        <v>6207</v>
      </c>
      <c r="B379" s="14" t="s">
        <v>6208</v>
      </c>
      <c r="C379" s="14" t="s">
        <v>491</v>
      </c>
      <c r="D379" s="14" t="s">
        <v>2247</v>
      </c>
      <c r="E379" s="14" t="s">
        <v>18</v>
      </c>
      <c r="F379" s="14" t="s">
        <v>5662</v>
      </c>
      <c r="G379" s="14" t="s">
        <v>1288</v>
      </c>
      <c r="H379" s="15">
        <v>46255.291666666664</v>
      </c>
      <c r="I379" s="14" t="s">
        <v>5691</v>
      </c>
      <c r="J379" s="14">
        <v>40</v>
      </c>
      <c r="K379" s="14" t="s">
        <v>5670</v>
      </c>
      <c r="L379" s="17">
        <v>46313</v>
      </c>
      <c r="M379" s="17"/>
      <c r="N379" s="14" t="s">
        <v>5692</v>
      </c>
      <c r="O379" s="17">
        <v>46286</v>
      </c>
      <c r="P379" s="14"/>
      <c r="Q379" s="18">
        <v>16000</v>
      </c>
      <c r="R379" s="19">
        <v>5.6</v>
      </c>
      <c r="S379" s="18">
        <v>15104</v>
      </c>
      <c r="T379" s="14">
        <v>12</v>
      </c>
      <c r="U379" s="18">
        <v>15104</v>
      </c>
      <c r="V379" s="18">
        <v>0</v>
      </c>
      <c r="W379" s="19">
        <v>0</v>
      </c>
      <c r="X379" s="18">
        <v>0</v>
      </c>
      <c r="Y379" s="14" t="s">
        <v>5665</v>
      </c>
      <c r="Z379" s="14" t="s">
        <v>5666</v>
      </c>
      <c r="AA379" s="14" t="b">
        <v>0</v>
      </c>
      <c r="AB379" s="14" t="b">
        <v>0</v>
      </c>
      <c r="AC379" s="14" t="b">
        <v>0</v>
      </c>
    </row>
    <row r="380" spans="1:29">
      <c r="A380" s="14" t="s">
        <v>1939</v>
      </c>
      <c r="B380" s="14" t="s">
        <v>6209</v>
      </c>
      <c r="C380" s="14" t="s">
        <v>632</v>
      </c>
      <c r="D380" s="14" t="s">
        <v>1938</v>
      </c>
      <c r="E380" s="14" t="s">
        <v>59</v>
      </c>
      <c r="F380" s="14" t="s">
        <v>5668</v>
      </c>
      <c r="G380" s="14" t="s">
        <v>1413</v>
      </c>
      <c r="H380" s="15">
        <v>45772.824976851851</v>
      </c>
      <c r="I380" s="14" t="s">
        <v>5675</v>
      </c>
      <c r="J380" s="14">
        <v>0</v>
      </c>
      <c r="K380" s="14" t="s">
        <v>5664</v>
      </c>
      <c r="L380" s="17">
        <v>45778.824976851851</v>
      </c>
      <c r="M380" s="17">
        <v>45792.824976851851</v>
      </c>
      <c r="N380" s="14"/>
      <c r="O380" s="17">
        <v>45786.824976851851</v>
      </c>
      <c r="P380" s="14" t="s">
        <v>5783</v>
      </c>
      <c r="Q380" s="18">
        <v>16000</v>
      </c>
      <c r="R380" s="19">
        <v>7.5</v>
      </c>
      <c r="S380" s="18">
        <v>14800</v>
      </c>
      <c r="T380" s="14">
        <v>12</v>
      </c>
      <c r="U380" s="18">
        <v>14800</v>
      </c>
      <c r="V380" s="18">
        <v>5000</v>
      </c>
      <c r="W380" s="19">
        <v>5.7</v>
      </c>
      <c r="X380" s="18">
        <v>4715</v>
      </c>
      <c r="Y380" s="14" t="s">
        <v>5665</v>
      </c>
      <c r="Z380" s="14" t="s">
        <v>5666</v>
      </c>
      <c r="AA380" s="14" t="b">
        <v>0</v>
      </c>
      <c r="AB380" s="14" t="b">
        <v>0</v>
      </c>
      <c r="AC380" s="14" t="b">
        <v>0</v>
      </c>
    </row>
    <row r="381" spans="1:29">
      <c r="A381" s="14" t="s">
        <v>6210</v>
      </c>
      <c r="B381" s="14" t="s">
        <v>6153</v>
      </c>
      <c r="C381" s="14" t="s">
        <v>720</v>
      </c>
      <c r="D381" s="14" t="s">
        <v>1296</v>
      </c>
      <c r="E381" s="14" t="s">
        <v>69</v>
      </c>
      <c r="F381" s="14" t="s">
        <v>5668</v>
      </c>
      <c r="G381" s="14" t="s">
        <v>1295</v>
      </c>
      <c r="H381" s="15">
        <v>46257.375</v>
      </c>
      <c r="I381" s="14" t="s">
        <v>5691</v>
      </c>
      <c r="J381" s="14">
        <v>40</v>
      </c>
      <c r="K381" s="14" t="s">
        <v>5670</v>
      </c>
      <c r="L381" s="17">
        <v>46309</v>
      </c>
      <c r="M381" s="17"/>
      <c r="N381" s="14" t="s">
        <v>5801</v>
      </c>
      <c r="O381" s="17">
        <v>46283</v>
      </c>
      <c r="P381" s="14"/>
      <c r="Q381" s="18">
        <v>16000</v>
      </c>
      <c r="R381" s="19">
        <v>5.0999999999999996</v>
      </c>
      <c r="S381" s="18">
        <v>15184</v>
      </c>
      <c r="T381" s="14">
        <v>12</v>
      </c>
      <c r="U381" s="18">
        <v>15184</v>
      </c>
      <c r="V381" s="18">
        <v>5000</v>
      </c>
      <c r="W381" s="19">
        <v>0.6</v>
      </c>
      <c r="X381" s="18">
        <v>4970</v>
      </c>
      <c r="Y381" s="14" t="s">
        <v>5665</v>
      </c>
      <c r="Z381" s="14" t="s">
        <v>5666</v>
      </c>
      <c r="AA381" s="14" t="b">
        <v>0</v>
      </c>
      <c r="AB381" s="14" t="b">
        <v>0</v>
      </c>
      <c r="AC381" s="14" t="b">
        <v>0</v>
      </c>
    </row>
    <row r="382" spans="1:29">
      <c r="A382" s="14" t="s">
        <v>2187</v>
      </c>
      <c r="B382" s="14" t="s">
        <v>6211</v>
      </c>
      <c r="C382" s="14" t="s">
        <v>840</v>
      </c>
      <c r="D382" s="14" t="s">
        <v>2186</v>
      </c>
      <c r="E382" s="14" t="s">
        <v>91</v>
      </c>
      <c r="F382" s="14" t="s">
        <v>5668</v>
      </c>
      <c r="G382" s="14" t="s">
        <v>1317</v>
      </c>
      <c r="H382" s="15">
        <v>45547.699791666666</v>
      </c>
      <c r="I382" s="14" t="s">
        <v>5675</v>
      </c>
      <c r="J382" s="14">
        <v>0</v>
      </c>
      <c r="K382" s="14" t="s">
        <v>5664</v>
      </c>
      <c r="L382" s="17">
        <v>45578.699791666666</v>
      </c>
      <c r="M382" s="17">
        <v>45578.699791666666</v>
      </c>
      <c r="N382" s="14"/>
      <c r="O382" s="17">
        <v>45578.699791666666</v>
      </c>
      <c r="P382" s="14" t="s">
        <v>5769</v>
      </c>
      <c r="Q382" s="18">
        <v>16000</v>
      </c>
      <c r="R382" s="19">
        <v>11.4</v>
      </c>
      <c r="S382" s="18">
        <v>14176</v>
      </c>
      <c r="T382" s="14">
        <v>12</v>
      </c>
      <c r="U382" s="18">
        <v>14176</v>
      </c>
      <c r="V382" s="18">
        <v>5000</v>
      </c>
      <c r="W382" s="19">
        <v>1.7</v>
      </c>
      <c r="X382" s="18">
        <v>4915</v>
      </c>
      <c r="Y382" s="14" t="s">
        <v>5665</v>
      </c>
      <c r="Z382" s="14" t="s">
        <v>5666</v>
      </c>
      <c r="AA382" s="14" t="b">
        <v>0</v>
      </c>
      <c r="AB382" s="14" t="b">
        <v>0</v>
      </c>
      <c r="AC382" s="14" t="b">
        <v>1</v>
      </c>
    </row>
    <row r="383" spans="1:29">
      <c r="A383" s="14" t="s">
        <v>2432</v>
      </c>
      <c r="B383" s="14" t="s">
        <v>5848</v>
      </c>
      <c r="C383" s="14" t="s">
        <v>777</v>
      </c>
      <c r="D383" s="14" t="s">
        <v>2431</v>
      </c>
      <c r="E383" s="14" t="s">
        <v>25</v>
      </c>
      <c r="F383" s="14" t="s">
        <v>5668</v>
      </c>
      <c r="G383" s="14" t="s">
        <v>1295</v>
      </c>
      <c r="H383" s="15">
        <v>46013.557430555556</v>
      </c>
      <c r="I383" s="14" t="s">
        <v>5675</v>
      </c>
      <c r="J383" s="14">
        <v>0</v>
      </c>
      <c r="K383" s="14" t="s">
        <v>5664</v>
      </c>
      <c r="L383" s="17">
        <v>46052.557430555556</v>
      </c>
      <c r="M383" s="17">
        <v>46052.557430555556</v>
      </c>
      <c r="N383" s="14"/>
      <c r="O383" s="17">
        <v>46047.557430555556</v>
      </c>
      <c r="P383" s="14" t="s">
        <v>5769</v>
      </c>
      <c r="Q383" s="18">
        <v>30000</v>
      </c>
      <c r="R383" s="19">
        <v>5.9</v>
      </c>
      <c r="S383" s="18">
        <v>28230</v>
      </c>
      <c r="T383" s="14">
        <v>24</v>
      </c>
      <c r="U383" s="18">
        <v>56460</v>
      </c>
      <c r="V383" s="18">
        <v>10000</v>
      </c>
      <c r="W383" s="19">
        <v>3.9</v>
      </c>
      <c r="X383" s="18">
        <v>9610</v>
      </c>
      <c r="Y383" s="14" t="s">
        <v>5688</v>
      </c>
      <c r="Z383" s="14" t="s">
        <v>5666</v>
      </c>
      <c r="AA383" s="14" t="b">
        <v>0</v>
      </c>
      <c r="AB383" s="14" t="b">
        <v>0</v>
      </c>
      <c r="AC383" s="14" t="b">
        <v>1</v>
      </c>
    </row>
    <row r="384" spans="1:29">
      <c r="A384" s="14" t="s">
        <v>6212</v>
      </c>
      <c r="B384" s="14" t="s">
        <v>5683</v>
      </c>
      <c r="C384" s="14" t="s">
        <v>567</v>
      </c>
      <c r="D384" s="14" t="s">
        <v>6003</v>
      </c>
      <c r="E384" s="14" t="s">
        <v>69</v>
      </c>
      <c r="F384" s="14" t="s">
        <v>5668</v>
      </c>
      <c r="G384" s="14" t="s">
        <v>1281</v>
      </c>
      <c r="H384" s="15">
        <v>46260.375</v>
      </c>
      <c r="I384" s="14" t="s">
        <v>5686</v>
      </c>
      <c r="J384" s="14">
        <v>10</v>
      </c>
      <c r="K384" s="14" t="s">
        <v>5670</v>
      </c>
      <c r="L384" s="17">
        <v>46353</v>
      </c>
      <c r="M384" s="17"/>
      <c r="N384" s="14" t="s">
        <v>5767</v>
      </c>
      <c r="O384" s="17">
        <v>46267</v>
      </c>
      <c r="P384" s="14"/>
      <c r="Q384" s="18">
        <v>20000</v>
      </c>
      <c r="R384" s="19">
        <v>24.9</v>
      </c>
      <c r="S384" s="18">
        <v>15020</v>
      </c>
      <c r="T384" s="14">
        <v>12</v>
      </c>
      <c r="U384" s="18">
        <v>15020</v>
      </c>
      <c r="V384" s="18">
        <v>5000</v>
      </c>
      <c r="W384" s="19">
        <v>20.9</v>
      </c>
      <c r="X384" s="18">
        <v>3955</v>
      </c>
      <c r="Y384" s="14" t="s">
        <v>5665</v>
      </c>
      <c r="Z384" s="14" t="s">
        <v>5666</v>
      </c>
      <c r="AA384" s="14" t="b">
        <v>0</v>
      </c>
      <c r="AB384" s="14" t="b">
        <v>0</v>
      </c>
      <c r="AC384" s="14" t="b">
        <v>1</v>
      </c>
    </row>
    <row r="385" spans="1:29">
      <c r="A385" s="14" t="s">
        <v>6213</v>
      </c>
      <c r="B385" s="14" t="s">
        <v>5708</v>
      </c>
      <c r="C385" s="14" t="s">
        <v>476</v>
      </c>
      <c r="D385" s="14" t="s">
        <v>1844</v>
      </c>
      <c r="E385" s="14" t="s">
        <v>82</v>
      </c>
      <c r="F385" s="14" t="s">
        <v>5668</v>
      </c>
      <c r="G385" s="14" t="s">
        <v>1288</v>
      </c>
      <c r="H385" s="15">
        <v>46189</v>
      </c>
      <c r="I385" s="14" t="s">
        <v>5663</v>
      </c>
      <c r="J385" s="14">
        <v>100</v>
      </c>
      <c r="K385" s="14" t="s">
        <v>5664</v>
      </c>
      <c r="L385" s="17">
        <v>46262</v>
      </c>
      <c r="M385" s="17">
        <v>46276</v>
      </c>
      <c r="N385" s="14"/>
      <c r="O385" s="17">
        <v>46270</v>
      </c>
      <c r="P385" s="14"/>
      <c r="Q385" s="18">
        <v>50000</v>
      </c>
      <c r="R385" s="19">
        <v>10</v>
      </c>
      <c r="S385" s="18">
        <v>45000</v>
      </c>
      <c r="T385" s="14">
        <v>12</v>
      </c>
      <c r="U385" s="18">
        <v>45000</v>
      </c>
      <c r="V385" s="18">
        <v>10000</v>
      </c>
      <c r="W385" s="19">
        <v>4.8</v>
      </c>
      <c r="X385" s="18">
        <v>9520</v>
      </c>
      <c r="Y385" s="14" t="s">
        <v>5665</v>
      </c>
      <c r="Z385" s="14" t="s">
        <v>5666</v>
      </c>
      <c r="AA385" s="14" t="b">
        <v>0</v>
      </c>
      <c r="AB385" s="14" t="b">
        <v>0</v>
      </c>
      <c r="AC385" s="14" t="b">
        <v>0</v>
      </c>
    </row>
    <row r="386" spans="1:29">
      <c r="A386" s="14" t="s">
        <v>6214</v>
      </c>
      <c r="B386" s="14" t="s">
        <v>6215</v>
      </c>
      <c r="C386" s="14" t="s">
        <v>882</v>
      </c>
      <c r="D386" s="14" t="s">
        <v>6216</v>
      </c>
      <c r="E386" s="14" t="s">
        <v>18</v>
      </c>
      <c r="F386" s="14" t="s">
        <v>5662</v>
      </c>
      <c r="G386" s="14" t="s">
        <v>1281</v>
      </c>
      <c r="H386" s="15">
        <v>45987.761134259257</v>
      </c>
      <c r="I386" s="14" t="s">
        <v>5663</v>
      </c>
      <c r="J386" s="14">
        <v>100</v>
      </c>
      <c r="K386" s="14" t="s">
        <v>5664</v>
      </c>
      <c r="L386" s="17">
        <v>46083.761134259257</v>
      </c>
      <c r="M386" s="17">
        <v>46097.761134259257</v>
      </c>
      <c r="N386" s="14"/>
      <c r="O386" s="17">
        <v>46090.761134259257</v>
      </c>
      <c r="P386" s="14"/>
      <c r="Q386" s="18">
        <v>20000</v>
      </c>
      <c r="R386" s="19">
        <v>5.8</v>
      </c>
      <c r="S386" s="18">
        <v>18840</v>
      </c>
      <c r="T386" s="14">
        <v>24</v>
      </c>
      <c r="U386" s="18">
        <v>37680</v>
      </c>
      <c r="V386" s="18">
        <v>0</v>
      </c>
      <c r="W386" s="19">
        <v>0</v>
      </c>
      <c r="X386" s="18">
        <v>0</v>
      </c>
      <c r="Y386" s="14" t="s">
        <v>5665</v>
      </c>
      <c r="Z386" s="14" t="s">
        <v>5693</v>
      </c>
      <c r="AA386" s="14" t="b">
        <v>0</v>
      </c>
      <c r="AB386" s="14" t="b">
        <v>0</v>
      </c>
      <c r="AC386" s="14" t="b">
        <v>1</v>
      </c>
    </row>
    <row r="387" spans="1:29">
      <c r="A387" s="14" t="s">
        <v>2244</v>
      </c>
      <c r="B387" s="14" t="s">
        <v>6083</v>
      </c>
      <c r="C387" s="14" t="s">
        <v>409</v>
      </c>
      <c r="D387" s="14" t="s">
        <v>2243</v>
      </c>
      <c r="E387" s="14"/>
      <c r="F387" s="14" t="s">
        <v>5668</v>
      </c>
      <c r="G387" s="14" t="s">
        <v>1339</v>
      </c>
      <c r="H387" s="15">
        <v>46178.84337962963</v>
      </c>
      <c r="I387" s="14" t="s">
        <v>5725</v>
      </c>
      <c r="J387" s="14">
        <v>90</v>
      </c>
      <c r="K387" s="14" t="s">
        <v>5670</v>
      </c>
      <c r="L387" s="17">
        <v>46306</v>
      </c>
      <c r="M387" s="17"/>
      <c r="N387" s="14" t="s">
        <v>5726</v>
      </c>
      <c r="O387" s="17">
        <v>46233</v>
      </c>
      <c r="P387" s="14"/>
      <c r="Q387" s="18">
        <v>22000</v>
      </c>
      <c r="R387" s="19">
        <v>24.7</v>
      </c>
      <c r="S387" s="18">
        <v>16566</v>
      </c>
      <c r="T387" s="14">
        <v>12</v>
      </c>
      <c r="U387" s="18">
        <v>16566</v>
      </c>
      <c r="V387" s="18">
        <v>5000</v>
      </c>
      <c r="W387" s="19">
        <v>15.2</v>
      </c>
      <c r="X387" s="18">
        <v>4240</v>
      </c>
      <c r="Y387" s="14" t="s">
        <v>5665</v>
      </c>
      <c r="Z387" s="14" t="s">
        <v>5666</v>
      </c>
      <c r="AA387" s="14" t="b">
        <v>0</v>
      </c>
      <c r="AB387" s="14" t="b">
        <v>0</v>
      </c>
      <c r="AC387" s="14" t="b">
        <v>1</v>
      </c>
    </row>
    <row r="388" spans="1:29">
      <c r="A388" s="14" t="s">
        <v>6217</v>
      </c>
      <c r="B388" s="14" t="s">
        <v>6218</v>
      </c>
      <c r="C388" s="14" t="s">
        <v>428</v>
      </c>
      <c r="D388" s="14" t="s">
        <v>6219</v>
      </c>
      <c r="E388" s="14" t="s">
        <v>36</v>
      </c>
      <c r="F388" s="14" t="s">
        <v>5662</v>
      </c>
      <c r="G388" s="14" t="s">
        <v>1355</v>
      </c>
      <c r="H388" s="15">
        <v>45406.835416666669</v>
      </c>
      <c r="I388" s="14" t="s">
        <v>5663</v>
      </c>
      <c r="J388" s="14">
        <v>100</v>
      </c>
      <c r="K388" s="14" t="s">
        <v>5664</v>
      </c>
      <c r="L388" s="17">
        <v>45455.835416666669</v>
      </c>
      <c r="M388" s="17">
        <v>45485.835416666669</v>
      </c>
      <c r="N388" s="14"/>
      <c r="O388" s="17">
        <v>45482.835416666669</v>
      </c>
      <c r="P388" s="14"/>
      <c r="Q388" s="18">
        <v>18000</v>
      </c>
      <c r="R388" s="19">
        <v>7.8</v>
      </c>
      <c r="S388" s="18">
        <v>16596</v>
      </c>
      <c r="T388" s="14">
        <v>12</v>
      </c>
      <c r="U388" s="18">
        <v>16596</v>
      </c>
      <c r="V388" s="18">
        <v>0</v>
      </c>
      <c r="W388" s="19">
        <v>0</v>
      </c>
      <c r="X388" s="18">
        <v>0</v>
      </c>
      <c r="Y388" s="14" t="s">
        <v>5665</v>
      </c>
      <c r="Z388" s="14" t="s">
        <v>5693</v>
      </c>
      <c r="AA388" s="14" t="b">
        <v>0</v>
      </c>
      <c r="AB388" s="14" t="b">
        <v>0</v>
      </c>
      <c r="AC388" s="14" t="b">
        <v>1</v>
      </c>
    </row>
    <row r="389" spans="1:29">
      <c r="A389" s="14" t="s">
        <v>6220</v>
      </c>
      <c r="B389" s="14" t="s">
        <v>6081</v>
      </c>
      <c r="C389" s="14" t="s">
        <v>189</v>
      </c>
      <c r="D389" s="14" t="s">
        <v>1449</v>
      </c>
      <c r="E389" s="14" t="s">
        <v>18</v>
      </c>
      <c r="F389" s="14" t="s">
        <v>5668</v>
      </c>
      <c r="G389" s="14" t="s">
        <v>1281</v>
      </c>
      <c r="H389" s="15">
        <v>46233</v>
      </c>
      <c r="I389" s="14" t="s">
        <v>5740</v>
      </c>
      <c r="J389" s="14">
        <v>80</v>
      </c>
      <c r="K389" s="14" t="s">
        <v>5679</v>
      </c>
      <c r="L389" s="17">
        <v>46308</v>
      </c>
      <c r="M389" s="17"/>
      <c r="N389" s="14" t="s">
        <v>5749</v>
      </c>
      <c r="O389" s="17">
        <v>46267</v>
      </c>
      <c r="P389" s="14"/>
      <c r="Q389" s="18">
        <v>12000</v>
      </c>
      <c r="R389" s="19">
        <v>6.6</v>
      </c>
      <c r="S389" s="18">
        <v>11208</v>
      </c>
      <c r="T389" s="14">
        <v>12</v>
      </c>
      <c r="U389" s="18">
        <v>11208</v>
      </c>
      <c r="V389" s="18">
        <v>5000</v>
      </c>
      <c r="W389" s="19">
        <v>4</v>
      </c>
      <c r="X389" s="18">
        <v>4800</v>
      </c>
      <c r="Y389" s="14" t="s">
        <v>5665</v>
      </c>
      <c r="Z389" s="14" t="s">
        <v>5666</v>
      </c>
      <c r="AA389" s="14" t="b">
        <v>1</v>
      </c>
      <c r="AB389" s="14" t="b">
        <v>0</v>
      </c>
      <c r="AC389" s="14" t="b">
        <v>0</v>
      </c>
    </row>
    <row r="390" spans="1:29">
      <c r="A390" s="14" t="s">
        <v>1388</v>
      </c>
      <c r="B390" s="14" t="s">
        <v>6221</v>
      </c>
      <c r="C390" s="14" t="s">
        <v>482</v>
      </c>
      <c r="D390" s="14" t="s">
        <v>1387</v>
      </c>
      <c r="E390" s="14" t="s">
        <v>59</v>
      </c>
      <c r="F390" s="14" t="s">
        <v>5668</v>
      </c>
      <c r="G390" s="14" t="s">
        <v>1317</v>
      </c>
      <c r="H390" s="15">
        <v>45577.124490740738</v>
      </c>
      <c r="I390" s="14" t="s">
        <v>5675</v>
      </c>
      <c r="J390" s="14">
        <v>0</v>
      </c>
      <c r="K390" s="14" t="s">
        <v>5664</v>
      </c>
      <c r="L390" s="17">
        <v>45626.124490740738</v>
      </c>
      <c r="M390" s="17">
        <v>45612.124490740738</v>
      </c>
      <c r="N390" s="14"/>
      <c r="O390" s="17">
        <v>45611.124490740738</v>
      </c>
      <c r="P390" s="14" t="s">
        <v>5702</v>
      </c>
      <c r="Q390" s="18">
        <v>42000</v>
      </c>
      <c r="R390" s="19">
        <v>5</v>
      </c>
      <c r="S390" s="18">
        <v>39900</v>
      </c>
      <c r="T390" s="14">
        <v>24</v>
      </c>
      <c r="U390" s="18">
        <v>79800</v>
      </c>
      <c r="V390" s="18">
        <v>10000</v>
      </c>
      <c r="W390" s="19">
        <v>1.6</v>
      </c>
      <c r="X390" s="18">
        <v>9840</v>
      </c>
      <c r="Y390" s="14" t="s">
        <v>5665</v>
      </c>
      <c r="Z390" s="14" t="s">
        <v>5666</v>
      </c>
      <c r="AA390" s="14" t="b">
        <v>0</v>
      </c>
      <c r="AB390" s="14" t="b">
        <v>0</v>
      </c>
      <c r="AC390" s="14" t="b">
        <v>0</v>
      </c>
    </row>
    <row r="391" spans="1:29">
      <c r="A391" s="14" t="s">
        <v>6222</v>
      </c>
      <c r="B391" s="14" t="s">
        <v>6223</v>
      </c>
      <c r="C391" s="14" t="s">
        <v>193</v>
      </c>
      <c r="D391" s="14" t="s">
        <v>1877</v>
      </c>
      <c r="E391" s="14" t="s">
        <v>25</v>
      </c>
      <c r="F391" s="14" t="s">
        <v>5662</v>
      </c>
      <c r="G391" s="14"/>
      <c r="H391" s="15">
        <v>45957.07236111111</v>
      </c>
      <c r="I391" s="14" t="s">
        <v>5663</v>
      </c>
      <c r="J391" s="14">
        <v>100</v>
      </c>
      <c r="K391" s="14" t="s">
        <v>5664</v>
      </c>
      <c r="L391" s="17">
        <v>46000.07236111111</v>
      </c>
      <c r="M391" s="17">
        <v>45986.07236111111</v>
      </c>
      <c r="N391" s="14"/>
      <c r="O391" s="17">
        <v>45982.07236111111</v>
      </c>
      <c r="P391" s="14"/>
      <c r="Q391" s="18">
        <v>8000</v>
      </c>
      <c r="R391" s="19">
        <v>7.2</v>
      </c>
      <c r="S391" s="18">
        <v>7424</v>
      </c>
      <c r="T391" s="14">
        <v>12</v>
      </c>
      <c r="U391" s="18">
        <v>7424</v>
      </c>
      <c r="V391" s="18">
        <v>0</v>
      </c>
      <c r="W391" s="19">
        <v>0</v>
      </c>
      <c r="X391" s="18">
        <v>0</v>
      </c>
      <c r="Y391" s="14" t="s">
        <v>5665</v>
      </c>
      <c r="Z391" s="14" t="s">
        <v>5693</v>
      </c>
      <c r="AA391" s="14" t="b">
        <v>0</v>
      </c>
      <c r="AB391" s="14" t="b">
        <v>0</v>
      </c>
      <c r="AC391" s="14" t="b">
        <v>1</v>
      </c>
    </row>
    <row r="392" spans="1:29">
      <c r="A392" s="14" t="s">
        <v>6224</v>
      </c>
      <c r="B392" s="14" t="s">
        <v>6225</v>
      </c>
      <c r="C392" s="14" t="s">
        <v>172</v>
      </c>
      <c r="D392" s="14" t="s">
        <v>6226</v>
      </c>
      <c r="E392" s="14" t="s">
        <v>82</v>
      </c>
      <c r="F392" s="14" t="s">
        <v>5668</v>
      </c>
      <c r="G392" s="14"/>
      <c r="H392" s="15">
        <v>46252.458333333336</v>
      </c>
      <c r="I392" s="14" t="s">
        <v>5681</v>
      </c>
      <c r="J392" s="14">
        <v>25</v>
      </c>
      <c r="K392" s="14" t="s">
        <v>5670</v>
      </c>
      <c r="L392" s="17">
        <v>46318</v>
      </c>
      <c r="M392" s="17"/>
      <c r="N392" s="14" t="s">
        <v>5699</v>
      </c>
      <c r="O392" s="17">
        <v>46269</v>
      </c>
      <c r="P392" s="14"/>
      <c r="Q392" s="18">
        <v>50000</v>
      </c>
      <c r="R392" s="19">
        <v>24.3</v>
      </c>
      <c r="S392" s="18">
        <v>37850</v>
      </c>
      <c r="T392" s="14">
        <v>12</v>
      </c>
      <c r="U392" s="18">
        <v>37850</v>
      </c>
      <c r="V392" s="18">
        <v>10000</v>
      </c>
      <c r="W392" s="19">
        <v>26.1</v>
      </c>
      <c r="X392" s="18">
        <v>7390</v>
      </c>
      <c r="Y392" s="14" t="s">
        <v>5665</v>
      </c>
      <c r="Z392" s="14" t="s">
        <v>5666</v>
      </c>
      <c r="AA392" s="14" t="b">
        <v>0</v>
      </c>
      <c r="AB392" s="14" t="b">
        <v>0</v>
      </c>
      <c r="AC392" s="14" t="b">
        <v>1</v>
      </c>
    </row>
    <row r="393" spans="1:29">
      <c r="A393" s="14" t="s">
        <v>2549</v>
      </c>
      <c r="B393" s="14" t="s">
        <v>5856</v>
      </c>
      <c r="C393" s="14" t="s">
        <v>395</v>
      </c>
      <c r="D393" s="14" t="s">
        <v>2548</v>
      </c>
      <c r="E393" s="14" t="s">
        <v>25</v>
      </c>
      <c r="F393" s="14" t="s">
        <v>5668</v>
      </c>
      <c r="G393" s="14" t="s">
        <v>1355</v>
      </c>
      <c r="H393" s="15">
        <v>46187.471562500003</v>
      </c>
      <c r="I393" s="14" t="s">
        <v>5725</v>
      </c>
      <c r="J393" s="14">
        <v>90</v>
      </c>
      <c r="K393" s="14" t="s">
        <v>5725</v>
      </c>
      <c r="L393" s="17">
        <v>46303</v>
      </c>
      <c r="M393" s="17"/>
      <c r="N393" s="14" t="s">
        <v>5753</v>
      </c>
      <c r="O393" s="17">
        <v>46283</v>
      </c>
      <c r="P393" s="14"/>
      <c r="Q393" s="18">
        <v>24000</v>
      </c>
      <c r="R393" s="19">
        <v>2.5</v>
      </c>
      <c r="S393" s="18">
        <v>23400</v>
      </c>
      <c r="T393" s="14">
        <v>12</v>
      </c>
      <c r="U393" s="18">
        <v>23400</v>
      </c>
      <c r="V393" s="18">
        <v>5000</v>
      </c>
      <c r="W393" s="19">
        <v>16.3</v>
      </c>
      <c r="X393" s="18">
        <v>4185</v>
      </c>
      <c r="Y393" s="14" t="s">
        <v>5665</v>
      </c>
      <c r="Z393" s="14" t="s">
        <v>5666</v>
      </c>
      <c r="AA393" s="14" t="b">
        <v>0</v>
      </c>
      <c r="AB393" s="14" t="b">
        <v>0</v>
      </c>
      <c r="AC393" s="14" t="b">
        <v>0</v>
      </c>
    </row>
    <row r="394" spans="1:29">
      <c r="A394" s="14" t="s">
        <v>6227</v>
      </c>
      <c r="B394" s="14" t="s">
        <v>6136</v>
      </c>
      <c r="C394" s="14" t="s">
        <v>524</v>
      </c>
      <c r="D394" s="14" t="s">
        <v>6228</v>
      </c>
      <c r="E394" s="14" t="s">
        <v>36</v>
      </c>
      <c r="F394" s="14" t="s">
        <v>5668</v>
      </c>
      <c r="G394" s="14" t="s">
        <v>1288</v>
      </c>
      <c r="H394" s="15">
        <v>46067.27008101852</v>
      </c>
      <c r="I394" s="14" t="s">
        <v>5663</v>
      </c>
      <c r="J394" s="14">
        <v>100</v>
      </c>
      <c r="K394" s="14" t="s">
        <v>5664</v>
      </c>
      <c r="L394" s="17">
        <v>46155.27008101852</v>
      </c>
      <c r="M394" s="17">
        <v>46155.27008101852</v>
      </c>
      <c r="N394" s="14"/>
      <c r="O394" s="17">
        <v>46154.27008101852</v>
      </c>
      <c r="P394" s="14"/>
      <c r="Q394" s="18">
        <v>78000</v>
      </c>
      <c r="R394" s="19">
        <v>8.1</v>
      </c>
      <c r="S394" s="18">
        <v>71682</v>
      </c>
      <c r="T394" s="14">
        <v>24</v>
      </c>
      <c r="U394" s="18">
        <v>143364</v>
      </c>
      <c r="V394" s="18">
        <v>20000</v>
      </c>
      <c r="W394" s="19">
        <v>7.9</v>
      </c>
      <c r="X394" s="18">
        <v>18420</v>
      </c>
      <c r="Y394" s="14" t="s">
        <v>5665</v>
      </c>
      <c r="Z394" s="14" t="s">
        <v>5666</v>
      </c>
      <c r="AA394" s="14" t="b">
        <v>0</v>
      </c>
      <c r="AB394" s="14" t="b">
        <v>0</v>
      </c>
      <c r="AC394" s="14" t="b">
        <v>0</v>
      </c>
    </row>
    <row r="395" spans="1:29">
      <c r="A395" s="14" t="s">
        <v>2460</v>
      </c>
      <c r="B395" s="14" t="s">
        <v>5859</v>
      </c>
      <c r="C395" s="14" t="s">
        <v>766</v>
      </c>
      <c r="D395" s="14" t="s">
        <v>2459</v>
      </c>
      <c r="E395" s="14" t="s">
        <v>91</v>
      </c>
      <c r="F395" s="14" t="s">
        <v>5668</v>
      </c>
      <c r="G395" s="14" t="s">
        <v>1281</v>
      </c>
      <c r="H395" s="15">
        <v>46277.998148148145</v>
      </c>
      <c r="I395" s="14" t="s">
        <v>5740</v>
      </c>
      <c r="J395" s="14">
        <v>80</v>
      </c>
      <c r="K395" s="14" t="s">
        <v>5679</v>
      </c>
      <c r="L395" s="17">
        <v>46318</v>
      </c>
      <c r="M395" s="17"/>
      <c r="N395" s="14" t="s">
        <v>5741</v>
      </c>
      <c r="O395" s="17">
        <v>46266</v>
      </c>
      <c r="P395" s="14"/>
      <c r="Q395" s="18">
        <v>16000</v>
      </c>
      <c r="R395" s="19">
        <v>5.8</v>
      </c>
      <c r="S395" s="18">
        <v>15072</v>
      </c>
      <c r="T395" s="14">
        <v>12</v>
      </c>
      <c r="U395" s="18">
        <v>15072</v>
      </c>
      <c r="V395" s="18">
        <v>5000</v>
      </c>
      <c r="W395" s="19">
        <v>19.7</v>
      </c>
      <c r="X395" s="18">
        <v>4015</v>
      </c>
      <c r="Y395" s="14" t="s">
        <v>5665</v>
      </c>
      <c r="Z395" s="14" t="s">
        <v>5666</v>
      </c>
      <c r="AA395" s="14" t="b">
        <v>0</v>
      </c>
      <c r="AB395" s="14" t="b">
        <v>0</v>
      </c>
      <c r="AC395" s="14" t="b">
        <v>0</v>
      </c>
    </row>
    <row r="396" spans="1:29">
      <c r="A396" s="14" t="s">
        <v>6229</v>
      </c>
      <c r="B396" s="14" t="s">
        <v>6230</v>
      </c>
      <c r="C396" s="14" t="s">
        <v>642</v>
      </c>
      <c r="D396" s="14" t="s">
        <v>2007</v>
      </c>
      <c r="E396" s="14" t="s">
        <v>25</v>
      </c>
      <c r="F396" s="14" t="s">
        <v>5668</v>
      </c>
      <c r="G396" s="14" t="s">
        <v>1413</v>
      </c>
      <c r="H396" s="15">
        <v>46271.333333333336</v>
      </c>
      <c r="I396" s="14" t="s">
        <v>5686</v>
      </c>
      <c r="J396" s="14">
        <v>10</v>
      </c>
      <c r="K396" s="14" t="s">
        <v>5670</v>
      </c>
      <c r="L396" s="17">
        <v>46287</v>
      </c>
      <c r="M396" s="17"/>
      <c r="N396" s="14" t="s">
        <v>5767</v>
      </c>
      <c r="O396" s="17">
        <v>46277</v>
      </c>
      <c r="P396" s="14"/>
      <c r="Q396" s="18">
        <v>30000</v>
      </c>
      <c r="R396" s="19">
        <v>4.5</v>
      </c>
      <c r="S396" s="18">
        <v>28650</v>
      </c>
      <c r="T396" s="14">
        <v>24</v>
      </c>
      <c r="U396" s="18">
        <v>57300</v>
      </c>
      <c r="V396" s="18">
        <v>10000</v>
      </c>
      <c r="W396" s="19">
        <v>1.6</v>
      </c>
      <c r="X396" s="18">
        <v>9840</v>
      </c>
      <c r="Y396" s="14" t="s">
        <v>5665</v>
      </c>
      <c r="Z396" s="14" t="s">
        <v>5666</v>
      </c>
      <c r="AA396" s="14" t="b">
        <v>0</v>
      </c>
      <c r="AB396" s="14" t="b">
        <v>0</v>
      </c>
      <c r="AC396" s="14" t="b">
        <v>0</v>
      </c>
    </row>
    <row r="397" spans="1:29">
      <c r="A397" s="14" t="s">
        <v>6231</v>
      </c>
      <c r="B397" s="14" t="s">
        <v>6232</v>
      </c>
      <c r="C397" s="14" t="s">
        <v>459</v>
      </c>
      <c r="D397" s="14" t="s">
        <v>6233</v>
      </c>
      <c r="E397" s="14" t="s">
        <v>25</v>
      </c>
      <c r="F397" s="14" t="s">
        <v>5668</v>
      </c>
      <c r="G397" s="14" t="s">
        <v>1295</v>
      </c>
      <c r="H397" s="15">
        <v>46279.875</v>
      </c>
      <c r="I397" s="14" t="s">
        <v>5686</v>
      </c>
      <c r="J397" s="14">
        <v>10</v>
      </c>
      <c r="K397" s="14" t="s">
        <v>5670</v>
      </c>
      <c r="L397" s="17">
        <v>46354</v>
      </c>
      <c r="M397" s="17"/>
      <c r="N397" s="14" t="s">
        <v>5862</v>
      </c>
      <c r="O397" s="17">
        <v>46254</v>
      </c>
      <c r="P397" s="14"/>
      <c r="Q397" s="18">
        <v>30000</v>
      </c>
      <c r="R397" s="19">
        <v>5.4</v>
      </c>
      <c r="S397" s="18">
        <v>28380</v>
      </c>
      <c r="T397" s="14">
        <v>12</v>
      </c>
      <c r="U397" s="18">
        <v>28380</v>
      </c>
      <c r="V397" s="18">
        <v>10000</v>
      </c>
      <c r="W397" s="19">
        <v>7.6</v>
      </c>
      <c r="X397" s="18">
        <v>9240</v>
      </c>
      <c r="Y397" s="14" t="s">
        <v>5665</v>
      </c>
      <c r="Z397" s="14" t="s">
        <v>5666</v>
      </c>
      <c r="AA397" s="14" t="b">
        <v>1</v>
      </c>
      <c r="AB397" s="14" t="b">
        <v>0</v>
      </c>
      <c r="AC397" s="14" t="b">
        <v>1</v>
      </c>
    </row>
    <row r="398" spans="1:29">
      <c r="A398" s="14" t="s">
        <v>2134</v>
      </c>
      <c r="B398" s="14" t="s">
        <v>6107</v>
      </c>
      <c r="C398" s="14" t="s">
        <v>688</v>
      </c>
      <c r="D398" s="14" t="s">
        <v>2133</v>
      </c>
      <c r="E398" s="14" t="s">
        <v>82</v>
      </c>
      <c r="F398" s="14" t="s">
        <v>5668</v>
      </c>
      <c r="G398" s="14" t="s">
        <v>1271</v>
      </c>
      <c r="H398" s="15">
        <v>45166.105925925927</v>
      </c>
      <c r="I398" s="14" t="s">
        <v>5675</v>
      </c>
      <c r="J398" s="14">
        <v>0</v>
      </c>
      <c r="K398" s="14" t="s">
        <v>5664</v>
      </c>
      <c r="L398" s="17">
        <v>45248.105925925927</v>
      </c>
      <c r="M398" s="17">
        <v>45248.105925925927</v>
      </c>
      <c r="N398" s="14"/>
      <c r="O398" s="17">
        <v>45247.105925925927</v>
      </c>
      <c r="P398" s="14" t="s">
        <v>5676</v>
      </c>
      <c r="Q398" s="18">
        <v>60000</v>
      </c>
      <c r="R398" s="19">
        <v>9.6</v>
      </c>
      <c r="S398" s="18">
        <v>54240</v>
      </c>
      <c r="T398" s="14">
        <v>12</v>
      </c>
      <c r="U398" s="18">
        <v>54240</v>
      </c>
      <c r="V398" s="18">
        <v>20000</v>
      </c>
      <c r="W398" s="19">
        <v>3.8</v>
      </c>
      <c r="X398" s="18">
        <v>19240</v>
      </c>
      <c r="Y398" s="14" t="s">
        <v>5665</v>
      </c>
      <c r="Z398" s="14" t="s">
        <v>5666</v>
      </c>
      <c r="AA398" s="14" t="b">
        <v>0</v>
      </c>
      <c r="AB398" s="14" t="b">
        <v>0</v>
      </c>
      <c r="AC398" s="14" t="b">
        <v>0</v>
      </c>
    </row>
    <row r="399" spans="1:29">
      <c r="A399" s="14" t="s">
        <v>6234</v>
      </c>
      <c r="B399" s="14" t="s">
        <v>5765</v>
      </c>
      <c r="C399" s="14" t="s">
        <v>158</v>
      </c>
      <c r="D399" s="14" t="s">
        <v>5766</v>
      </c>
      <c r="E399" s="14" t="s">
        <v>59</v>
      </c>
      <c r="F399" s="14" t="s">
        <v>5668</v>
      </c>
      <c r="G399" s="14" t="s">
        <v>1295</v>
      </c>
      <c r="H399" s="15">
        <v>46276.875</v>
      </c>
      <c r="I399" s="14" t="s">
        <v>5681</v>
      </c>
      <c r="J399" s="14">
        <v>25</v>
      </c>
      <c r="K399" s="14" t="s">
        <v>5670</v>
      </c>
      <c r="L399" s="17">
        <v>46362</v>
      </c>
      <c r="M399" s="17"/>
      <c r="N399" s="14" t="s">
        <v>5713</v>
      </c>
      <c r="O399" s="17">
        <v>46273</v>
      </c>
      <c r="P399" s="14"/>
      <c r="Q399" s="18">
        <v>48000</v>
      </c>
      <c r="R399" s="19">
        <v>2</v>
      </c>
      <c r="S399" s="18">
        <v>47040</v>
      </c>
      <c r="T399" s="14">
        <v>12</v>
      </c>
      <c r="U399" s="18">
        <v>47040</v>
      </c>
      <c r="V399" s="18">
        <v>10000</v>
      </c>
      <c r="W399" s="19">
        <v>12.1</v>
      </c>
      <c r="X399" s="18">
        <v>8790</v>
      </c>
      <c r="Y399" s="14" t="s">
        <v>5665</v>
      </c>
      <c r="Z399" s="14" t="s">
        <v>5666</v>
      </c>
      <c r="AA399" s="14" t="b">
        <v>0</v>
      </c>
      <c r="AB399" s="14" t="b">
        <v>0</v>
      </c>
      <c r="AC399" s="14" t="b">
        <v>0</v>
      </c>
    </row>
    <row r="400" spans="1:29">
      <c r="A400" s="14" t="s">
        <v>6235</v>
      </c>
      <c r="B400" s="14" t="s">
        <v>6236</v>
      </c>
      <c r="C400" s="14" t="s">
        <v>243</v>
      </c>
      <c r="D400" s="14" t="s">
        <v>2194</v>
      </c>
      <c r="E400" s="14" t="s">
        <v>25</v>
      </c>
      <c r="F400" s="14" t="s">
        <v>5668</v>
      </c>
      <c r="G400" s="14" t="s">
        <v>1317</v>
      </c>
      <c r="H400" s="15">
        <v>46249.958333333336</v>
      </c>
      <c r="I400" s="14" t="s">
        <v>5681</v>
      </c>
      <c r="J400" s="14">
        <v>25</v>
      </c>
      <c r="K400" s="14" t="s">
        <v>5670</v>
      </c>
      <c r="L400" s="17">
        <v>46245</v>
      </c>
      <c r="M400" s="17"/>
      <c r="N400" s="14" t="s">
        <v>5682</v>
      </c>
      <c r="O400" s="17">
        <v>46268</v>
      </c>
      <c r="P400" s="14"/>
      <c r="Q400" s="18">
        <v>18000</v>
      </c>
      <c r="R400" s="19">
        <v>22.3</v>
      </c>
      <c r="S400" s="18">
        <v>13986</v>
      </c>
      <c r="T400" s="14">
        <v>12</v>
      </c>
      <c r="U400" s="18">
        <v>13986</v>
      </c>
      <c r="V400" s="18">
        <v>5000</v>
      </c>
      <c r="W400" s="19">
        <v>11.5</v>
      </c>
      <c r="X400" s="18">
        <v>4425</v>
      </c>
      <c r="Y400" s="14" t="s">
        <v>5665</v>
      </c>
      <c r="Z400" s="14" t="s">
        <v>5666</v>
      </c>
      <c r="AA400" s="14" t="b">
        <v>0</v>
      </c>
      <c r="AB400" s="14" t="b">
        <v>0</v>
      </c>
      <c r="AC400" s="14" t="b">
        <v>1</v>
      </c>
    </row>
    <row r="401" spans="1:29">
      <c r="A401" s="14" t="s">
        <v>6237</v>
      </c>
      <c r="B401" s="14" t="s">
        <v>6238</v>
      </c>
      <c r="C401" s="14" t="s">
        <v>131</v>
      </c>
      <c r="D401" s="14" t="s">
        <v>6239</v>
      </c>
      <c r="E401" s="14" t="s">
        <v>82</v>
      </c>
      <c r="F401" s="14" t="s">
        <v>5668</v>
      </c>
      <c r="G401" s="14" t="s">
        <v>1317</v>
      </c>
      <c r="H401" s="15">
        <v>46234.916666666664</v>
      </c>
      <c r="I401" s="14" t="s">
        <v>5691</v>
      </c>
      <c r="J401" s="14">
        <v>40</v>
      </c>
      <c r="K401" s="14" t="s">
        <v>5670</v>
      </c>
      <c r="L401" s="17">
        <v>46344</v>
      </c>
      <c r="M401" s="17"/>
      <c r="N401" s="14" t="s">
        <v>5692</v>
      </c>
      <c r="O401" s="17">
        <v>46226</v>
      </c>
      <c r="P401" s="14"/>
      <c r="Q401" s="18">
        <v>40000</v>
      </c>
      <c r="R401" s="19">
        <v>0.4</v>
      </c>
      <c r="S401" s="18">
        <v>39840</v>
      </c>
      <c r="T401" s="14">
        <v>12</v>
      </c>
      <c r="U401" s="18">
        <v>39840</v>
      </c>
      <c r="V401" s="18">
        <v>10000</v>
      </c>
      <c r="W401" s="19">
        <v>1.1000000000000001</v>
      </c>
      <c r="X401" s="18">
        <v>9890</v>
      </c>
      <c r="Y401" s="14" t="s">
        <v>5665</v>
      </c>
      <c r="Z401" s="14" t="s">
        <v>5666</v>
      </c>
      <c r="AA401" s="14" t="b">
        <v>1</v>
      </c>
      <c r="AB401" s="14" t="b">
        <v>0</v>
      </c>
      <c r="AC401" s="14" t="b">
        <v>1</v>
      </c>
    </row>
    <row r="402" spans="1:29">
      <c r="A402" s="14" t="s">
        <v>1851</v>
      </c>
      <c r="B402" s="14" t="s">
        <v>6240</v>
      </c>
      <c r="C402" s="14" t="s">
        <v>882</v>
      </c>
      <c r="D402" s="14" t="s">
        <v>1850</v>
      </c>
      <c r="E402" s="14" t="s">
        <v>18</v>
      </c>
      <c r="F402" s="14" t="s">
        <v>5668</v>
      </c>
      <c r="G402" s="14"/>
      <c r="H402" s="15">
        <v>45644.846400462964</v>
      </c>
      <c r="I402" s="14" t="s">
        <v>5675</v>
      </c>
      <c r="J402" s="14">
        <v>0</v>
      </c>
      <c r="K402" s="14" t="s">
        <v>5664</v>
      </c>
      <c r="L402" s="17">
        <v>45725.846400462964</v>
      </c>
      <c r="M402" s="17">
        <v>45755.846400462964</v>
      </c>
      <c r="N402" s="14"/>
      <c r="O402" s="17">
        <v>45748.846400462964</v>
      </c>
      <c r="P402" s="14" t="s">
        <v>5703</v>
      </c>
      <c r="Q402" s="18">
        <v>80000</v>
      </c>
      <c r="R402" s="19">
        <v>5.2</v>
      </c>
      <c r="S402" s="18">
        <v>75840</v>
      </c>
      <c r="T402" s="14">
        <v>12</v>
      </c>
      <c r="U402" s="18">
        <v>75840</v>
      </c>
      <c r="V402" s="18">
        <v>20000</v>
      </c>
      <c r="W402" s="19">
        <v>8</v>
      </c>
      <c r="X402" s="18">
        <v>18400</v>
      </c>
      <c r="Y402" s="14" t="s">
        <v>5735</v>
      </c>
      <c r="Z402" s="14" t="s">
        <v>5666</v>
      </c>
      <c r="AA402" s="14" t="b">
        <v>0</v>
      </c>
      <c r="AB402" s="14" t="b">
        <v>0</v>
      </c>
      <c r="AC402" s="14" t="b">
        <v>1</v>
      </c>
    </row>
    <row r="403" spans="1:29">
      <c r="A403" s="14" t="s">
        <v>6241</v>
      </c>
      <c r="B403" s="14" t="s">
        <v>6242</v>
      </c>
      <c r="C403" s="14" t="s">
        <v>189</v>
      </c>
      <c r="D403" s="14" t="s">
        <v>1449</v>
      </c>
      <c r="E403" s="14"/>
      <c r="F403" s="14" t="s">
        <v>5662</v>
      </c>
      <c r="G403" s="14" t="s">
        <v>1281</v>
      </c>
      <c r="H403" s="15">
        <v>45975.912881944445</v>
      </c>
      <c r="I403" s="14" t="s">
        <v>5663</v>
      </c>
      <c r="J403" s="14">
        <v>100</v>
      </c>
      <c r="K403" s="14" t="s">
        <v>5664</v>
      </c>
      <c r="L403" s="17">
        <v>46088.912881944445</v>
      </c>
      <c r="M403" s="17">
        <v>46095.912881944445</v>
      </c>
      <c r="N403" s="14"/>
      <c r="O403" s="17">
        <v>46092.912881944445</v>
      </c>
      <c r="P403" s="14"/>
      <c r="Q403" s="18">
        <v>18000</v>
      </c>
      <c r="R403" s="19">
        <v>6.4</v>
      </c>
      <c r="S403" s="18">
        <v>16848</v>
      </c>
      <c r="T403" s="14">
        <v>12</v>
      </c>
      <c r="U403" s="18">
        <v>16848</v>
      </c>
      <c r="V403" s="18">
        <v>0</v>
      </c>
      <c r="W403" s="19">
        <v>0</v>
      </c>
      <c r="X403" s="18">
        <v>0</v>
      </c>
      <c r="Y403" s="14" t="s">
        <v>5665</v>
      </c>
      <c r="Z403" s="14" t="s">
        <v>5666</v>
      </c>
      <c r="AA403" s="14" t="b">
        <v>0</v>
      </c>
      <c r="AB403" s="14" t="b">
        <v>0</v>
      </c>
      <c r="AC403" s="14" t="b">
        <v>1</v>
      </c>
    </row>
    <row r="404" spans="1:29">
      <c r="A404" s="14" t="s">
        <v>2008</v>
      </c>
      <c r="B404" s="14" t="s">
        <v>6230</v>
      </c>
      <c r="C404" s="14" t="s">
        <v>642</v>
      </c>
      <c r="D404" s="14" t="s">
        <v>2007</v>
      </c>
      <c r="E404" s="14" t="s">
        <v>25</v>
      </c>
      <c r="F404" s="14" t="s">
        <v>5668</v>
      </c>
      <c r="G404" s="14" t="s">
        <v>1413</v>
      </c>
      <c r="H404" s="15">
        <v>46205.015173611115</v>
      </c>
      <c r="I404" s="14" t="s">
        <v>5669</v>
      </c>
      <c r="J404" s="14">
        <v>60</v>
      </c>
      <c r="K404" s="14" t="s">
        <v>5679</v>
      </c>
      <c r="L404" s="17">
        <v>46302</v>
      </c>
      <c r="M404" s="17"/>
      <c r="N404" s="14" t="s">
        <v>5774</v>
      </c>
      <c r="O404" s="17">
        <v>46264</v>
      </c>
      <c r="P404" s="14"/>
      <c r="Q404" s="18">
        <v>12000</v>
      </c>
      <c r="R404" s="19">
        <v>9.3000000000000007</v>
      </c>
      <c r="S404" s="18">
        <v>10884</v>
      </c>
      <c r="T404" s="14">
        <v>12</v>
      </c>
      <c r="U404" s="18">
        <v>10884</v>
      </c>
      <c r="V404" s="18">
        <v>5000</v>
      </c>
      <c r="W404" s="19">
        <v>6.2</v>
      </c>
      <c r="X404" s="18">
        <v>4690</v>
      </c>
      <c r="Y404" s="14" t="s">
        <v>5677</v>
      </c>
      <c r="Z404" s="14" t="s">
        <v>5666</v>
      </c>
      <c r="AA404" s="14" t="b">
        <v>0</v>
      </c>
      <c r="AB404" s="14" t="b">
        <v>0</v>
      </c>
      <c r="AC404" s="14" t="b">
        <v>1</v>
      </c>
    </row>
    <row r="405" spans="1:29">
      <c r="A405" s="14" t="s">
        <v>2143</v>
      </c>
      <c r="B405" s="14" t="s">
        <v>5889</v>
      </c>
      <c r="C405" s="14" t="s">
        <v>92</v>
      </c>
      <c r="D405" s="14" t="s">
        <v>2142</v>
      </c>
      <c r="E405" s="14" t="s">
        <v>91</v>
      </c>
      <c r="F405" s="14" t="s">
        <v>5668</v>
      </c>
      <c r="G405" s="14" t="s">
        <v>1413</v>
      </c>
      <c r="H405" s="15">
        <v>45196.665520833332</v>
      </c>
      <c r="I405" s="14" t="s">
        <v>5675</v>
      </c>
      <c r="J405" s="14">
        <v>80</v>
      </c>
      <c r="K405" s="14" t="s">
        <v>5664</v>
      </c>
      <c r="L405" s="17">
        <v>45254.665520833332</v>
      </c>
      <c r="M405" s="17">
        <v>45224.665520833332</v>
      </c>
      <c r="N405" s="14"/>
      <c r="O405" s="17">
        <v>45222.665520833332</v>
      </c>
      <c r="P405" s="14" t="s">
        <v>5769</v>
      </c>
      <c r="Q405" s="18">
        <v>12000</v>
      </c>
      <c r="R405" s="19">
        <v>9.1999999999999993</v>
      </c>
      <c r="S405" s="18">
        <v>10896</v>
      </c>
      <c r="T405" s="14">
        <v>12</v>
      </c>
      <c r="U405" s="18">
        <v>10896</v>
      </c>
      <c r="V405" s="18">
        <v>5000</v>
      </c>
      <c r="W405" s="19">
        <v>0.7</v>
      </c>
      <c r="X405" s="18">
        <v>4965</v>
      </c>
      <c r="Y405" s="14" t="s">
        <v>5665</v>
      </c>
      <c r="Z405" s="14" t="s">
        <v>5693</v>
      </c>
      <c r="AA405" s="14" t="b">
        <v>0</v>
      </c>
      <c r="AB405" s="14" t="b">
        <v>0</v>
      </c>
      <c r="AC405" s="14" t="b">
        <v>1</v>
      </c>
    </row>
    <row r="406" spans="1:29">
      <c r="A406" s="14" t="s">
        <v>6243</v>
      </c>
      <c r="B406" s="14" t="s">
        <v>5829</v>
      </c>
      <c r="C406" s="14" t="s">
        <v>636</v>
      </c>
      <c r="D406" s="14" t="s">
        <v>6244</v>
      </c>
      <c r="E406" s="14" t="s">
        <v>55</v>
      </c>
      <c r="F406" s="14" t="s">
        <v>5662</v>
      </c>
      <c r="G406" s="14" t="s">
        <v>1288</v>
      </c>
      <c r="H406" s="15">
        <v>45526</v>
      </c>
      <c r="I406" s="14" t="s">
        <v>5663</v>
      </c>
      <c r="J406" s="14">
        <v>100</v>
      </c>
      <c r="K406" s="14" t="s">
        <v>5664</v>
      </c>
      <c r="L406" s="17">
        <v>45590</v>
      </c>
      <c r="M406" s="17">
        <v>45590</v>
      </c>
      <c r="N406" s="14"/>
      <c r="O406" s="17">
        <v>45589</v>
      </c>
      <c r="P406" s="14"/>
      <c r="Q406" s="18">
        <v>26000</v>
      </c>
      <c r="R406" s="19">
        <v>9.1</v>
      </c>
      <c r="S406" s="18">
        <v>23634</v>
      </c>
      <c r="T406" s="14">
        <v>12</v>
      </c>
      <c r="U406" s="18">
        <v>23634</v>
      </c>
      <c r="V406" s="18">
        <v>0</v>
      </c>
      <c r="W406" s="19">
        <v>0</v>
      </c>
      <c r="X406" s="18">
        <v>0</v>
      </c>
      <c r="Y406" s="14" t="s">
        <v>5665</v>
      </c>
      <c r="Z406" s="14" t="s">
        <v>5666</v>
      </c>
      <c r="AA406" s="14" t="b">
        <v>0</v>
      </c>
      <c r="AB406" s="14" t="b">
        <v>0</v>
      </c>
      <c r="AC406" s="14" t="b">
        <v>0</v>
      </c>
    </row>
    <row r="407" spans="1:29">
      <c r="A407" s="14" t="s">
        <v>6245</v>
      </c>
      <c r="B407" s="14" t="s">
        <v>5995</v>
      </c>
      <c r="C407" s="14" t="s">
        <v>623</v>
      </c>
      <c r="D407" s="14" t="s">
        <v>2350</v>
      </c>
      <c r="E407" s="14" t="s">
        <v>91</v>
      </c>
      <c r="F407" s="14" t="s">
        <v>5668</v>
      </c>
      <c r="G407" s="14" t="s">
        <v>1317</v>
      </c>
      <c r="H407" s="15">
        <v>45987.678900462961</v>
      </c>
      <c r="I407" s="14" t="s">
        <v>5663</v>
      </c>
      <c r="J407" s="14">
        <v>100</v>
      </c>
      <c r="K407" s="14" t="s">
        <v>5664</v>
      </c>
      <c r="L407" s="17">
        <v>46038.678900462961</v>
      </c>
      <c r="M407" s="17">
        <v>46031.678900462961</v>
      </c>
      <c r="N407" s="14"/>
      <c r="O407" s="17">
        <v>46030.678900462961</v>
      </c>
      <c r="P407" s="14"/>
      <c r="Q407" s="18">
        <v>12000</v>
      </c>
      <c r="R407" s="19">
        <v>8.3000000000000007</v>
      </c>
      <c r="S407" s="18">
        <v>11004</v>
      </c>
      <c r="T407" s="14">
        <v>12</v>
      </c>
      <c r="U407" s="18">
        <v>11004</v>
      </c>
      <c r="V407" s="18">
        <v>5000</v>
      </c>
      <c r="W407" s="19">
        <v>9.9</v>
      </c>
      <c r="X407" s="18">
        <v>4505</v>
      </c>
      <c r="Y407" s="14" t="s">
        <v>5735</v>
      </c>
      <c r="Z407" s="14" t="s">
        <v>5666</v>
      </c>
      <c r="AA407" s="14" t="b">
        <v>0</v>
      </c>
      <c r="AB407" s="14" t="b">
        <v>0</v>
      </c>
      <c r="AC407" s="14" t="b">
        <v>1</v>
      </c>
    </row>
    <row r="408" spans="1:29">
      <c r="A408" s="14" t="s">
        <v>6246</v>
      </c>
      <c r="B408" s="14" t="s">
        <v>6155</v>
      </c>
      <c r="C408" s="14" t="s">
        <v>754</v>
      </c>
      <c r="D408" s="14" t="s">
        <v>2294</v>
      </c>
      <c r="E408" s="14" t="s">
        <v>55</v>
      </c>
      <c r="F408" s="14" t="s">
        <v>5668</v>
      </c>
      <c r="G408" s="14" t="s">
        <v>1317</v>
      </c>
      <c r="H408" s="15">
        <v>46279.458333333336</v>
      </c>
      <c r="I408" s="14" t="s">
        <v>5681</v>
      </c>
      <c r="J408" s="14">
        <v>25</v>
      </c>
      <c r="K408" s="14" t="s">
        <v>5670</v>
      </c>
      <c r="L408" s="17">
        <v>46354</v>
      </c>
      <c r="M408" s="17"/>
      <c r="N408" s="14" t="s">
        <v>5699</v>
      </c>
      <c r="O408" s="17">
        <v>46245</v>
      </c>
      <c r="P408" s="14"/>
      <c r="Q408" s="18">
        <v>50000</v>
      </c>
      <c r="R408" s="19">
        <v>7</v>
      </c>
      <c r="S408" s="18">
        <v>46500</v>
      </c>
      <c r="T408" s="14">
        <v>12</v>
      </c>
      <c r="U408" s="18">
        <v>46500</v>
      </c>
      <c r="V408" s="18">
        <v>10000</v>
      </c>
      <c r="W408" s="19">
        <v>6.3</v>
      </c>
      <c r="X408" s="18">
        <v>9370</v>
      </c>
      <c r="Y408" s="14" t="s">
        <v>5665</v>
      </c>
      <c r="Z408" s="14" t="s">
        <v>5666</v>
      </c>
      <c r="AA408" s="14" t="b">
        <v>0</v>
      </c>
      <c r="AB408" s="14" t="b">
        <v>0</v>
      </c>
      <c r="AC408" s="14" t="b">
        <v>0</v>
      </c>
    </row>
    <row r="409" spans="1:29">
      <c r="A409" s="14" t="s">
        <v>6247</v>
      </c>
      <c r="B409" s="14" t="s">
        <v>6248</v>
      </c>
      <c r="C409" s="14" t="s">
        <v>308</v>
      </c>
      <c r="D409" s="14"/>
      <c r="E409" s="14" t="s">
        <v>91</v>
      </c>
      <c r="F409" s="14" t="s">
        <v>5668</v>
      </c>
      <c r="G409" s="14" t="s">
        <v>1295</v>
      </c>
      <c r="H409" s="15">
        <v>46238.875</v>
      </c>
      <c r="I409" s="14" t="s">
        <v>5669</v>
      </c>
      <c r="J409" s="14">
        <v>60</v>
      </c>
      <c r="K409" s="14" t="s">
        <v>5679</v>
      </c>
      <c r="L409" s="17">
        <v>46333</v>
      </c>
      <c r="M409" s="17"/>
      <c r="N409" s="14" t="s">
        <v>5850</v>
      </c>
      <c r="O409" s="17">
        <v>46266</v>
      </c>
      <c r="P409" s="14"/>
      <c r="Q409" s="18">
        <v>30000</v>
      </c>
      <c r="R409" s="19">
        <v>21.7</v>
      </c>
      <c r="S409" s="18">
        <v>23490</v>
      </c>
      <c r="T409" s="14">
        <v>24</v>
      </c>
      <c r="U409" s="18">
        <v>46980</v>
      </c>
      <c r="V409" s="18">
        <v>5000</v>
      </c>
      <c r="W409" s="19">
        <v>0.8</v>
      </c>
      <c r="X409" s="18">
        <v>4960</v>
      </c>
      <c r="Y409" s="14" t="s">
        <v>5665</v>
      </c>
      <c r="Z409" s="14" t="s">
        <v>5666</v>
      </c>
      <c r="AA409" s="14" t="b">
        <v>0</v>
      </c>
      <c r="AB409" s="14" t="b">
        <v>0</v>
      </c>
      <c r="AC409" s="14" t="b">
        <v>1</v>
      </c>
    </row>
    <row r="410" spans="1:29">
      <c r="A410" s="14" t="s">
        <v>2414</v>
      </c>
      <c r="B410" s="14" t="s">
        <v>5930</v>
      </c>
      <c r="C410" s="14" t="s">
        <v>453</v>
      </c>
      <c r="D410" s="14" t="s">
        <v>2413</v>
      </c>
      <c r="E410" s="14" t="s">
        <v>59</v>
      </c>
      <c r="F410" s="14" t="s">
        <v>5668</v>
      </c>
      <c r="G410" s="14" t="s">
        <v>1413</v>
      </c>
      <c r="H410" s="15">
        <v>45947.816990740743</v>
      </c>
      <c r="I410" s="14" t="s">
        <v>5675</v>
      </c>
      <c r="J410" s="14">
        <v>0</v>
      </c>
      <c r="K410" s="14" t="s">
        <v>5664</v>
      </c>
      <c r="L410" s="17">
        <v>45991.816990740743</v>
      </c>
      <c r="M410" s="17">
        <v>45984.816990740743</v>
      </c>
      <c r="N410" s="14"/>
      <c r="O410" s="17">
        <v>45982.816990740743</v>
      </c>
      <c r="P410" s="14" t="s">
        <v>5676</v>
      </c>
      <c r="Q410" s="18">
        <v>12000</v>
      </c>
      <c r="R410" s="19">
        <v>4.0999999999999996</v>
      </c>
      <c r="S410" s="18">
        <v>11508</v>
      </c>
      <c r="T410" s="14">
        <v>12</v>
      </c>
      <c r="U410" s="18">
        <v>11508</v>
      </c>
      <c r="V410" s="18">
        <v>5000</v>
      </c>
      <c r="W410" s="19">
        <v>1.5</v>
      </c>
      <c r="X410" s="18">
        <v>4925</v>
      </c>
      <c r="Y410" s="14" t="s">
        <v>5665</v>
      </c>
      <c r="Z410" s="14" t="s">
        <v>5666</v>
      </c>
      <c r="AA410" s="14" t="b">
        <v>0</v>
      </c>
      <c r="AB410" s="14" t="b">
        <v>0</v>
      </c>
      <c r="AC410" s="14" t="b">
        <v>0</v>
      </c>
    </row>
    <row r="411" spans="1:29">
      <c r="A411" s="14" t="s">
        <v>1887</v>
      </c>
      <c r="B411" s="14" t="s">
        <v>6021</v>
      </c>
      <c r="C411" s="14" t="s">
        <v>729</v>
      </c>
      <c r="D411" s="14" t="s">
        <v>1886</v>
      </c>
      <c r="E411" s="14" t="s">
        <v>18</v>
      </c>
      <c r="F411" s="14" t="s">
        <v>5668</v>
      </c>
      <c r="G411" s="14" t="s">
        <v>1355</v>
      </c>
      <c r="H411" s="15">
        <v>45837.176979166667</v>
      </c>
      <c r="I411" s="14" t="s">
        <v>5675</v>
      </c>
      <c r="J411" s="14">
        <v>0</v>
      </c>
      <c r="K411" s="14" t="s">
        <v>5664</v>
      </c>
      <c r="L411" s="17">
        <v>45896.176979166667</v>
      </c>
      <c r="M411" s="17">
        <v>45903.176979166667</v>
      </c>
      <c r="N411" s="14"/>
      <c r="O411" s="17">
        <v>45898.176979166667</v>
      </c>
      <c r="P411" s="14" t="s">
        <v>5703</v>
      </c>
      <c r="Q411" s="18">
        <v>30000</v>
      </c>
      <c r="R411" s="19">
        <v>3.9</v>
      </c>
      <c r="S411" s="18">
        <v>28830</v>
      </c>
      <c r="T411" s="14">
        <v>12</v>
      </c>
      <c r="U411" s="18">
        <v>28830</v>
      </c>
      <c r="V411" s="18">
        <v>10000</v>
      </c>
      <c r="W411" s="19">
        <v>2.2999999999999998</v>
      </c>
      <c r="X411" s="18">
        <v>9770</v>
      </c>
      <c r="Y411" s="14" t="s">
        <v>5665</v>
      </c>
      <c r="Z411" s="14" t="s">
        <v>5666</v>
      </c>
      <c r="AA411" s="14" t="b">
        <v>0</v>
      </c>
      <c r="AB411" s="14" t="b">
        <v>0</v>
      </c>
      <c r="AC411" s="14" t="b">
        <v>0</v>
      </c>
    </row>
    <row r="412" spans="1:29">
      <c r="A412" s="14" t="s">
        <v>6249</v>
      </c>
      <c r="B412" s="14" t="s">
        <v>5785</v>
      </c>
      <c r="C412" s="14" t="s">
        <v>891</v>
      </c>
      <c r="D412" s="14" t="s">
        <v>1628</v>
      </c>
      <c r="E412" s="14" t="s">
        <v>82</v>
      </c>
      <c r="F412" s="14" t="s">
        <v>5668</v>
      </c>
      <c r="G412" s="14"/>
      <c r="H412" s="15">
        <v>46283.833333333336</v>
      </c>
      <c r="I412" s="14" t="s">
        <v>5686</v>
      </c>
      <c r="J412" s="14">
        <v>10</v>
      </c>
      <c r="K412" s="14" t="s">
        <v>5670</v>
      </c>
      <c r="L412" s="17">
        <v>46361</v>
      </c>
      <c r="M412" s="17"/>
      <c r="N412" s="14" t="s">
        <v>5767</v>
      </c>
      <c r="O412" s="17">
        <v>46272</v>
      </c>
      <c r="P412" s="14"/>
      <c r="Q412" s="18">
        <v>64000</v>
      </c>
      <c r="R412" s="19">
        <v>2.2000000000000002</v>
      </c>
      <c r="S412" s="18">
        <v>62592</v>
      </c>
      <c r="T412" s="14">
        <v>36</v>
      </c>
      <c r="U412" s="18">
        <v>187776</v>
      </c>
      <c r="V412" s="18">
        <v>20000</v>
      </c>
      <c r="W412" s="19">
        <v>23.3</v>
      </c>
      <c r="X412" s="18">
        <v>15340</v>
      </c>
      <c r="Y412" s="14" t="s">
        <v>5665</v>
      </c>
      <c r="Z412" s="14" t="s">
        <v>5780</v>
      </c>
      <c r="AA412" s="14" t="b">
        <v>0</v>
      </c>
      <c r="AB412" s="14" t="b">
        <v>0</v>
      </c>
      <c r="AC412" s="14" t="b">
        <v>0</v>
      </c>
    </row>
    <row r="413" spans="1:29">
      <c r="A413" s="14" t="s">
        <v>6250</v>
      </c>
      <c r="B413" s="14" t="s">
        <v>6058</v>
      </c>
      <c r="C413" s="14" t="s">
        <v>1031</v>
      </c>
      <c r="D413" s="14" t="s">
        <v>6059</v>
      </c>
      <c r="E413" s="14" t="s">
        <v>36</v>
      </c>
      <c r="F413" s="14" t="s">
        <v>5668</v>
      </c>
      <c r="G413" s="14" t="s">
        <v>1288</v>
      </c>
      <c r="H413" s="15">
        <v>46265</v>
      </c>
      <c r="I413" s="14" t="s">
        <v>5681</v>
      </c>
      <c r="J413" s="14">
        <v>25</v>
      </c>
      <c r="K413" s="14" t="s">
        <v>5670</v>
      </c>
      <c r="L413" s="17">
        <v>46286</v>
      </c>
      <c r="M413" s="17"/>
      <c r="N413" s="14" t="s">
        <v>5699</v>
      </c>
      <c r="O413" s="17">
        <v>46277</v>
      </c>
      <c r="P413" s="14"/>
      <c r="Q413" s="18">
        <v>88000</v>
      </c>
      <c r="R413" s="19">
        <v>8.9</v>
      </c>
      <c r="S413" s="18">
        <v>80168</v>
      </c>
      <c r="T413" s="14">
        <v>36</v>
      </c>
      <c r="U413" s="18">
        <v>240504</v>
      </c>
      <c r="V413" s="18">
        <v>20000</v>
      </c>
      <c r="W413" s="19">
        <v>2</v>
      </c>
      <c r="X413" s="18">
        <v>19600</v>
      </c>
      <c r="Y413" s="14" t="s">
        <v>5665</v>
      </c>
      <c r="Z413" s="14" t="s">
        <v>5666</v>
      </c>
      <c r="AA413" s="14" t="b">
        <v>0</v>
      </c>
      <c r="AB413" s="14" t="b">
        <v>0</v>
      </c>
      <c r="AC413" s="14" t="b">
        <v>0</v>
      </c>
    </row>
    <row r="414" spans="1:29">
      <c r="A414" s="14" t="s">
        <v>6251</v>
      </c>
      <c r="B414" s="14" t="s">
        <v>6252</v>
      </c>
      <c r="C414" s="14" t="s">
        <v>246</v>
      </c>
      <c r="D414" s="14" t="s">
        <v>2442</v>
      </c>
      <c r="E414" s="14" t="s">
        <v>36</v>
      </c>
      <c r="F414" s="14" t="s">
        <v>5662</v>
      </c>
      <c r="G414" s="14" t="s">
        <v>1288</v>
      </c>
      <c r="H414" s="15">
        <v>46142.834027777775</v>
      </c>
      <c r="I414" s="14" t="s">
        <v>5663</v>
      </c>
      <c r="J414" s="14">
        <v>100</v>
      </c>
      <c r="K414" s="14" t="s">
        <v>5664</v>
      </c>
      <c r="L414" s="17">
        <v>46246.834027777775</v>
      </c>
      <c r="M414" s="17">
        <v>46246.834027777775</v>
      </c>
      <c r="N414" s="14"/>
      <c r="O414" s="17">
        <v>46241.834027777775</v>
      </c>
      <c r="P414" s="14"/>
      <c r="Q414" s="18">
        <v>24000</v>
      </c>
      <c r="R414" s="19">
        <v>10</v>
      </c>
      <c r="S414" s="18">
        <v>21600</v>
      </c>
      <c r="T414" s="14">
        <v>24</v>
      </c>
      <c r="U414" s="18">
        <v>43200</v>
      </c>
      <c r="V414" s="18">
        <v>0</v>
      </c>
      <c r="W414" s="19">
        <v>0</v>
      </c>
      <c r="X414" s="18">
        <v>0</v>
      </c>
      <c r="Y414" s="14" t="s">
        <v>5688</v>
      </c>
      <c r="Z414" s="14" t="s">
        <v>5666</v>
      </c>
      <c r="AA414" s="14" t="b">
        <v>0</v>
      </c>
      <c r="AB414" s="14" t="b">
        <v>0</v>
      </c>
      <c r="AC414" s="14" t="b">
        <v>1</v>
      </c>
    </row>
    <row r="415" spans="1:29">
      <c r="A415" s="14" t="s">
        <v>6253</v>
      </c>
      <c r="B415" s="14" t="s">
        <v>5715</v>
      </c>
      <c r="C415" s="14" t="s">
        <v>723</v>
      </c>
      <c r="D415" s="14"/>
      <c r="E415" s="14" t="s">
        <v>36</v>
      </c>
      <c r="F415" s="14" t="s">
        <v>5668</v>
      </c>
      <c r="G415" s="14" t="s">
        <v>1413</v>
      </c>
      <c r="H415" s="15">
        <v>46174.579224537039</v>
      </c>
      <c r="I415" s="14" t="s">
        <v>5663</v>
      </c>
      <c r="J415" s="14">
        <v>100</v>
      </c>
      <c r="K415" s="14" t="s">
        <v>5664</v>
      </c>
      <c r="L415" s="17">
        <v>46238.579224537039</v>
      </c>
      <c r="M415" s="17">
        <v>46268.579224537039</v>
      </c>
      <c r="N415" s="14"/>
      <c r="O415" s="17">
        <v>46261.579224537039</v>
      </c>
      <c r="P415" s="14"/>
      <c r="Q415" s="18">
        <v>60000</v>
      </c>
      <c r="R415" s="19">
        <v>16.2</v>
      </c>
      <c r="S415" s="18">
        <v>50280</v>
      </c>
      <c r="T415" s="14">
        <v>24</v>
      </c>
      <c r="U415" s="18">
        <v>100560</v>
      </c>
      <c r="V415" s="18">
        <v>20000</v>
      </c>
      <c r="W415" s="19">
        <v>0.7</v>
      </c>
      <c r="X415" s="18">
        <v>19860</v>
      </c>
      <c r="Y415" s="14" t="s">
        <v>5665</v>
      </c>
      <c r="Z415" s="14" t="s">
        <v>5666</v>
      </c>
      <c r="AA415" s="14" t="b">
        <v>0</v>
      </c>
      <c r="AB415" s="14" t="b">
        <v>0</v>
      </c>
      <c r="AC415" s="14" t="b">
        <v>1</v>
      </c>
    </row>
    <row r="416" spans="1:29">
      <c r="A416" s="14" t="s">
        <v>6254</v>
      </c>
      <c r="B416" s="14" t="s">
        <v>5834</v>
      </c>
      <c r="C416" s="14" t="s">
        <v>626</v>
      </c>
      <c r="D416" s="14" t="s">
        <v>5744</v>
      </c>
      <c r="E416" s="14" t="s">
        <v>18</v>
      </c>
      <c r="F416" s="14" t="s">
        <v>5662</v>
      </c>
      <c r="G416" s="14" t="s">
        <v>1281</v>
      </c>
      <c r="H416" s="15">
        <v>45384</v>
      </c>
      <c r="I416" s="14" t="s">
        <v>5663</v>
      </c>
      <c r="J416" s="14">
        <v>100</v>
      </c>
      <c r="K416" s="14" t="s">
        <v>5664</v>
      </c>
      <c r="L416" s="17">
        <v>45490</v>
      </c>
      <c r="M416" s="17">
        <v>45460</v>
      </c>
      <c r="N416" s="14"/>
      <c r="O416" s="17">
        <v>45460</v>
      </c>
      <c r="P416" s="14"/>
      <c r="Q416" s="18">
        <v>14000</v>
      </c>
      <c r="R416" s="19">
        <v>4.0999999999999996</v>
      </c>
      <c r="S416" s="18">
        <v>13426</v>
      </c>
      <c r="T416" s="14">
        <v>36</v>
      </c>
      <c r="U416" s="18">
        <v>40278</v>
      </c>
      <c r="V416" s="18">
        <v>0</v>
      </c>
      <c r="W416" s="19">
        <v>0</v>
      </c>
      <c r="X416" s="18">
        <v>0</v>
      </c>
      <c r="Y416" s="14" t="s">
        <v>5665</v>
      </c>
      <c r="Z416" s="14" t="s">
        <v>5666</v>
      </c>
      <c r="AA416" s="14" t="b">
        <v>0</v>
      </c>
      <c r="AB416" s="14" t="b">
        <v>0</v>
      </c>
      <c r="AC416" s="14" t="b">
        <v>0</v>
      </c>
    </row>
    <row r="417" spans="1:29">
      <c r="A417" s="14" t="s">
        <v>6255</v>
      </c>
      <c r="B417" s="14" t="s">
        <v>5839</v>
      </c>
      <c r="C417" s="14" t="s">
        <v>199</v>
      </c>
      <c r="D417" s="14" t="s">
        <v>6256</v>
      </c>
      <c r="E417" s="14" t="s">
        <v>91</v>
      </c>
      <c r="F417" s="14" t="s">
        <v>5668</v>
      </c>
      <c r="G417" s="14" t="s">
        <v>1288</v>
      </c>
      <c r="H417" s="15">
        <v>45886.095520833333</v>
      </c>
      <c r="I417" s="14" t="s">
        <v>5663</v>
      </c>
      <c r="J417" s="14">
        <v>100</v>
      </c>
      <c r="K417" s="14" t="s">
        <v>5664</v>
      </c>
      <c r="L417" s="17">
        <v>45922.095520833333</v>
      </c>
      <c r="M417" s="17">
        <v>45915.095520833333</v>
      </c>
      <c r="N417" s="14"/>
      <c r="O417" s="17">
        <v>45912.095520833333</v>
      </c>
      <c r="P417" s="14"/>
      <c r="Q417" s="18">
        <v>48000</v>
      </c>
      <c r="R417" s="19">
        <v>4</v>
      </c>
      <c r="S417" s="18">
        <v>46080</v>
      </c>
      <c r="T417" s="14">
        <v>24</v>
      </c>
      <c r="U417" s="18">
        <v>92160</v>
      </c>
      <c r="V417" s="18">
        <v>10000</v>
      </c>
      <c r="W417" s="19">
        <v>4</v>
      </c>
      <c r="X417" s="18">
        <v>9600</v>
      </c>
      <c r="Y417" s="14" t="s">
        <v>5665</v>
      </c>
      <c r="Z417" s="14" t="s">
        <v>5666</v>
      </c>
      <c r="AA417" s="14" t="b">
        <v>0</v>
      </c>
      <c r="AB417" s="14" t="b">
        <v>0</v>
      </c>
      <c r="AC417" s="14" t="b">
        <v>0</v>
      </c>
    </row>
    <row r="418" spans="1:29">
      <c r="A418" s="14" t="s">
        <v>6257</v>
      </c>
      <c r="B418" s="14" t="s">
        <v>6258</v>
      </c>
      <c r="C418" s="14" t="s">
        <v>392</v>
      </c>
      <c r="D418" s="14" t="s">
        <v>1682</v>
      </c>
      <c r="E418" s="14" t="s">
        <v>55</v>
      </c>
      <c r="F418" s="14" t="s">
        <v>5662</v>
      </c>
      <c r="G418" s="14" t="s">
        <v>1271</v>
      </c>
      <c r="H418" s="15">
        <v>46093.865729166668</v>
      </c>
      <c r="I418" s="14" t="s">
        <v>5663</v>
      </c>
      <c r="J418" s="14">
        <v>100</v>
      </c>
      <c r="K418" s="14" t="s">
        <v>5664</v>
      </c>
      <c r="L418" s="17">
        <v>46173.865729166668</v>
      </c>
      <c r="M418" s="17">
        <v>46187.865729166668</v>
      </c>
      <c r="N418" s="14"/>
      <c r="O418" s="17">
        <v>46187.865729166668</v>
      </c>
      <c r="P418" s="14"/>
      <c r="Q418" s="18">
        <v>6000</v>
      </c>
      <c r="R418" s="19">
        <v>22.6</v>
      </c>
      <c r="S418" s="18">
        <v>4644</v>
      </c>
      <c r="T418" s="14">
        <v>12</v>
      </c>
      <c r="U418" s="18">
        <v>4644</v>
      </c>
      <c r="V418" s="18">
        <v>0</v>
      </c>
      <c r="W418" s="19">
        <v>0</v>
      </c>
      <c r="X418" s="18">
        <v>0</v>
      </c>
      <c r="Y418" s="14" t="s">
        <v>5665</v>
      </c>
      <c r="Z418" s="14" t="s">
        <v>5666</v>
      </c>
      <c r="AA418" s="14" t="b">
        <v>1</v>
      </c>
      <c r="AB418" s="14" t="b">
        <v>1</v>
      </c>
      <c r="AC418" s="14" t="b">
        <v>1</v>
      </c>
    </row>
    <row r="419" spans="1:29">
      <c r="A419" s="14" t="s">
        <v>6259</v>
      </c>
      <c r="B419" s="14" t="s">
        <v>6039</v>
      </c>
      <c r="C419" s="14" t="s">
        <v>939</v>
      </c>
      <c r="D419" s="14" t="s">
        <v>1973</v>
      </c>
      <c r="E419" s="14" t="s">
        <v>36</v>
      </c>
      <c r="F419" s="14" t="s">
        <v>5668</v>
      </c>
      <c r="G419" s="14" t="s">
        <v>1271</v>
      </c>
      <c r="H419" s="15">
        <v>46213.583333333336</v>
      </c>
      <c r="I419" s="14" t="s">
        <v>5669</v>
      </c>
      <c r="J419" s="14">
        <v>60</v>
      </c>
      <c r="K419" s="14" t="s">
        <v>5679</v>
      </c>
      <c r="L419" s="17">
        <v>46315</v>
      </c>
      <c r="M419" s="17"/>
      <c r="N419" s="14" t="s">
        <v>5774</v>
      </c>
      <c r="O419" s="17">
        <v>46221</v>
      </c>
      <c r="P419" s="14"/>
      <c r="Q419" s="18">
        <v>72000</v>
      </c>
      <c r="R419" s="19">
        <v>8.6</v>
      </c>
      <c r="S419" s="18">
        <v>65808</v>
      </c>
      <c r="T419" s="14">
        <v>12</v>
      </c>
      <c r="U419" s="18">
        <v>65808</v>
      </c>
      <c r="V419" s="18">
        <v>20000</v>
      </c>
      <c r="W419" s="19">
        <v>12.2</v>
      </c>
      <c r="X419" s="18">
        <v>17560</v>
      </c>
      <c r="Y419" s="14" t="s">
        <v>5665</v>
      </c>
      <c r="Z419" s="14" t="s">
        <v>5666</v>
      </c>
      <c r="AA419" s="14" t="b">
        <v>0</v>
      </c>
      <c r="AB419" s="14" t="b">
        <v>0</v>
      </c>
      <c r="AC419" s="14" t="b">
        <v>0</v>
      </c>
    </row>
    <row r="420" spans="1:29">
      <c r="A420" s="14" t="s">
        <v>6260</v>
      </c>
      <c r="B420" s="14" t="s">
        <v>5996</v>
      </c>
      <c r="C420" s="14" t="s">
        <v>491</v>
      </c>
      <c r="D420" s="14" t="s">
        <v>2247</v>
      </c>
      <c r="E420" s="14" t="s">
        <v>18</v>
      </c>
      <c r="F420" s="14" t="s">
        <v>5668</v>
      </c>
      <c r="G420" s="14" t="s">
        <v>1288</v>
      </c>
      <c r="H420" s="15">
        <v>46067.098240740743</v>
      </c>
      <c r="I420" s="14" t="s">
        <v>5663</v>
      </c>
      <c r="J420" s="14">
        <v>100</v>
      </c>
      <c r="K420" s="14" t="s">
        <v>5664</v>
      </c>
      <c r="L420" s="17">
        <v>46155.098240740743</v>
      </c>
      <c r="M420" s="17">
        <v>46148.098240740743</v>
      </c>
      <c r="N420" s="14"/>
      <c r="O420" s="17">
        <v>46148.098240740743</v>
      </c>
      <c r="P420" s="14"/>
      <c r="Q420" s="18">
        <v>92000</v>
      </c>
      <c r="R420" s="19">
        <v>10.9</v>
      </c>
      <c r="S420" s="18">
        <v>81972</v>
      </c>
      <c r="T420" s="14">
        <v>12</v>
      </c>
      <c r="U420" s="18">
        <v>81972</v>
      </c>
      <c r="V420" s="18">
        <v>20000</v>
      </c>
      <c r="W420" s="19">
        <v>10.7</v>
      </c>
      <c r="X420" s="18">
        <v>17860</v>
      </c>
      <c r="Y420" s="14" t="s">
        <v>5665</v>
      </c>
      <c r="Z420" s="14" t="s">
        <v>5666</v>
      </c>
      <c r="AA420" s="14" t="b">
        <v>0</v>
      </c>
      <c r="AB420" s="14" t="b">
        <v>0</v>
      </c>
      <c r="AC420" s="14" t="b">
        <v>1</v>
      </c>
    </row>
    <row r="421" spans="1:29">
      <c r="A421" s="14" t="s">
        <v>6261</v>
      </c>
      <c r="B421" s="14" t="s">
        <v>6262</v>
      </c>
      <c r="C421" s="14" t="s">
        <v>660</v>
      </c>
      <c r="D421" s="14"/>
      <c r="E421" s="14" t="s">
        <v>69</v>
      </c>
      <c r="F421" s="14" t="s">
        <v>5662</v>
      </c>
      <c r="G421" s="14" t="s">
        <v>1413</v>
      </c>
      <c r="H421" s="15">
        <v>45678</v>
      </c>
      <c r="I421" s="14" t="s">
        <v>5663</v>
      </c>
      <c r="J421" s="14">
        <v>100</v>
      </c>
      <c r="K421" s="14" t="s">
        <v>5664</v>
      </c>
      <c r="L421" s="17">
        <v>45720</v>
      </c>
      <c r="M421" s="17">
        <v>45720</v>
      </c>
      <c r="N421" s="14"/>
      <c r="O421" s="17">
        <v>45718</v>
      </c>
      <c r="P421" s="14"/>
      <c r="Q421" s="18">
        <v>8000</v>
      </c>
      <c r="R421" s="19">
        <v>6.8</v>
      </c>
      <c r="S421" s="18">
        <v>7456</v>
      </c>
      <c r="T421" s="14">
        <v>12</v>
      </c>
      <c r="U421" s="18">
        <v>7456</v>
      </c>
      <c r="V421" s="18">
        <v>0</v>
      </c>
      <c r="W421" s="19">
        <v>0</v>
      </c>
      <c r="X421" s="18">
        <v>0</v>
      </c>
      <c r="Y421" s="14" t="s">
        <v>5665</v>
      </c>
      <c r="Z421" s="14" t="s">
        <v>5666</v>
      </c>
      <c r="AA421" s="14" t="b">
        <v>0</v>
      </c>
      <c r="AB421" s="14" t="b">
        <v>0</v>
      </c>
      <c r="AC421" s="14" t="b">
        <v>0</v>
      </c>
    </row>
    <row r="422" spans="1:29">
      <c r="A422" s="14" t="s">
        <v>6263</v>
      </c>
      <c r="B422" s="14" t="s">
        <v>5776</v>
      </c>
      <c r="C422" s="14" t="s">
        <v>774</v>
      </c>
      <c r="D422" s="14" t="s">
        <v>2068</v>
      </c>
      <c r="E422" s="14" t="s">
        <v>18</v>
      </c>
      <c r="F422" s="14" t="s">
        <v>5668</v>
      </c>
      <c r="G422" s="14" t="s">
        <v>1288</v>
      </c>
      <c r="H422" s="15">
        <v>46264.466898148145</v>
      </c>
      <c r="I422" s="14" t="s">
        <v>5669</v>
      </c>
      <c r="J422" s="14">
        <v>60</v>
      </c>
      <c r="K422" s="14" t="s">
        <v>5679</v>
      </c>
      <c r="L422" s="17">
        <v>46324</v>
      </c>
      <c r="M422" s="17"/>
      <c r="N422" s="14" t="s">
        <v>5671</v>
      </c>
      <c r="O422" s="17">
        <v>46267</v>
      </c>
      <c r="P422" s="14"/>
      <c r="Q422" s="18">
        <v>36000</v>
      </c>
      <c r="R422" s="19">
        <v>9.4</v>
      </c>
      <c r="S422" s="18">
        <v>32616</v>
      </c>
      <c r="T422" s="14">
        <v>36</v>
      </c>
      <c r="U422" s="18">
        <v>97848</v>
      </c>
      <c r="V422" s="18">
        <v>10000</v>
      </c>
      <c r="W422" s="19">
        <v>15.9</v>
      </c>
      <c r="X422" s="18">
        <v>8410</v>
      </c>
      <c r="Y422" s="14" t="s">
        <v>5665</v>
      </c>
      <c r="Z422" s="14" t="s">
        <v>5666</v>
      </c>
      <c r="AA422" s="14" t="b">
        <v>0</v>
      </c>
      <c r="AB422" s="14" t="b">
        <v>1</v>
      </c>
      <c r="AC422" s="14" t="b">
        <v>1</v>
      </c>
    </row>
    <row r="423" spans="1:29">
      <c r="A423" s="14" t="s">
        <v>2392</v>
      </c>
      <c r="B423" s="14" t="s">
        <v>5997</v>
      </c>
      <c r="C423" s="14" t="s">
        <v>392</v>
      </c>
      <c r="D423" s="14" t="s">
        <v>2391</v>
      </c>
      <c r="E423" s="14" t="s">
        <v>82</v>
      </c>
      <c r="F423" s="14" t="s">
        <v>5668</v>
      </c>
      <c r="G423" s="14" t="s">
        <v>1413</v>
      </c>
      <c r="H423" s="15">
        <v>45905.274548611109</v>
      </c>
      <c r="I423" s="14" t="s">
        <v>5675</v>
      </c>
      <c r="J423" s="14">
        <v>0</v>
      </c>
      <c r="K423" s="14" t="s">
        <v>5664</v>
      </c>
      <c r="L423" s="17">
        <v>45986.274548611109</v>
      </c>
      <c r="M423" s="17">
        <v>45993.274548611109</v>
      </c>
      <c r="N423" s="14"/>
      <c r="O423" s="17">
        <v>45988.274548611109</v>
      </c>
      <c r="P423" s="14" t="s">
        <v>5721</v>
      </c>
      <c r="Q423" s="18">
        <v>68000</v>
      </c>
      <c r="R423" s="19">
        <v>9.5</v>
      </c>
      <c r="S423" s="18">
        <v>61540</v>
      </c>
      <c r="T423" s="14">
        <v>12</v>
      </c>
      <c r="U423" s="18">
        <v>61540</v>
      </c>
      <c r="V423" s="18">
        <v>20000</v>
      </c>
      <c r="W423" s="19">
        <v>10</v>
      </c>
      <c r="X423" s="18">
        <v>18000</v>
      </c>
      <c r="Y423" s="14" t="s">
        <v>5688</v>
      </c>
      <c r="Z423" s="14" t="s">
        <v>5666</v>
      </c>
      <c r="AA423" s="14" t="b">
        <v>1</v>
      </c>
      <c r="AB423" s="14" t="b">
        <v>0</v>
      </c>
      <c r="AC423" s="14" t="b">
        <v>1</v>
      </c>
    </row>
    <row r="424" spans="1:29">
      <c r="A424" s="14" t="s">
        <v>2385</v>
      </c>
      <c r="B424" s="14" t="s">
        <v>6264</v>
      </c>
      <c r="C424" s="14" t="s">
        <v>425</v>
      </c>
      <c r="D424" s="14" t="s">
        <v>2384</v>
      </c>
      <c r="E424" s="14" t="s">
        <v>91</v>
      </c>
      <c r="F424" s="14" t="s">
        <v>5668</v>
      </c>
      <c r="G424" s="14" t="s">
        <v>1288</v>
      </c>
      <c r="H424" s="15">
        <v>45329.168495370373</v>
      </c>
      <c r="I424" s="14" t="s">
        <v>5663</v>
      </c>
      <c r="J424" s="14">
        <v>100</v>
      </c>
      <c r="K424" s="14" t="s">
        <v>5664</v>
      </c>
      <c r="L424" s="17">
        <v>45361.168495370373</v>
      </c>
      <c r="M424" s="17">
        <v>45361.168495370373</v>
      </c>
      <c r="N424" s="14"/>
      <c r="O424" s="17">
        <v>45355.168495370373</v>
      </c>
      <c r="P424" s="14"/>
      <c r="Q424" s="18">
        <v>20000</v>
      </c>
      <c r="R424" s="19">
        <v>7</v>
      </c>
      <c r="S424" s="18">
        <v>18600</v>
      </c>
      <c r="T424" s="14">
        <v>12</v>
      </c>
      <c r="U424" s="18">
        <v>18600</v>
      </c>
      <c r="V424" s="18">
        <v>5000</v>
      </c>
      <c r="W424" s="19">
        <v>3.3</v>
      </c>
      <c r="X424" s="18">
        <v>4835</v>
      </c>
      <c r="Y424" s="14" t="s">
        <v>5665</v>
      </c>
      <c r="Z424" s="14" t="s">
        <v>5666</v>
      </c>
      <c r="AA424" s="14" t="b">
        <v>0</v>
      </c>
      <c r="AB424" s="14" t="b">
        <v>0</v>
      </c>
      <c r="AC424" s="14" t="b">
        <v>0</v>
      </c>
    </row>
    <row r="425" spans="1:29">
      <c r="A425" s="14" t="s">
        <v>2476</v>
      </c>
      <c r="B425" s="14" t="s">
        <v>6141</v>
      </c>
      <c r="C425" s="14" t="s">
        <v>485</v>
      </c>
      <c r="D425" s="14" t="s">
        <v>2475</v>
      </c>
      <c r="E425" s="14" t="s">
        <v>55</v>
      </c>
      <c r="F425" s="14" t="s">
        <v>5668</v>
      </c>
      <c r="G425" s="14" t="s">
        <v>1281</v>
      </c>
      <c r="H425" s="15">
        <v>46256.205474537041</v>
      </c>
      <c r="I425" s="14" t="s">
        <v>5725</v>
      </c>
      <c r="J425" s="14">
        <v>90</v>
      </c>
      <c r="K425" s="14" t="s">
        <v>5725</v>
      </c>
      <c r="L425" s="17">
        <v>46294</v>
      </c>
      <c r="M425" s="17"/>
      <c r="N425" s="14" t="s">
        <v>5753</v>
      </c>
      <c r="O425" s="17">
        <v>46283</v>
      </c>
      <c r="P425" s="14"/>
      <c r="Q425" s="18">
        <v>30000</v>
      </c>
      <c r="R425" s="19">
        <v>7.1</v>
      </c>
      <c r="S425" s="18">
        <v>27870</v>
      </c>
      <c r="T425" s="14">
        <v>12</v>
      </c>
      <c r="U425" s="18">
        <v>27870</v>
      </c>
      <c r="V425" s="18">
        <v>10000</v>
      </c>
      <c r="W425" s="19">
        <v>19.399999999999999</v>
      </c>
      <c r="X425" s="18">
        <v>8060</v>
      </c>
      <c r="Y425" s="14" t="s">
        <v>5665</v>
      </c>
      <c r="Z425" s="14" t="s">
        <v>5666</v>
      </c>
      <c r="AA425" s="14" t="b">
        <v>0</v>
      </c>
      <c r="AB425" s="14" t="b">
        <v>0</v>
      </c>
      <c r="AC425" s="14" t="b">
        <v>0</v>
      </c>
    </row>
    <row r="426" spans="1:29">
      <c r="A426" s="14" t="s">
        <v>1513</v>
      </c>
      <c r="B426" s="14" t="s">
        <v>5698</v>
      </c>
      <c r="C426" s="14" t="s">
        <v>786</v>
      </c>
      <c r="D426" s="14" t="s">
        <v>1512</v>
      </c>
      <c r="E426" s="14" t="s">
        <v>69</v>
      </c>
      <c r="F426" s="14" t="s">
        <v>5668</v>
      </c>
      <c r="G426" s="14" t="s">
        <v>1288</v>
      </c>
      <c r="H426" s="15">
        <v>45933.492094907408</v>
      </c>
      <c r="I426" s="14" t="s">
        <v>5675</v>
      </c>
      <c r="J426" s="14">
        <v>0</v>
      </c>
      <c r="K426" s="14" t="s">
        <v>5664</v>
      </c>
      <c r="L426" s="17">
        <v>45981.492094907408</v>
      </c>
      <c r="M426" s="17">
        <v>45974.492094907408</v>
      </c>
      <c r="N426" s="14"/>
      <c r="O426" s="17">
        <v>45971.492094907408</v>
      </c>
      <c r="P426" s="14" t="s">
        <v>5769</v>
      </c>
      <c r="Q426" s="18">
        <v>30000</v>
      </c>
      <c r="R426" s="19">
        <v>6.5</v>
      </c>
      <c r="S426" s="18">
        <v>28050</v>
      </c>
      <c r="T426" s="14">
        <v>12</v>
      </c>
      <c r="U426" s="18">
        <v>28050</v>
      </c>
      <c r="V426" s="18">
        <v>10000</v>
      </c>
      <c r="W426" s="19">
        <v>3.2</v>
      </c>
      <c r="X426" s="18">
        <v>9680</v>
      </c>
      <c r="Y426" s="14" t="s">
        <v>5665</v>
      </c>
      <c r="Z426" s="14" t="s">
        <v>5693</v>
      </c>
      <c r="AA426" s="14" t="b">
        <v>1</v>
      </c>
      <c r="AB426" s="14" t="b">
        <v>0</v>
      </c>
      <c r="AC426" s="14" t="b">
        <v>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DA27-4C3B-43E0-AC6D-2981EBDF509A}">
  <dimension ref="A1:L126"/>
  <sheetViews>
    <sheetView workbookViewId="0">
      <selection activeCell="B2" sqref="B2:B126"/>
    </sheetView>
  </sheetViews>
  <sheetFormatPr defaultRowHeight="15"/>
  <cols>
    <col min="1" max="1" width="13.42578125" customWidth="1"/>
    <col min="2" max="2" width="16.28515625" customWidth="1"/>
    <col min="3" max="3" width="23.7109375" bestFit="1" customWidth="1"/>
    <col min="4" max="4" width="22.85546875" customWidth="1"/>
    <col min="5" max="5" width="18.5703125" customWidth="1"/>
    <col min="6" max="7" width="15.5703125" bestFit="1" customWidth="1"/>
    <col min="8" max="8" width="17.28515625" customWidth="1"/>
    <col min="9" max="9" width="24.85546875" customWidth="1"/>
    <col min="10" max="10" width="54.85546875" bestFit="1" customWidth="1"/>
    <col min="11" max="11" width="59.28515625" bestFit="1" customWidth="1"/>
    <col min="12" max="12" width="58.7109375" bestFit="1" customWidth="1"/>
  </cols>
  <sheetData>
    <row r="1" spans="1:12">
      <c r="A1" s="33" t="s">
        <v>6287</v>
      </c>
      <c r="B1" s="33" t="s">
        <v>5634</v>
      </c>
      <c r="C1" s="33" t="s">
        <v>6288</v>
      </c>
      <c r="D1" s="33" t="s">
        <v>6289</v>
      </c>
      <c r="E1" s="33" t="s">
        <v>6290</v>
      </c>
      <c r="F1" s="33" t="s">
        <v>6291</v>
      </c>
      <c r="G1" s="33" t="s">
        <v>6292</v>
      </c>
      <c r="H1" s="33" t="s">
        <v>6293</v>
      </c>
      <c r="I1" s="33" t="s">
        <v>6294</v>
      </c>
      <c r="J1" s="33" t="s">
        <v>6295</v>
      </c>
      <c r="K1" s="33" t="s">
        <v>6296</v>
      </c>
      <c r="L1" s="33" t="s">
        <v>6297</v>
      </c>
    </row>
    <row r="2" spans="1:12">
      <c r="A2" s="31" t="s">
        <v>6298</v>
      </c>
      <c r="B2" s="31" t="s">
        <v>1902</v>
      </c>
      <c r="C2" s="31" t="s">
        <v>6299</v>
      </c>
      <c r="D2" s="31" t="s">
        <v>36</v>
      </c>
      <c r="E2" s="31" t="s">
        <v>1128</v>
      </c>
      <c r="F2" s="32">
        <v>46274.351365740738</v>
      </c>
      <c r="G2" s="32">
        <v>46276.226365740738</v>
      </c>
      <c r="H2" s="31" t="s">
        <v>6300</v>
      </c>
      <c r="I2" s="34">
        <v>15.2</v>
      </c>
      <c r="J2" s="31" t="s">
        <v>6301</v>
      </c>
      <c r="K2" s="31" t="s">
        <v>6302</v>
      </c>
      <c r="L2" s="31" t="s">
        <v>6303</v>
      </c>
    </row>
    <row r="3" spans="1:12">
      <c r="A3" s="31" t="s">
        <v>6304</v>
      </c>
      <c r="B3" s="31" t="s">
        <v>1742</v>
      </c>
      <c r="C3" s="31" t="s">
        <v>6305</v>
      </c>
      <c r="D3" s="31" t="s">
        <v>82</v>
      </c>
      <c r="E3" s="31" t="s">
        <v>1214</v>
      </c>
      <c r="F3" s="32">
        <v>46009.059363425928</v>
      </c>
      <c r="G3" s="32">
        <v>46009.517696759256</v>
      </c>
      <c r="H3" s="31" t="s">
        <v>6300</v>
      </c>
      <c r="I3" s="34"/>
      <c r="J3" s="31" t="s">
        <v>6306</v>
      </c>
      <c r="K3" s="31" t="s">
        <v>6307</v>
      </c>
      <c r="L3" s="31" t="s">
        <v>6308</v>
      </c>
    </row>
    <row r="4" spans="1:12">
      <c r="A4" s="31" t="s">
        <v>6309</v>
      </c>
      <c r="B4" s="31" t="s">
        <v>6187</v>
      </c>
      <c r="C4" s="31" t="s">
        <v>6299</v>
      </c>
      <c r="D4" s="31" t="s">
        <v>36</v>
      </c>
      <c r="E4" s="31" t="s">
        <v>1117</v>
      </c>
      <c r="F4" s="32">
        <v>46279.416666666664</v>
      </c>
      <c r="G4" s="32">
        <v>46279.458333333336</v>
      </c>
      <c r="H4" s="31" t="s">
        <v>6300</v>
      </c>
      <c r="I4" s="34">
        <v>21.4</v>
      </c>
      <c r="J4" s="31" t="s">
        <v>6310</v>
      </c>
      <c r="K4" s="31" t="s">
        <v>6311</v>
      </c>
      <c r="L4" s="31" t="s">
        <v>6312</v>
      </c>
    </row>
    <row r="5" spans="1:12">
      <c r="A5" s="31" t="s">
        <v>6313</v>
      </c>
      <c r="B5" s="31" t="s">
        <v>6008</v>
      </c>
      <c r="C5" s="31" t="s">
        <v>6305</v>
      </c>
      <c r="D5" s="31" t="s">
        <v>82</v>
      </c>
      <c r="E5" s="31" t="s">
        <v>1214</v>
      </c>
      <c r="F5" s="32">
        <v>46280.583333333336</v>
      </c>
      <c r="G5" s="32">
        <v>46280.625</v>
      </c>
      <c r="H5" s="31" t="s">
        <v>6300</v>
      </c>
      <c r="I5" s="34"/>
      <c r="J5" s="31" t="s">
        <v>6314</v>
      </c>
      <c r="K5" s="31" t="s">
        <v>6315</v>
      </c>
      <c r="L5" s="31" t="s">
        <v>6316</v>
      </c>
    </row>
    <row r="6" spans="1:12">
      <c r="A6" s="31" t="s">
        <v>6317</v>
      </c>
      <c r="B6" s="31" t="s">
        <v>5853</v>
      </c>
      <c r="C6" s="31" t="s">
        <v>6318</v>
      </c>
      <c r="D6" s="31" t="s">
        <v>55</v>
      </c>
      <c r="E6" s="31" t="s">
        <v>1117</v>
      </c>
      <c r="F6" s="32">
        <v>46279.25</v>
      </c>
      <c r="G6" s="32">
        <v>46280.041666666664</v>
      </c>
      <c r="H6" s="31" t="s">
        <v>6300</v>
      </c>
      <c r="I6" s="34"/>
      <c r="J6" s="31" t="s">
        <v>6319</v>
      </c>
      <c r="K6" s="31" t="s">
        <v>6302</v>
      </c>
      <c r="L6" s="31" t="s">
        <v>6312</v>
      </c>
    </row>
    <row r="7" spans="1:12">
      <c r="A7" s="31" t="s">
        <v>6320</v>
      </c>
      <c r="B7" s="31" t="s">
        <v>5941</v>
      </c>
      <c r="C7" s="31" t="s">
        <v>6299</v>
      </c>
      <c r="D7" s="31" t="s">
        <v>18</v>
      </c>
      <c r="E7" s="31" t="s">
        <v>1128</v>
      </c>
      <c r="F7" s="32">
        <v>45452.773047743052</v>
      </c>
      <c r="G7" s="32">
        <v>45454.148047743052</v>
      </c>
      <c r="H7" s="31" t="s">
        <v>6300</v>
      </c>
      <c r="I7" s="34">
        <v>14</v>
      </c>
      <c r="J7" s="31" t="s">
        <v>6321</v>
      </c>
      <c r="K7" s="31" t="s">
        <v>6307</v>
      </c>
      <c r="L7" s="31" t="s">
        <v>6303</v>
      </c>
    </row>
    <row r="8" spans="1:12">
      <c r="A8" s="31" t="s">
        <v>6322</v>
      </c>
      <c r="B8" s="31" t="s">
        <v>1629</v>
      </c>
      <c r="C8" s="31" t="s">
        <v>6299</v>
      </c>
      <c r="D8" s="31" t="s">
        <v>82</v>
      </c>
      <c r="E8" s="31" t="s">
        <v>1117</v>
      </c>
      <c r="F8" s="32">
        <v>46046.517650462964</v>
      </c>
      <c r="G8" s="32">
        <v>46048.017650462964</v>
      </c>
      <c r="H8" s="31" t="s">
        <v>6300</v>
      </c>
      <c r="I8" s="34">
        <v>22.7</v>
      </c>
      <c r="J8" s="31" t="s">
        <v>6323</v>
      </c>
      <c r="K8" s="31" t="s">
        <v>6307</v>
      </c>
      <c r="L8" s="31" t="s">
        <v>6312</v>
      </c>
    </row>
    <row r="9" spans="1:12">
      <c r="A9" s="31" t="s">
        <v>6324</v>
      </c>
      <c r="B9" s="31" t="s">
        <v>2396</v>
      </c>
      <c r="C9" s="31" t="s">
        <v>6299</v>
      </c>
      <c r="D9" s="31" t="s">
        <v>91</v>
      </c>
      <c r="E9" s="31" t="s">
        <v>1123</v>
      </c>
      <c r="F9" s="32">
        <v>45971.781667754629</v>
      </c>
      <c r="G9" s="32">
        <v>45972.740001087965</v>
      </c>
      <c r="H9" s="31" t="s">
        <v>6300</v>
      </c>
      <c r="I9" s="34">
        <v>19.5</v>
      </c>
      <c r="J9" s="31" t="s">
        <v>6325</v>
      </c>
      <c r="K9" s="31" t="s">
        <v>6326</v>
      </c>
      <c r="L9" s="31" t="s">
        <v>6303</v>
      </c>
    </row>
    <row r="10" spans="1:12">
      <c r="A10" s="31" t="s">
        <v>6327</v>
      </c>
      <c r="B10" s="31" t="s">
        <v>2468</v>
      </c>
      <c r="C10" s="31" t="s">
        <v>6328</v>
      </c>
      <c r="D10" s="31" t="s">
        <v>25</v>
      </c>
      <c r="E10" s="31" t="s">
        <v>1178</v>
      </c>
      <c r="F10" s="32">
        <v>45299.014650046294</v>
      </c>
      <c r="G10" s="32">
        <v>45300.681316712966</v>
      </c>
      <c r="H10" s="31" t="s">
        <v>6300</v>
      </c>
      <c r="I10" s="34"/>
      <c r="J10" s="31" t="s">
        <v>6329</v>
      </c>
      <c r="K10" s="31" t="s">
        <v>6315</v>
      </c>
      <c r="L10" s="31" t="s">
        <v>6316</v>
      </c>
    </row>
    <row r="11" spans="1:12">
      <c r="A11" s="31" t="s">
        <v>6330</v>
      </c>
      <c r="B11" s="31" t="s">
        <v>6247</v>
      </c>
      <c r="C11" s="31" t="s">
        <v>6299</v>
      </c>
      <c r="D11" s="31" t="s">
        <v>91</v>
      </c>
      <c r="E11" s="31" t="s">
        <v>1178</v>
      </c>
      <c r="F11" s="32">
        <v>46273.146509525461</v>
      </c>
      <c r="G11" s="32">
        <v>46273.854842858796</v>
      </c>
      <c r="H11" s="31" t="s">
        <v>6300</v>
      </c>
      <c r="I11" s="34">
        <v>21.7</v>
      </c>
      <c r="J11" s="31" t="s">
        <v>6331</v>
      </c>
      <c r="K11" s="31" t="s">
        <v>6307</v>
      </c>
      <c r="L11" s="31" t="s">
        <v>6316</v>
      </c>
    </row>
    <row r="12" spans="1:12">
      <c r="A12" s="31" t="s">
        <v>6332</v>
      </c>
      <c r="B12" s="31" t="s">
        <v>6132</v>
      </c>
      <c r="C12" s="31" t="s">
        <v>6305</v>
      </c>
      <c r="D12" s="31" t="s">
        <v>55</v>
      </c>
      <c r="E12" s="31" t="s">
        <v>1214</v>
      </c>
      <c r="F12" s="32">
        <v>46275.541666666664</v>
      </c>
      <c r="G12" s="32">
        <v>46276.291666666664</v>
      </c>
      <c r="H12" s="31" t="s">
        <v>6300</v>
      </c>
      <c r="I12" s="34"/>
      <c r="J12" s="31" t="s">
        <v>6333</v>
      </c>
      <c r="K12" s="31" t="s">
        <v>6311</v>
      </c>
      <c r="L12" s="31" t="s">
        <v>6308</v>
      </c>
    </row>
    <row r="13" spans="1:12">
      <c r="A13" s="31" t="s">
        <v>6334</v>
      </c>
      <c r="B13" s="31" t="s">
        <v>2090</v>
      </c>
      <c r="C13" s="31" t="s">
        <v>6328</v>
      </c>
      <c r="D13" s="31" t="s">
        <v>18</v>
      </c>
      <c r="E13" s="31" t="s">
        <v>1178</v>
      </c>
      <c r="F13" s="32">
        <v>45920.70319630787</v>
      </c>
      <c r="G13" s="32">
        <v>45921.45319630787</v>
      </c>
      <c r="H13" s="31" t="s">
        <v>6300</v>
      </c>
      <c r="I13" s="34"/>
      <c r="J13" s="31" t="s">
        <v>6329</v>
      </c>
      <c r="K13" s="31" t="s">
        <v>6311</v>
      </c>
      <c r="L13" s="31" t="s">
        <v>6303</v>
      </c>
    </row>
    <row r="14" spans="1:12">
      <c r="A14" s="31" t="s">
        <v>6335</v>
      </c>
      <c r="B14" s="31" t="s">
        <v>2031</v>
      </c>
      <c r="C14" s="31" t="s">
        <v>6328</v>
      </c>
      <c r="D14" s="31" t="s">
        <v>18</v>
      </c>
      <c r="E14" s="31" t="s">
        <v>1178</v>
      </c>
      <c r="F14" s="32">
        <v>45220.293229166666</v>
      </c>
      <c r="G14" s="32">
        <v>45220.95989583333</v>
      </c>
      <c r="H14" s="31" t="s">
        <v>6300</v>
      </c>
      <c r="I14" s="34"/>
      <c r="J14" s="31" t="s">
        <v>6329</v>
      </c>
      <c r="K14" s="31" t="s">
        <v>6307</v>
      </c>
      <c r="L14" s="31" t="s">
        <v>6312</v>
      </c>
    </row>
    <row r="15" spans="1:12">
      <c r="A15" s="31" t="s">
        <v>6336</v>
      </c>
      <c r="B15" s="31" t="s">
        <v>2175</v>
      </c>
      <c r="C15" s="31" t="s">
        <v>6305</v>
      </c>
      <c r="D15" s="31" t="s">
        <v>55</v>
      </c>
      <c r="E15" s="31" t="s">
        <v>1214</v>
      </c>
      <c r="F15" s="32">
        <v>45002.862563784722</v>
      </c>
      <c r="G15" s="32">
        <v>45004.070897118057</v>
      </c>
      <c r="H15" s="31" t="s">
        <v>6300</v>
      </c>
      <c r="I15" s="34"/>
      <c r="J15" s="31" t="s">
        <v>6337</v>
      </c>
      <c r="K15" s="31" t="s">
        <v>6338</v>
      </c>
      <c r="L15" s="31" t="s">
        <v>6303</v>
      </c>
    </row>
    <row r="16" spans="1:12">
      <c r="A16" s="31" t="s">
        <v>6339</v>
      </c>
      <c r="B16" s="31" t="s">
        <v>5707</v>
      </c>
      <c r="C16" s="31" t="s">
        <v>6299</v>
      </c>
      <c r="D16" s="31" t="s">
        <v>82</v>
      </c>
      <c r="E16" s="31" t="s">
        <v>1128</v>
      </c>
      <c r="F16" s="32">
        <v>46184.995957905092</v>
      </c>
      <c r="G16" s="32">
        <v>46186.162624571756</v>
      </c>
      <c r="H16" s="31" t="s">
        <v>6300</v>
      </c>
      <c r="I16" s="34">
        <v>12.6</v>
      </c>
      <c r="J16" s="31" t="s">
        <v>6340</v>
      </c>
      <c r="K16" s="31" t="s">
        <v>6302</v>
      </c>
      <c r="L16" s="31" t="s">
        <v>6308</v>
      </c>
    </row>
    <row r="17" spans="1:12">
      <c r="A17" s="31" t="s">
        <v>6341</v>
      </c>
      <c r="B17" s="31" t="s">
        <v>2369</v>
      </c>
      <c r="C17" s="31" t="s">
        <v>6299</v>
      </c>
      <c r="D17" s="31" t="s">
        <v>55</v>
      </c>
      <c r="E17" s="31" t="s">
        <v>1110</v>
      </c>
      <c r="F17" s="32">
        <v>44950.053721585646</v>
      </c>
      <c r="G17" s="32">
        <v>44950.262054918981</v>
      </c>
      <c r="H17" s="31" t="s">
        <v>6300</v>
      </c>
      <c r="I17" s="34">
        <v>29.1</v>
      </c>
      <c r="J17" s="31" t="s">
        <v>6342</v>
      </c>
      <c r="K17" s="31" t="s">
        <v>6311</v>
      </c>
      <c r="L17" s="31" t="s">
        <v>6303</v>
      </c>
    </row>
    <row r="18" spans="1:12">
      <c r="A18" s="31" t="s">
        <v>6343</v>
      </c>
      <c r="B18" s="31" t="s">
        <v>2040</v>
      </c>
      <c r="C18" s="31" t="s">
        <v>6305</v>
      </c>
      <c r="D18" s="31" t="s">
        <v>82</v>
      </c>
      <c r="E18" s="31" t="s">
        <v>1214</v>
      </c>
      <c r="F18" s="32">
        <v>45705.052995358797</v>
      </c>
      <c r="G18" s="32">
        <v>45705.761328692133</v>
      </c>
      <c r="H18" s="31" t="s">
        <v>6300</v>
      </c>
      <c r="I18" s="34"/>
      <c r="J18" s="31" t="s">
        <v>6344</v>
      </c>
      <c r="K18" s="31" t="s">
        <v>6326</v>
      </c>
      <c r="L18" s="31" t="s">
        <v>6308</v>
      </c>
    </row>
    <row r="19" spans="1:12">
      <c r="A19" s="31" t="s">
        <v>6345</v>
      </c>
      <c r="B19" s="31" t="s">
        <v>2424</v>
      </c>
      <c r="C19" s="31" t="s">
        <v>6346</v>
      </c>
      <c r="D19" s="31" t="s">
        <v>91</v>
      </c>
      <c r="E19" s="31" t="s">
        <v>1178</v>
      </c>
      <c r="F19" s="32">
        <v>46143.142580300926</v>
      </c>
      <c r="G19" s="32">
        <v>46143.18424696759</v>
      </c>
      <c r="H19" s="31" t="s">
        <v>6300</v>
      </c>
      <c r="I19" s="34">
        <v>23.7</v>
      </c>
      <c r="J19" s="31" t="s">
        <v>6347</v>
      </c>
      <c r="K19" s="31" t="s">
        <v>6307</v>
      </c>
      <c r="L19" s="31" t="s">
        <v>6312</v>
      </c>
    </row>
    <row r="20" spans="1:12">
      <c r="A20" s="31" t="s">
        <v>6348</v>
      </c>
      <c r="B20" s="31" t="s">
        <v>2513</v>
      </c>
      <c r="C20" s="31" t="s">
        <v>6305</v>
      </c>
      <c r="D20" s="31" t="s">
        <v>82</v>
      </c>
      <c r="E20" s="31" t="s">
        <v>1214</v>
      </c>
      <c r="F20" s="32">
        <v>46226.324931006944</v>
      </c>
      <c r="G20" s="32">
        <v>46227.866597673608</v>
      </c>
      <c r="H20" s="31" t="s">
        <v>6300</v>
      </c>
      <c r="I20" s="34"/>
      <c r="J20" s="31" t="s">
        <v>6349</v>
      </c>
      <c r="K20" s="31" t="s">
        <v>6315</v>
      </c>
      <c r="L20" s="31" t="s">
        <v>6312</v>
      </c>
    </row>
    <row r="21" spans="1:12">
      <c r="A21" s="31" t="s">
        <v>6350</v>
      </c>
      <c r="B21" s="31" t="s">
        <v>5937</v>
      </c>
      <c r="C21" s="31" t="s">
        <v>6328</v>
      </c>
      <c r="D21" s="31" t="s">
        <v>36</v>
      </c>
      <c r="E21" s="31" t="s">
        <v>1178</v>
      </c>
      <c r="F21" s="32">
        <v>46012.016505879626</v>
      </c>
      <c r="G21" s="32">
        <v>46013.891505879626</v>
      </c>
      <c r="H21" s="31" t="s">
        <v>6300</v>
      </c>
      <c r="I21" s="34"/>
      <c r="J21" s="31" t="s">
        <v>6329</v>
      </c>
      <c r="K21" s="31" t="s">
        <v>6338</v>
      </c>
      <c r="L21" s="31" t="s">
        <v>6303</v>
      </c>
    </row>
    <row r="22" spans="1:12">
      <c r="A22" s="31" t="s">
        <v>6351</v>
      </c>
      <c r="B22" s="31" t="s">
        <v>2529</v>
      </c>
      <c r="C22" s="31" t="s">
        <v>6299</v>
      </c>
      <c r="D22" s="31" t="s">
        <v>18</v>
      </c>
      <c r="E22" s="31" t="s">
        <v>1128</v>
      </c>
      <c r="F22" s="32">
        <v>44914.651828831018</v>
      </c>
      <c r="G22" s="32">
        <v>44914.901828831018</v>
      </c>
      <c r="H22" s="31" t="s">
        <v>6300</v>
      </c>
      <c r="I22" s="34">
        <v>10.5</v>
      </c>
      <c r="J22" s="31" t="s">
        <v>6352</v>
      </c>
      <c r="K22" s="31" t="s">
        <v>6326</v>
      </c>
      <c r="L22" s="31" t="s">
        <v>6312</v>
      </c>
    </row>
    <row r="23" spans="1:12">
      <c r="A23" s="31" t="s">
        <v>6353</v>
      </c>
      <c r="B23" s="31" t="s">
        <v>2044</v>
      </c>
      <c r="C23" s="31" t="s">
        <v>6299</v>
      </c>
      <c r="D23" s="31" t="s">
        <v>55</v>
      </c>
      <c r="E23" s="31" t="s">
        <v>1117</v>
      </c>
      <c r="F23" s="32">
        <v>46009.494884629632</v>
      </c>
      <c r="G23" s="32">
        <v>46011.45321796296</v>
      </c>
      <c r="H23" s="31" t="s">
        <v>6300</v>
      </c>
      <c r="I23" s="34">
        <v>22.6</v>
      </c>
      <c r="J23" s="31" t="s">
        <v>6354</v>
      </c>
      <c r="K23" s="31" t="s">
        <v>6307</v>
      </c>
      <c r="L23" s="31" t="s">
        <v>6308</v>
      </c>
    </row>
    <row r="24" spans="1:12">
      <c r="A24" s="31" t="s">
        <v>6355</v>
      </c>
      <c r="B24" s="31" t="s">
        <v>2377</v>
      </c>
      <c r="C24" s="31" t="s">
        <v>6299</v>
      </c>
      <c r="D24" s="31" t="s">
        <v>82</v>
      </c>
      <c r="E24" s="31" t="s">
        <v>1178</v>
      </c>
      <c r="F24" s="32">
        <v>46184.673833275461</v>
      </c>
      <c r="G24" s="32">
        <v>46185.673833275461</v>
      </c>
      <c r="H24" s="31" t="s">
        <v>6300</v>
      </c>
      <c r="I24" s="34">
        <v>22.2</v>
      </c>
      <c r="J24" s="31" t="s">
        <v>6356</v>
      </c>
      <c r="K24" s="31" t="s">
        <v>6315</v>
      </c>
      <c r="L24" s="31" t="s">
        <v>6303</v>
      </c>
    </row>
    <row r="25" spans="1:12">
      <c r="A25" s="31" t="s">
        <v>6357</v>
      </c>
      <c r="B25" s="31" t="s">
        <v>6002</v>
      </c>
      <c r="C25" s="31" t="s">
        <v>6299</v>
      </c>
      <c r="D25" s="31" t="s">
        <v>69</v>
      </c>
      <c r="E25" s="31" t="s">
        <v>1178</v>
      </c>
      <c r="F25" s="32">
        <v>46273.125</v>
      </c>
      <c r="G25" s="32">
        <v>46274.625</v>
      </c>
      <c r="H25" s="31" t="s">
        <v>6300</v>
      </c>
      <c r="I25" s="34">
        <v>23.8</v>
      </c>
      <c r="J25" s="31" t="s">
        <v>6358</v>
      </c>
      <c r="K25" s="31" t="s">
        <v>6326</v>
      </c>
      <c r="L25" s="31" t="s">
        <v>6308</v>
      </c>
    </row>
    <row r="26" spans="1:12">
      <c r="A26" s="31" t="s">
        <v>6359</v>
      </c>
      <c r="B26" s="31" t="s">
        <v>2333</v>
      </c>
      <c r="C26" s="31" t="s">
        <v>6305</v>
      </c>
      <c r="D26" s="31" t="s">
        <v>25</v>
      </c>
      <c r="E26" s="31" t="s">
        <v>1214</v>
      </c>
      <c r="F26" s="32">
        <v>46017.632392673608</v>
      </c>
      <c r="G26" s="32">
        <v>46018.549059340279</v>
      </c>
      <c r="H26" s="31" t="s">
        <v>6300</v>
      </c>
      <c r="I26" s="34"/>
      <c r="J26" s="31" t="s">
        <v>6344</v>
      </c>
      <c r="K26" s="31" t="s">
        <v>6315</v>
      </c>
      <c r="L26" s="31" t="s">
        <v>6312</v>
      </c>
    </row>
    <row r="27" spans="1:12">
      <c r="A27" s="31" t="s">
        <v>6360</v>
      </c>
      <c r="B27" s="31" t="s">
        <v>6087</v>
      </c>
      <c r="C27" s="31" t="s">
        <v>6299</v>
      </c>
      <c r="D27" s="31" t="s">
        <v>55</v>
      </c>
      <c r="E27" s="31" t="s">
        <v>1128</v>
      </c>
      <c r="F27" s="32">
        <v>46271.541666666664</v>
      </c>
      <c r="G27" s="32">
        <v>46273.041666666664</v>
      </c>
      <c r="H27" s="31" t="s">
        <v>6300</v>
      </c>
      <c r="I27" s="34">
        <v>14.1</v>
      </c>
      <c r="J27" s="31" t="s">
        <v>6361</v>
      </c>
      <c r="K27" s="31" t="s">
        <v>6302</v>
      </c>
      <c r="L27" s="31" t="s">
        <v>6303</v>
      </c>
    </row>
    <row r="28" spans="1:12">
      <c r="A28" s="31" t="s">
        <v>6362</v>
      </c>
      <c r="B28" s="31" t="s">
        <v>1795</v>
      </c>
      <c r="C28" s="31" t="s">
        <v>6299</v>
      </c>
      <c r="D28" s="31" t="s">
        <v>25</v>
      </c>
      <c r="E28" s="31" t="s">
        <v>1110</v>
      </c>
      <c r="F28" s="32">
        <v>44953.823155925929</v>
      </c>
      <c r="G28" s="32">
        <v>44954.948155925929</v>
      </c>
      <c r="H28" s="31" t="s">
        <v>6300</v>
      </c>
      <c r="I28" s="34">
        <v>34.4</v>
      </c>
      <c r="J28" s="31" t="s">
        <v>6363</v>
      </c>
      <c r="K28" s="31" t="s">
        <v>6338</v>
      </c>
      <c r="L28" s="31" t="s">
        <v>6316</v>
      </c>
    </row>
    <row r="29" spans="1:12">
      <c r="A29" s="31" t="s">
        <v>6364</v>
      </c>
      <c r="B29" s="31" t="s">
        <v>1678</v>
      </c>
      <c r="C29" s="31" t="s">
        <v>6299</v>
      </c>
      <c r="D29" s="31" t="s">
        <v>91</v>
      </c>
      <c r="E29" s="31" t="s">
        <v>1123</v>
      </c>
      <c r="F29" s="32">
        <v>45965.832280092596</v>
      </c>
      <c r="G29" s="32">
        <v>45966.62394675926</v>
      </c>
      <c r="H29" s="31" t="s">
        <v>6300</v>
      </c>
      <c r="I29" s="34">
        <v>12.7</v>
      </c>
      <c r="J29" s="31" t="s">
        <v>6365</v>
      </c>
      <c r="K29" s="31" t="s">
        <v>6315</v>
      </c>
      <c r="L29" s="31" t="s">
        <v>6308</v>
      </c>
    </row>
    <row r="30" spans="1:12">
      <c r="A30" s="31" t="s">
        <v>6366</v>
      </c>
      <c r="B30" s="31" t="s">
        <v>1615</v>
      </c>
      <c r="C30" s="31" t="s">
        <v>6305</v>
      </c>
      <c r="D30" s="31" t="s">
        <v>69</v>
      </c>
      <c r="E30" s="31" t="s">
        <v>1214</v>
      </c>
      <c r="F30" s="32">
        <v>45583.48461684028</v>
      </c>
      <c r="G30" s="32">
        <v>45584.651283506944</v>
      </c>
      <c r="H30" s="31" t="s">
        <v>6300</v>
      </c>
      <c r="I30" s="34"/>
      <c r="J30" s="31" t="s">
        <v>6367</v>
      </c>
      <c r="K30" s="31" t="s">
        <v>6338</v>
      </c>
      <c r="L30" s="31" t="s">
        <v>6312</v>
      </c>
    </row>
    <row r="31" spans="1:12">
      <c r="A31" s="31" t="s">
        <v>6368</v>
      </c>
      <c r="B31" s="31" t="s">
        <v>5910</v>
      </c>
      <c r="C31" s="31" t="s">
        <v>6299</v>
      </c>
      <c r="D31" s="31" t="s">
        <v>25</v>
      </c>
      <c r="E31" s="31" t="s">
        <v>1178</v>
      </c>
      <c r="F31" s="32">
        <v>46286</v>
      </c>
      <c r="G31" s="32">
        <v>46287.083333333336</v>
      </c>
      <c r="H31" s="31" t="s">
        <v>6300</v>
      </c>
      <c r="I31" s="34">
        <v>22.8</v>
      </c>
      <c r="J31" s="31" t="s">
        <v>6369</v>
      </c>
      <c r="K31" s="31" t="s">
        <v>6315</v>
      </c>
      <c r="L31" s="31" t="s">
        <v>6303</v>
      </c>
    </row>
    <row r="32" spans="1:12">
      <c r="A32" s="31" t="s">
        <v>6370</v>
      </c>
      <c r="B32" s="31" t="s">
        <v>5750</v>
      </c>
      <c r="C32" s="31" t="s">
        <v>6299</v>
      </c>
      <c r="D32" s="31" t="s">
        <v>82</v>
      </c>
      <c r="E32" s="31" t="s">
        <v>1214</v>
      </c>
      <c r="F32" s="32">
        <v>46248.514570150466</v>
      </c>
      <c r="G32" s="32">
        <v>46248.80623681713</v>
      </c>
      <c r="H32" s="31" t="s">
        <v>6300</v>
      </c>
      <c r="I32" s="34">
        <v>32.6</v>
      </c>
      <c r="J32" s="31" t="s">
        <v>6371</v>
      </c>
      <c r="K32" s="31" t="s">
        <v>6302</v>
      </c>
      <c r="L32" s="31" t="s">
        <v>6303</v>
      </c>
    </row>
    <row r="33" spans="1:12">
      <c r="A33" s="31" t="s">
        <v>6372</v>
      </c>
      <c r="B33" s="31" t="s">
        <v>1955</v>
      </c>
      <c r="C33" s="31" t="s">
        <v>6299</v>
      </c>
      <c r="D33" s="31" t="s">
        <v>36</v>
      </c>
      <c r="E33" s="31" t="s">
        <v>1128</v>
      </c>
      <c r="F33" s="32">
        <v>46250.767519108798</v>
      </c>
      <c r="G33" s="32">
        <v>46252.434185775463</v>
      </c>
      <c r="H33" s="31" t="s">
        <v>6300</v>
      </c>
      <c r="I33" s="34">
        <v>17.2</v>
      </c>
      <c r="J33" s="31" t="s">
        <v>6373</v>
      </c>
      <c r="K33" s="31" t="s">
        <v>6311</v>
      </c>
      <c r="L33" s="31" t="s">
        <v>6312</v>
      </c>
    </row>
    <row r="34" spans="1:12">
      <c r="A34" s="31" t="s">
        <v>6374</v>
      </c>
      <c r="B34" s="31" t="s">
        <v>1450</v>
      </c>
      <c r="C34" s="31" t="s">
        <v>6318</v>
      </c>
      <c r="D34" s="31" t="s">
        <v>91</v>
      </c>
      <c r="E34" s="31" t="s">
        <v>1117</v>
      </c>
      <c r="F34" s="32">
        <v>46090.447469942126</v>
      </c>
      <c r="G34" s="32">
        <v>46091.280803275462</v>
      </c>
      <c r="H34" s="31" t="s">
        <v>6300</v>
      </c>
      <c r="I34" s="34"/>
      <c r="J34" s="31" t="s">
        <v>6319</v>
      </c>
      <c r="K34" s="31" t="s">
        <v>6307</v>
      </c>
      <c r="L34" s="31" t="s">
        <v>6312</v>
      </c>
    </row>
    <row r="35" spans="1:12">
      <c r="A35" s="31" t="s">
        <v>6375</v>
      </c>
      <c r="B35" s="31" t="s">
        <v>2484</v>
      </c>
      <c r="C35" s="31" t="s">
        <v>6299</v>
      </c>
      <c r="D35" s="31" t="s">
        <v>36</v>
      </c>
      <c r="E35" s="31" t="s">
        <v>1117</v>
      </c>
      <c r="F35" s="32">
        <v>46216.794085046298</v>
      </c>
      <c r="G35" s="32">
        <v>46217.544085046298</v>
      </c>
      <c r="H35" s="31" t="s">
        <v>6300</v>
      </c>
      <c r="I35" s="34">
        <v>23</v>
      </c>
      <c r="J35" s="31" t="s">
        <v>6376</v>
      </c>
      <c r="K35" s="31" t="s">
        <v>6326</v>
      </c>
      <c r="L35" s="31" t="s">
        <v>6316</v>
      </c>
    </row>
    <row r="36" spans="1:12">
      <c r="A36" s="31" t="s">
        <v>6377</v>
      </c>
      <c r="B36" s="31" t="s">
        <v>5880</v>
      </c>
      <c r="C36" s="31" t="s">
        <v>6299</v>
      </c>
      <c r="D36" s="31" t="s">
        <v>18</v>
      </c>
      <c r="E36" s="31" t="s">
        <v>1128</v>
      </c>
      <c r="F36" s="32">
        <v>46287.375</v>
      </c>
      <c r="G36" s="32"/>
      <c r="H36" s="31" t="s">
        <v>6378</v>
      </c>
      <c r="I36" s="34">
        <v>13.3</v>
      </c>
      <c r="J36" s="31" t="s">
        <v>6379</v>
      </c>
      <c r="K36" s="31" t="s">
        <v>6302</v>
      </c>
      <c r="L36" s="31"/>
    </row>
    <row r="37" spans="1:12">
      <c r="A37" s="31" t="s">
        <v>6380</v>
      </c>
      <c r="B37" s="31" t="s">
        <v>1594</v>
      </c>
      <c r="C37" s="31" t="s">
        <v>6328</v>
      </c>
      <c r="D37" s="31" t="s">
        <v>55</v>
      </c>
      <c r="E37" s="31" t="s">
        <v>1178</v>
      </c>
      <c r="F37" s="32">
        <v>45700.742105937497</v>
      </c>
      <c r="G37" s="32">
        <v>45701.075439270833</v>
      </c>
      <c r="H37" s="31" t="s">
        <v>6300</v>
      </c>
      <c r="I37" s="34"/>
      <c r="J37" s="31" t="s">
        <v>6329</v>
      </c>
      <c r="K37" s="31" t="s">
        <v>6326</v>
      </c>
      <c r="L37" s="31" t="s">
        <v>6303</v>
      </c>
    </row>
    <row r="38" spans="1:12">
      <c r="A38" s="31" t="s">
        <v>6381</v>
      </c>
      <c r="B38" s="31" t="s">
        <v>2317</v>
      </c>
      <c r="C38" s="31" t="s">
        <v>6305</v>
      </c>
      <c r="D38" s="31" t="s">
        <v>55</v>
      </c>
      <c r="E38" s="31" t="s">
        <v>1214</v>
      </c>
      <c r="F38" s="32">
        <v>46188.175037430556</v>
      </c>
      <c r="G38" s="32">
        <v>46189.133370763891</v>
      </c>
      <c r="H38" s="31" t="s">
        <v>6300</v>
      </c>
      <c r="I38" s="34"/>
      <c r="J38" s="31" t="s">
        <v>6367</v>
      </c>
      <c r="K38" s="31" t="s">
        <v>6315</v>
      </c>
      <c r="L38" s="31" t="s">
        <v>6308</v>
      </c>
    </row>
    <row r="39" spans="1:12">
      <c r="A39" s="31" t="s">
        <v>6382</v>
      </c>
      <c r="B39" s="31" t="s">
        <v>2027</v>
      </c>
      <c r="C39" s="31" t="s">
        <v>6305</v>
      </c>
      <c r="D39" s="31" t="s">
        <v>55</v>
      </c>
      <c r="E39" s="31" t="s">
        <v>1214</v>
      </c>
      <c r="F39" s="32">
        <v>45031.276393437503</v>
      </c>
      <c r="G39" s="32">
        <v>45033.193060104168</v>
      </c>
      <c r="H39" s="31" t="s">
        <v>6300</v>
      </c>
      <c r="I39" s="34"/>
      <c r="J39" s="31" t="s">
        <v>6344</v>
      </c>
      <c r="K39" s="31" t="s">
        <v>6302</v>
      </c>
      <c r="L39" s="31" t="s">
        <v>6312</v>
      </c>
    </row>
    <row r="40" spans="1:12">
      <c r="A40" s="31" t="s">
        <v>6383</v>
      </c>
      <c r="B40" s="31" t="s">
        <v>2098</v>
      </c>
      <c r="C40" s="31" t="s">
        <v>6305</v>
      </c>
      <c r="D40" s="31" t="s">
        <v>36</v>
      </c>
      <c r="E40" s="31" t="s">
        <v>1214</v>
      </c>
      <c r="F40" s="32">
        <v>45272.784930555557</v>
      </c>
      <c r="G40" s="32">
        <v>45274.368263888886</v>
      </c>
      <c r="H40" s="31" t="s">
        <v>6300</v>
      </c>
      <c r="I40" s="34"/>
      <c r="J40" s="31" t="s">
        <v>6314</v>
      </c>
      <c r="K40" s="31" t="s">
        <v>6326</v>
      </c>
      <c r="L40" s="31" t="s">
        <v>6316</v>
      </c>
    </row>
    <row r="41" spans="1:12">
      <c r="A41" s="31" t="s">
        <v>6384</v>
      </c>
      <c r="B41" s="31" t="s">
        <v>1422</v>
      </c>
      <c r="C41" s="31" t="s">
        <v>6305</v>
      </c>
      <c r="D41" s="31" t="s">
        <v>82</v>
      </c>
      <c r="E41" s="31" t="s">
        <v>1214</v>
      </c>
      <c r="F41" s="32">
        <v>46278.140944826388</v>
      </c>
      <c r="G41" s="32">
        <v>46278.849278159723</v>
      </c>
      <c r="H41" s="31" t="s">
        <v>6300</v>
      </c>
      <c r="I41" s="34"/>
      <c r="J41" s="31" t="s">
        <v>6314</v>
      </c>
      <c r="K41" s="31" t="s">
        <v>6338</v>
      </c>
      <c r="L41" s="31" t="s">
        <v>6308</v>
      </c>
    </row>
    <row r="42" spans="1:12">
      <c r="A42" s="31" t="s">
        <v>6385</v>
      </c>
      <c r="B42" s="31" t="s">
        <v>6010</v>
      </c>
      <c r="C42" s="31" t="s">
        <v>6305</v>
      </c>
      <c r="D42" s="31" t="s">
        <v>18</v>
      </c>
      <c r="E42" s="31" t="s">
        <v>1214</v>
      </c>
      <c r="F42" s="32">
        <v>46182.570868437499</v>
      </c>
      <c r="G42" s="32">
        <v>46184.11253510417</v>
      </c>
      <c r="H42" s="31" t="s">
        <v>6300</v>
      </c>
      <c r="I42" s="34"/>
      <c r="J42" s="31" t="s">
        <v>6314</v>
      </c>
      <c r="K42" s="31" t="s">
        <v>6326</v>
      </c>
      <c r="L42" s="31" t="s">
        <v>6303</v>
      </c>
    </row>
    <row r="43" spans="1:12">
      <c r="A43" s="31" t="s">
        <v>6386</v>
      </c>
      <c r="B43" s="31" t="s">
        <v>6193</v>
      </c>
      <c r="C43" s="31" t="s">
        <v>6299</v>
      </c>
      <c r="D43" s="31" t="s">
        <v>36</v>
      </c>
      <c r="E43" s="31" t="s">
        <v>1214</v>
      </c>
      <c r="F43" s="32">
        <v>45664.347016203705</v>
      </c>
      <c r="G43" s="32">
        <v>45666.138682870369</v>
      </c>
      <c r="H43" s="31" t="s">
        <v>6300</v>
      </c>
      <c r="I43" s="34">
        <v>39.9</v>
      </c>
      <c r="J43" s="31" t="s">
        <v>6387</v>
      </c>
      <c r="K43" s="31" t="s">
        <v>6326</v>
      </c>
      <c r="L43" s="31" t="s">
        <v>6316</v>
      </c>
    </row>
    <row r="44" spans="1:12">
      <c r="A44" s="31" t="s">
        <v>6388</v>
      </c>
      <c r="B44" s="31" t="s">
        <v>1969</v>
      </c>
      <c r="C44" s="31" t="s">
        <v>6299</v>
      </c>
      <c r="D44" s="31" t="s">
        <v>25</v>
      </c>
      <c r="E44" s="31" t="s">
        <v>1123</v>
      </c>
      <c r="F44" s="32">
        <v>45193.240835138888</v>
      </c>
      <c r="G44" s="32">
        <v>45193.990835138888</v>
      </c>
      <c r="H44" s="31" t="s">
        <v>6300</v>
      </c>
      <c r="I44" s="34">
        <v>14.5</v>
      </c>
      <c r="J44" s="31" t="s">
        <v>6389</v>
      </c>
      <c r="K44" s="31" t="s">
        <v>6311</v>
      </c>
      <c r="L44" s="31" t="s">
        <v>6308</v>
      </c>
    </row>
    <row r="45" spans="1:12">
      <c r="A45" s="31" t="s">
        <v>6390</v>
      </c>
      <c r="B45" s="31" t="s">
        <v>6130</v>
      </c>
      <c r="C45" s="31" t="s">
        <v>6299</v>
      </c>
      <c r="D45" s="31" t="s">
        <v>25</v>
      </c>
      <c r="E45" s="31" t="s">
        <v>1178</v>
      </c>
      <c r="F45" s="32">
        <v>45791.143802997685</v>
      </c>
      <c r="G45" s="32">
        <v>45791.977136331021</v>
      </c>
      <c r="H45" s="31" t="s">
        <v>6300</v>
      </c>
      <c r="I45" s="34">
        <v>21.5</v>
      </c>
      <c r="J45" s="31" t="s">
        <v>6391</v>
      </c>
      <c r="K45" s="31" t="s">
        <v>6302</v>
      </c>
      <c r="L45" s="31" t="s">
        <v>6308</v>
      </c>
    </row>
    <row r="46" spans="1:12">
      <c r="A46" s="31" t="s">
        <v>6392</v>
      </c>
      <c r="B46" s="31" t="s">
        <v>1408</v>
      </c>
      <c r="C46" s="31" t="s">
        <v>6299</v>
      </c>
      <c r="D46" s="31" t="s">
        <v>82</v>
      </c>
      <c r="E46" s="31" t="s">
        <v>1110</v>
      </c>
      <c r="F46" s="32">
        <v>45150.07709071759</v>
      </c>
      <c r="G46" s="32">
        <v>45150.493757384262</v>
      </c>
      <c r="H46" s="31" t="s">
        <v>6300</v>
      </c>
      <c r="I46" s="34">
        <v>34.4</v>
      </c>
      <c r="J46" s="31" t="s">
        <v>6363</v>
      </c>
      <c r="K46" s="31" t="s">
        <v>6315</v>
      </c>
      <c r="L46" s="31" t="s">
        <v>6316</v>
      </c>
    </row>
    <row r="47" spans="1:12">
      <c r="A47" s="31" t="s">
        <v>6393</v>
      </c>
      <c r="B47" s="31" t="s">
        <v>6199</v>
      </c>
      <c r="C47" s="31" t="s">
        <v>6299</v>
      </c>
      <c r="D47" s="31" t="s">
        <v>82</v>
      </c>
      <c r="E47" s="31" t="s">
        <v>1128</v>
      </c>
      <c r="F47" s="32">
        <v>46259.958333333336</v>
      </c>
      <c r="G47" s="32">
        <v>46260.125</v>
      </c>
      <c r="H47" s="31" t="s">
        <v>6394</v>
      </c>
      <c r="I47" s="34">
        <v>14.2</v>
      </c>
      <c r="J47" s="31" t="s">
        <v>6395</v>
      </c>
      <c r="K47" s="31" t="s">
        <v>6302</v>
      </c>
      <c r="L47" s="31" t="s">
        <v>6396</v>
      </c>
    </row>
    <row r="48" spans="1:12">
      <c r="A48" s="31" t="s">
        <v>6397</v>
      </c>
      <c r="B48" s="31" t="s">
        <v>1688</v>
      </c>
      <c r="C48" s="31" t="s">
        <v>6328</v>
      </c>
      <c r="D48" s="31" t="s">
        <v>36</v>
      </c>
      <c r="E48" s="31" t="s">
        <v>1178</v>
      </c>
      <c r="F48" s="32">
        <v>46265.537463368055</v>
      </c>
      <c r="G48" s="32">
        <v>46266.412463368055</v>
      </c>
      <c r="H48" s="31" t="s">
        <v>6300</v>
      </c>
      <c r="I48" s="34"/>
      <c r="J48" s="31" t="s">
        <v>6329</v>
      </c>
      <c r="K48" s="31" t="s">
        <v>6311</v>
      </c>
      <c r="L48" s="31" t="s">
        <v>6312</v>
      </c>
    </row>
    <row r="49" spans="1:12">
      <c r="A49" s="31" t="s">
        <v>6398</v>
      </c>
      <c r="B49" s="31" t="s">
        <v>5919</v>
      </c>
      <c r="C49" s="31" t="s">
        <v>6299</v>
      </c>
      <c r="D49" s="31" t="s">
        <v>82</v>
      </c>
      <c r="E49" s="31" t="s">
        <v>1178</v>
      </c>
      <c r="F49" s="32">
        <v>46016.819574317131</v>
      </c>
      <c r="G49" s="32">
        <v>46018.027907650459</v>
      </c>
      <c r="H49" s="31" t="s">
        <v>6300</v>
      </c>
      <c r="I49" s="34">
        <v>21.4</v>
      </c>
      <c r="J49" s="31" t="s">
        <v>6310</v>
      </c>
      <c r="K49" s="31" t="s">
        <v>6326</v>
      </c>
      <c r="L49" s="31" t="s">
        <v>6303</v>
      </c>
    </row>
    <row r="50" spans="1:12">
      <c r="A50" s="31" t="s">
        <v>6399</v>
      </c>
      <c r="B50" s="31" t="s">
        <v>1845</v>
      </c>
      <c r="C50" s="31" t="s">
        <v>6305</v>
      </c>
      <c r="D50" s="31" t="s">
        <v>82</v>
      </c>
      <c r="E50" s="31" t="s">
        <v>1214</v>
      </c>
      <c r="F50" s="32">
        <v>46209.616593831015</v>
      </c>
      <c r="G50" s="32">
        <v>46209.658260497687</v>
      </c>
      <c r="H50" s="31" t="s">
        <v>6300</v>
      </c>
      <c r="I50" s="34"/>
      <c r="J50" s="31" t="s">
        <v>6337</v>
      </c>
      <c r="K50" s="31" t="s">
        <v>6307</v>
      </c>
      <c r="L50" s="31" t="s">
        <v>6303</v>
      </c>
    </row>
    <row r="51" spans="1:12">
      <c r="A51" s="31" t="s">
        <v>6400</v>
      </c>
      <c r="B51" s="31" t="s">
        <v>5838</v>
      </c>
      <c r="C51" s="31" t="s">
        <v>6305</v>
      </c>
      <c r="D51" s="31" t="s">
        <v>18</v>
      </c>
      <c r="E51" s="31" t="s">
        <v>1214</v>
      </c>
      <c r="F51" s="32">
        <v>46280</v>
      </c>
      <c r="G51" s="32">
        <v>46281.625</v>
      </c>
      <c r="H51" s="31" t="s">
        <v>6300</v>
      </c>
      <c r="I51" s="34"/>
      <c r="J51" s="31" t="s">
        <v>6367</v>
      </c>
      <c r="K51" s="31" t="s">
        <v>6302</v>
      </c>
      <c r="L51" s="31" t="s">
        <v>6308</v>
      </c>
    </row>
    <row r="52" spans="1:12">
      <c r="A52" s="31" t="s">
        <v>6401</v>
      </c>
      <c r="B52" s="31" t="s">
        <v>6206</v>
      </c>
      <c r="C52" s="31" t="s">
        <v>6305</v>
      </c>
      <c r="D52" s="31" t="s">
        <v>82</v>
      </c>
      <c r="E52" s="31" t="s">
        <v>1214</v>
      </c>
      <c r="F52" s="32">
        <v>45822.805589201387</v>
      </c>
      <c r="G52" s="32">
        <v>45824.347255868059</v>
      </c>
      <c r="H52" s="31" t="s">
        <v>6300</v>
      </c>
      <c r="I52" s="34"/>
      <c r="J52" s="31" t="s">
        <v>6314</v>
      </c>
      <c r="K52" s="31" t="s">
        <v>6326</v>
      </c>
      <c r="L52" s="31" t="s">
        <v>6308</v>
      </c>
    </row>
    <row r="53" spans="1:12">
      <c r="A53" s="31" t="s">
        <v>6402</v>
      </c>
      <c r="B53" s="31" t="s">
        <v>5828</v>
      </c>
      <c r="C53" s="31" t="s">
        <v>6305</v>
      </c>
      <c r="D53" s="31" t="s">
        <v>55</v>
      </c>
      <c r="E53" s="31" t="s">
        <v>1214</v>
      </c>
      <c r="F53" s="32">
        <v>45885.403102094904</v>
      </c>
      <c r="G53" s="32">
        <v>45885.98643542824</v>
      </c>
      <c r="H53" s="31" t="s">
        <v>6300</v>
      </c>
      <c r="I53" s="34"/>
      <c r="J53" s="31" t="s">
        <v>6367</v>
      </c>
      <c r="K53" s="31" t="s">
        <v>6315</v>
      </c>
      <c r="L53" s="31" t="s">
        <v>6303</v>
      </c>
    </row>
    <row r="54" spans="1:12">
      <c r="A54" s="31" t="s">
        <v>6403</v>
      </c>
      <c r="B54" s="31" t="s">
        <v>2123</v>
      </c>
      <c r="C54" s="31" t="s">
        <v>6299</v>
      </c>
      <c r="D54" s="31" t="s">
        <v>91</v>
      </c>
      <c r="E54" s="31" t="s">
        <v>1123</v>
      </c>
      <c r="F54" s="32">
        <v>45012.955160046295</v>
      </c>
      <c r="G54" s="32">
        <v>45014.955160046295</v>
      </c>
      <c r="H54" s="31" t="s">
        <v>6394</v>
      </c>
      <c r="I54" s="34">
        <v>10.5</v>
      </c>
      <c r="J54" s="31" t="s">
        <v>6352</v>
      </c>
      <c r="K54" s="31" t="s">
        <v>6307</v>
      </c>
      <c r="L54" s="31" t="s">
        <v>6404</v>
      </c>
    </row>
    <row r="55" spans="1:12">
      <c r="A55" s="31" t="s">
        <v>6405</v>
      </c>
      <c r="B55" s="31" t="s">
        <v>1728</v>
      </c>
      <c r="C55" s="31" t="s">
        <v>6299</v>
      </c>
      <c r="D55" s="31" t="s">
        <v>36</v>
      </c>
      <c r="E55" s="31" t="s">
        <v>1117</v>
      </c>
      <c r="F55" s="32">
        <v>46278.863594062503</v>
      </c>
      <c r="G55" s="32">
        <v>46278.905260729167</v>
      </c>
      <c r="H55" s="31" t="s">
        <v>6300</v>
      </c>
      <c r="I55" s="34">
        <v>22.9</v>
      </c>
      <c r="J55" s="31" t="s">
        <v>6406</v>
      </c>
      <c r="K55" s="31" t="s">
        <v>6302</v>
      </c>
      <c r="L55" s="31" t="s">
        <v>6303</v>
      </c>
    </row>
    <row r="56" spans="1:12">
      <c r="A56" s="31" t="s">
        <v>6407</v>
      </c>
      <c r="B56" s="31" t="s">
        <v>6017</v>
      </c>
      <c r="C56" s="31" t="s">
        <v>6305</v>
      </c>
      <c r="D56" s="31" t="s">
        <v>25</v>
      </c>
      <c r="E56" s="31" t="s">
        <v>1214</v>
      </c>
      <c r="F56" s="32">
        <v>46054.998133194444</v>
      </c>
      <c r="G56" s="32">
        <v>46055.164799861108</v>
      </c>
      <c r="H56" s="31" t="s">
        <v>6300</v>
      </c>
      <c r="I56" s="34"/>
      <c r="J56" s="31" t="s">
        <v>6337</v>
      </c>
      <c r="K56" s="31" t="s">
        <v>6307</v>
      </c>
      <c r="L56" s="31" t="s">
        <v>6312</v>
      </c>
    </row>
    <row r="57" spans="1:12">
      <c r="A57" s="31" t="s">
        <v>6408</v>
      </c>
      <c r="B57" s="31" t="s">
        <v>6201</v>
      </c>
      <c r="C57" s="31" t="s">
        <v>6346</v>
      </c>
      <c r="D57" s="31" t="s">
        <v>82</v>
      </c>
      <c r="E57" s="31" t="s">
        <v>1178</v>
      </c>
      <c r="F57" s="32">
        <v>46274.127143171296</v>
      </c>
      <c r="G57" s="32">
        <v>46275.41880983796</v>
      </c>
      <c r="H57" s="31" t="s">
        <v>6300</v>
      </c>
      <c r="I57" s="34">
        <v>28.7</v>
      </c>
      <c r="J57" s="31" t="s">
        <v>6409</v>
      </c>
      <c r="K57" s="31" t="s">
        <v>6315</v>
      </c>
      <c r="L57" s="31" t="s">
        <v>6312</v>
      </c>
    </row>
    <row r="58" spans="1:12">
      <c r="A58" s="31" t="s">
        <v>6410</v>
      </c>
      <c r="B58" s="31" t="s">
        <v>1620</v>
      </c>
      <c r="C58" s="31" t="s">
        <v>6299</v>
      </c>
      <c r="D58" s="31" t="s">
        <v>69</v>
      </c>
      <c r="E58" s="31" t="s">
        <v>1123</v>
      </c>
      <c r="F58" s="32">
        <v>46266.154937789353</v>
      </c>
      <c r="G58" s="32">
        <v>46268.154937789353</v>
      </c>
      <c r="H58" s="31" t="s">
        <v>6300</v>
      </c>
      <c r="I58" s="34">
        <v>15.1</v>
      </c>
      <c r="J58" s="31" t="s">
        <v>6411</v>
      </c>
      <c r="K58" s="31" t="s">
        <v>6311</v>
      </c>
      <c r="L58" s="31" t="s">
        <v>6312</v>
      </c>
    </row>
    <row r="59" spans="1:12">
      <c r="A59" s="31" t="s">
        <v>6412</v>
      </c>
      <c r="B59" s="31" t="s">
        <v>2509</v>
      </c>
      <c r="C59" s="31" t="s">
        <v>6299</v>
      </c>
      <c r="D59" s="31" t="s">
        <v>36</v>
      </c>
      <c r="E59" s="31" t="s">
        <v>1128</v>
      </c>
      <c r="F59" s="32">
        <v>46017.901892372684</v>
      </c>
      <c r="G59" s="32">
        <v>46018.485225706019</v>
      </c>
      <c r="H59" s="31" t="s">
        <v>6300</v>
      </c>
      <c r="I59" s="34">
        <v>14</v>
      </c>
      <c r="J59" s="31" t="s">
        <v>6321</v>
      </c>
      <c r="K59" s="31" t="s">
        <v>6307</v>
      </c>
      <c r="L59" s="31" t="s">
        <v>6316</v>
      </c>
    </row>
    <row r="60" spans="1:12">
      <c r="A60" s="31" t="s">
        <v>6413</v>
      </c>
      <c r="B60" s="31" t="s">
        <v>2337</v>
      </c>
      <c r="C60" s="31" t="s">
        <v>6299</v>
      </c>
      <c r="D60" s="31" t="s">
        <v>18</v>
      </c>
      <c r="E60" s="31" t="s">
        <v>1110</v>
      </c>
      <c r="F60" s="32">
        <v>45391.864039351851</v>
      </c>
      <c r="G60" s="32">
        <v>45392.447372685187</v>
      </c>
      <c r="H60" s="31" t="s">
        <v>6300</v>
      </c>
      <c r="I60" s="34">
        <v>26.3</v>
      </c>
      <c r="J60" s="31" t="s">
        <v>6414</v>
      </c>
      <c r="K60" s="31" t="s">
        <v>6326</v>
      </c>
      <c r="L60" s="31" t="s">
        <v>6303</v>
      </c>
    </row>
    <row r="61" spans="1:12">
      <c r="A61" s="31" t="s">
        <v>6415</v>
      </c>
      <c r="B61" s="31" t="s">
        <v>2561</v>
      </c>
      <c r="C61" s="31" t="s">
        <v>6299</v>
      </c>
      <c r="D61" s="31" t="s">
        <v>69</v>
      </c>
      <c r="E61" s="31" t="s">
        <v>1178</v>
      </c>
      <c r="F61" s="32">
        <v>45532.834814814814</v>
      </c>
      <c r="G61" s="32">
        <v>45533.626481481479</v>
      </c>
      <c r="H61" s="31" t="s">
        <v>6300</v>
      </c>
      <c r="I61" s="34">
        <v>24.7</v>
      </c>
      <c r="J61" s="31" t="s">
        <v>6416</v>
      </c>
      <c r="K61" s="31" t="s">
        <v>6302</v>
      </c>
      <c r="L61" s="31" t="s">
        <v>6303</v>
      </c>
    </row>
    <row r="62" spans="1:12">
      <c r="A62" s="31" t="s">
        <v>6417</v>
      </c>
      <c r="B62" s="31" t="s">
        <v>1709</v>
      </c>
      <c r="C62" s="31" t="s">
        <v>6299</v>
      </c>
      <c r="D62" s="31" t="s">
        <v>59</v>
      </c>
      <c r="E62" s="31" t="s">
        <v>1178</v>
      </c>
      <c r="F62" s="32">
        <v>45034.856301956017</v>
      </c>
      <c r="G62" s="32">
        <v>45035.606301956017</v>
      </c>
      <c r="H62" s="31" t="s">
        <v>6300</v>
      </c>
      <c r="I62" s="34">
        <v>21</v>
      </c>
      <c r="J62" s="31" t="s">
        <v>6418</v>
      </c>
      <c r="K62" s="31" t="s">
        <v>6326</v>
      </c>
      <c r="L62" s="31" t="s">
        <v>6316</v>
      </c>
    </row>
    <row r="63" spans="1:12">
      <c r="A63" s="31" t="s">
        <v>6419</v>
      </c>
      <c r="B63" s="31" t="s">
        <v>6027</v>
      </c>
      <c r="C63" s="31" t="s">
        <v>6299</v>
      </c>
      <c r="D63" s="31" t="s">
        <v>59</v>
      </c>
      <c r="E63" s="31" t="s">
        <v>1117</v>
      </c>
      <c r="F63" s="32">
        <v>46273.878241435188</v>
      </c>
      <c r="G63" s="32">
        <v>46275.336574768517</v>
      </c>
      <c r="H63" s="31" t="s">
        <v>6300</v>
      </c>
      <c r="I63" s="34">
        <v>24.1</v>
      </c>
      <c r="J63" s="31" t="s">
        <v>6420</v>
      </c>
      <c r="K63" s="31" t="s">
        <v>6338</v>
      </c>
      <c r="L63" s="31" t="s">
        <v>6316</v>
      </c>
    </row>
    <row r="64" spans="1:12">
      <c r="A64" s="31" t="s">
        <v>6421</v>
      </c>
      <c r="B64" s="31" t="s">
        <v>2225</v>
      </c>
      <c r="C64" s="31" t="s">
        <v>6328</v>
      </c>
      <c r="D64" s="31" t="s">
        <v>25</v>
      </c>
      <c r="E64" s="31" t="s">
        <v>1178</v>
      </c>
      <c r="F64" s="32">
        <v>46253.778814097219</v>
      </c>
      <c r="G64" s="32">
        <v>46255.362147430555</v>
      </c>
      <c r="H64" s="31" t="s">
        <v>6300</v>
      </c>
      <c r="I64" s="34"/>
      <c r="J64" s="31" t="s">
        <v>6329</v>
      </c>
      <c r="K64" s="31" t="s">
        <v>6338</v>
      </c>
      <c r="L64" s="31" t="s">
        <v>6308</v>
      </c>
    </row>
    <row r="65" spans="1:12">
      <c r="A65" s="31" t="s">
        <v>6422</v>
      </c>
      <c r="B65" s="31" t="s">
        <v>5772</v>
      </c>
      <c r="C65" s="31" t="s">
        <v>6346</v>
      </c>
      <c r="D65" s="31" t="s">
        <v>55</v>
      </c>
      <c r="E65" s="31" t="s">
        <v>1178</v>
      </c>
      <c r="F65" s="32">
        <v>46276.4474658912</v>
      </c>
      <c r="G65" s="32">
        <v>46278.405799224536</v>
      </c>
      <c r="H65" s="31" t="s">
        <v>6300</v>
      </c>
      <c r="I65" s="34">
        <v>23.6</v>
      </c>
      <c r="J65" s="31" t="s">
        <v>6423</v>
      </c>
      <c r="K65" s="31" t="s">
        <v>6315</v>
      </c>
      <c r="L65" s="31" t="s">
        <v>6316</v>
      </c>
    </row>
    <row r="66" spans="1:12">
      <c r="A66" s="31" t="s">
        <v>6424</v>
      </c>
      <c r="B66" s="31" t="s">
        <v>2003</v>
      </c>
      <c r="C66" s="31" t="s">
        <v>6299</v>
      </c>
      <c r="D66" s="31" t="s">
        <v>91</v>
      </c>
      <c r="E66" s="31" t="s">
        <v>1117</v>
      </c>
      <c r="F66" s="32">
        <v>45331.413460648146</v>
      </c>
      <c r="G66" s="32">
        <v>45332.080127314817</v>
      </c>
      <c r="H66" s="31" t="s">
        <v>6300</v>
      </c>
      <c r="I66" s="34">
        <v>23.6</v>
      </c>
      <c r="J66" s="31" t="s">
        <v>6425</v>
      </c>
      <c r="K66" s="31" t="s">
        <v>6307</v>
      </c>
      <c r="L66" s="31" t="s">
        <v>6312</v>
      </c>
    </row>
    <row r="67" spans="1:12">
      <c r="A67" s="31" t="s">
        <v>6426</v>
      </c>
      <c r="B67" s="31" t="s">
        <v>2309</v>
      </c>
      <c r="C67" s="31" t="s">
        <v>6318</v>
      </c>
      <c r="D67" s="31" t="s">
        <v>55</v>
      </c>
      <c r="E67" s="31" t="s">
        <v>1117</v>
      </c>
      <c r="F67" s="32">
        <v>46287.392597511571</v>
      </c>
      <c r="G67" s="32">
        <v>46288.392597511571</v>
      </c>
      <c r="H67" s="31" t="s">
        <v>6300</v>
      </c>
      <c r="I67" s="34"/>
      <c r="J67" s="31" t="s">
        <v>6319</v>
      </c>
      <c r="K67" s="31" t="s">
        <v>6307</v>
      </c>
      <c r="L67" s="31" t="s">
        <v>6312</v>
      </c>
    </row>
    <row r="68" spans="1:12">
      <c r="A68" s="31" t="s">
        <v>6427</v>
      </c>
      <c r="B68" s="31" t="s">
        <v>1825</v>
      </c>
      <c r="C68" s="31" t="s">
        <v>6305</v>
      </c>
      <c r="D68" s="31" t="s">
        <v>59</v>
      </c>
      <c r="E68" s="31" t="s">
        <v>1214</v>
      </c>
      <c r="F68" s="32">
        <v>46253.864641203705</v>
      </c>
      <c r="G68" s="32">
        <v>46255.447974537034</v>
      </c>
      <c r="H68" s="31" t="s">
        <v>6394</v>
      </c>
      <c r="I68" s="34"/>
      <c r="J68" s="31" t="s">
        <v>6337</v>
      </c>
      <c r="K68" s="31" t="s">
        <v>6311</v>
      </c>
      <c r="L68" s="31" t="s">
        <v>6396</v>
      </c>
    </row>
    <row r="69" spans="1:12">
      <c r="A69" s="31" t="s">
        <v>6428</v>
      </c>
      <c r="B69" s="31" t="s">
        <v>1965</v>
      </c>
      <c r="C69" s="31" t="s">
        <v>6346</v>
      </c>
      <c r="D69" s="31" t="s">
        <v>36</v>
      </c>
      <c r="E69" s="31" t="s">
        <v>1178</v>
      </c>
      <c r="F69" s="32">
        <v>44795.777154560186</v>
      </c>
      <c r="G69" s="32">
        <v>44797.652154560186</v>
      </c>
      <c r="H69" s="31" t="s">
        <v>6300</v>
      </c>
      <c r="I69" s="34">
        <v>24.8</v>
      </c>
      <c r="J69" s="31" t="s">
        <v>6429</v>
      </c>
      <c r="K69" s="31" t="s">
        <v>6326</v>
      </c>
      <c r="L69" s="31" t="s">
        <v>6312</v>
      </c>
    </row>
    <row r="70" spans="1:12">
      <c r="A70" s="31" t="s">
        <v>6430</v>
      </c>
      <c r="B70" s="31" t="s">
        <v>6095</v>
      </c>
      <c r="C70" s="31" t="s">
        <v>6299</v>
      </c>
      <c r="D70" s="31" t="s">
        <v>91</v>
      </c>
      <c r="E70" s="31" t="s">
        <v>1117</v>
      </c>
      <c r="F70" s="32">
        <v>46275.625</v>
      </c>
      <c r="G70" s="32">
        <v>46276.083333333336</v>
      </c>
      <c r="H70" s="31" t="s">
        <v>6300</v>
      </c>
      <c r="I70" s="34">
        <v>23.1</v>
      </c>
      <c r="J70" s="31" t="s">
        <v>6431</v>
      </c>
      <c r="K70" s="31" t="s">
        <v>6311</v>
      </c>
      <c r="L70" s="31" t="s">
        <v>6308</v>
      </c>
    </row>
    <row r="71" spans="1:12">
      <c r="A71" s="31" t="s">
        <v>6432</v>
      </c>
      <c r="B71" s="31" t="s">
        <v>2094</v>
      </c>
      <c r="C71" s="31" t="s">
        <v>6299</v>
      </c>
      <c r="D71" s="31" t="s">
        <v>55</v>
      </c>
      <c r="E71" s="31" t="s">
        <v>1128</v>
      </c>
      <c r="F71" s="32">
        <v>45555.874128240743</v>
      </c>
      <c r="G71" s="32">
        <v>45557.040794907407</v>
      </c>
      <c r="H71" s="31" t="s">
        <v>6300</v>
      </c>
      <c r="I71" s="34">
        <v>11.3</v>
      </c>
      <c r="J71" s="31" t="s">
        <v>6433</v>
      </c>
      <c r="K71" s="31" t="s">
        <v>6338</v>
      </c>
      <c r="L71" s="31" t="s">
        <v>6312</v>
      </c>
    </row>
    <row r="72" spans="1:12">
      <c r="A72" s="31" t="s">
        <v>6434</v>
      </c>
      <c r="B72" s="31" t="s">
        <v>2525</v>
      </c>
      <c r="C72" s="31" t="s">
        <v>6435</v>
      </c>
      <c r="D72" s="31" t="s">
        <v>91</v>
      </c>
      <c r="E72" s="31" t="s">
        <v>1220</v>
      </c>
      <c r="F72" s="32">
        <v>46138.963877314818</v>
      </c>
      <c r="G72" s="32">
        <v>46139.838877314818</v>
      </c>
      <c r="H72" s="31" t="s">
        <v>6300</v>
      </c>
      <c r="I72" s="34"/>
      <c r="J72" s="31" t="s">
        <v>6436</v>
      </c>
      <c r="K72" s="31" t="s">
        <v>6315</v>
      </c>
      <c r="L72" s="31" t="s">
        <v>6312</v>
      </c>
    </row>
    <row r="73" spans="1:12">
      <c r="A73" s="31" t="s">
        <v>6437</v>
      </c>
      <c r="B73" s="31" t="s">
        <v>2326</v>
      </c>
      <c r="C73" s="31" t="s">
        <v>6435</v>
      </c>
      <c r="D73" s="31" t="s">
        <v>18</v>
      </c>
      <c r="E73" s="31" t="s">
        <v>1220</v>
      </c>
      <c r="F73" s="32">
        <v>45544.26326388889</v>
      </c>
      <c r="G73" s="32">
        <v>45545.596597222226</v>
      </c>
      <c r="H73" s="31" t="s">
        <v>6300</v>
      </c>
      <c r="I73" s="34"/>
      <c r="J73" s="31" t="s">
        <v>6436</v>
      </c>
      <c r="K73" s="31" t="s">
        <v>6338</v>
      </c>
      <c r="L73" s="31" t="s">
        <v>6303</v>
      </c>
    </row>
    <row r="74" spans="1:12">
      <c r="A74" s="31" t="s">
        <v>6438</v>
      </c>
      <c r="B74" s="31" t="s">
        <v>2221</v>
      </c>
      <c r="C74" s="31" t="s">
        <v>6299</v>
      </c>
      <c r="D74" s="31" t="s">
        <v>69</v>
      </c>
      <c r="E74" s="31" t="s">
        <v>1117</v>
      </c>
      <c r="F74" s="32">
        <v>46054.747109155091</v>
      </c>
      <c r="G74" s="32">
        <v>46056.413775821762</v>
      </c>
      <c r="H74" s="31" t="s">
        <v>6300</v>
      </c>
      <c r="I74" s="34">
        <v>22.1</v>
      </c>
      <c r="J74" s="31" t="s">
        <v>6439</v>
      </c>
      <c r="K74" s="31" t="s">
        <v>6315</v>
      </c>
      <c r="L74" s="31" t="s">
        <v>6308</v>
      </c>
    </row>
    <row r="75" spans="1:12">
      <c r="A75" s="31" t="s">
        <v>6440</v>
      </c>
      <c r="B75" s="31" t="s">
        <v>1999</v>
      </c>
      <c r="C75" s="31" t="s">
        <v>6299</v>
      </c>
      <c r="D75" s="31" t="s">
        <v>55</v>
      </c>
      <c r="E75" s="31" t="s">
        <v>1128</v>
      </c>
      <c r="F75" s="32">
        <v>45231.219688437501</v>
      </c>
      <c r="G75" s="32">
        <v>45233.011355104165</v>
      </c>
      <c r="H75" s="31" t="s">
        <v>6300</v>
      </c>
      <c r="I75" s="34">
        <v>17.2</v>
      </c>
      <c r="J75" s="31" t="s">
        <v>6373</v>
      </c>
      <c r="K75" s="31" t="s">
        <v>6338</v>
      </c>
      <c r="L75" s="31" t="s">
        <v>6312</v>
      </c>
    </row>
    <row r="76" spans="1:12">
      <c r="A76" s="31" t="s">
        <v>6441</v>
      </c>
      <c r="B76" s="31" t="s">
        <v>5941</v>
      </c>
      <c r="C76" s="31" t="s">
        <v>6305</v>
      </c>
      <c r="D76" s="31" t="s">
        <v>18</v>
      </c>
      <c r="E76" s="31" t="s">
        <v>1214</v>
      </c>
      <c r="F76" s="32">
        <v>45450.606381076388</v>
      </c>
      <c r="G76" s="32">
        <v>45452.606381076388</v>
      </c>
      <c r="H76" s="31" t="s">
        <v>6300</v>
      </c>
      <c r="I76" s="34"/>
      <c r="J76" s="31" t="s">
        <v>6349</v>
      </c>
      <c r="K76" s="31" t="s">
        <v>6311</v>
      </c>
      <c r="L76" s="31" t="s">
        <v>6303</v>
      </c>
    </row>
    <row r="77" spans="1:12">
      <c r="A77" s="31" t="s">
        <v>6442</v>
      </c>
      <c r="B77" s="31" t="s">
        <v>6231</v>
      </c>
      <c r="C77" s="31" t="s">
        <v>6328</v>
      </c>
      <c r="D77" s="31" t="s">
        <v>25</v>
      </c>
      <c r="E77" s="31" t="s">
        <v>1178</v>
      </c>
      <c r="F77" s="32">
        <v>46286.541666666664</v>
      </c>
      <c r="G77" s="32"/>
      <c r="H77" s="31" t="s">
        <v>6378</v>
      </c>
      <c r="I77" s="34"/>
      <c r="J77" s="31" t="s">
        <v>6329</v>
      </c>
      <c r="K77" s="31" t="s">
        <v>6315</v>
      </c>
      <c r="L77" s="31"/>
    </row>
    <row r="78" spans="1:12">
      <c r="A78" s="31" t="s">
        <v>6443</v>
      </c>
      <c r="B78" s="31" t="s">
        <v>6187</v>
      </c>
      <c r="C78" s="31" t="s">
        <v>6318</v>
      </c>
      <c r="D78" s="31" t="s">
        <v>36</v>
      </c>
      <c r="E78" s="31" t="s">
        <v>1117</v>
      </c>
      <c r="F78" s="32">
        <v>46281.291666666664</v>
      </c>
      <c r="G78" s="32">
        <v>46282.541666666664</v>
      </c>
      <c r="H78" s="31" t="s">
        <v>6300</v>
      </c>
      <c r="I78" s="34"/>
      <c r="J78" s="31" t="s">
        <v>6319</v>
      </c>
      <c r="K78" s="31" t="s">
        <v>6302</v>
      </c>
      <c r="L78" s="31" t="s">
        <v>6312</v>
      </c>
    </row>
    <row r="79" spans="1:12">
      <c r="A79" s="31" t="s">
        <v>6444</v>
      </c>
      <c r="B79" s="31" t="s">
        <v>2392</v>
      </c>
      <c r="C79" s="31" t="s">
        <v>6305</v>
      </c>
      <c r="D79" s="31" t="s">
        <v>82</v>
      </c>
      <c r="E79" s="31" t="s">
        <v>1214</v>
      </c>
      <c r="F79" s="32">
        <v>45978.240099606483</v>
      </c>
      <c r="G79" s="32">
        <v>45978.406766273147</v>
      </c>
      <c r="H79" s="31" t="s">
        <v>6300</v>
      </c>
      <c r="I79" s="34"/>
      <c r="J79" s="31" t="s">
        <v>6314</v>
      </c>
      <c r="K79" s="31" t="s">
        <v>6311</v>
      </c>
      <c r="L79" s="31" t="s">
        <v>6312</v>
      </c>
    </row>
    <row r="80" spans="1:12">
      <c r="A80" s="31" t="s">
        <v>6445</v>
      </c>
      <c r="B80" s="31" t="s">
        <v>2326</v>
      </c>
      <c r="C80" s="31" t="s">
        <v>6299</v>
      </c>
      <c r="D80" s="31" t="s">
        <v>18</v>
      </c>
      <c r="E80" s="31" t="s">
        <v>1178</v>
      </c>
      <c r="F80" s="32">
        <v>45542.38826388889</v>
      </c>
      <c r="G80" s="32">
        <v>45544.38826388889</v>
      </c>
      <c r="H80" s="31" t="s">
        <v>6300</v>
      </c>
      <c r="I80" s="34">
        <v>23.8</v>
      </c>
      <c r="J80" s="31" t="s">
        <v>6358</v>
      </c>
      <c r="K80" s="31" t="s">
        <v>6307</v>
      </c>
      <c r="L80" s="31" t="s">
        <v>6308</v>
      </c>
    </row>
    <row r="81" spans="1:12">
      <c r="A81" s="31" t="s">
        <v>6446</v>
      </c>
      <c r="B81" s="31" t="s">
        <v>5745</v>
      </c>
      <c r="C81" s="31" t="s">
        <v>6305</v>
      </c>
      <c r="D81" s="31" t="s">
        <v>59</v>
      </c>
      <c r="E81" s="31" t="s">
        <v>1214</v>
      </c>
      <c r="F81" s="32">
        <v>46275.333333333336</v>
      </c>
      <c r="G81" s="32">
        <v>46275.916666666664</v>
      </c>
      <c r="H81" s="31" t="s">
        <v>6300</v>
      </c>
      <c r="I81" s="34"/>
      <c r="J81" s="31" t="s">
        <v>6367</v>
      </c>
      <c r="K81" s="31" t="s">
        <v>6302</v>
      </c>
      <c r="L81" s="31" t="s">
        <v>6308</v>
      </c>
    </row>
    <row r="82" spans="1:12">
      <c r="A82" s="31" t="s">
        <v>6447</v>
      </c>
      <c r="B82" s="31" t="s">
        <v>5872</v>
      </c>
      <c r="C82" s="31" t="s">
        <v>6305</v>
      </c>
      <c r="D82" s="31" t="s">
        <v>59</v>
      </c>
      <c r="E82" s="31" t="s">
        <v>1214</v>
      </c>
      <c r="F82" s="32">
        <v>46083.879237141206</v>
      </c>
      <c r="G82" s="32">
        <v>46085.129237141206</v>
      </c>
      <c r="H82" s="31" t="s">
        <v>6300</v>
      </c>
      <c r="I82" s="34"/>
      <c r="J82" s="31" t="s">
        <v>6367</v>
      </c>
      <c r="K82" s="31" t="s">
        <v>6302</v>
      </c>
      <c r="L82" s="31" t="s">
        <v>6303</v>
      </c>
    </row>
    <row r="83" spans="1:12">
      <c r="A83" s="31" t="s">
        <v>6448</v>
      </c>
      <c r="B83" s="31" t="s">
        <v>5973</v>
      </c>
      <c r="C83" s="31" t="s">
        <v>6299</v>
      </c>
      <c r="D83" s="31" t="s">
        <v>59</v>
      </c>
      <c r="E83" s="31" t="s">
        <v>1117</v>
      </c>
      <c r="F83" s="32">
        <v>45976.758716087963</v>
      </c>
      <c r="G83" s="32">
        <v>45977.633716087963</v>
      </c>
      <c r="H83" s="31" t="s">
        <v>6300</v>
      </c>
      <c r="I83" s="34">
        <v>20.9</v>
      </c>
      <c r="J83" s="31" t="s">
        <v>6449</v>
      </c>
      <c r="K83" s="31" t="s">
        <v>6311</v>
      </c>
      <c r="L83" s="31" t="s">
        <v>6303</v>
      </c>
    </row>
    <row r="84" spans="1:12">
      <c r="A84" s="31" t="s">
        <v>6450</v>
      </c>
      <c r="B84" s="31" t="s">
        <v>5899</v>
      </c>
      <c r="C84" s="31" t="s">
        <v>6299</v>
      </c>
      <c r="D84" s="31" t="s">
        <v>82</v>
      </c>
      <c r="E84" s="31" t="s">
        <v>1128</v>
      </c>
      <c r="F84" s="32">
        <v>46275.710692291665</v>
      </c>
      <c r="G84" s="32">
        <v>46277.627358958336</v>
      </c>
      <c r="H84" s="31" t="s">
        <v>6300</v>
      </c>
      <c r="I84" s="34">
        <v>18.100000000000001</v>
      </c>
      <c r="J84" s="31" t="s">
        <v>6451</v>
      </c>
      <c r="K84" s="31" t="s">
        <v>6326</v>
      </c>
      <c r="L84" s="31" t="s">
        <v>6303</v>
      </c>
    </row>
    <row r="85" spans="1:12">
      <c r="A85" s="31" t="s">
        <v>6452</v>
      </c>
      <c r="B85" s="31" t="s">
        <v>6237</v>
      </c>
      <c r="C85" s="31" t="s">
        <v>6328</v>
      </c>
      <c r="D85" s="31" t="s">
        <v>82</v>
      </c>
      <c r="E85" s="31" t="s">
        <v>1178</v>
      </c>
      <c r="F85" s="32">
        <v>46264.375</v>
      </c>
      <c r="G85" s="32"/>
      <c r="H85" s="31" t="s">
        <v>6378</v>
      </c>
      <c r="I85" s="34"/>
      <c r="J85" s="31" t="s">
        <v>6329</v>
      </c>
      <c r="K85" s="31" t="s">
        <v>6338</v>
      </c>
      <c r="L85" s="31"/>
    </row>
    <row r="86" spans="1:12">
      <c r="A86" s="31" t="s">
        <v>6453</v>
      </c>
      <c r="B86" s="31" t="s">
        <v>2182</v>
      </c>
      <c r="C86" s="31" t="s">
        <v>6299</v>
      </c>
      <c r="D86" s="31" t="s">
        <v>55</v>
      </c>
      <c r="E86" s="31" t="s">
        <v>1214</v>
      </c>
      <c r="F86" s="32">
        <v>45769.169981319443</v>
      </c>
      <c r="G86" s="32">
        <v>45769.336647986114</v>
      </c>
      <c r="H86" s="31" t="s">
        <v>6300</v>
      </c>
      <c r="I86" s="34">
        <v>35.200000000000003</v>
      </c>
      <c r="J86" s="31" t="s">
        <v>6454</v>
      </c>
      <c r="K86" s="31" t="s">
        <v>6338</v>
      </c>
      <c r="L86" s="31" t="s">
        <v>6312</v>
      </c>
    </row>
    <row r="87" spans="1:12">
      <c r="A87" s="31" t="s">
        <v>6455</v>
      </c>
      <c r="B87" s="31" t="s">
        <v>6224</v>
      </c>
      <c r="C87" s="31" t="s">
        <v>6299</v>
      </c>
      <c r="D87" s="31" t="s">
        <v>82</v>
      </c>
      <c r="E87" s="31" t="s">
        <v>1178</v>
      </c>
      <c r="F87" s="32">
        <v>46272.5</v>
      </c>
      <c r="G87" s="32">
        <v>46272.541666666664</v>
      </c>
      <c r="H87" s="31" t="s">
        <v>6300</v>
      </c>
      <c r="I87" s="34">
        <v>24.3</v>
      </c>
      <c r="J87" s="31" t="s">
        <v>6456</v>
      </c>
      <c r="K87" s="31" t="s">
        <v>6326</v>
      </c>
      <c r="L87" s="31" t="s">
        <v>6312</v>
      </c>
    </row>
    <row r="88" spans="1:12">
      <c r="A88" s="31" t="s">
        <v>6457</v>
      </c>
      <c r="B88" s="31" t="s">
        <v>5732</v>
      </c>
      <c r="C88" s="31" t="s">
        <v>6435</v>
      </c>
      <c r="D88" s="31" t="s">
        <v>18</v>
      </c>
      <c r="E88" s="31" t="s">
        <v>1220</v>
      </c>
      <c r="F88" s="32">
        <v>46205.711454502314</v>
      </c>
      <c r="G88" s="32">
        <v>46207.54478783565</v>
      </c>
      <c r="H88" s="31" t="s">
        <v>6300</v>
      </c>
      <c r="I88" s="34"/>
      <c r="J88" s="31" t="s">
        <v>6436</v>
      </c>
      <c r="K88" s="31" t="s">
        <v>6326</v>
      </c>
      <c r="L88" s="31" t="s">
        <v>6312</v>
      </c>
    </row>
    <row r="89" spans="1:12">
      <c r="A89" s="31" t="s">
        <v>6458</v>
      </c>
      <c r="B89" s="31" t="s">
        <v>1817</v>
      </c>
      <c r="C89" s="31" t="s">
        <v>6305</v>
      </c>
      <c r="D89" s="31" t="s">
        <v>59</v>
      </c>
      <c r="E89" s="31" t="s">
        <v>1214</v>
      </c>
      <c r="F89" s="32">
        <v>46273.715011574073</v>
      </c>
      <c r="G89" s="32">
        <v>46274.923344907409</v>
      </c>
      <c r="H89" s="31" t="s">
        <v>6300</v>
      </c>
      <c r="I89" s="34"/>
      <c r="J89" s="31" t="s">
        <v>6344</v>
      </c>
      <c r="K89" s="31" t="s">
        <v>6311</v>
      </c>
      <c r="L89" s="31" t="s">
        <v>6312</v>
      </c>
    </row>
    <row r="90" spans="1:12">
      <c r="A90" s="31" t="s">
        <v>6459</v>
      </c>
      <c r="B90" s="31" t="s">
        <v>1969</v>
      </c>
      <c r="C90" s="31" t="s">
        <v>6305</v>
      </c>
      <c r="D90" s="31" t="s">
        <v>25</v>
      </c>
      <c r="E90" s="31" t="s">
        <v>1214</v>
      </c>
      <c r="F90" s="32">
        <v>45193.699168472223</v>
      </c>
      <c r="G90" s="32">
        <v>45194.240835138888</v>
      </c>
      <c r="H90" s="31" t="s">
        <v>6300</v>
      </c>
      <c r="I90" s="34"/>
      <c r="J90" s="31" t="s">
        <v>6314</v>
      </c>
      <c r="K90" s="31" t="s">
        <v>6307</v>
      </c>
      <c r="L90" s="31" t="s">
        <v>6308</v>
      </c>
    </row>
    <row r="91" spans="1:12">
      <c r="A91" s="31" t="s">
        <v>6460</v>
      </c>
      <c r="B91" s="31" t="s">
        <v>2248</v>
      </c>
      <c r="C91" s="31" t="s">
        <v>6435</v>
      </c>
      <c r="D91" s="31" t="s">
        <v>18</v>
      </c>
      <c r="E91" s="31" t="s">
        <v>1220</v>
      </c>
      <c r="F91" s="32">
        <v>46237.598524745372</v>
      </c>
      <c r="G91" s="32">
        <v>46239.473524745372</v>
      </c>
      <c r="H91" s="31" t="s">
        <v>6300</v>
      </c>
      <c r="I91" s="34"/>
      <c r="J91" s="31" t="s">
        <v>6436</v>
      </c>
      <c r="K91" s="31" t="s">
        <v>6315</v>
      </c>
      <c r="L91" s="31" t="s">
        <v>6303</v>
      </c>
    </row>
    <row r="92" spans="1:12">
      <c r="A92" s="31" t="s">
        <v>6461</v>
      </c>
      <c r="B92" s="31" t="s">
        <v>6072</v>
      </c>
      <c r="C92" s="31" t="s">
        <v>6305</v>
      </c>
      <c r="D92" s="31" t="s">
        <v>82</v>
      </c>
      <c r="E92" s="31" t="s">
        <v>1214</v>
      </c>
      <c r="F92" s="32">
        <v>46176.307652326388</v>
      </c>
      <c r="G92" s="32">
        <v>46176.682652326388</v>
      </c>
      <c r="H92" s="31" t="s">
        <v>6300</v>
      </c>
      <c r="I92" s="34"/>
      <c r="J92" s="31" t="s">
        <v>6367</v>
      </c>
      <c r="K92" s="31" t="s">
        <v>6338</v>
      </c>
      <c r="L92" s="31" t="s">
        <v>6316</v>
      </c>
    </row>
    <row r="93" spans="1:12">
      <c r="A93" s="31" t="s">
        <v>6462</v>
      </c>
      <c r="B93" s="31" t="s">
        <v>5732</v>
      </c>
      <c r="C93" s="31" t="s">
        <v>6305</v>
      </c>
      <c r="D93" s="31" t="s">
        <v>18</v>
      </c>
      <c r="E93" s="31" t="s">
        <v>1214</v>
      </c>
      <c r="F93" s="32">
        <v>46203.79478783565</v>
      </c>
      <c r="G93" s="32">
        <v>46205.503121168978</v>
      </c>
      <c r="H93" s="31" t="s">
        <v>6300</v>
      </c>
      <c r="I93" s="34"/>
      <c r="J93" s="31" t="s">
        <v>6367</v>
      </c>
      <c r="K93" s="31" t="s">
        <v>6302</v>
      </c>
      <c r="L93" s="31" t="s">
        <v>6308</v>
      </c>
    </row>
    <row r="94" spans="1:12">
      <c r="A94" s="31" t="s">
        <v>6463</v>
      </c>
      <c r="B94" s="31" t="s">
        <v>1450</v>
      </c>
      <c r="C94" s="31" t="s">
        <v>6299</v>
      </c>
      <c r="D94" s="31" t="s">
        <v>91</v>
      </c>
      <c r="E94" s="31" t="s">
        <v>1110</v>
      </c>
      <c r="F94" s="32">
        <v>46092.072469942126</v>
      </c>
      <c r="G94" s="32">
        <v>46093.114136608798</v>
      </c>
      <c r="H94" s="31" t="s">
        <v>6300</v>
      </c>
      <c r="I94" s="34">
        <v>27.9</v>
      </c>
      <c r="J94" s="31" t="s">
        <v>6464</v>
      </c>
      <c r="K94" s="31" t="s">
        <v>6315</v>
      </c>
      <c r="L94" s="31" t="s">
        <v>6303</v>
      </c>
    </row>
    <row r="95" spans="1:12">
      <c r="A95" s="31" t="s">
        <v>6465</v>
      </c>
      <c r="B95" s="31" t="s">
        <v>6193</v>
      </c>
      <c r="C95" s="31" t="s">
        <v>6305</v>
      </c>
      <c r="D95" s="31" t="s">
        <v>36</v>
      </c>
      <c r="E95" s="31" t="s">
        <v>1214</v>
      </c>
      <c r="F95" s="32">
        <v>45664.43034953704</v>
      </c>
      <c r="G95" s="32">
        <v>45665.347016203705</v>
      </c>
      <c r="H95" s="31" t="s">
        <v>6300</v>
      </c>
      <c r="I95" s="34"/>
      <c r="J95" s="31" t="s">
        <v>6367</v>
      </c>
      <c r="K95" s="31" t="s">
        <v>6307</v>
      </c>
      <c r="L95" s="31" t="s">
        <v>6308</v>
      </c>
    </row>
    <row r="96" spans="1:12">
      <c r="A96" s="31" t="s">
        <v>6466</v>
      </c>
      <c r="B96" s="31" t="s">
        <v>5826</v>
      </c>
      <c r="C96" s="31" t="s">
        <v>6299</v>
      </c>
      <c r="D96" s="31" t="s">
        <v>69</v>
      </c>
      <c r="E96" s="31" t="s">
        <v>1214</v>
      </c>
      <c r="F96" s="32">
        <v>46262.541666666664</v>
      </c>
      <c r="G96" s="32">
        <v>46263.541666666664</v>
      </c>
      <c r="H96" s="31" t="s">
        <v>6300</v>
      </c>
      <c r="I96" s="34">
        <v>31.9</v>
      </c>
      <c r="J96" s="31" t="s">
        <v>6467</v>
      </c>
      <c r="K96" s="31" t="s">
        <v>6311</v>
      </c>
      <c r="L96" s="31" t="s">
        <v>6308</v>
      </c>
    </row>
    <row r="97" spans="1:12">
      <c r="A97" s="31" t="s">
        <v>6468</v>
      </c>
      <c r="B97" s="31" t="s">
        <v>2484</v>
      </c>
      <c r="C97" s="31" t="s">
        <v>6346</v>
      </c>
      <c r="D97" s="31" t="s">
        <v>36</v>
      </c>
      <c r="E97" s="31" t="s">
        <v>1178</v>
      </c>
      <c r="F97" s="32">
        <v>46214.210751712963</v>
      </c>
      <c r="G97" s="32">
        <v>46215.502418379627</v>
      </c>
      <c r="H97" s="31" t="s">
        <v>6300</v>
      </c>
      <c r="I97" s="34">
        <v>24.2</v>
      </c>
      <c r="J97" s="31" t="s">
        <v>6469</v>
      </c>
      <c r="K97" s="31" t="s">
        <v>6315</v>
      </c>
      <c r="L97" s="31" t="s">
        <v>6308</v>
      </c>
    </row>
    <row r="98" spans="1:12">
      <c r="A98" s="31" t="s">
        <v>6470</v>
      </c>
      <c r="B98" s="31" t="s">
        <v>6197</v>
      </c>
      <c r="C98" s="31" t="s">
        <v>6305</v>
      </c>
      <c r="D98" s="31" t="s">
        <v>59</v>
      </c>
      <c r="E98" s="31" t="s">
        <v>1214</v>
      </c>
      <c r="F98" s="32">
        <v>46278.875</v>
      </c>
      <c r="G98" s="32">
        <v>46279.875</v>
      </c>
      <c r="H98" s="31" t="s">
        <v>6300</v>
      </c>
      <c r="I98" s="34"/>
      <c r="J98" s="31" t="s">
        <v>6471</v>
      </c>
      <c r="K98" s="31" t="s">
        <v>6315</v>
      </c>
      <c r="L98" s="31" t="s">
        <v>6312</v>
      </c>
    </row>
    <row r="99" spans="1:12">
      <c r="A99" s="31" t="s">
        <v>6472</v>
      </c>
      <c r="B99" s="31" t="s">
        <v>6179</v>
      </c>
      <c r="C99" s="31" t="s">
        <v>6318</v>
      </c>
      <c r="D99" s="31" t="s">
        <v>25</v>
      </c>
      <c r="E99" s="31" t="s">
        <v>1117</v>
      </c>
      <c r="F99" s="32">
        <v>46286.083333333336</v>
      </c>
      <c r="G99" s="32">
        <v>46287.416666666664</v>
      </c>
      <c r="H99" s="31" t="s">
        <v>6300</v>
      </c>
      <c r="I99" s="34"/>
      <c r="J99" s="31" t="s">
        <v>6319</v>
      </c>
      <c r="K99" s="31" t="s">
        <v>6315</v>
      </c>
      <c r="L99" s="31" t="s">
        <v>6308</v>
      </c>
    </row>
    <row r="100" spans="1:12">
      <c r="A100" s="31" t="s">
        <v>6473</v>
      </c>
      <c r="B100" s="31" t="s">
        <v>2119</v>
      </c>
      <c r="C100" s="31" t="s">
        <v>6299</v>
      </c>
      <c r="D100" s="31" t="s">
        <v>69</v>
      </c>
      <c r="E100" s="31" t="s">
        <v>1117</v>
      </c>
      <c r="F100" s="32">
        <v>46198.446643854164</v>
      </c>
      <c r="G100" s="32">
        <v>46199.696643854164</v>
      </c>
      <c r="H100" s="31" t="s">
        <v>6300</v>
      </c>
      <c r="I100" s="34">
        <v>24.9</v>
      </c>
      <c r="J100" s="31" t="s">
        <v>6474</v>
      </c>
      <c r="K100" s="31" t="s">
        <v>6302</v>
      </c>
      <c r="L100" s="31" t="s">
        <v>6303</v>
      </c>
    </row>
    <row r="101" spans="1:12">
      <c r="A101" s="31" t="s">
        <v>6475</v>
      </c>
      <c r="B101" s="31" t="s">
        <v>5694</v>
      </c>
      <c r="C101" s="31" t="s">
        <v>6299</v>
      </c>
      <c r="D101" s="31" t="s">
        <v>18</v>
      </c>
      <c r="E101" s="31" t="s">
        <v>1128</v>
      </c>
      <c r="F101" s="32">
        <v>46268.916666666664</v>
      </c>
      <c r="G101" s="32">
        <v>46269.875</v>
      </c>
      <c r="H101" s="31" t="s">
        <v>6300</v>
      </c>
      <c r="I101" s="34">
        <v>18.100000000000001</v>
      </c>
      <c r="J101" s="31" t="s">
        <v>6451</v>
      </c>
      <c r="K101" s="31" t="s">
        <v>6315</v>
      </c>
      <c r="L101" s="31" t="s">
        <v>6316</v>
      </c>
    </row>
    <row r="102" spans="1:12">
      <c r="A102" s="31" t="s">
        <v>6476</v>
      </c>
      <c r="B102" s="31" t="s">
        <v>2027</v>
      </c>
      <c r="C102" s="31" t="s">
        <v>6299</v>
      </c>
      <c r="D102" s="31" t="s">
        <v>55</v>
      </c>
      <c r="E102" s="31" t="s">
        <v>1128</v>
      </c>
      <c r="F102" s="32">
        <v>45031.026393437503</v>
      </c>
      <c r="G102" s="32">
        <v>45031.193060104168</v>
      </c>
      <c r="H102" s="31" t="s">
        <v>6300</v>
      </c>
      <c r="I102" s="34">
        <v>18.2</v>
      </c>
      <c r="J102" s="31" t="s">
        <v>6477</v>
      </c>
      <c r="K102" s="31" t="s">
        <v>6302</v>
      </c>
      <c r="L102" s="31" t="s">
        <v>6303</v>
      </c>
    </row>
    <row r="103" spans="1:12">
      <c r="A103" s="31" t="s">
        <v>6478</v>
      </c>
      <c r="B103" s="31" t="s">
        <v>1450</v>
      </c>
      <c r="C103" s="31" t="s">
        <v>6299</v>
      </c>
      <c r="D103" s="31" t="s">
        <v>91</v>
      </c>
      <c r="E103" s="31" t="s">
        <v>1214</v>
      </c>
      <c r="F103" s="32">
        <v>46092.155803275462</v>
      </c>
      <c r="G103" s="32">
        <v>46093.072469942126</v>
      </c>
      <c r="H103" s="31" t="s">
        <v>6300</v>
      </c>
      <c r="I103" s="34">
        <v>27.9</v>
      </c>
      <c r="J103" s="31" t="s">
        <v>6464</v>
      </c>
      <c r="K103" s="31" t="s">
        <v>6311</v>
      </c>
      <c r="L103" s="31" t="s">
        <v>6303</v>
      </c>
    </row>
    <row r="104" spans="1:12">
      <c r="A104" s="31" t="s">
        <v>6479</v>
      </c>
      <c r="B104" s="31" t="s">
        <v>2488</v>
      </c>
      <c r="C104" s="31" t="s">
        <v>6305</v>
      </c>
      <c r="D104" s="31" t="s">
        <v>69</v>
      </c>
      <c r="E104" s="31" t="s">
        <v>1214</v>
      </c>
      <c r="F104" s="32">
        <v>46219.157769618054</v>
      </c>
      <c r="G104" s="32">
        <v>46220.407769618054</v>
      </c>
      <c r="H104" s="31" t="s">
        <v>6300</v>
      </c>
      <c r="I104" s="34"/>
      <c r="J104" s="31" t="s">
        <v>6314</v>
      </c>
      <c r="K104" s="31" t="s">
        <v>6315</v>
      </c>
      <c r="L104" s="31" t="s">
        <v>6303</v>
      </c>
    </row>
    <row r="105" spans="1:12">
      <c r="A105" s="31" t="s">
        <v>6480</v>
      </c>
      <c r="B105" s="31" t="s">
        <v>2326</v>
      </c>
      <c r="C105" s="31" t="s">
        <v>6305</v>
      </c>
      <c r="D105" s="31" t="s">
        <v>18</v>
      </c>
      <c r="E105" s="31" t="s">
        <v>1214</v>
      </c>
      <c r="F105" s="32">
        <v>45542.01326388889</v>
      </c>
      <c r="G105" s="32">
        <v>45542.63826388889</v>
      </c>
      <c r="H105" s="31" t="s">
        <v>6300</v>
      </c>
      <c r="I105" s="34"/>
      <c r="J105" s="31" t="s">
        <v>6314</v>
      </c>
      <c r="K105" s="31" t="s">
        <v>6307</v>
      </c>
      <c r="L105" s="31" t="s">
        <v>6312</v>
      </c>
    </row>
    <row r="106" spans="1:12">
      <c r="A106" s="31" t="s">
        <v>6481</v>
      </c>
      <c r="B106" s="31" t="s">
        <v>6090</v>
      </c>
      <c r="C106" s="31" t="s">
        <v>6299</v>
      </c>
      <c r="D106" s="31" t="s">
        <v>82</v>
      </c>
      <c r="E106" s="31" t="s">
        <v>1178</v>
      </c>
      <c r="F106" s="32">
        <v>46279.833333333336</v>
      </c>
      <c r="G106" s="32">
        <v>46281.458333333336</v>
      </c>
      <c r="H106" s="31" t="s">
        <v>6300</v>
      </c>
      <c r="I106" s="34">
        <v>22.1</v>
      </c>
      <c r="J106" s="31" t="s">
        <v>6439</v>
      </c>
      <c r="K106" s="31" t="s">
        <v>6326</v>
      </c>
      <c r="L106" s="31" t="s">
        <v>6312</v>
      </c>
    </row>
    <row r="107" spans="1:12">
      <c r="A107" s="31" t="s">
        <v>6482</v>
      </c>
      <c r="B107" s="31" t="s">
        <v>2182</v>
      </c>
      <c r="C107" s="31" t="s">
        <v>6299</v>
      </c>
      <c r="D107" s="31" t="s">
        <v>55</v>
      </c>
      <c r="E107" s="31" t="s">
        <v>1110</v>
      </c>
      <c r="F107" s="32">
        <v>45768.294981319443</v>
      </c>
      <c r="G107" s="32">
        <v>45770.294981319443</v>
      </c>
      <c r="H107" s="31" t="s">
        <v>6300</v>
      </c>
      <c r="I107" s="34">
        <v>35.200000000000003</v>
      </c>
      <c r="J107" s="31" t="s">
        <v>6454</v>
      </c>
      <c r="K107" s="31" t="s">
        <v>6338</v>
      </c>
      <c r="L107" s="31" t="s">
        <v>6303</v>
      </c>
    </row>
    <row r="108" spans="1:12">
      <c r="A108" s="31" t="s">
        <v>6483</v>
      </c>
      <c r="B108" s="31" t="s">
        <v>2018</v>
      </c>
      <c r="C108" s="31" t="s">
        <v>6299</v>
      </c>
      <c r="D108" s="31" t="s">
        <v>59</v>
      </c>
      <c r="E108" s="31" t="s">
        <v>1117</v>
      </c>
      <c r="F108" s="32">
        <v>46201.161261574074</v>
      </c>
      <c r="G108" s="32"/>
      <c r="H108" s="31" t="s">
        <v>6378</v>
      </c>
      <c r="I108" s="34">
        <v>23.9</v>
      </c>
      <c r="J108" s="31" t="s">
        <v>6484</v>
      </c>
      <c r="K108" s="31" t="s">
        <v>6315</v>
      </c>
      <c r="L108" s="31"/>
    </row>
    <row r="109" spans="1:12">
      <c r="A109" s="31" t="s">
        <v>6485</v>
      </c>
      <c r="B109" s="31" t="s">
        <v>1589</v>
      </c>
      <c r="C109" s="31" t="s">
        <v>6305</v>
      </c>
      <c r="D109" s="31" t="s">
        <v>82</v>
      </c>
      <c r="E109" s="31" t="s">
        <v>1214</v>
      </c>
      <c r="F109" s="32">
        <v>45332.18959490741</v>
      </c>
      <c r="G109" s="32">
        <v>45332.897928240738</v>
      </c>
      <c r="H109" s="31" t="s">
        <v>6300</v>
      </c>
      <c r="I109" s="34"/>
      <c r="J109" s="31" t="s">
        <v>6367</v>
      </c>
      <c r="K109" s="31" t="s">
        <v>6311</v>
      </c>
      <c r="L109" s="31" t="s">
        <v>6308</v>
      </c>
    </row>
    <row r="110" spans="1:12">
      <c r="A110" s="31" t="s">
        <v>6486</v>
      </c>
      <c r="B110" s="31" t="s">
        <v>6247</v>
      </c>
      <c r="C110" s="31" t="s">
        <v>6299</v>
      </c>
      <c r="D110" s="31" t="s">
        <v>91</v>
      </c>
      <c r="E110" s="31" t="s">
        <v>1117</v>
      </c>
      <c r="F110" s="32">
        <v>46273.979842858796</v>
      </c>
      <c r="G110" s="32">
        <v>46275.688176192132</v>
      </c>
      <c r="H110" s="31" t="s">
        <v>6300</v>
      </c>
      <c r="I110" s="34">
        <v>21.7</v>
      </c>
      <c r="J110" s="31" t="s">
        <v>6331</v>
      </c>
      <c r="K110" s="31" t="s">
        <v>6302</v>
      </c>
      <c r="L110" s="31" t="s">
        <v>6303</v>
      </c>
    </row>
    <row r="111" spans="1:12">
      <c r="A111" s="31" t="s">
        <v>6487</v>
      </c>
      <c r="B111" s="31" t="s">
        <v>1678</v>
      </c>
      <c r="C111" s="31" t="s">
        <v>6305</v>
      </c>
      <c r="D111" s="31" t="s">
        <v>91</v>
      </c>
      <c r="E111" s="31" t="s">
        <v>1214</v>
      </c>
      <c r="F111" s="32">
        <v>45964.582280092596</v>
      </c>
      <c r="G111" s="32">
        <v>45965.24894675926</v>
      </c>
      <c r="H111" s="31" t="s">
        <v>6300</v>
      </c>
      <c r="I111" s="34"/>
      <c r="J111" s="31" t="s">
        <v>6314</v>
      </c>
      <c r="K111" s="31" t="s">
        <v>6307</v>
      </c>
      <c r="L111" s="31" t="s">
        <v>6303</v>
      </c>
    </row>
    <row r="112" spans="1:12">
      <c r="A112" s="31" t="s">
        <v>6488</v>
      </c>
      <c r="B112" s="31" t="s">
        <v>6018</v>
      </c>
      <c r="C112" s="31" t="s">
        <v>6299</v>
      </c>
      <c r="D112" s="31" t="s">
        <v>18</v>
      </c>
      <c r="E112" s="31" t="s">
        <v>1128</v>
      </c>
      <c r="F112" s="32">
        <v>46177.135924560185</v>
      </c>
      <c r="G112" s="32">
        <v>46177.594257893521</v>
      </c>
      <c r="H112" s="31" t="s">
        <v>6300</v>
      </c>
      <c r="I112" s="34">
        <v>14.1</v>
      </c>
      <c r="J112" s="31" t="s">
        <v>6361</v>
      </c>
      <c r="K112" s="31" t="s">
        <v>6307</v>
      </c>
      <c r="L112" s="31" t="s">
        <v>6312</v>
      </c>
    </row>
    <row r="113" spans="1:12">
      <c r="A113" s="31" t="s">
        <v>6489</v>
      </c>
      <c r="B113" s="31" t="s">
        <v>5833</v>
      </c>
      <c r="C113" s="31" t="s">
        <v>6305</v>
      </c>
      <c r="D113" s="31" t="s">
        <v>18</v>
      </c>
      <c r="E113" s="31" t="s">
        <v>1214</v>
      </c>
      <c r="F113" s="32">
        <v>45268.337919571757</v>
      </c>
      <c r="G113" s="32">
        <v>45268.962919571757</v>
      </c>
      <c r="H113" s="31" t="s">
        <v>6394</v>
      </c>
      <c r="I113" s="34"/>
      <c r="J113" s="31" t="s">
        <v>6349</v>
      </c>
      <c r="K113" s="31" t="s">
        <v>6311</v>
      </c>
      <c r="L113" s="31" t="s">
        <v>6490</v>
      </c>
    </row>
    <row r="114" spans="1:12">
      <c r="A114" s="31" t="s">
        <v>6491</v>
      </c>
      <c r="B114" s="31" t="s">
        <v>6116</v>
      </c>
      <c r="C114" s="31" t="s">
        <v>6299</v>
      </c>
      <c r="D114" s="31" t="s">
        <v>25</v>
      </c>
      <c r="E114" s="31" t="s">
        <v>1110</v>
      </c>
      <c r="F114" s="32">
        <v>46261.916666666664</v>
      </c>
      <c r="G114" s="32">
        <v>46262.166666666664</v>
      </c>
      <c r="H114" s="31" t="s">
        <v>6394</v>
      </c>
      <c r="I114" s="34">
        <v>32.4</v>
      </c>
      <c r="J114" s="31" t="s">
        <v>6492</v>
      </c>
      <c r="K114" s="31" t="s">
        <v>6326</v>
      </c>
      <c r="L114" s="31" t="s">
        <v>6396</v>
      </c>
    </row>
    <row r="115" spans="1:12">
      <c r="A115" s="31" t="s">
        <v>6493</v>
      </c>
      <c r="B115" s="31" t="s">
        <v>6253</v>
      </c>
      <c r="C115" s="31" t="s">
        <v>6299</v>
      </c>
      <c r="D115" s="31" t="s">
        <v>36</v>
      </c>
      <c r="E115" s="31" t="s">
        <v>1128</v>
      </c>
      <c r="F115" s="32">
        <v>46226.552269490741</v>
      </c>
      <c r="G115" s="32">
        <v>46226.843936157406</v>
      </c>
      <c r="H115" s="31" t="s">
        <v>6300</v>
      </c>
      <c r="I115" s="34">
        <v>16.2</v>
      </c>
      <c r="J115" s="31" t="s">
        <v>6494</v>
      </c>
      <c r="K115" s="31" t="s">
        <v>6326</v>
      </c>
      <c r="L115" s="31" t="s">
        <v>6308</v>
      </c>
    </row>
    <row r="116" spans="1:12">
      <c r="A116" s="31" t="s">
        <v>6495</v>
      </c>
      <c r="B116" s="31" t="s">
        <v>1629</v>
      </c>
      <c r="C116" s="31" t="s">
        <v>6299</v>
      </c>
      <c r="D116" s="31" t="s">
        <v>82</v>
      </c>
      <c r="E116" s="31" t="s">
        <v>1178</v>
      </c>
      <c r="F116" s="32">
        <v>46046.517650462964</v>
      </c>
      <c r="G116" s="32">
        <v>46047.684317129628</v>
      </c>
      <c r="H116" s="31" t="s">
        <v>6300</v>
      </c>
      <c r="I116" s="34">
        <v>22.7</v>
      </c>
      <c r="J116" s="31" t="s">
        <v>6323</v>
      </c>
      <c r="K116" s="31" t="s">
        <v>6326</v>
      </c>
      <c r="L116" s="31" t="s">
        <v>6308</v>
      </c>
    </row>
    <row r="117" spans="1:12">
      <c r="A117" s="31" t="s">
        <v>6496</v>
      </c>
      <c r="B117" s="31" t="s">
        <v>2044</v>
      </c>
      <c r="C117" s="31" t="s">
        <v>6299</v>
      </c>
      <c r="D117" s="31" t="s">
        <v>55</v>
      </c>
      <c r="E117" s="31" t="s">
        <v>1178</v>
      </c>
      <c r="F117" s="32">
        <v>46011.911551296296</v>
      </c>
      <c r="G117" s="32">
        <v>46013.07821796296</v>
      </c>
      <c r="H117" s="31" t="s">
        <v>6300</v>
      </c>
      <c r="I117" s="34">
        <v>22.6</v>
      </c>
      <c r="J117" s="31" t="s">
        <v>6354</v>
      </c>
      <c r="K117" s="31" t="s">
        <v>6307</v>
      </c>
      <c r="L117" s="31" t="s">
        <v>6316</v>
      </c>
    </row>
    <row r="118" spans="1:12">
      <c r="A118" s="31" t="s">
        <v>6497</v>
      </c>
      <c r="B118" s="31" t="s">
        <v>5813</v>
      </c>
      <c r="C118" s="31" t="s">
        <v>6328</v>
      </c>
      <c r="D118" s="31" t="s">
        <v>59</v>
      </c>
      <c r="E118" s="31" t="s">
        <v>1178</v>
      </c>
      <c r="F118" s="32">
        <v>45962.032827743053</v>
      </c>
      <c r="G118" s="32">
        <v>45962.991161076388</v>
      </c>
      <c r="H118" s="31" t="s">
        <v>6300</v>
      </c>
      <c r="I118" s="34"/>
      <c r="J118" s="31" t="s">
        <v>6329</v>
      </c>
      <c r="K118" s="31" t="s">
        <v>6302</v>
      </c>
      <c r="L118" s="31" t="s">
        <v>6316</v>
      </c>
    </row>
    <row r="119" spans="1:12">
      <c r="A119" s="31" t="s">
        <v>6498</v>
      </c>
      <c r="B119" s="31" t="s">
        <v>6251</v>
      </c>
      <c r="C119" s="31" t="s">
        <v>6305</v>
      </c>
      <c r="D119" s="31" t="s">
        <v>36</v>
      </c>
      <c r="E119" s="31" t="s">
        <v>1214</v>
      </c>
      <c r="F119" s="32">
        <v>46193.196374884261</v>
      </c>
      <c r="G119" s="32">
        <v>46195.071374884261</v>
      </c>
      <c r="H119" s="31" t="s">
        <v>6300</v>
      </c>
      <c r="I119" s="34"/>
      <c r="J119" s="31" t="s">
        <v>6314</v>
      </c>
      <c r="K119" s="31" t="s">
        <v>6338</v>
      </c>
      <c r="L119" s="31" t="s">
        <v>6316</v>
      </c>
    </row>
    <row r="120" spans="1:12">
      <c r="A120" s="31" t="s">
        <v>6499</v>
      </c>
      <c r="B120" s="31" t="s">
        <v>1825</v>
      </c>
      <c r="C120" s="31" t="s">
        <v>6299</v>
      </c>
      <c r="D120" s="31" t="s">
        <v>59</v>
      </c>
      <c r="E120" s="31" t="s">
        <v>1178</v>
      </c>
      <c r="F120" s="32">
        <v>46255.447974537034</v>
      </c>
      <c r="G120" s="32">
        <v>46257.447974537034</v>
      </c>
      <c r="H120" s="31" t="s">
        <v>6300</v>
      </c>
      <c r="I120" s="34">
        <v>21.1</v>
      </c>
      <c r="J120" s="31" t="s">
        <v>6500</v>
      </c>
      <c r="K120" s="31" t="s">
        <v>6326</v>
      </c>
      <c r="L120" s="31" t="s">
        <v>6308</v>
      </c>
    </row>
    <row r="121" spans="1:12">
      <c r="A121" s="31" t="s">
        <v>6501</v>
      </c>
      <c r="B121" s="31" t="s">
        <v>5853</v>
      </c>
      <c r="C121" s="31" t="s">
        <v>6299</v>
      </c>
      <c r="D121" s="31" t="s">
        <v>55</v>
      </c>
      <c r="E121" s="31" t="s">
        <v>1128</v>
      </c>
      <c r="F121" s="32">
        <v>46280.75</v>
      </c>
      <c r="G121" s="32">
        <v>46282.708333333336</v>
      </c>
      <c r="H121" s="31" t="s">
        <v>6300</v>
      </c>
      <c r="I121" s="34">
        <v>16.3</v>
      </c>
      <c r="J121" s="31" t="s">
        <v>6502</v>
      </c>
      <c r="K121" s="31" t="s">
        <v>6338</v>
      </c>
      <c r="L121" s="31" t="s">
        <v>6303</v>
      </c>
    </row>
    <row r="122" spans="1:12">
      <c r="A122" s="31" t="s">
        <v>6503</v>
      </c>
      <c r="B122" s="31" t="s">
        <v>5824</v>
      </c>
      <c r="C122" s="31" t="s">
        <v>6299</v>
      </c>
      <c r="D122" s="31" t="s">
        <v>36</v>
      </c>
      <c r="E122" s="31" t="s">
        <v>1128</v>
      </c>
      <c r="F122" s="32">
        <v>46276.708333333336</v>
      </c>
      <c r="G122" s="32">
        <v>46278.333333333336</v>
      </c>
      <c r="H122" s="31" t="s">
        <v>6300</v>
      </c>
      <c r="I122" s="34">
        <v>19.600000000000001</v>
      </c>
      <c r="J122" s="31" t="s">
        <v>6504</v>
      </c>
      <c r="K122" s="31" t="s">
        <v>6311</v>
      </c>
      <c r="L122" s="31" t="s">
        <v>6312</v>
      </c>
    </row>
    <row r="123" spans="1:12">
      <c r="A123" s="31" t="s">
        <v>6505</v>
      </c>
      <c r="B123" s="31" t="s">
        <v>6249</v>
      </c>
      <c r="C123" s="31" t="s">
        <v>6305</v>
      </c>
      <c r="D123" s="31" t="s">
        <v>82</v>
      </c>
      <c r="E123" s="31" t="s">
        <v>1214</v>
      </c>
      <c r="F123" s="32">
        <v>46286.916666666664</v>
      </c>
      <c r="G123" s="32">
        <v>46287.708333333336</v>
      </c>
      <c r="H123" s="31" t="s">
        <v>6300</v>
      </c>
      <c r="I123" s="34"/>
      <c r="J123" s="31" t="s">
        <v>6337</v>
      </c>
      <c r="K123" s="31" t="s">
        <v>6338</v>
      </c>
      <c r="L123" s="31" t="s">
        <v>6316</v>
      </c>
    </row>
    <row r="124" spans="1:12">
      <c r="A124" s="31" t="s">
        <v>6506</v>
      </c>
      <c r="B124" s="31" t="s">
        <v>6179</v>
      </c>
      <c r="C124" s="31" t="s">
        <v>6346</v>
      </c>
      <c r="D124" s="31" t="s">
        <v>25</v>
      </c>
      <c r="E124" s="31" t="s">
        <v>1178</v>
      </c>
      <c r="F124" s="32">
        <v>46286.666666666664</v>
      </c>
      <c r="G124" s="32">
        <v>46286.75</v>
      </c>
      <c r="H124" s="31" t="s">
        <v>6300</v>
      </c>
      <c r="I124" s="34">
        <v>25.5</v>
      </c>
      <c r="J124" s="31" t="s">
        <v>6507</v>
      </c>
      <c r="K124" s="31" t="s">
        <v>6302</v>
      </c>
      <c r="L124" s="31" t="s">
        <v>6312</v>
      </c>
    </row>
    <row r="125" spans="1:12">
      <c r="A125" s="31" t="s">
        <v>6508</v>
      </c>
      <c r="B125" s="31" t="s">
        <v>5864</v>
      </c>
      <c r="C125" s="31" t="s">
        <v>6299</v>
      </c>
      <c r="D125" s="31" t="s">
        <v>69</v>
      </c>
      <c r="E125" s="31" t="s">
        <v>1123</v>
      </c>
      <c r="F125" s="32">
        <v>46239.270808182868</v>
      </c>
      <c r="G125" s="32">
        <v>46240.854141516204</v>
      </c>
      <c r="H125" s="31" t="s">
        <v>6300</v>
      </c>
      <c r="I125" s="34">
        <v>11.9</v>
      </c>
      <c r="J125" s="31" t="s">
        <v>6509</v>
      </c>
      <c r="K125" s="31" t="s">
        <v>6315</v>
      </c>
      <c r="L125" s="31" t="s">
        <v>6312</v>
      </c>
    </row>
    <row r="126" spans="1:12">
      <c r="A126" s="31" t="s">
        <v>6510</v>
      </c>
      <c r="B126" s="31" t="s">
        <v>6095</v>
      </c>
      <c r="C126" s="31" t="s">
        <v>6305</v>
      </c>
      <c r="D126" s="31" t="s">
        <v>91</v>
      </c>
      <c r="E126" s="31" t="s">
        <v>1214</v>
      </c>
      <c r="F126" s="32">
        <v>46275.791666666664</v>
      </c>
      <c r="G126" s="32">
        <v>46277.208333333336</v>
      </c>
      <c r="H126" s="31" t="s">
        <v>6300</v>
      </c>
      <c r="I126" s="34"/>
      <c r="J126" s="31" t="s">
        <v>6349</v>
      </c>
      <c r="K126" s="31" t="s">
        <v>6302</v>
      </c>
      <c r="L126" s="31" t="s">
        <v>6303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Audit Summary</vt:lpstr>
      <vt:lpstr>Account Audit</vt:lpstr>
      <vt:lpstr>Lead Routing</vt:lpstr>
      <vt:lpstr>Pipeline Audit</vt:lpstr>
      <vt:lpstr>Deal Desk Audit</vt:lpstr>
      <vt:lpstr>Pivot Analysis</vt:lpstr>
      <vt:lpstr>Reconciliation</vt:lpstr>
      <vt:lpstr>src_accounts</vt:lpstr>
      <vt:lpstr>src_states</vt:lpstr>
      <vt:lpstr>src_territories</vt:lpstr>
      <vt:lpstr>src_leads</vt:lpstr>
      <vt:lpstr>src_users</vt:lpstr>
      <vt:lpstr>src_opportunities</vt:lpstr>
      <vt:lpstr>src_deal_approvals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Medders</dc:creator>
  <cp:lastModifiedBy>Tyler Medders</cp:lastModifiedBy>
  <dcterms:created xsi:type="dcterms:W3CDTF">2026-10-04T00:14:07Z</dcterms:created>
  <dcterms:modified xsi:type="dcterms:W3CDTF">2026-10-04T18:14:42Z</dcterms:modified>
</cp:coreProperties>
</file>